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recode/Desktop/zongce/年度总表/"/>
    </mc:Choice>
  </mc:AlternateContent>
  <xr:revisionPtr revIDLastSave="0" documentId="11_9F445A424B766B5D7F54F42DD8165E13A0425903" xr6:coauthVersionLast="47" xr6:coauthVersionMax="47" xr10:uidLastSave="{00000000-0000-0000-0000-000000000000}"/>
  <bookViews>
    <workbookView xWindow="13860" yWindow="3020" windowWidth="16380" windowHeight="15120" xr2:uid="{00000000-000D-0000-FFFF-FFFF00000000}"/>
  </bookViews>
  <sheets>
    <sheet name="学年度总表" sheetId="1" r:id="rId1"/>
    <sheet name="计科排名" sheetId="2" r:id="rId2"/>
    <sheet name="软工排名" sheetId="3" r:id="rId3"/>
    <sheet name="网工排名" sheetId="4" r:id="rId4"/>
    <sheet name="信管排名" sheetId="5" r:id="rId5"/>
    <sheet name="大数据排名" sheetId="6" r:id="rId6"/>
  </sheets>
  <definedNames>
    <definedName name="_xlnm._FilterDatabase" localSheetId="4" hidden="1">信管排名!$A$2:$Q$358</definedName>
    <definedName name="_xlnm._FilterDatabase" localSheetId="5" hidden="1">大数据排名!$A$2:$Q$32</definedName>
    <definedName name="_xlnm._FilterDatabase" localSheetId="0" hidden="1">学年度总表!$A$2:$Q$1025</definedName>
    <definedName name="_xlnm._FilterDatabase" localSheetId="3" hidden="1">网工排名!$A$2:$Q$142</definedName>
    <definedName name="_xlnm._FilterDatabase" localSheetId="1" hidden="1">计科排名!$A$2:$Q$142</definedName>
    <definedName name="_xlnm._FilterDatabase" localSheetId="2" hidden="1">软工排名!$A$2:$Q$358</definedName>
    <definedName name="_xlnm.Print_Titles" localSheetId="4">信管排名!$1:$2</definedName>
    <definedName name="_xlnm.Print_Titles" localSheetId="5">大数据排名!$1:$2</definedName>
    <definedName name="_xlnm.Print_Titles" localSheetId="0">学年度总表!$1:$2</definedName>
    <definedName name="_xlnm.Print_Titles" localSheetId="3">网工排名!$1:$2</definedName>
    <definedName name="_xlnm.Print_Titles" localSheetId="1">计科排名!$1:$2</definedName>
    <definedName name="_xlnm.Print_Titles" localSheetId="2">软工排名!$1:$2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6" l="1"/>
  <c r="P32" i="6"/>
  <c r="M32" i="6"/>
  <c r="L32" i="6"/>
  <c r="K32" i="6"/>
  <c r="I32" i="6"/>
  <c r="H32" i="6"/>
  <c r="G32" i="6"/>
  <c r="F32" i="6"/>
  <c r="D32" i="6"/>
  <c r="C32" i="6"/>
  <c r="Q31" i="6"/>
  <c r="P31" i="6"/>
  <c r="M31" i="6"/>
  <c r="L31" i="6"/>
  <c r="K31" i="6"/>
  <c r="I31" i="6"/>
  <c r="H31" i="6"/>
  <c r="G31" i="6"/>
  <c r="F31" i="6"/>
  <c r="D31" i="6"/>
  <c r="C31" i="6"/>
  <c r="Q30" i="6"/>
  <c r="P30" i="6"/>
  <c r="M30" i="6"/>
  <c r="L30" i="6"/>
  <c r="K30" i="6"/>
  <c r="I30" i="6"/>
  <c r="H30" i="6"/>
  <c r="G30" i="6"/>
  <c r="F30" i="6"/>
  <c r="D30" i="6"/>
  <c r="C30" i="6"/>
  <c r="Q29" i="6"/>
  <c r="P29" i="6"/>
  <c r="M29" i="6"/>
  <c r="L29" i="6"/>
  <c r="K29" i="6"/>
  <c r="I29" i="6"/>
  <c r="H29" i="6"/>
  <c r="G29" i="6"/>
  <c r="F29" i="6"/>
  <c r="D29" i="6"/>
  <c r="C29" i="6"/>
  <c r="Q28" i="6"/>
  <c r="P28" i="6"/>
  <c r="M28" i="6"/>
  <c r="L28" i="6"/>
  <c r="K28" i="6"/>
  <c r="I28" i="6"/>
  <c r="H28" i="6"/>
  <c r="G28" i="6"/>
  <c r="F28" i="6"/>
  <c r="D28" i="6"/>
  <c r="C28" i="6"/>
  <c r="Q27" i="6"/>
  <c r="P27" i="6"/>
  <c r="M27" i="6"/>
  <c r="L27" i="6"/>
  <c r="K27" i="6"/>
  <c r="I27" i="6"/>
  <c r="H27" i="6"/>
  <c r="G27" i="6"/>
  <c r="F27" i="6"/>
  <c r="D27" i="6"/>
  <c r="C27" i="6"/>
  <c r="Q26" i="6"/>
  <c r="P26" i="6"/>
  <c r="M26" i="6"/>
  <c r="L26" i="6"/>
  <c r="K26" i="6"/>
  <c r="I26" i="6"/>
  <c r="H26" i="6"/>
  <c r="G26" i="6"/>
  <c r="F26" i="6"/>
  <c r="D26" i="6"/>
  <c r="C26" i="6"/>
  <c r="Q25" i="6"/>
  <c r="P25" i="6"/>
  <c r="M25" i="6"/>
  <c r="L25" i="6"/>
  <c r="K25" i="6"/>
  <c r="I25" i="6"/>
  <c r="H25" i="6"/>
  <c r="G25" i="6"/>
  <c r="F25" i="6"/>
  <c r="D25" i="6"/>
  <c r="C25" i="6"/>
  <c r="Q24" i="6"/>
  <c r="P24" i="6"/>
  <c r="M24" i="6"/>
  <c r="L24" i="6"/>
  <c r="K24" i="6"/>
  <c r="I24" i="6"/>
  <c r="H24" i="6"/>
  <c r="G24" i="6"/>
  <c r="F24" i="6"/>
  <c r="D24" i="6"/>
  <c r="C24" i="6"/>
  <c r="Q23" i="6"/>
  <c r="P23" i="6"/>
  <c r="M23" i="6"/>
  <c r="L23" i="6"/>
  <c r="K23" i="6"/>
  <c r="I23" i="6"/>
  <c r="H23" i="6"/>
  <c r="G23" i="6"/>
  <c r="F23" i="6"/>
  <c r="D23" i="6"/>
  <c r="C23" i="6"/>
  <c r="Q22" i="6"/>
  <c r="P22" i="6"/>
  <c r="M22" i="6"/>
  <c r="L22" i="6"/>
  <c r="K22" i="6"/>
  <c r="I22" i="6"/>
  <c r="H22" i="6"/>
  <c r="G22" i="6"/>
  <c r="F22" i="6"/>
  <c r="D22" i="6"/>
  <c r="C22" i="6"/>
  <c r="Q21" i="6"/>
  <c r="P21" i="6"/>
  <c r="M21" i="6"/>
  <c r="L21" i="6"/>
  <c r="K21" i="6"/>
  <c r="I21" i="6"/>
  <c r="H21" i="6"/>
  <c r="G21" i="6"/>
  <c r="F21" i="6"/>
  <c r="D21" i="6"/>
  <c r="C21" i="6"/>
  <c r="Q20" i="6"/>
  <c r="P20" i="6"/>
  <c r="M20" i="6"/>
  <c r="L20" i="6"/>
  <c r="K20" i="6"/>
  <c r="I20" i="6"/>
  <c r="H20" i="6"/>
  <c r="G20" i="6"/>
  <c r="F20" i="6"/>
  <c r="D20" i="6"/>
  <c r="C20" i="6"/>
  <c r="Q19" i="6"/>
  <c r="P19" i="6"/>
  <c r="M19" i="6"/>
  <c r="L19" i="6"/>
  <c r="K19" i="6"/>
  <c r="I19" i="6"/>
  <c r="H19" i="6"/>
  <c r="G19" i="6"/>
  <c r="F19" i="6"/>
  <c r="D19" i="6"/>
  <c r="C19" i="6"/>
  <c r="Q18" i="6"/>
  <c r="P18" i="6"/>
  <c r="M18" i="6"/>
  <c r="L18" i="6"/>
  <c r="K18" i="6"/>
  <c r="I18" i="6"/>
  <c r="H18" i="6"/>
  <c r="G18" i="6"/>
  <c r="F18" i="6"/>
  <c r="D18" i="6"/>
  <c r="C18" i="6"/>
  <c r="Q17" i="6"/>
  <c r="P17" i="6"/>
  <c r="M17" i="6"/>
  <c r="L17" i="6"/>
  <c r="K17" i="6"/>
  <c r="I17" i="6"/>
  <c r="H17" i="6"/>
  <c r="G17" i="6"/>
  <c r="F17" i="6"/>
  <c r="D17" i="6"/>
  <c r="C17" i="6"/>
  <c r="Q16" i="6"/>
  <c r="P16" i="6"/>
  <c r="M16" i="6"/>
  <c r="L16" i="6"/>
  <c r="K16" i="6"/>
  <c r="I16" i="6"/>
  <c r="H16" i="6"/>
  <c r="G16" i="6"/>
  <c r="F16" i="6"/>
  <c r="D16" i="6"/>
  <c r="C16" i="6"/>
  <c r="Q15" i="6"/>
  <c r="P15" i="6"/>
  <c r="M15" i="6"/>
  <c r="L15" i="6"/>
  <c r="K15" i="6"/>
  <c r="I15" i="6"/>
  <c r="H15" i="6"/>
  <c r="G15" i="6"/>
  <c r="F15" i="6"/>
  <c r="D15" i="6"/>
  <c r="C15" i="6"/>
  <c r="Q14" i="6"/>
  <c r="P14" i="6"/>
  <c r="M14" i="6"/>
  <c r="L14" i="6"/>
  <c r="K14" i="6"/>
  <c r="I14" i="6"/>
  <c r="H14" i="6"/>
  <c r="G14" i="6"/>
  <c r="F14" i="6"/>
  <c r="D14" i="6"/>
  <c r="C14" i="6"/>
  <c r="Q13" i="6"/>
  <c r="P13" i="6"/>
  <c r="M13" i="6"/>
  <c r="L13" i="6"/>
  <c r="K13" i="6"/>
  <c r="I13" i="6"/>
  <c r="H13" i="6"/>
  <c r="G13" i="6"/>
  <c r="F13" i="6"/>
  <c r="D13" i="6"/>
  <c r="C13" i="6"/>
  <c r="Q12" i="6"/>
  <c r="P12" i="6"/>
  <c r="M12" i="6"/>
  <c r="L12" i="6"/>
  <c r="K12" i="6"/>
  <c r="I12" i="6"/>
  <c r="H12" i="6"/>
  <c r="G12" i="6"/>
  <c r="F12" i="6"/>
  <c r="D12" i="6"/>
  <c r="C12" i="6"/>
  <c r="Q11" i="6"/>
  <c r="P11" i="6"/>
  <c r="M11" i="6"/>
  <c r="L11" i="6"/>
  <c r="K11" i="6"/>
  <c r="I11" i="6"/>
  <c r="H11" i="6"/>
  <c r="G11" i="6"/>
  <c r="F11" i="6"/>
  <c r="D11" i="6"/>
  <c r="C11" i="6"/>
  <c r="Q10" i="6"/>
  <c r="P10" i="6"/>
  <c r="M10" i="6"/>
  <c r="L10" i="6"/>
  <c r="K10" i="6"/>
  <c r="I10" i="6"/>
  <c r="H10" i="6"/>
  <c r="G10" i="6"/>
  <c r="F10" i="6"/>
  <c r="D10" i="6"/>
  <c r="C10" i="6"/>
  <c r="Q9" i="6"/>
  <c r="P9" i="6"/>
  <c r="M9" i="6"/>
  <c r="L9" i="6"/>
  <c r="K9" i="6"/>
  <c r="I9" i="6"/>
  <c r="H9" i="6"/>
  <c r="G9" i="6"/>
  <c r="F9" i="6"/>
  <c r="D9" i="6"/>
  <c r="C9" i="6"/>
  <c r="Q8" i="6"/>
  <c r="P8" i="6"/>
  <c r="M8" i="6"/>
  <c r="L8" i="6"/>
  <c r="K8" i="6"/>
  <c r="I8" i="6"/>
  <c r="H8" i="6"/>
  <c r="G8" i="6"/>
  <c r="F8" i="6"/>
  <c r="D8" i="6"/>
  <c r="C8" i="6"/>
  <c r="Q7" i="6"/>
  <c r="P7" i="6"/>
  <c r="M7" i="6"/>
  <c r="L7" i="6"/>
  <c r="K7" i="6"/>
  <c r="I7" i="6"/>
  <c r="H7" i="6"/>
  <c r="G7" i="6"/>
  <c r="F7" i="6"/>
  <c r="D7" i="6"/>
  <c r="C7" i="6"/>
  <c r="Q6" i="6"/>
  <c r="P6" i="6"/>
  <c r="M6" i="6"/>
  <c r="L6" i="6"/>
  <c r="K6" i="6"/>
  <c r="I6" i="6"/>
  <c r="H6" i="6"/>
  <c r="G6" i="6"/>
  <c r="F6" i="6"/>
  <c r="D6" i="6"/>
  <c r="C6" i="6"/>
  <c r="Q5" i="6"/>
  <c r="P5" i="6"/>
  <c r="M5" i="6"/>
  <c r="L5" i="6"/>
  <c r="K5" i="6"/>
  <c r="I5" i="6"/>
  <c r="H5" i="6"/>
  <c r="G5" i="6"/>
  <c r="F5" i="6"/>
  <c r="D5" i="6"/>
  <c r="C5" i="6"/>
  <c r="Q4" i="6"/>
  <c r="P4" i="6"/>
  <c r="M4" i="6"/>
  <c r="L4" i="6"/>
  <c r="K4" i="6"/>
  <c r="I4" i="6"/>
  <c r="H4" i="6"/>
  <c r="G4" i="6"/>
  <c r="F4" i="6"/>
  <c r="D4" i="6"/>
  <c r="C4" i="6"/>
  <c r="Q3" i="6"/>
  <c r="P3" i="6"/>
  <c r="M3" i="6"/>
  <c r="L3" i="6"/>
  <c r="K3" i="6"/>
  <c r="I3" i="6"/>
  <c r="H3" i="6"/>
  <c r="G3" i="6"/>
  <c r="F3" i="6"/>
  <c r="D3" i="6"/>
  <c r="C3" i="6"/>
  <c r="Q358" i="5"/>
  <c r="P358" i="5"/>
  <c r="M358" i="5"/>
  <c r="L358" i="5"/>
  <c r="K358" i="5"/>
  <c r="I358" i="5"/>
  <c r="H358" i="5"/>
  <c r="G358" i="5"/>
  <c r="F358" i="5"/>
  <c r="D358" i="5"/>
  <c r="C358" i="5"/>
  <c r="Q357" i="5"/>
  <c r="P357" i="5"/>
  <c r="M357" i="5"/>
  <c r="L357" i="5"/>
  <c r="K357" i="5"/>
  <c r="I357" i="5"/>
  <c r="H357" i="5"/>
  <c r="G357" i="5"/>
  <c r="F357" i="5"/>
  <c r="D357" i="5"/>
  <c r="C357" i="5"/>
  <c r="Q356" i="5"/>
  <c r="P356" i="5"/>
  <c r="M356" i="5"/>
  <c r="L356" i="5"/>
  <c r="K356" i="5"/>
  <c r="I356" i="5"/>
  <c r="H356" i="5"/>
  <c r="G356" i="5"/>
  <c r="F356" i="5"/>
  <c r="D356" i="5"/>
  <c r="C356" i="5"/>
  <c r="Q355" i="5"/>
  <c r="P355" i="5"/>
  <c r="N355" i="5"/>
  <c r="M355" i="5"/>
  <c r="L355" i="5"/>
  <c r="K355" i="5"/>
  <c r="I355" i="5"/>
  <c r="H355" i="5"/>
  <c r="G355" i="5"/>
  <c r="F355" i="5"/>
  <c r="D355" i="5"/>
  <c r="C355" i="5"/>
  <c r="Q354" i="5"/>
  <c r="P354" i="5"/>
  <c r="M354" i="5"/>
  <c r="L354" i="5"/>
  <c r="K354" i="5"/>
  <c r="I354" i="5"/>
  <c r="H354" i="5"/>
  <c r="G354" i="5"/>
  <c r="F354" i="5"/>
  <c r="D354" i="5"/>
  <c r="C354" i="5"/>
  <c r="Q353" i="5"/>
  <c r="P353" i="5"/>
  <c r="M353" i="5"/>
  <c r="L353" i="5"/>
  <c r="K353" i="5"/>
  <c r="I353" i="5"/>
  <c r="H353" i="5"/>
  <c r="G353" i="5"/>
  <c r="F353" i="5"/>
  <c r="D353" i="5"/>
  <c r="C353" i="5"/>
  <c r="Q352" i="5"/>
  <c r="P352" i="5"/>
  <c r="M352" i="5"/>
  <c r="L352" i="5"/>
  <c r="K352" i="5"/>
  <c r="I352" i="5"/>
  <c r="H352" i="5"/>
  <c r="G352" i="5"/>
  <c r="F352" i="5"/>
  <c r="D352" i="5"/>
  <c r="C352" i="5"/>
  <c r="Q351" i="5"/>
  <c r="P351" i="5"/>
  <c r="M351" i="5"/>
  <c r="L351" i="5"/>
  <c r="K351" i="5"/>
  <c r="I351" i="5"/>
  <c r="H351" i="5"/>
  <c r="G351" i="5"/>
  <c r="F351" i="5"/>
  <c r="D351" i="5"/>
  <c r="C351" i="5"/>
  <c r="Q350" i="5"/>
  <c r="P350" i="5"/>
  <c r="M350" i="5"/>
  <c r="L350" i="5"/>
  <c r="K350" i="5"/>
  <c r="I350" i="5"/>
  <c r="H350" i="5"/>
  <c r="G350" i="5"/>
  <c r="F350" i="5"/>
  <c r="D350" i="5"/>
  <c r="C350" i="5"/>
  <c r="Q349" i="5"/>
  <c r="P349" i="5"/>
  <c r="M349" i="5"/>
  <c r="L349" i="5"/>
  <c r="K349" i="5"/>
  <c r="I349" i="5"/>
  <c r="H349" i="5"/>
  <c r="G349" i="5"/>
  <c r="F349" i="5"/>
  <c r="D349" i="5"/>
  <c r="C349" i="5"/>
  <c r="Q348" i="5"/>
  <c r="P348" i="5"/>
  <c r="M348" i="5"/>
  <c r="L348" i="5"/>
  <c r="K348" i="5"/>
  <c r="I348" i="5"/>
  <c r="H348" i="5"/>
  <c r="G348" i="5"/>
  <c r="F348" i="5"/>
  <c r="D348" i="5"/>
  <c r="C348" i="5"/>
  <c r="Q347" i="5"/>
  <c r="P347" i="5"/>
  <c r="M347" i="5"/>
  <c r="L347" i="5"/>
  <c r="K347" i="5"/>
  <c r="I347" i="5"/>
  <c r="H347" i="5"/>
  <c r="G347" i="5"/>
  <c r="F347" i="5"/>
  <c r="D347" i="5"/>
  <c r="C347" i="5"/>
  <c r="Q346" i="5"/>
  <c r="P346" i="5"/>
  <c r="M346" i="5"/>
  <c r="L346" i="5"/>
  <c r="K346" i="5"/>
  <c r="I346" i="5"/>
  <c r="H346" i="5"/>
  <c r="G346" i="5"/>
  <c r="F346" i="5"/>
  <c r="D346" i="5"/>
  <c r="C346" i="5"/>
  <c r="Q345" i="5"/>
  <c r="P345" i="5"/>
  <c r="M345" i="5"/>
  <c r="L345" i="5"/>
  <c r="K345" i="5"/>
  <c r="I345" i="5"/>
  <c r="H345" i="5"/>
  <c r="G345" i="5"/>
  <c r="F345" i="5"/>
  <c r="D345" i="5"/>
  <c r="C345" i="5"/>
  <c r="Q344" i="5"/>
  <c r="P344" i="5"/>
  <c r="M344" i="5"/>
  <c r="L344" i="5"/>
  <c r="K344" i="5"/>
  <c r="I344" i="5"/>
  <c r="H344" i="5"/>
  <c r="G344" i="5"/>
  <c r="F344" i="5"/>
  <c r="D344" i="5"/>
  <c r="C344" i="5"/>
  <c r="Q343" i="5"/>
  <c r="P343" i="5"/>
  <c r="M343" i="5"/>
  <c r="L343" i="5"/>
  <c r="K343" i="5"/>
  <c r="I343" i="5"/>
  <c r="H343" i="5"/>
  <c r="G343" i="5"/>
  <c r="F343" i="5"/>
  <c r="D343" i="5"/>
  <c r="C343" i="5"/>
  <c r="Q342" i="5"/>
  <c r="P342" i="5"/>
  <c r="M342" i="5"/>
  <c r="L342" i="5"/>
  <c r="K342" i="5"/>
  <c r="I342" i="5"/>
  <c r="H342" i="5"/>
  <c r="G342" i="5"/>
  <c r="F342" i="5"/>
  <c r="D342" i="5"/>
  <c r="C342" i="5"/>
  <c r="Q341" i="5"/>
  <c r="P341" i="5"/>
  <c r="M341" i="5"/>
  <c r="L341" i="5"/>
  <c r="K341" i="5"/>
  <c r="I341" i="5"/>
  <c r="H341" i="5"/>
  <c r="G341" i="5"/>
  <c r="F341" i="5"/>
  <c r="D341" i="5"/>
  <c r="C341" i="5"/>
  <c r="Q340" i="5"/>
  <c r="P340" i="5"/>
  <c r="M340" i="5"/>
  <c r="L340" i="5"/>
  <c r="K340" i="5"/>
  <c r="I340" i="5"/>
  <c r="H340" i="5"/>
  <c r="G340" i="5"/>
  <c r="F340" i="5"/>
  <c r="D340" i="5"/>
  <c r="C340" i="5"/>
  <c r="Q339" i="5"/>
  <c r="P339" i="5"/>
  <c r="M339" i="5"/>
  <c r="L339" i="5"/>
  <c r="K339" i="5"/>
  <c r="I339" i="5"/>
  <c r="H339" i="5"/>
  <c r="G339" i="5"/>
  <c r="F339" i="5"/>
  <c r="D339" i="5"/>
  <c r="C339" i="5"/>
  <c r="Q338" i="5"/>
  <c r="P338" i="5"/>
  <c r="M338" i="5"/>
  <c r="L338" i="5"/>
  <c r="K338" i="5"/>
  <c r="I338" i="5"/>
  <c r="H338" i="5"/>
  <c r="G338" i="5"/>
  <c r="F338" i="5"/>
  <c r="D338" i="5"/>
  <c r="C338" i="5"/>
  <c r="Q337" i="5"/>
  <c r="P337" i="5"/>
  <c r="M337" i="5"/>
  <c r="L337" i="5"/>
  <c r="K337" i="5"/>
  <c r="I337" i="5"/>
  <c r="H337" i="5"/>
  <c r="G337" i="5"/>
  <c r="F337" i="5"/>
  <c r="D337" i="5"/>
  <c r="C337" i="5"/>
  <c r="Q336" i="5"/>
  <c r="P336" i="5"/>
  <c r="M336" i="5"/>
  <c r="L336" i="5"/>
  <c r="K336" i="5"/>
  <c r="I336" i="5"/>
  <c r="H336" i="5"/>
  <c r="G336" i="5"/>
  <c r="F336" i="5"/>
  <c r="D336" i="5"/>
  <c r="C336" i="5"/>
  <c r="Q335" i="5"/>
  <c r="P335" i="5"/>
  <c r="M335" i="5"/>
  <c r="L335" i="5"/>
  <c r="K335" i="5"/>
  <c r="I335" i="5"/>
  <c r="H335" i="5"/>
  <c r="G335" i="5"/>
  <c r="F335" i="5"/>
  <c r="D335" i="5"/>
  <c r="C335" i="5"/>
  <c r="Q334" i="5"/>
  <c r="P334" i="5"/>
  <c r="M334" i="5"/>
  <c r="L334" i="5"/>
  <c r="K334" i="5"/>
  <c r="I334" i="5"/>
  <c r="H334" i="5"/>
  <c r="G334" i="5"/>
  <c r="F334" i="5"/>
  <c r="D334" i="5"/>
  <c r="C334" i="5"/>
  <c r="Q333" i="5"/>
  <c r="P333" i="5"/>
  <c r="M333" i="5"/>
  <c r="L333" i="5"/>
  <c r="K333" i="5"/>
  <c r="I333" i="5"/>
  <c r="H333" i="5"/>
  <c r="G333" i="5"/>
  <c r="F333" i="5"/>
  <c r="D333" i="5"/>
  <c r="C333" i="5"/>
  <c r="Q332" i="5"/>
  <c r="P332" i="5"/>
  <c r="M332" i="5"/>
  <c r="L332" i="5"/>
  <c r="K332" i="5"/>
  <c r="I332" i="5"/>
  <c r="H332" i="5"/>
  <c r="G332" i="5"/>
  <c r="F332" i="5"/>
  <c r="D332" i="5"/>
  <c r="C332" i="5"/>
  <c r="Q331" i="5"/>
  <c r="P331" i="5"/>
  <c r="M331" i="5"/>
  <c r="L331" i="5"/>
  <c r="K331" i="5"/>
  <c r="I331" i="5"/>
  <c r="H331" i="5"/>
  <c r="G331" i="5"/>
  <c r="F331" i="5"/>
  <c r="D331" i="5"/>
  <c r="C331" i="5"/>
  <c r="Q330" i="5"/>
  <c r="P330" i="5"/>
  <c r="M330" i="5"/>
  <c r="L330" i="5"/>
  <c r="K330" i="5"/>
  <c r="I330" i="5"/>
  <c r="H330" i="5"/>
  <c r="G330" i="5"/>
  <c r="F330" i="5"/>
  <c r="D330" i="5"/>
  <c r="C330" i="5"/>
  <c r="Q329" i="5"/>
  <c r="P329" i="5"/>
  <c r="M329" i="5"/>
  <c r="L329" i="5"/>
  <c r="K329" i="5"/>
  <c r="I329" i="5"/>
  <c r="H329" i="5"/>
  <c r="G329" i="5"/>
  <c r="F329" i="5"/>
  <c r="D329" i="5"/>
  <c r="C329" i="5"/>
  <c r="Q328" i="5"/>
  <c r="P328" i="5"/>
  <c r="M328" i="5"/>
  <c r="L328" i="5"/>
  <c r="K328" i="5"/>
  <c r="I328" i="5"/>
  <c r="H328" i="5"/>
  <c r="G328" i="5"/>
  <c r="F328" i="5"/>
  <c r="D328" i="5"/>
  <c r="C328" i="5"/>
  <c r="Q327" i="5"/>
  <c r="P327" i="5"/>
  <c r="M327" i="5"/>
  <c r="L327" i="5"/>
  <c r="K327" i="5"/>
  <c r="I327" i="5"/>
  <c r="H327" i="5"/>
  <c r="G327" i="5"/>
  <c r="F327" i="5"/>
  <c r="D327" i="5"/>
  <c r="C327" i="5"/>
  <c r="Q326" i="5"/>
  <c r="P326" i="5"/>
  <c r="M326" i="5"/>
  <c r="L326" i="5"/>
  <c r="K326" i="5"/>
  <c r="I326" i="5"/>
  <c r="H326" i="5"/>
  <c r="G326" i="5"/>
  <c r="F326" i="5"/>
  <c r="D326" i="5"/>
  <c r="C326" i="5"/>
  <c r="Q325" i="5"/>
  <c r="P325" i="5"/>
  <c r="M325" i="5"/>
  <c r="L325" i="5"/>
  <c r="K325" i="5"/>
  <c r="I325" i="5"/>
  <c r="H325" i="5"/>
  <c r="G325" i="5"/>
  <c r="F325" i="5"/>
  <c r="D325" i="5"/>
  <c r="C325" i="5"/>
  <c r="Q324" i="5"/>
  <c r="P324" i="5"/>
  <c r="M324" i="5"/>
  <c r="L324" i="5"/>
  <c r="K324" i="5"/>
  <c r="I324" i="5"/>
  <c r="H324" i="5"/>
  <c r="G324" i="5"/>
  <c r="F324" i="5"/>
  <c r="D324" i="5"/>
  <c r="C324" i="5"/>
  <c r="Q323" i="5"/>
  <c r="P323" i="5"/>
  <c r="M323" i="5"/>
  <c r="L323" i="5"/>
  <c r="K323" i="5"/>
  <c r="I323" i="5"/>
  <c r="H323" i="5"/>
  <c r="G323" i="5"/>
  <c r="F323" i="5"/>
  <c r="D323" i="5"/>
  <c r="C323" i="5"/>
  <c r="Q322" i="5"/>
  <c r="P322" i="5"/>
  <c r="M322" i="5"/>
  <c r="L322" i="5"/>
  <c r="K322" i="5"/>
  <c r="I322" i="5"/>
  <c r="H322" i="5"/>
  <c r="G322" i="5"/>
  <c r="F322" i="5"/>
  <c r="D322" i="5"/>
  <c r="C322" i="5"/>
  <c r="Q321" i="5"/>
  <c r="P321" i="5"/>
  <c r="M321" i="5"/>
  <c r="L321" i="5"/>
  <c r="K321" i="5"/>
  <c r="I321" i="5"/>
  <c r="H321" i="5"/>
  <c r="G321" i="5"/>
  <c r="F321" i="5"/>
  <c r="D321" i="5"/>
  <c r="C321" i="5"/>
  <c r="Q320" i="5"/>
  <c r="P320" i="5"/>
  <c r="M320" i="5"/>
  <c r="L320" i="5"/>
  <c r="K320" i="5"/>
  <c r="I320" i="5"/>
  <c r="H320" i="5"/>
  <c r="G320" i="5"/>
  <c r="F320" i="5"/>
  <c r="D320" i="5"/>
  <c r="C320" i="5"/>
  <c r="Q319" i="5"/>
  <c r="P319" i="5"/>
  <c r="M319" i="5"/>
  <c r="L319" i="5"/>
  <c r="K319" i="5"/>
  <c r="I319" i="5"/>
  <c r="H319" i="5"/>
  <c r="G319" i="5"/>
  <c r="F319" i="5"/>
  <c r="D319" i="5"/>
  <c r="C319" i="5"/>
  <c r="Q318" i="5"/>
  <c r="P318" i="5"/>
  <c r="M318" i="5"/>
  <c r="L318" i="5"/>
  <c r="K318" i="5"/>
  <c r="I318" i="5"/>
  <c r="H318" i="5"/>
  <c r="G318" i="5"/>
  <c r="F318" i="5"/>
  <c r="D318" i="5"/>
  <c r="C318" i="5"/>
  <c r="Q317" i="5"/>
  <c r="P317" i="5"/>
  <c r="M317" i="5"/>
  <c r="L317" i="5"/>
  <c r="K317" i="5"/>
  <c r="I317" i="5"/>
  <c r="H317" i="5"/>
  <c r="G317" i="5"/>
  <c r="F317" i="5"/>
  <c r="D317" i="5"/>
  <c r="C317" i="5"/>
  <c r="Q316" i="5"/>
  <c r="P316" i="5"/>
  <c r="M316" i="5"/>
  <c r="L316" i="5"/>
  <c r="K316" i="5"/>
  <c r="I316" i="5"/>
  <c r="H316" i="5"/>
  <c r="G316" i="5"/>
  <c r="F316" i="5"/>
  <c r="D316" i="5"/>
  <c r="C316" i="5"/>
  <c r="Q315" i="5"/>
  <c r="P315" i="5"/>
  <c r="M315" i="5"/>
  <c r="L315" i="5"/>
  <c r="K315" i="5"/>
  <c r="I315" i="5"/>
  <c r="H315" i="5"/>
  <c r="G315" i="5"/>
  <c r="F315" i="5"/>
  <c r="D315" i="5"/>
  <c r="C315" i="5"/>
  <c r="Q314" i="5"/>
  <c r="P314" i="5"/>
  <c r="M314" i="5"/>
  <c r="L314" i="5"/>
  <c r="K314" i="5"/>
  <c r="I314" i="5"/>
  <c r="H314" i="5"/>
  <c r="G314" i="5"/>
  <c r="F314" i="5"/>
  <c r="D314" i="5"/>
  <c r="C314" i="5"/>
  <c r="Q313" i="5"/>
  <c r="P313" i="5"/>
  <c r="M313" i="5"/>
  <c r="L313" i="5"/>
  <c r="K313" i="5"/>
  <c r="I313" i="5"/>
  <c r="H313" i="5"/>
  <c r="G313" i="5"/>
  <c r="F313" i="5"/>
  <c r="D313" i="5"/>
  <c r="C313" i="5"/>
  <c r="Q312" i="5"/>
  <c r="P312" i="5"/>
  <c r="M312" i="5"/>
  <c r="L312" i="5"/>
  <c r="K312" i="5"/>
  <c r="I312" i="5"/>
  <c r="H312" i="5"/>
  <c r="G312" i="5"/>
  <c r="F312" i="5"/>
  <c r="D312" i="5"/>
  <c r="C312" i="5"/>
  <c r="Q311" i="5"/>
  <c r="P311" i="5"/>
  <c r="M311" i="5"/>
  <c r="L311" i="5"/>
  <c r="K311" i="5"/>
  <c r="I311" i="5"/>
  <c r="H311" i="5"/>
  <c r="G311" i="5"/>
  <c r="F311" i="5"/>
  <c r="D311" i="5"/>
  <c r="C311" i="5"/>
  <c r="Q310" i="5"/>
  <c r="P310" i="5"/>
  <c r="M310" i="5"/>
  <c r="L310" i="5"/>
  <c r="K310" i="5"/>
  <c r="I310" i="5"/>
  <c r="H310" i="5"/>
  <c r="G310" i="5"/>
  <c r="F310" i="5"/>
  <c r="D310" i="5"/>
  <c r="C310" i="5"/>
  <c r="Q309" i="5"/>
  <c r="P309" i="5"/>
  <c r="M309" i="5"/>
  <c r="L309" i="5"/>
  <c r="K309" i="5"/>
  <c r="I309" i="5"/>
  <c r="H309" i="5"/>
  <c r="G309" i="5"/>
  <c r="F309" i="5"/>
  <c r="D309" i="5"/>
  <c r="C309" i="5"/>
  <c r="Q308" i="5"/>
  <c r="P308" i="5"/>
  <c r="M308" i="5"/>
  <c r="L308" i="5"/>
  <c r="K308" i="5"/>
  <c r="I308" i="5"/>
  <c r="H308" i="5"/>
  <c r="G308" i="5"/>
  <c r="F308" i="5"/>
  <c r="D308" i="5"/>
  <c r="C308" i="5"/>
  <c r="Q307" i="5"/>
  <c r="P307" i="5"/>
  <c r="M307" i="5"/>
  <c r="L307" i="5"/>
  <c r="K307" i="5"/>
  <c r="I307" i="5"/>
  <c r="H307" i="5"/>
  <c r="G307" i="5"/>
  <c r="F307" i="5"/>
  <c r="D307" i="5"/>
  <c r="C307" i="5"/>
  <c r="Q306" i="5"/>
  <c r="P306" i="5"/>
  <c r="M306" i="5"/>
  <c r="L306" i="5"/>
  <c r="K306" i="5"/>
  <c r="I306" i="5"/>
  <c r="H306" i="5"/>
  <c r="G306" i="5"/>
  <c r="F306" i="5"/>
  <c r="D306" i="5"/>
  <c r="C306" i="5"/>
  <c r="Q305" i="5"/>
  <c r="P305" i="5"/>
  <c r="M305" i="5"/>
  <c r="L305" i="5"/>
  <c r="K305" i="5"/>
  <c r="I305" i="5"/>
  <c r="H305" i="5"/>
  <c r="G305" i="5"/>
  <c r="F305" i="5"/>
  <c r="D305" i="5"/>
  <c r="C305" i="5"/>
  <c r="Q304" i="5"/>
  <c r="P304" i="5"/>
  <c r="M304" i="5"/>
  <c r="L304" i="5"/>
  <c r="K304" i="5"/>
  <c r="I304" i="5"/>
  <c r="H304" i="5"/>
  <c r="G304" i="5"/>
  <c r="F304" i="5"/>
  <c r="D304" i="5"/>
  <c r="C304" i="5"/>
  <c r="Q303" i="5"/>
  <c r="P303" i="5"/>
  <c r="M303" i="5"/>
  <c r="L303" i="5"/>
  <c r="K303" i="5"/>
  <c r="I303" i="5"/>
  <c r="H303" i="5"/>
  <c r="G303" i="5"/>
  <c r="F303" i="5"/>
  <c r="D303" i="5"/>
  <c r="C303" i="5"/>
  <c r="Q302" i="5"/>
  <c r="P302" i="5"/>
  <c r="M302" i="5"/>
  <c r="L302" i="5"/>
  <c r="K302" i="5"/>
  <c r="I302" i="5"/>
  <c r="H302" i="5"/>
  <c r="G302" i="5"/>
  <c r="F302" i="5"/>
  <c r="D302" i="5"/>
  <c r="C302" i="5"/>
  <c r="Q301" i="5"/>
  <c r="P301" i="5"/>
  <c r="M301" i="5"/>
  <c r="L301" i="5"/>
  <c r="K301" i="5"/>
  <c r="I301" i="5"/>
  <c r="H301" i="5"/>
  <c r="G301" i="5"/>
  <c r="F301" i="5"/>
  <c r="D301" i="5"/>
  <c r="C301" i="5"/>
  <c r="Q300" i="5"/>
  <c r="P300" i="5"/>
  <c r="M300" i="5"/>
  <c r="L300" i="5"/>
  <c r="K300" i="5"/>
  <c r="I300" i="5"/>
  <c r="H300" i="5"/>
  <c r="G300" i="5"/>
  <c r="F300" i="5"/>
  <c r="D300" i="5"/>
  <c r="C300" i="5"/>
  <c r="Q299" i="5"/>
  <c r="P299" i="5"/>
  <c r="M299" i="5"/>
  <c r="L299" i="5"/>
  <c r="K299" i="5"/>
  <c r="I299" i="5"/>
  <c r="H299" i="5"/>
  <c r="G299" i="5"/>
  <c r="F299" i="5"/>
  <c r="D299" i="5"/>
  <c r="C299" i="5"/>
  <c r="Q298" i="5"/>
  <c r="P298" i="5"/>
  <c r="M298" i="5"/>
  <c r="L298" i="5"/>
  <c r="K298" i="5"/>
  <c r="I298" i="5"/>
  <c r="H298" i="5"/>
  <c r="G298" i="5"/>
  <c r="F298" i="5"/>
  <c r="D298" i="5"/>
  <c r="C298" i="5"/>
  <c r="Q297" i="5"/>
  <c r="P297" i="5"/>
  <c r="M297" i="5"/>
  <c r="L297" i="5"/>
  <c r="K297" i="5"/>
  <c r="I297" i="5"/>
  <c r="H297" i="5"/>
  <c r="G297" i="5"/>
  <c r="F297" i="5"/>
  <c r="D297" i="5"/>
  <c r="C297" i="5"/>
  <c r="Q296" i="5"/>
  <c r="P296" i="5"/>
  <c r="M296" i="5"/>
  <c r="L296" i="5"/>
  <c r="K296" i="5"/>
  <c r="I296" i="5"/>
  <c r="H296" i="5"/>
  <c r="G296" i="5"/>
  <c r="F296" i="5"/>
  <c r="D296" i="5"/>
  <c r="C296" i="5"/>
  <c r="Q295" i="5"/>
  <c r="P295" i="5"/>
  <c r="M295" i="5"/>
  <c r="L295" i="5"/>
  <c r="K295" i="5"/>
  <c r="I295" i="5"/>
  <c r="H295" i="5"/>
  <c r="G295" i="5"/>
  <c r="F295" i="5"/>
  <c r="D295" i="5"/>
  <c r="C295" i="5"/>
  <c r="Q294" i="5"/>
  <c r="P294" i="5"/>
  <c r="M294" i="5"/>
  <c r="L294" i="5"/>
  <c r="K294" i="5"/>
  <c r="I294" i="5"/>
  <c r="H294" i="5"/>
  <c r="G294" i="5"/>
  <c r="F294" i="5"/>
  <c r="D294" i="5"/>
  <c r="C294" i="5"/>
  <c r="Q293" i="5"/>
  <c r="P293" i="5"/>
  <c r="M293" i="5"/>
  <c r="L293" i="5"/>
  <c r="K293" i="5"/>
  <c r="I293" i="5"/>
  <c r="H293" i="5"/>
  <c r="G293" i="5"/>
  <c r="F293" i="5"/>
  <c r="D293" i="5"/>
  <c r="C293" i="5"/>
  <c r="Q292" i="5"/>
  <c r="P292" i="5"/>
  <c r="M292" i="5"/>
  <c r="L292" i="5"/>
  <c r="K292" i="5"/>
  <c r="I292" i="5"/>
  <c r="H292" i="5"/>
  <c r="G292" i="5"/>
  <c r="F292" i="5"/>
  <c r="D292" i="5"/>
  <c r="C292" i="5"/>
  <c r="Q291" i="5"/>
  <c r="P291" i="5"/>
  <c r="M291" i="5"/>
  <c r="L291" i="5"/>
  <c r="K291" i="5"/>
  <c r="I291" i="5"/>
  <c r="H291" i="5"/>
  <c r="G291" i="5"/>
  <c r="F291" i="5"/>
  <c r="D291" i="5"/>
  <c r="C291" i="5"/>
  <c r="Q290" i="5"/>
  <c r="P290" i="5"/>
  <c r="M290" i="5"/>
  <c r="L290" i="5"/>
  <c r="K290" i="5"/>
  <c r="I290" i="5"/>
  <c r="H290" i="5"/>
  <c r="G290" i="5"/>
  <c r="F290" i="5"/>
  <c r="D290" i="5"/>
  <c r="C290" i="5"/>
  <c r="Q289" i="5"/>
  <c r="P289" i="5"/>
  <c r="M289" i="5"/>
  <c r="L289" i="5"/>
  <c r="K289" i="5"/>
  <c r="I289" i="5"/>
  <c r="H289" i="5"/>
  <c r="G289" i="5"/>
  <c r="F289" i="5"/>
  <c r="D289" i="5"/>
  <c r="C289" i="5"/>
  <c r="Q288" i="5"/>
  <c r="P288" i="5"/>
  <c r="M288" i="5"/>
  <c r="L288" i="5"/>
  <c r="K288" i="5"/>
  <c r="I288" i="5"/>
  <c r="H288" i="5"/>
  <c r="G288" i="5"/>
  <c r="F288" i="5"/>
  <c r="D288" i="5"/>
  <c r="C288" i="5"/>
  <c r="Q287" i="5"/>
  <c r="P287" i="5"/>
  <c r="M287" i="5"/>
  <c r="L287" i="5"/>
  <c r="K287" i="5"/>
  <c r="I287" i="5"/>
  <c r="H287" i="5"/>
  <c r="G287" i="5"/>
  <c r="F287" i="5"/>
  <c r="D287" i="5"/>
  <c r="C287" i="5"/>
  <c r="Q286" i="5"/>
  <c r="P286" i="5"/>
  <c r="M286" i="5"/>
  <c r="L286" i="5"/>
  <c r="K286" i="5"/>
  <c r="I286" i="5"/>
  <c r="H286" i="5"/>
  <c r="G286" i="5"/>
  <c r="F286" i="5"/>
  <c r="D286" i="5"/>
  <c r="C286" i="5"/>
  <c r="Q285" i="5"/>
  <c r="P285" i="5"/>
  <c r="M285" i="5"/>
  <c r="L285" i="5"/>
  <c r="K285" i="5"/>
  <c r="I285" i="5"/>
  <c r="H285" i="5"/>
  <c r="G285" i="5"/>
  <c r="F285" i="5"/>
  <c r="D285" i="5"/>
  <c r="C285" i="5"/>
  <c r="Q284" i="5"/>
  <c r="P284" i="5"/>
  <c r="M284" i="5"/>
  <c r="L284" i="5"/>
  <c r="K284" i="5"/>
  <c r="I284" i="5"/>
  <c r="H284" i="5"/>
  <c r="G284" i="5"/>
  <c r="F284" i="5"/>
  <c r="D284" i="5"/>
  <c r="C284" i="5"/>
  <c r="Q283" i="5"/>
  <c r="P283" i="5"/>
  <c r="M283" i="5"/>
  <c r="L283" i="5"/>
  <c r="K283" i="5"/>
  <c r="I283" i="5"/>
  <c r="H283" i="5"/>
  <c r="G283" i="5"/>
  <c r="F283" i="5"/>
  <c r="D283" i="5"/>
  <c r="C283" i="5"/>
  <c r="Q282" i="5"/>
  <c r="P282" i="5"/>
  <c r="M282" i="5"/>
  <c r="L282" i="5"/>
  <c r="K282" i="5"/>
  <c r="I282" i="5"/>
  <c r="H282" i="5"/>
  <c r="G282" i="5"/>
  <c r="F282" i="5"/>
  <c r="D282" i="5"/>
  <c r="C282" i="5"/>
  <c r="Q281" i="5"/>
  <c r="P281" i="5"/>
  <c r="M281" i="5"/>
  <c r="L281" i="5"/>
  <c r="K281" i="5"/>
  <c r="I281" i="5"/>
  <c r="H281" i="5"/>
  <c r="G281" i="5"/>
  <c r="F281" i="5"/>
  <c r="D281" i="5"/>
  <c r="C281" i="5"/>
  <c r="Q280" i="5"/>
  <c r="P280" i="5"/>
  <c r="M280" i="5"/>
  <c r="L280" i="5"/>
  <c r="K280" i="5"/>
  <c r="I280" i="5"/>
  <c r="H280" i="5"/>
  <c r="G280" i="5"/>
  <c r="F280" i="5"/>
  <c r="D280" i="5"/>
  <c r="C280" i="5"/>
  <c r="Q279" i="5"/>
  <c r="P279" i="5"/>
  <c r="M279" i="5"/>
  <c r="L279" i="5"/>
  <c r="K279" i="5"/>
  <c r="I279" i="5"/>
  <c r="H279" i="5"/>
  <c r="G279" i="5"/>
  <c r="F279" i="5"/>
  <c r="D279" i="5"/>
  <c r="C279" i="5"/>
  <c r="Q278" i="5"/>
  <c r="P278" i="5"/>
  <c r="M278" i="5"/>
  <c r="L278" i="5"/>
  <c r="K278" i="5"/>
  <c r="I278" i="5"/>
  <c r="H278" i="5"/>
  <c r="G278" i="5"/>
  <c r="F278" i="5"/>
  <c r="D278" i="5"/>
  <c r="C278" i="5"/>
  <c r="Q277" i="5"/>
  <c r="P277" i="5"/>
  <c r="M277" i="5"/>
  <c r="L277" i="5"/>
  <c r="K277" i="5"/>
  <c r="I277" i="5"/>
  <c r="H277" i="5"/>
  <c r="G277" i="5"/>
  <c r="F277" i="5"/>
  <c r="D277" i="5"/>
  <c r="C277" i="5"/>
  <c r="Q276" i="5"/>
  <c r="P276" i="5"/>
  <c r="M276" i="5"/>
  <c r="L276" i="5"/>
  <c r="K276" i="5"/>
  <c r="I276" i="5"/>
  <c r="H276" i="5"/>
  <c r="G276" i="5"/>
  <c r="F276" i="5"/>
  <c r="D276" i="5"/>
  <c r="C276" i="5"/>
  <c r="Q275" i="5"/>
  <c r="P275" i="5"/>
  <c r="M275" i="5"/>
  <c r="L275" i="5"/>
  <c r="K275" i="5"/>
  <c r="I275" i="5"/>
  <c r="H275" i="5"/>
  <c r="G275" i="5"/>
  <c r="F275" i="5"/>
  <c r="D275" i="5"/>
  <c r="C275" i="5"/>
  <c r="Q274" i="5"/>
  <c r="P274" i="5"/>
  <c r="M274" i="5"/>
  <c r="L274" i="5"/>
  <c r="K274" i="5"/>
  <c r="I274" i="5"/>
  <c r="H274" i="5"/>
  <c r="G274" i="5"/>
  <c r="F274" i="5"/>
  <c r="D274" i="5"/>
  <c r="C274" i="5"/>
  <c r="Q273" i="5"/>
  <c r="P273" i="5"/>
  <c r="M273" i="5"/>
  <c r="L273" i="5"/>
  <c r="K273" i="5"/>
  <c r="I273" i="5"/>
  <c r="H273" i="5"/>
  <c r="G273" i="5"/>
  <c r="F273" i="5"/>
  <c r="D273" i="5"/>
  <c r="C273" i="5"/>
  <c r="Q272" i="5"/>
  <c r="P272" i="5"/>
  <c r="M272" i="5"/>
  <c r="L272" i="5"/>
  <c r="K272" i="5"/>
  <c r="I272" i="5"/>
  <c r="H272" i="5"/>
  <c r="G272" i="5"/>
  <c r="F272" i="5"/>
  <c r="D272" i="5"/>
  <c r="C272" i="5"/>
  <c r="Q271" i="5"/>
  <c r="P271" i="5"/>
  <c r="M271" i="5"/>
  <c r="L271" i="5"/>
  <c r="K271" i="5"/>
  <c r="I271" i="5"/>
  <c r="H271" i="5"/>
  <c r="G271" i="5"/>
  <c r="F271" i="5"/>
  <c r="D271" i="5"/>
  <c r="C271" i="5"/>
  <c r="Q270" i="5"/>
  <c r="P270" i="5"/>
  <c r="M270" i="5"/>
  <c r="L270" i="5"/>
  <c r="K270" i="5"/>
  <c r="I270" i="5"/>
  <c r="H270" i="5"/>
  <c r="G270" i="5"/>
  <c r="F270" i="5"/>
  <c r="D270" i="5"/>
  <c r="C270" i="5"/>
  <c r="Q269" i="5"/>
  <c r="P269" i="5"/>
  <c r="M269" i="5"/>
  <c r="L269" i="5"/>
  <c r="K269" i="5"/>
  <c r="I269" i="5"/>
  <c r="H269" i="5"/>
  <c r="G269" i="5"/>
  <c r="F269" i="5"/>
  <c r="D269" i="5"/>
  <c r="C269" i="5"/>
  <c r="Q268" i="5"/>
  <c r="P268" i="5"/>
  <c r="M268" i="5"/>
  <c r="L268" i="5"/>
  <c r="K268" i="5"/>
  <c r="I268" i="5"/>
  <c r="H268" i="5"/>
  <c r="G268" i="5"/>
  <c r="F268" i="5"/>
  <c r="D268" i="5"/>
  <c r="C268" i="5"/>
  <c r="Q267" i="5"/>
  <c r="P267" i="5"/>
  <c r="M267" i="5"/>
  <c r="L267" i="5"/>
  <c r="K267" i="5"/>
  <c r="I267" i="5"/>
  <c r="H267" i="5"/>
  <c r="G267" i="5"/>
  <c r="F267" i="5"/>
  <c r="D267" i="5"/>
  <c r="C267" i="5"/>
  <c r="Q266" i="5"/>
  <c r="P266" i="5"/>
  <c r="M266" i="5"/>
  <c r="L266" i="5"/>
  <c r="K266" i="5"/>
  <c r="I266" i="5"/>
  <c r="H266" i="5"/>
  <c r="G266" i="5"/>
  <c r="F266" i="5"/>
  <c r="D266" i="5"/>
  <c r="C266" i="5"/>
  <c r="Q265" i="5"/>
  <c r="P265" i="5"/>
  <c r="M265" i="5"/>
  <c r="L265" i="5"/>
  <c r="K265" i="5"/>
  <c r="I265" i="5"/>
  <c r="H265" i="5"/>
  <c r="G265" i="5"/>
  <c r="F265" i="5"/>
  <c r="D265" i="5"/>
  <c r="C265" i="5"/>
  <c r="Q264" i="5"/>
  <c r="P264" i="5"/>
  <c r="M264" i="5"/>
  <c r="L264" i="5"/>
  <c r="K264" i="5"/>
  <c r="I264" i="5"/>
  <c r="H264" i="5"/>
  <c r="G264" i="5"/>
  <c r="F264" i="5"/>
  <c r="D264" i="5"/>
  <c r="C264" i="5"/>
  <c r="Q263" i="5"/>
  <c r="P263" i="5"/>
  <c r="M263" i="5"/>
  <c r="L263" i="5"/>
  <c r="K263" i="5"/>
  <c r="I263" i="5"/>
  <c r="H263" i="5"/>
  <c r="G263" i="5"/>
  <c r="F263" i="5"/>
  <c r="D263" i="5"/>
  <c r="C263" i="5"/>
  <c r="Q262" i="5"/>
  <c r="P262" i="5"/>
  <c r="M262" i="5"/>
  <c r="L262" i="5"/>
  <c r="K262" i="5"/>
  <c r="I262" i="5"/>
  <c r="H262" i="5"/>
  <c r="G262" i="5"/>
  <c r="F262" i="5"/>
  <c r="D262" i="5"/>
  <c r="C262" i="5"/>
  <c r="Q261" i="5"/>
  <c r="P261" i="5"/>
  <c r="M261" i="5"/>
  <c r="L261" i="5"/>
  <c r="K261" i="5"/>
  <c r="I261" i="5"/>
  <c r="H261" i="5"/>
  <c r="G261" i="5"/>
  <c r="F261" i="5"/>
  <c r="D261" i="5"/>
  <c r="C261" i="5"/>
  <c r="Q260" i="5"/>
  <c r="P260" i="5"/>
  <c r="M260" i="5"/>
  <c r="L260" i="5"/>
  <c r="K260" i="5"/>
  <c r="I260" i="5"/>
  <c r="H260" i="5"/>
  <c r="G260" i="5"/>
  <c r="F260" i="5"/>
  <c r="D260" i="5"/>
  <c r="C260" i="5"/>
  <c r="Q259" i="5"/>
  <c r="P259" i="5"/>
  <c r="M259" i="5"/>
  <c r="L259" i="5"/>
  <c r="K259" i="5"/>
  <c r="I259" i="5"/>
  <c r="H259" i="5"/>
  <c r="G259" i="5"/>
  <c r="F259" i="5"/>
  <c r="D259" i="5"/>
  <c r="C259" i="5"/>
  <c r="Q258" i="5"/>
  <c r="P258" i="5"/>
  <c r="M258" i="5"/>
  <c r="L258" i="5"/>
  <c r="K258" i="5"/>
  <c r="I258" i="5"/>
  <c r="H258" i="5"/>
  <c r="G258" i="5"/>
  <c r="F258" i="5"/>
  <c r="D258" i="5"/>
  <c r="C258" i="5"/>
  <c r="Q257" i="5"/>
  <c r="P257" i="5"/>
  <c r="M257" i="5"/>
  <c r="L257" i="5"/>
  <c r="K257" i="5"/>
  <c r="I257" i="5"/>
  <c r="H257" i="5"/>
  <c r="G257" i="5"/>
  <c r="F257" i="5"/>
  <c r="D257" i="5"/>
  <c r="C257" i="5"/>
  <c r="Q256" i="5"/>
  <c r="P256" i="5"/>
  <c r="M256" i="5"/>
  <c r="L256" i="5"/>
  <c r="K256" i="5"/>
  <c r="I256" i="5"/>
  <c r="H256" i="5"/>
  <c r="G256" i="5"/>
  <c r="F256" i="5"/>
  <c r="D256" i="5"/>
  <c r="C256" i="5"/>
  <c r="Q255" i="5"/>
  <c r="P255" i="5"/>
  <c r="M255" i="5"/>
  <c r="L255" i="5"/>
  <c r="K255" i="5"/>
  <c r="I255" i="5"/>
  <c r="H255" i="5"/>
  <c r="G255" i="5"/>
  <c r="F255" i="5"/>
  <c r="D255" i="5"/>
  <c r="C255" i="5"/>
  <c r="Q254" i="5"/>
  <c r="P254" i="5"/>
  <c r="M254" i="5"/>
  <c r="L254" i="5"/>
  <c r="K254" i="5"/>
  <c r="I254" i="5"/>
  <c r="H254" i="5"/>
  <c r="G254" i="5"/>
  <c r="F254" i="5"/>
  <c r="D254" i="5"/>
  <c r="C254" i="5"/>
  <c r="Q253" i="5"/>
  <c r="P253" i="5"/>
  <c r="M253" i="5"/>
  <c r="L253" i="5"/>
  <c r="K253" i="5"/>
  <c r="I253" i="5"/>
  <c r="H253" i="5"/>
  <c r="G253" i="5"/>
  <c r="F253" i="5"/>
  <c r="D253" i="5"/>
  <c r="C253" i="5"/>
  <c r="Q252" i="5"/>
  <c r="P252" i="5"/>
  <c r="M252" i="5"/>
  <c r="L252" i="5"/>
  <c r="K252" i="5"/>
  <c r="I252" i="5"/>
  <c r="H252" i="5"/>
  <c r="G252" i="5"/>
  <c r="F252" i="5"/>
  <c r="D252" i="5"/>
  <c r="C252" i="5"/>
  <c r="Q251" i="5"/>
  <c r="P251" i="5"/>
  <c r="M251" i="5"/>
  <c r="L251" i="5"/>
  <c r="K251" i="5"/>
  <c r="I251" i="5"/>
  <c r="H251" i="5"/>
  <c r="G251" i="5"/>
  <c r="F251" i="5"/>
  <c r="D251" i="5"/>
  <c r="C251" i="5"/>
  <c r="Q250" i="5"/>
  <c r="P250" i="5"/>
  <c r="M250" i="5"/>
  <c r="L250" i="5"/>
  <c r="K250" i="5"/>
  <c r="I250" i="5"/>
  <c r="H250" i="5"/>
  <c r="G250" i="5"/>
  <c r="F250" i="5"/>
  <c r="D250" i="5"/>
  <c r="C250" i="5"/>
  <c r="Q249" i="5"/>
  <c r="P249" i="5"/>
  <c r="M249" i="5"/>
  <c r="L249" i="5"/>
  <c r="K249" i="5"/>
  <c r="I249" i="5"/>
  <c r="H249" i="5"/>
  <c r="G249" i="5"/>
  <c r="F249" i="5"/>
  <c r="D249" i="5"/>
  <c r="C249" i="5"/>
  <c r="Q248" i="5"/>
  <c r="P248" i="5"/>
  <c r="M248" i="5"/>
  <c r="L248" i="5"/>
  <c r="K248" i="5"/>
  <c r="I248" i="5"/>
  <c r="H248" i="5"/>
  <c r="G248" i="5"/>
  <c r="F248" i="5"/>
  <c r="D248" i="5"/>
  <c r="C248" i="5"/>
  <c r="Q247" i="5"/>
  <c r="P247" i="5"/>
  <c r="M247" i="5"/>
  <c r="L247" i="5"/>
  <c r="K247" i="5"/>
  <c r="I247" i="5"/>
  <c r="H247" i="5"/>
  <c r="G247" i="5"/>
  <c r="F247" i="5"/>
  <c r="D247" i="5"/>
  <c r="C247" i="5"/>
  <c r="Q246" i="5"/>
  <c r="P246" i="5"/>
  <c r="M246" i="5"/>
  <c r="L246" i="5"/>
  <c r="K246" i="5"/>
  <c r="I246" i="5"/>
  <c r="H246" i="5"/>
  <c r="G246" i="5"/>
  <c r="F246" i="5"/>
  <c r="D246" i="5"/>
  <c r="C246" i="5"/>
  <c r="Q245" i="5"/>
  <c r="P245" i="5"/>
  <c r="M245" i="5"/>
  <c r="L245" i="5"/>
  <c r="K245" i="5"/>
  <c r="I245" i="5"/>
  <c r="H245" i="5"/>
  <c r="G245" i="5"/>
  <c r="F245" i="5"/>
  <c r="D245" i="5"/>
  <c r="C245" i="5"/>
  <c r="Q244" i="5"/>
  <c r="P244" i="5"/>
  <c r="M244" i="5"/>
  <c r="L244" i="5"/>
  <c r="K244" i="5"/>
  <c r="I244" i="5"/>
  <c r="H244" i="5"/>
  <c r="G244" i="5"/>
  <c r="F244" i="5"/>
  <c r="D244" i="5"/>
  <c r="C244" i="5"/>
  <c r="Q243" i="5"/>
  <c r="P243" i="5"/>
  <c r="M243" i="5"/>
  <c r="L243" i="5"/>
  <c r="K243" i="5"/>
  <c r="I243" i="5"/>
  <c r="H243" i="5"/>
  <c r="G243" i="5"/>
  <c r="F243" i="5"/>
  <c r="D243" i="5"/>
  <c r="C243" i="5"/>
  <c r="Q242" i="5"/>
  <c r="P242" i="5"/>
  <c r="M242" i="5"/>
  <c r="L242" i="5"/>
  <c r="K242" i="5"/>
  <c r="I242" i="5"/>
  <c r="H242" i="5"/>
  <c r="G242" i="5"/>
  <c r="F242" i="5"/>
  <c r="D242" i="5"/>
  <c r="C242" i="5"/>
  <c r="Q241" i="5"/>
  <c r="P241" i="5"/>
  <c r="M241" i="5"/>
  <c r="L241" i="5"/>
  <c r="K241" i="5"/>
  <c r="I241" i="5"/>
  <c r="H241" i="5"/>
  <c r="G241" i="5"/>
  <c r="F241" i="5"/>
  <c r="D241" i="5"/>
  <c r="C241" i="5"/>
  <c r="Q240" i="5"/>
  <c r="P240" i="5"/>
  <c r="M240" i="5"/>
  <c r="L240" i="5"/>
  <c r="K240" i="5"/>
  <c r="I240" i="5"/>
  <c r="H240" i="5"/>
  <c r="G240" i="5"/>
  <c r="F240" i="5"/>
  <c r="D240" i="5"/>
  <c r="C240" i="5"/>
  <c r="Q239" i="5"/>
  <c r="P239" i="5"/>
  <c r="M239" i="5"/>
  <c r="L239" i="5"/>
  <c r="K239" i="5"/>
  <c r="I239" i="5"/>
  <c r="H239" i="5"/>
  <c r="G239" i="5"/>
  <c r="F239" i="5"/>
  <c r="D239" i="5"/>
  <c r="C239" i="5"/>
  <c r="Q238" i="5"/>
  <c r="P238" i="5"/>
  <c r="M238" i="5"/>
  <c r="L238" i="5"/>
  <c r="K238" i="5"/>
  <c r="I238" i="5"/>
  <c r="H238" i="5"/>
  <c r="G238" i="5"/>
  <c r="F238" i="5"/>
  <c r="D238" i="5"/>
  <c r="C238" i="5"/>
  <c r="Q237" i="5"/>
  <c r="P237" i="5"/>
  <c r="M237" i="5"/>
  <c r="L237" i="5"/>
  <c r="K237" i="5"/>
  <c r="I237" i="5"/>
  <c r="H237" i="5"/>
  <c r="G237" i="5"/>
  <c r="F237" i="5"/>
  <c r="D237" i="5"/>
  <c r="C237" i="5"/>
  <c r="Q236" i="5"/>
  <c r="P236" i="5"/>
  <c r="M236" i="5"/>
  <c r="L236" i="5"/>
  <c r="K236" i="5"/>
  <c r="I236" i="5"/>
  <c r="H236" i="5"/>
  <c r="G236" i="5"/>
  <c r="F236" i="5"/>
  <c r="D236" i="5"/>
  <c r="C236" i="5"/>
  <c r="Q235" i="5"/>
  <c r="P235" i="5"/>
  <c r="M235" i="5"/>
  <c r="L235" i="5"/>
  <c r="K235" i="5"/>
  <c r="I235" i="5"/>
  <c r="H235" i="5"/>
  <c r="G235" i="5"/>
  <c r="F235" i="5"/>
  <c r="D235" i="5"/>
  <c r="C235" i="5"/>
  <c r="Q234" i="5"/>
  <c r="P234" i="5"/>
  <c r="M234" i="5"/>
  <c r="L234" i="5"/>
  <c r="K234" i="5"/>
  <c r="I234" i="5"/>
  <c r="H234" i="5"/>
  <c r="G234" i="5"/>
  <c r="F234" i="5"/>
  <c r="D234" i="5"/>
  <c r="C234" i="5"/>
  <c r="Q233" i="5"/>
  <c r="P233" i="5"/>
  <c r="M233" i="5"/>
  <c r="L233" i="5"/>
  <c r="K233" i="5"/>
  <c r="I233" i="5"/>
  <c r="H233" i="5"/>
  <c r="G233" i="5"/>
  <c r="F233" i="5"/>
  <c r="D233" i="5"/>
  <c r="C233" i="5"/>
  <c r="Q232" i="5"/>
  <c r="P232" i="5"/>
  <c r="M232" i="5"/>
  <c r="L232" i="5"/>
  <c r="K232" i="5"/>
  <c r="I232" i="5"/>
  <c r="H232" i="5"/>
  <c r="G232" i="5"/>
  <c r="F232" i="5"/>
  <c r="D232" i="5"/>
  <c r="C232" i="5"/>
  <c r="Q231" i="5"/>
  <c r="P231" i="5"/>
  <c r="M231" i="5"/>
  <c r="L231" i="5"/>
  <c r="K231" i="5"/>
  <c r="I231" i="5"/>
  <c r="H231" i="5"/>
  <c r="G231" i="5"/>
  <c r="F231" i="5"/>
  <c r="D231" i="5"/>
  <c r="C231" i="5"/>
  <c r="Q230" i="5"/>
  <c r="P230" i="5"/>
  <c r="M230" i="5"/>
  <c r="L230" i="5"/>
  <c r="K230" i="5"/>
  <c r="I230" i="5"/>
  <c r="H230" i="5"/>
  <c r="G230" i="5"/>
  <c r="F230" i="5"/>
  <c r="D230" i="5"/>
  <c r="C230" i="5"/>
  <c r="Q229" i="5"/>
  <c r="P229" i="5"/>
  <c r="M229" i="5"/>
  <c r="L229" i="5"/>
  <c r="K229" i="5"/>
  <c r="I229" i="5"/>
  <c r="H229" i="5"/>
  <c r="G229" i="5"/>
  <c r="F229" i="5"/>
  <c r="D229" i="5"/>
  <c r="C229" i="5"/>
  <c r="Q228" i="5"/>
  <c r="P228" i="5"/>
  <c r="M228" i="5"/>
  <c r="L228" i="5"/>
  <c r="K228" i="5"/>
  <c r="I228" i="5"/>
  <c r="H228" i="5"/>
  <c r="G228" i="5"/>
  <c r="F228" i="5"/>
  <c r="D228" i="5"/>
  <c r="C228" i="5"/>
  <c r="Q227" i="5"/>
  <c r="P227" i="5"/>
  <c r="M227" i="5"/>
  <c r="L227" i="5"/>
  <c r="K227" i="5"/>
  <c r="I227" i="5"/>
  <c r="H227" i="5"/>
  <c r="G227" i="5"/>
  <c r="F227" i="5"/>
  <c r="D227" i="5"/>
  <c r="C227" i="5"/>
  <c r="Q226" i="5"/>
  <c r="P226" i="5"/>
  <c r="M226" i="5"/>
  <c r="L226" i="5"/>
  <c r="K226" i="5"/>
  <c r="I226" i="5"/>
  <c r="H226" i="5"/>
  <c r="G226" i="5"/>
  <c r="F226" i="5"/>
  <c r="D226" i="5"/>
  <c r="C226" i="5"/>
  <c r="Q225" i="5"/>
  <c r="P225" i="5"/>
  <c r="M225" i="5"/>
  <c r="L225" i="5"/>
  <c r="K225" i="5"/>
  <c r="I225" i="5"/>
  <c r="H225" i="5"/>
  <c r="G225" i="5"/>
  <c r="F225" i="5"/>
  <c r="D225" i="5"/>
  <c r="C225" i="5"/>
  <c r="Q224" i="5"/>
  <c r="P224" i="5"/>
  <c r="M224" i="5"/>
  <c r="L224" i="5"/>
  <c r="K224" i="5"/>
  <c r="I224" i="5"/>
  <c r="H224" i="5"/>
  <c r="G224" i="5"/>
  <c r="F224" i="5"/>
  <c r="D224" i="5"/>
  <c r="C224" i="5"/>
  <c r="Q223" i="5"/>
  <c r="P223" i="5"/>
  <c r="M223" i="5"/>
  <c r="L223" i="5"/>
  <c r="K223" i="5"/>
  <c r="I223" i="5"/>
  <c r="H223" i="5"/>
  <c r="G223" i="5"/>
  <c r="F223" i="5"/>
  <c r="D223" i="5"/>
  <c r="C223" i="5"/>
  <c r="Q222" i="5"/>
  <c r="P222" i="5"/>
  <c r="M222" i="5"/>
  <c r="L222" i="5"/>
  <c r="K222" i="5"/>
  <c r="I222" i="5"/>
  <c r="H222" i="5"/>
  <c r="G222" i="5"/>
  <c r="F222" i="5"/>
  <c r="D222" i="5"/>
  <c r="C222" i="5"/>
  <c r="Q221" i="5"/>
  <c r="P221" i="5"/>
  <c r="M221" i="5"/>
  <c r="L221" i="5"/>
  <c r="K221" i="5"/>
  <c r="I221" i="5"/>
  <c r="H221" i="5"/>
  <c r="G221" i="5"/>
  <c r="F221" i="5"/>
  <c r="D221" i="5"/>
  <c r="C221" i="5"/>
  <c r="Q220" i="5"/>
  <c r="P220" i="5"/>
  <c r="M220" i="5"/>
  <c r="L220" i="5"/>
  <c r="K220" i="5"/>
  <c r="I220" i="5"/>
  <c r="H220" i="5"/>
  <c r="G220" i="5"/>
  <c r="F220" i="5"/>
  <c r="D220" i="5"/>
  <c r="C220" i="5"/>
  <c r="Q219" i="5"/>
  <c r="P219" i="5"/>
  <c r="M219" i="5"/>
  <c r="L219" i="5"/>
  <c r="K219" i="5"/>
  <c r="I219" i="5"/>
  <c r="H219" i="5"/>
  <c r="G219" i="5"/>
  <c r="F219" i="5"/>
  <c r="D219" i="5"/>
  <c r="C219" i="5"/>
  <c r="Q218" i="5"/>
  <c r="P218" i="5"/>
  <c r="M218" i="5"/>
  <c r="L218" i="5"/>
  <c r="K218" i="5"/>
  <c r="I218" i="5"/>
  <c r="H218" i="5"/>
  <c r="G218" i="5"/>
  <c r="F218" i="5"/>
  <c r="D218" i="5"/>
  <c r="C218" i="5"/>
  <c r="Q217" i="5"/>
  <c r="P217" i="5"/>
  <c r="M217" i="5"/>
  <c r="L217" i="5"/>
  <c r="K217" i="5"/>
  <c r="I217" i="5"/>
  <c r="H217" i="5"/>
  <c r="G217" i="5"/>
  <c r="F217" i="5"/>
  <c r="D217" i="5"/>
  <c r="C217" i="5"/>
  <c r="Q216" i="5"/>
  <c r="P216" i="5"/>
  <c r="M216" i="5"/>
  <c r="L216" i="5"/>
  <c r="K216" i="5"/>
  <c r="I216" i="5"/>
  <c r="H216" i="5"/>
  <c r="G216" i="5"/>
  <c r="F216" i="5"/>
  <c r="D216" i="5"/>
  <c r="C216" i="5"/>
  <c r="Q215" i="5"/>
  <c r="P215" i="5"/>
  <c r="M215" i="5"/>
  <c r="L215" i="5"/>
  <c r="K215" i="5"/>
  <c r="I215" i="5"/>
  <c r="H215" i="5"/>
  <c r="G215" i="5"/>
  <c r="F215" i="5"/>
  <c r="D215" i="5"/>
  <c r="C215" i="5"/>
  <c r="Q214" i="5"/>
  <c r="P214" i="5"/>
  <c r="M214" i="5"/>
  <c r="L214" i="5"/>
  <c r="K214" i="5"/>
  <c r="I214" i="5"/>
  <c r="H214" i="5"/>
  <c r="G214" i="5"/>
  <c r="F214" i="5"/>
  <c r="D214" i="5"/>
  <c r="C214" i="5"/>
  <c r="Q213" i="5"/>
  <c r="P213" i="5"/>
  <c r="M213" i="5"/>
  <c r="L213" i="5"/>
  <c r="K213" i="5"/>
  <c r="I213" i="5"/>
  <c r="H213" i="5"/>
  <c r="G213" i="5"/>
  <c r="F213" i="5"/>
  <c r="D213" i="5"/>
  <c r="C213" i="5"/>
  <c r="Q212" i="5"/>
  <c r="P212" i="5"/>
  <c r="M212" i="5"/>
  <c r="L212" i="5"/>
  <c r="K212" i="5"/>
  <c r="I212" i="5"/>
  <c r="H212" i="5"/>
  <c r="G212" i="5"/>
  <c r="F212" i="5"/>
  <c r="D212" i="5"/>
  <c r="C212" i="5"/>
  <c r="Q211" i="5"/>
  <c r="P211" i="5"/>
  <c r="M211" i="5"/>
  <c r="L211" i="5"/>
  <c r="K211" i="5"/>
  <c r="I211" i="5"/>
  <c r="H211" i="5"/>
  <c r="G211" i="5"/>
  <c r="F211" i="5"/>
  <c r="D211" i="5"/>
  <c r="C211" i="5"/>
  <c r="Q210" i="5"/>
  <c r="P210" i="5"/>
  <c r="M210" i="5"/>
  <c r="L210" i="5"/>
  <c r="K210" i="5"/>
  <c r="I210" i="5"/>
  <c r="H210" i="5"/>
  <c r="G210" i="5"/>
  <c r="F210" i="5"/>
  <c r="D210" i="5"/>
  <c r="C210" i="5"/>
  <c r="Q209" i="5"/>
  <c r="P209" i="5"/>
  <c r="M209" i="5"/>
  <c r="L209" i="5"/>
  <c r="K209" i="5"/>
  <c r="I209" i="5"/>
  <c r="H209" i="5"/>
  <c r="G209" i="5"/>
  <c r="F209" i="5"/>
  <c r="D209" i="5"/>
  <c r="C209" i="5"/>
  <c r="Q208" i="5"/>
  <c r="P208" i="5"/>
  <c r="M208" i="5"/>
  <c r="L208" i="5"/>
  <c r="K208" i="5"/>
  <c r="I208" i="5"/>
  <c r="H208" i="5"/>
  <c r="G208" i="5"/>
  <c r="F208" i="5"/>
  <c r="D208" i="5"/>
  <c r="C208" i="5"/>
  <c r="Q207" i="5"/>
  <c r="P207" i="5"/>
  <c r="M207" i="5"/>
  <c r="L207" i="5"/>
  <c r="K207" i="5"/>
  <c r="I207" i="5"/>
  <c r="H207" i="5"/>
  <c r="G207" i="5"/>
  <c r="F207" i="5"/>
  <c r="D207" i="5"/>
  <c r="C207" i="5"/>
  <c r="Q206" i="5"/>
  <c r="P206" i="5"/>
  <c r="M206" i="5"/>
  <c r="L206" i="5"/>
  <c r="K206" i="5"/>
  <c r="I206" i="5"/>
  <c r="H206" i="5"/>
  <c r="G206" i="5"/>
  <c r="F206" i="5"/>
  <c r="D206" i="5"/>
  <c r="C206" i="5"/>
  <c r="Q205" i="5"/>
  <c r="P205" i="5"/>
  <c r="M205" i="5"/>
  <c r="L205" i="5"/>
  <c r="K205" i="5"/>
  <c r="I205" i="5"/>
  <c r="H205" i="5"/>
  <c r="G205" i="5"/>
  <c r="F205" i="5"/>
  <c r="D205" i="5"/>
  <c r="C205" i="5"/>
  <c r="Q204" i="5"/>
  <c r="P204" i="5"/>
  <c r="M204" i="5"/>
  <c r="L204" i="5"/>
  <c r="K204" i="5"/>
  <c r="I204" i="5"/>
  <c r="H204" i="5"/>
  <c r="G204" i="5"/>
  <c r="F204" i="5"/>
  <c r="D204" i="5"/>
  <c r="C204" i="5"/>
  <c r="Q203" i="5"/>
  <c r="P203" i="5"/>
  <c r="M203" i="5"/>
  <c r="L203" i="5"/>
  <c r="K203" i="5"/>
  <c r="I203" i="5"/>
  <c r="H203" i="5"/>
  <c r="G203" i="5"/>
  <c r="F203" i="5"/>
  <c r="D203" i="5"/>
  <c r="C203" i="5"/>
  <c r="Q202" i="5"/>
  <c r="P202" i="5"/>
  <c r="M202" i="5"/>
  <c r="L202" i="5"/>
  <c r="K202" i="5"/>
  <c r="I202" i="5"/>
  <c r="H202" i="5"/>
  <c r="G202" i="5"/>
  <c r="F202" i="5"/>
  <c r="D202" i="5"/>
  <c r="C202" i="5"/>
  <c r="Q201" i="5"/>
  <c r="P201" i="5"/>
  <c r="M201" i="5"/>
  <c r="L201" i="5"/>
  <c r="K201" i="5"/>
  <c r="I201" i="5"/>
  <c r="H201" i="5"/>
  <c r="G201" i="5"/>
  <c r="F201" i="5"/>
  <c r="D201" i="5"/>
  <c r="C201" i="5"/>
  <c r="Q200" i="5"/>
  <c r="P200" i="5"/>
  <c r="M200" i="5"/>
  <c r="L200" i="5"/>
  <c r="K200" i="5"/>
  <c r="I200" i="5"/>
  <c r="H200" i="5"/>
  <c r="G200" i="5"/>
  <c r="F200" i="5"/>
  <c r="D200" i="5"/>
  <c r="C200" i="5"/>
  <c r="Q199" i="5"/>
  <c r="P199" i="5"/>
  <c r="M199" i="5"/>
  <c r="L199" i="5"/>
  <c r="K199" i="5"/>
  <c r="I199" i="5"/>
  <c r="H199" i="5"/>
  <c r="G199" i="5"/>
  <c r="F199" i="5"/>
  <c r="D199" i="5"/>
  <c r="C199" i="5"/>
  <c r="Q198" i="5"/>
  <c r="P198" i="5"/>
  <c r="M198" i="5"/>
  <c r="L198" i="5"/>
  <c r="K198" i="5"/>
  <c r="I198" i="5"/>
  <c r="H198" i="5"/>
  <c r="G198" i="5"/>
  <c r="F198" i="5"/>
  <c r="D198" i="5"/>
  <c r="C198" i="5"/>
  <c r="Q197" i="5"/>
  <c r="P197" i="5"/>
  <c r="M197" i="5"/>
  <c r="L197" i="5"/>
  <c r="K197" i="5"/>
  <c r="I197" i="5"/>
  <c r="H197" i="5"/>
  <c r="G197" i="5"/>
  <c r="F197" i="5"/>
  <c r="D197" i="5"/>
  <c r="C197" i="5"/>
  <c r="Q196" i="5"/>
  <c r="P196" i="5"/>
  <c r="M196" i="5"/>
  <c r="L196" i="5"/>
  <c r="K196" i="5"/>
  <c r="I196" i="5"/>
  <c r="H196" i="5"/>
  <c r="G196" i="5"/>
  <c r="F196" i="5"/>
  <c r="D196" i="5"/>
  <c r="C196" i="5"/>
  <c r="Q195" i="5"/>
  <c r="P195" i="5"/>
  <c r="M195" i="5"/>
  <c r="L195" i="5"/>
  <c r="K195" i="5"/>
  <c r="I195" i="5"/>
  <c r="H195" i="5"/>
  <c r="G195" i="5"/>
  <c r="F195" i="5"/>
  <c r="D195" i="5"/>
  <c r="C195" i="5"/>
  <c r="Q194" i="5"/>
  <c r="P194" i="5"/>
  <c r="M194" i="5"/>
  <c r="L194" i="5"/>
  <c r="K194" i="5"/>
  <c r="I194" i="5"/>
  <c r="H194" i="5"/>
  <c r="G194" i="5"/>
  <c r="F194" i="5"/>
  <c r="D194" i="5"/>
  <c r="C194" i="5"/>
  <c r="Q193" i="5"/>
  <c r="P193" i="5"/>
  <c r="M193" i="5"/>
  <c r="L193" i="5"/>
  <c r="K193" i="5"/>
  <c r="I193" i="5"/>
  <c r="H193" i="5"/>
  <c r="G193" i="5"/>
  <c r="F193" i="5"/>
  <c r="D193" i="5"/>
  <c r="C193" i="5"/>
  <c r="Q192" i="5"/>
  <c r="P192" i="5"/>
  <c r="M192" i="5"/>
  <c r="L192" i="5"/>
  <c r="K192" i="5"/>
  <c r="I192" i="5"/>
  <c r="H192" i="5"/>
  <c r="G192" i="5"/>
  <c r="F192" i="5"/>
  <c r="D192" i="5"/>
  <c r="C192" i="5"/>
  <c r="Q191" i="5"/>
  <c r="P191" i="5"/>
  <c r="M191" i="5"/>
  <c r="L191" i="5"/>
  <c r="K191" i="5"/>
  <c r="I191" i="5"/>
  <c r="H191" i="5"/>
  <c r="G191" i="5"/>
  <c r="F191" i="5"/>
  <c r="D191" i="5"/>
  <c r="C191" i="5"/>
  <c r="Q190" i="5"/>
  <c r="P190" i="5"/>
  <c r="M190" i="5"/>
  <c r="L190" i="5"/>
  <c r="K190" i="5"/>
  <c r="I190" i="5"/>
  <c r="H190" i="5"/>
  <c r="G190" i="5"/>
  <c r="F190" i="5"/>
  <c r="D190" i="5"/>
  <c r="C190" i="5"/>
  <c r="Q189" i="5"/>
  <c r="P189" i="5"/>
  <c r="M189" i="5"/>
  <c r="L189" i="5"/>
  <c r="K189" i="5"/>
  <c r="I189" i="5"/>
  <c r="H189" i="5"/>
  <c r="G189" i="5"/>
  <c r="F189" i="5"/>
  <c r="D189" i="5"/>
  <c r="C189" i="5"/>
  <c r="Q188" i="5"/>
  <c r="P188" i="5"/>
  <c r="M188" i="5"/>
  <c r="L188" i="5"/>
  <c r="K188" i="5"/>
  <c r="I188" i="5"/>
  <c r="H188" i="5"/>
  <c r="G188" i="5"/>
  <c r="F188" i="5"/>
  <c r="D188" i="5"/>
  <c r="C188" i="5"/>
  <c r="Q187" i="5"/>
  <c r="P187" i="5"/>
  <c r="M187" i="5"/>
  <c r="L187" i="5"/>
  <c r="K187" i="5"/>
  <c r="I187" i="5"/>
  <c r="H187" i="5"/>
  <c r="G187" i="5"/>
  <c r="F187" i="5"/>
  <c r="D187" i="5"/>
  <c r="C187" i="5"/>
  <c r="Q186" i="5"/>
  <c r="P186" i="5"/>
  <c r="M186" i="5"/>
  <c r="L186" i="5"/>
  <c r="K186" i="5"/>
  <c r="I186" i="5"/>
  <c r="H186" i="5"/>
  <c r="G186" i="5"/>
  <c r="F186" i="5"/>
  <c r="D186" i="5"/>
  <c r="C186" i="5"/>
  <c r="Q185" i="5"/>
  <c r="P185" i="5"/>
  <c r="M185" i="5"/>
  <c r="L185" i="5"/>
  <c r="K185" i="5"/>
  <c r="I185" i="5"/>
  <c r="H185" i="5"/>
  <c r="G185" i="5"/>
  <c r="F185" i="5"/>
  <c r="D185" i="5"/>
  <c r="C185" i="5"/>
  <c r="Q184" i="5"/>
  <c r="P184" i="5"/>
  <c r="M184" i="5"/>
  <c r="L184" i="5"/>
  <c r="K184" i="5"/>
  <c r="I184" i="5"/>
  <c r="H184" i="5"/>
  <c r="G184" i="5"/>
  <c r="F184" i="5"/>
  <c r="D184" i="5"/>
  <c r="C184" i="5"/>
  <c r="Q183" i="5"/>
  <c r="P183" i="5"/>
  <c r="M183" i="5"/>
  <c r="L183" i="5"/>
  <c r="K183" i="5"/>
  <c r="I183" i="5"/>
  <c r="H183" i="5"/>
  <c r="G183" i="5"/>
  <c r="F183" i="5"/>
  <c r="D183" i="5"/>
  <c r="C183" i="5"/>
  <c r="Q182" i="5"/>
  <c r="P182" i="5"/>
  <c r="M182" i="5"/>
  <c r="L182" i="5"/>
  <c r="K182" i="5"/>
  <c r="I182" i="5"/>
  <c r="H182" i="5"/>
  <c r="G182" i="5"/>
  <c r="F182" i="5"/>
  <c r="D182" i="5"/>
  <c r="C182" i="5"/>
  <c r="Q181" i="5"/>
  <c r="P181" i="5"/>
  <c r="M181" i="5"/>
  <c r="L181" i="5"/>
  <c r="K181" i="5"/>
  <c r="I181" i="5"/>
  <c r="H181" i="5"/>
  <c r="G181" i="5"/>
  <c r="F181" i="5"/>
  <c r="D181" i="5"/>
  <c r="C181" i="5"/>
  <c r="Q180" i="5"/>
  <c r="P180" i="5"/>
  <c r="M180" i="5"/>
  <c r="L180" i="5"/>
  <c r="K180" i="5"/>
  <c r="I180" i="5"/>
  <c r="H180" i="5"/>
  <c r="G180" i="5"/>
  <c r="F180" i="5"/>
  <c r="D180" i="5"/>
  <c r="C180" i="5"/>
  <c r="Q179" i="5"/>
  <c r="P179" i="5"/>
  <c r="M179" i="5"/>
  <c r="L179" i="5"/>
  <c r="K179" i="5"/>
  <c r="I179" i="5"/>
  <c r="H179" i="5"/>
  <c r="G179" i="5"/>
  <c r="F179" i="5"/>
  <c r="D179" i="5"/>
  <c r="C179" i="5"/>
  <c r="Q178" i="5"/>
  <c r="P178" i="5"/>
  <c r="M178" i="5"/>
  <c r="L178" i="5"/>
  <c r="K178" i="5"/>
  <c r="I178" i="5"/>
  <c r="H178" i="5"/>
  <c r="G178" i="5"/>
  <c r="F178" i="5"/>
  <c r="D178" i="5"/>
  <c r="C178" i="5"/>
  <c r="Q177" i="5"/>
  <c r="P177" i="5"/>
  <c r="M177" i="5"/>
  <c r="L177" i="5"/>
  <c r="K177" i="5"/>
  <c r="I177" i="5"/>
  <c r="H177" i="5"/>
  <c r="G177" i="5"/>
  <c r="F177" i="5"/>
  <c r="D177" i="5"/>
  <c r="C177" i="5"/>
  <c r="Q176" i="5"/>
  <c r="P176" i="5"/>
  <c r="M176" i="5"/>
  <c r="L176" i="5"/>
  <c r="K176" i="5"/>
  <c r="I176" i="5"/>
  <c r="H176" i="5"/>
  <c r="G176" i="5"/>
  <c r="F176" i="5"/>
  <c r="D176" i="5"/>
  <c r="C176" i="5"/>
  <c r="Q175" i="5"/>
  <c r="P175" i="5"/>
  <c r="M175" i="5"/>
  <c r="L175" i="5"/>
  <c r="K175" i="5"/>
  <c r="I175" i="5"/>
  <c r="H175" i="5"/>
  <c r="G175" i="5"/>
  <c r="F175" i="5"/>
  <c r="D175" i="5"/>
  <c r="C175" i="5"/>
  <c r="Q174" i="5"/>
  <c r="P174" i="5"/>
  <c r="M174" i="5"/>
  <c r="L174" i="5"/>
  <c r="K174" i="5"/>
  <c r="I174" i="5"/>
  <c r="H174" i="5"/>
  <c r="G174" i="5"/>
  <c r="F174" i="5"/>
  <c r="D174" i="5"/>
  <c r="C174" i="5"/>
  <c r="Q173" i="5"/>
  <c r="P173" i="5"/>
  <c r="M173" i="5"/>
  <c r="L173" i="5"/>
  <c r="K173" i="5"/>
  <c r="I173" i="5"/>
  <c r="H173" i="5"/>
  <c r="G173" i="5"/>
  <c r="F173" i="5"/>
  <c r="D173" i="5"/>
  <c r="C173" i="5"/>
  <c r="Q172" i="5"/>
  <c r="P172" i="5"/>
  <c r="M172" i="5"/>
  <c r="L172" i="5"/>
  <c r="K172" i="5"/>
  <c r="I172" i="5"/>
  <c r="H172" i="5"/>
  <c r="G172" i="5"/>
  <c r="F172" i="5"/>
  <c r="D172" i="5"/>
  <c r="C172" i="5"/>
  <c r="Q171" i="5"/>
  <c r="P171" i="5"/>
  <c r="M171" i="5"/>
  <c r="L171" i="5"/>
  <c r="K171" i="5"/>
  <c r="I171" i="5"/>
  <c r="H171" i="5"/>
  <c r="G171" i="5"/>
  <c r="F171" i="5"/>
  <c r="D171" i="5"/>
  <c r="C171" i="5"/>
  <c r="Q170" i="5"/>
  <c r="P170" i="5"/>
  <c r="M170" i="5"/>
  <c r="L170" i="5"/>
  <c r="K170" i="5"/>
  <c r="I170" i="5"/>
  <c r="H170" i="5"/>
  <c r="G170" i="5"/>
  <c r="F170" i="5"/>
  <c r="D170" i="5"/>
  <c r="C170" i="5"/>
  <c r="Q169" i="5"/>
  <c r="P169" i="5"/>
  <c r="M169" i="5"/>
  <c r="L169" i="5"/>
  <c r="K169" i="5"/>
  <c r="I169" i="5"/>
  <c r="H169" i="5"/>
  <c r="G169" i="5"/>
  <c r="F169" i="5"/>
  <c r="D169" i="5"/>
  <c r="C169" i="5"/>
  <c r="Q168" i="5"/>
  <c r="P168" i="5"/>
  <c r="M168" i="5"/>
  <c r="L168" i="5"/>
  <c r="K168" i="5"/>
  <c r="I168" i="5"/>
  <c r="H168" i="5"/>
  <c r="G168" i="5"/>
  <c r="F168" i="5"/>
  <c r="D168" i="5"/>
  <c r="C168" i="5"/>
  <c r="Q167" i="5"/>
  <c r="P167" i="5"/>
  <c r="M167" i="5"/>
  <c r="L167" i="5"/>
  <c r="K167" i="5"/>
  <c r="I167" i="5"/>
  <c r="H167" i="5"/>
  <c r="G167" i="5"/>
  <c r="F167" i="5"/>
  <c r="D167" i="5"/>
  <c r="C167" i="5"/>
  <c r="Q166" i="5"/>
  <c r="P166" i="5"/>
  <c r="M166" i="5"/>
  <c r="L166" i="5"/>
  <c r="K166" i="5"/>
  <c r="I166" i="5"/>
  <c r="H166" i="5"/>
  <c r="G166" i="5"/>
  <c r="F166" i="5"/>
  <c r="D166" i="5"/>
  <c r="C166" i="5"/>
  <c r="Q165" i="5"/>
  <c r="P165" i="5"/>
  <c r="M165" i="5"/>
  <c r="L165" i="5"/>
  <c r="K165" i="5"/>
  <c r="I165" i="5"/>
  <c r="H165" i="5"/>
  <c r="G165" i="5"/>
  <c r="F165" i="5"/>
  <c r="D165" i="5"/>
  <c r="C165" i="5"/>
  <c r="Q164" i="5"/>
  <c r="P164" i="5"/>
  <c r="M164" i="5"/>
  <c r="L164" i="5"/>
  <c r="K164" i="5"/>
  <c r="I164" i="5"/>
  <c r="H164" i="5"/>
  <c r="G164" i="5"/>
  <c r="F164" i="5"/>
  <c r="D164" i="5"/>
  <c r="C164" i="5"/>
  <c r="Q163" i="5"/>
  <c r="P163" i="5"/>
  <c r="M163" i="5"/>
  <c r="L163" i="5"/>
  <c r="K163" i="5"/>
  <c r="I163" i="5"/>
  <c r="H163" i="5"/>
  <c r="G163" i="5"/>
  <c r="F163" i="5"/>
  <c r="D163" i="5"/>
  <c r="C163" i="5"/>
  <c r="Q162" i="5"/>
  <c r="P162" i="5"/>
  <c r="M162" i="5"/>
  <c r="L162" i="5"/>
  <c r="K162" i="5"/>
  <c r="I162" i="5"/>
  <c r="H162" i="5"/>
  <c r="G162" i="5"/>
  <c r="F162" i="5"/>
  <c r="D162" i="5"/>
  <c r="C162" i="5"/>
  <c r="Q161" i="5"/>
  <c r="P161" i="5"/>
  <c r="M161" i="5"/>
  <c r="L161" i="5"/>
  <c r="K161" i="5"/>
  <c r="I161" i="5"/>
  <c r="H161" i="5"/>
  <c r="G161" i="5"/>
  <c r="F161" i="5"/>
  <c r="D161" i="5"/>
  <c r="C161" i="5"/>
  <c r="Q160" i="5"/>
  <c r="P160" i="5"/>
  <c r="M160" i="5"/>
  <c r="L160" i="5"/>
  <c r="K160" i="5"/>
  <c r="I160" i="5"/>
  <c r="H160" i="5"/>
  <c r="G160" i="5"/>
  <c r="F160" i="5"/>
  <c r="D160" i="5"/>
  <c r="C160" i="5"/>
  <c r="Q159" i="5"/>
  <c r="P159" i="5"/>
  <c r="M159" i="5"/>
  <c r="L159" i="5"/>
  <c r="K159" i="5"/>
  <c r="I159" i="5"/>
  <c r="H159" i="5"/>
  <c r="G159" i="5"/>
  <c r="F159" i="5"/>
  <c r="D159" i="5"/>
  <c r="C159" i="5"/>
  <c r="Q158" i="5"/>
  <c r="P158" i="5"/>
  <c r="M158" i="5"/>
  <c r="L158" i="5"/>
  <c r="K158" i="5"/>
  <c r="I158" i="5"/>
  <c r="H158" i="5"/>
  <c r="G158" i="5"/>
  <c r="F158" i="5"/>
  <c r="D158" i="5"/>
  <c r="C158" i="5"/>
  <c r="Q157" i="5"/>
  <c r="P157" i="5"/>
  <c r="M157" i="5"/>
  <c r="L157" i="5"/>
  <c r="K157" i="5"/>
  <c r="I157" i="5"/>
  <c r="H157" i="5"/>
  <c r="G157" i="5"/>
  <c r="F157" i="5"/>
  <c r="D157" i="5"/>
  <c r="C157" i="5"/>
  <c r="Q156" i="5"/>
  <c r="P156" i="5"/>
  <c r="M156" i="5"/>
  <c r="L156" i="5"/>
  <c r="K156" i="5"/>
  <c r="I156" i="5"/>
  <c r="H156" i="5"/>
  <c r="G156" i="5"/>
  <c r="F156" i="5"/>
  <c r="D156" i="5"/>
  <c r="C156" i="5"/>
  <c r="Q155" i="5"/>
  <c r="P155" i="5"/>
  <c r="M155" i="5"/>
  <c r="L155" i="5"/>
  <c r="K155" i="5"/>
  <c r="I155" i="5"/>
  <c r="H155" i="5"/>
  <c r="G155" i="5"/>
  <c r="F155" i="5"/>
  <c r="D155" i="5"/>
  <c r="C155" i="5"/>
  <c r="Q154" i="5"/>
  <c r="P154" i="5"/>
  <c r="M154" i="5"/>
  <c r="L154" i="5"/>
  <c r="K154" i="5"/>
  <c r="I154" i="5"/>
  <c r="H154" i="5"/>
  <c r="G154" i="5"/>
  <c r="F154" i="5"/>
  <c r="D154" i="5"/>
  <c r="C154" i="5"/>
  <c r="Q153" i="5"/>
  <c r="P153" i="5"/>
  <c r="M153" i="5"/>
  <c r="L153" i="5"/>
  <c r="K153" i="5"/>
  <c r="I153" i="5"/>
  <c r="H153" i="5"/>
  <c r="G153" i="5"/>
  <c r="F153" i="5"/>
  <c r="D153" i="5"/>
  <c r="C153" i="5"/>
  <c r="Q152" i="5"/>
  <c r="P152" i="5"/>
  <c r="M152" i="5"/>
  <c r="L152" i="5"/>
  <c r="K152" i="5"/>
  <c r="I152" i="5"/>
  <c r="H152" i="5"/>
  <c r="G152" i="5"/>
  <c r="F152" i="5"/>
  <c r="D152" i="5"/>
  <c r="C152" i="5"/>
  <c r="Q151" i="5"/>
  <c r="P151" i="5"/>
  <c r="M151" i="5"/>
  <c r="L151" i="5"/>
  <c r="K151" i="5"/>
  <c r="I151" i="5"/>
  <c r="H151" i="5"/>
  <c r="G151" i="5"/>
  <c r="F151" i="5"/>
  <c r="D151" i="5"/>
  <c r="C151" i="5"/>
  <c r="Q150" i="5"/>
  <c r="P150" i="5"/>
  <c r="M150" i="5"/>
  <c r="L150" i="5"/>
  <c r="K150" i="5"/>
  <c r="I150" i="5"/>
  <c r="H150" i="5"/>
  <c r="G150" i="5"/>
  <c r="F150" i="5"/>
  <c r="D150" i="5"/>
  <c r="C150" i="5"/>
  <c r="Q149" i="5"/>
  <c r="P149" i="5"/>
  <c r="M149" i="5"/>
  <c r="L149" i="5"/>
  <c r="K149" i="5"/>
  <c r="I149" i="5"/>
  <c r="H149" i="5"/>
  <c r="G149" i="5"/>
  <c r="F149" i="5"/>
  <c r="D149" i="5"/>
  <c r="C149" i="5"/>
  <c r="Q148" i="5"/>
  <c r="P148" i="5"/>
  <c r="M148" i="5"/>
  <c r="L148" i="5"/>
  <c r="K148" i="5"/>
  <c r="I148" i="5"/>
  <c r="H148" i="5"/>
  <c r="G148" i="5"/>
  <c r="F148" i="5"/>
  <c r="D148" i="5"/>
  <c r="C148" i="5"/>
  <c r="Q147" i="5"/>
  <c r="P147" i="5"/>
  <c r="M147" i="5"/>
  <c r="L147" i="5"/>
  <c r="K147" i="5"/>
  <c r="I147" i="5"/>
  <c r="H147" i="5"/>
  <c r="G147" i="5"/>
  <c r="F147" i="5"/>
  <c r="D147" i="5"/>
  <c r="C147" i="5"/>
  <c r="Q146" i="5"/>
  <c r="P146" i="5"/>
  <c r="M146" i="5"/>
  <c r="L146" i="5"/>
  <c r="K146" i="5"/>
  <c r="I146" i="5"/>
  <c r="H146" i="5"/>
  <c r="G146" i="5"/>
  <c r="F146" i="5"/>
  <c r="D146" i="5"/>
  <c r="C146" i="5"/>
  <c r="Q145" i="5"/>
  <c r="P145" i="5"/>
  <c r="M145" i="5"/>
  <c r="L145" i="5"/>
  <c r="K145" i="5"/>
  <c r="I145" i="5"/>
  <c r="H145" i="5"/>
  <c r="G145" i="5"/>
  <c r="F145" i="5"/>
  <c r="D145" i="5"/>
  <c r="C145" i="5"/>
  <c r="Q144" i="5"/>
  <c r="P144" i="5"/>
  <c r="M144" i="5"/>
  <c r="L144" i="5"/>
  <c r="K144" i="5"/>
  <c r="I144" i="5"/>
  <c r="H144" i="5"/>
  <c r="G144" i="5"/>
  <c r="F144" i="5"/>
  <c r="D144" i="5"/>
  <c r="C144" i="5"/>
  <c r="Q143" i="5"/>
  <c r="P143" i="5"/>
  <c r="M143" i="5"/>
  <c r="L143" i="5"/>
  <c r="K143" i="5"/>
  <c r="I143" i="5"/>
  <c r="H143" i="5"/>
  <c r="G143" i="5"/>
  <c r="F143" i="5"/>
  <c r="D143" i="5"/>
  <c r="C143" i="5"/>
  <c r="Q142" i="5"/>
  <c r="P142" i="5"/>
  <c r="M142" i="5"/>
  <c r="L142" i="5"/>
  <c r="K142" i="5"/>
  <c r="I142" i="5"/>
  <c r="H142" i="5"/>
  <c r="G142" i="5"/>
  <c r="F142" i="5"/>
  <c r="D142" i="5"/>
  <c r="C142" i="5"/>
  <c r="Q141" i="5"/>
  <c r="P141" i="5"/>
  <c r="M141" i="5"/>
  <c r="L141" i="5"/>
  <c r="K141" i="5"/>
  <c r="I141" i="5"/>
  <c r="H141" i="5"/>
  <c r="G141" i="5"/>
  <c r="F141" i="5"/>
  <c r="D141" i="5"/>
  <c r="C141" i="5"/>
  <c r="Q140" i="5"/>
  <c r="P140" i="5"/>
  <c r="M140" i="5"/>
  <c r="L140" i="5"/>
  <c r="K140" i="5"/>
  <c r="I140" i="5"/>
  <c r="H140" i="5"/>
  <c r="G140" i="5"/>
  <c r="F140" i="5"/>
  <c r="D140" i="5"/>
  <c r="C140" i="5"/>
  <c r="Q139" i="5"/>
  <c r="P139" i="5"/>
  <c r="M139" i="5"/>
  <c r="L139" i="5"/>
  <c r="K139" i="5"/>
  <c r="I139" i="5"/>
  <c r="H139" i="5"/>
  <c r="G139" i="5"/>
  <c r="F139" i="5"/>
  <c r="D139" i="5"/>
  <c r="C139" i="5"/>
  <c r="Q138" i="5"/>
  <c r="P138" i="5"/>
  <c r="M138" i="5"/>
  <c r="L138" i="5"/>
  <c r="K138" i="5"/>
  <c r="I138" i="5"/>
  <c r="H138" i="5"/>
  <c r="G138" i="5"/>
  <c r="F138" i="5"/>
  <c r="D138" i="5"/>
  <c r="C138" i="5"/>
  <c r="Q137" i="5"/>
  <c r="P137" i="5"/>
  <c r="M137" i="5"/>
  <c r="L137" i="5"/>
  <c r="K137" i="5"/>
  <c r="I137" i="5"/>
  <c r="H137" i="5"/>
  <c r="G137" i="5"/>
  <c r="F137" i="5"/>
  <c r="D137" i="5"/>
  <c r="C137" i="5"/>
  <c r="Q136" i="5"/>
  <c r="P136" i="5"/>
  <c r="M136" i="5"/>
  <c r="L136" i="5"/>
  <c r="K136" i="5"/>
  <c r="I136" i="5"/>
  <c r="H136" i="5"/>
  <c r="G136" i="5"/>
  <c r="F136" i="5"/>
  <c r="D136" i="5"/>
  <c r="C136" i="5"/>
  <c r="Q135" i="5"/>
  <c r="P135" i="5"/>
  <c r="M135" i="5"/>
  <c r="L135" i="5"/>
  <c r="K135" i="5"/>
  <c r="I135" i="5"/>
  <c r="H135" i="5"/>
  <c r="G135" i="5"/>
  <c r="F135" i="5"/>
  <c r="D135" i="5"/>
  <c r="C135" i="5"/>
  <c r="Q134" i="5"/>
  <c r="P134" i="5"/>
  <c r="M134" i="5"/>
  <c r="L134" i="5"/>
  <c r="K134" i="5"/>
  <c r="I134" i="5"/>
  <c r="H134" i="5"/>
  <c r="G134" i="5"/>
  <c r="F134" i="5"/>
  <c r="D134" i="5"/>
  <c r="C134" i="5"/>
  <c r="Q133" i="5"/>
  <c r="P133" i="5"/>
  <c r="M133" i="5"/>
  <c r="L133" i="5"/>
  <c r="K133" i="5"/>
  <c r="I133" i="5"/>
  <c r="H133" i="5"/>
  <c r="G133" i="5"/>
  <c r="F133" i="5"/>
  <c r="D133" i="5"/>
  <c r="C133" i="5"/>
  <c r="Q132" i="5"/>
  <c r="P132" i="5"/>
  <c r="M132" i="5"/>
  <c r="L132" i="5"/>
  <c r="K132" i="5"/>
  <c r="I132" i="5"/>
  <c r="H132" i="5"/>
  <c r="G132" i="5"/>
  <c r="F132" i="5"/>
  <c r="D132" i="5"/>
  <c r="C132" i="5"/>
  <c r="Q131" i="5"/>
  <c r="P131" i="5"/>
  <c r="M131" i="5"/>
  <c r="L131" i="5"/>
  <c r="K131" i="5"/>
  <c r="I131" i="5"/>
  <c r="H131" i="5"/>
  <c r="G131" i="5"/>
  <c r="F131" i="5"/>
  <c r="D131" i="5"/>
  <c r="C131" i="5"/>
  <c r="Q130" i="5"/>
  <c r="P130" i="5"/>
  <c r="M130" i="5"/>
  <c r="L130" i="5"/>
  <c r="K130" i="5"/>
  <c r="I130" i="5"/>
  <c r="H130" i="5"/>
  <c r="G130" i="5"/>
  <c r="F130" i="5"/>
  <c r="D130" i="5"/>
  <c r="C130" i="5"/>
  <c r="Q129" i="5"/>
  <c r="P129" i="5"/>
  <c r="M129" i="5"/>
  <c r="L129" i="5"/>
  <c r="K129" i="5"/>
  <c r="I129" i="5"/>
  <c r="H129" i="5"/>
  <c r="G129" i="5"/>
  <c r="F129" i="5"/>
  <c r="D129" i="5"/>
  <c r="C129" i="5"/>
  <c r="Q128" i="5"/>
  <c r="P128" i="5"/>
  <c r="M128" i="5"/>
  <c r="L128" i="5"/>
  <c r="K128" i="5"/>
  <c r="I128" i="5"/>
  <c r="H128" i="5"/>
  <c r="G128" i="5"/>
  <c r="F128" i="5"/>
  <c r="D128" i="5"/>
  <c r="C128" i="5"/>
  <c r="Q127" i="5"/>
  <c r="P127" i="5"/>
  <c r="M127" i="5"/>
  <c r="L127" i="5"/>
  <c r="K127" i="5"/>
  <c r="I127" i="5"/>
  <c r="H127" i="5"/>
  <c r="G127" i="5"/>
  <c r="F127" i="5"/>
  <c r="D127" i="5"/>
  <c r="C127" i="5"/>
  <c r="Q126" i="5"/>
  <c r="P126" i="5"/>
  <c r="M126" i="5"/>
  <c r="L126" i="5"/>
  <c r="K126" i="5"/>
  <c r="I126" i="5"/>
  <c r="H126" i="5"/>
  <c r="G126" i="5"/>
  <c r="F126" i="5"/>
  <c r="D126" i="5"/>
  <c r="C126" i="5"/>
  <c r="Q125" i="5"/>
  <c r="P125" i="5"/>
  <c r="M125" i="5"/>
  <c r="L125" i="5"/>
  <c r="K125" i="5"/>
  <c r="I125" i="5"/>
  <c r="H125" i="5"/>
  <c r="G125" i="5"/>
  <c r="F125" i="5"/>
  <c r="D125" i="5"/>
  <c r="C125" i="5"/>
  <c r="Q124" i="5"/>
  <c r="P124" i="5"/>
  <c r="M124" i="5"/>
  <c r="L124" i="5"/>
  <c r="K124" i="5"/>
  <c r="I124" i="5"/>
  <c r="H124" i="5"/>
  <c r="G124" i="5"/>
  <c r="F124" i="5"/>
  <c r="D124" i="5"/>
  <c r="C124" i="5"/>
  <c r="Q123" i="5"/>
  <c r="P123" i="5"/>
  <c r="M123" i="5"/>
  <c r="L123" i="5"/>
  <c r="K123" i="5"/>
  <c r="I123" i="5"/>
  <c r="H123" i="5"/>
  <c r="G123" i="5"/>
  <c r="F123" i="5"/>
  <c r="D123" i="5"/>
  <c r="C123" i="5"/>
  <c r="Q122" i="5"/>
  <c r="P122" i="5"/>
  <c r="M122" i="5"/>
  <c r="L122" i="5"/>
  <c r="K122" i="5"/>
  <c r="I122" i="5"/>
  <c r="H122" i="5"/>
  <c r="G122" i="5"/>
  <c r="F122" i="5"/>
  <c r="D122" i="5"/>
  <c r="C122" i="5"/>
  <c r="Q121" i="5"/>
  <c r="P121" i="5"/>
  <c r="M121" i="5"/>
  <c r="L121" i="5"/>
  <c r="K121" i="5"/>
  <c r="I121" i="5"/>
  <c r="H121" i="5"/>
  <c r="G121" i="5"/>
  <c r="F121" i="5"/>
  <c r="D121" i="5"/>
  <c r="C121" i="5"/>
  <c r="Q120" i="5"/>
  <c r="P120" i="5"/>
  <c r="M120" i="5"/>
  <c r="L120" i="5"/>
  <c r="K120" i="5"/>
  <c r="I120" i="5"/>
  <c r="H120" i="5"/>
  <c r="G120" i="5"/>
  <c r="F120" i="5"/>
  <c r="D120" i="5"/>
  <c r="C120" i="5"/>
  <c r="Q119" i="5"/>
  <c r="P119" i="5"/>
  <c r="M119" i="5"/>
  <c r="L119" i="5"/>
  <c r="K119" i="5"/>
  <c r="I119" i="5"/>
  <c r="H119" i="5"/>
  <c r="G119" i="5"/>
  <c r="F119" i="5"/>
  <c r="D119" i="5"/>
  <c r="C119" i="5"/>
  <c r="Q118" i="5"/>
  <c r="P118" i="5"/>
  <c r="M118" i="5"/>
  <c r="L118" i="5"/>
  <c r="K118" i="5"/>
  <c r="I118" i="5"/>
  <c r="H118" i="5"/>
  <c r="G118" i="5"/>
  <c r="F118" i="5"/>
  <c r="D118" i="5"/>
  <c r="C118" i="5"/>
  <c r="Q117" i="5"/>
  <c r="P117" i="5"/>
  <c r="M117" i="5"/>
  <c r="L117" i="5"/>
  <c r="K117" i="5"/>
  <c r="I117" i="5"/>
  <c r="H117" i="5"/>
  <c r="G117" i="5"/>
  <c r="F117" i="5"/>
  <c r="D117" i="5"/>
  <c r="C117" i="5"/>
  <c r="Q116" i="5"/>
  <c r="P116" i="5"/>
  <c r="M116" i="5"/>
  <c r="L116" i="5"/>
  <c r="K116" i="5"/>
  <c r="I116" i="5"/>
  <c r="H116" i="5"/>
  <c r="G116" i="5"/>
  <c r="F116" i="5"/>
  <c r="D116" i="5"/>
  <c r="C116" i="5"/>
  <c r="Q115" i="5"/>
  <c r="P115" i="5"/>
  <c r="M115" i="5"/>
  <c r="L115" i="5"/>
  <c r="K115" i="5"/>
  <c r="I115" i="5"/>
  <c r="H115" i="5"/>
  <c r="G115" i="5"/>
  <c r="F115" i="5"/>
  <c r="D115" i="5"/>
  <c r="C115" i="5"/>
  <c r="Q114" i="5"/>
  <c r="P114" i="5"/>
  <c r="M114" i="5"/>
  <c r="L114" i="5"/>
  <c r="K114" i="5"/>
  <c r="I114" i="5"/>
  <c r="H114" i="5"/>
  <c r="G114" i="5"/>
  <c r="F114" i="5"/>
  <c r="D114" i="5"/>
  <c r="C114" i="5"/>
  <c r="Q113" i="5"/>
  <c r="P113" i="5"/>
  <c r="M113" i="5"/>
  <c r="L113" i="5"/>
  <c r="K113" i="5"/>
  <c r="I113" i="5"/>
  <c r="H113" i="5"/>
  <c r="G113" i="5"/>
  <c r="F113" i="5"/>
  <c r="D113" i="5"/>
  <c r="C113" i="5"/>
  <c r="Q112" i="5"/>
  <c r="P112" i="5"/>
  <c r="M112" i="5"/>
  <c r="L112" i="5"/>
  <c r="K112" i="5"/>
  <c r="I112" i="5"/>
  <c r="H112" i="5"/>
  <c r="G112" i="5"/>
  <c r="F112" i="5"/>
  <c r="D112" i="5"/>
  <c r="C112" i="5"/>
  <c r="Q111" i="5"/>
  <c r="P111" i="5"/>
  <c r="M111" i="5"/>
  <c r="L111" i="5"/>
  <c r="K111" i="5"/>
  <c r="I111" i="5"/>
  <c r="H111" i="5"/>
  <c r="G111" i="5"/>
  <c r="F111" i="5"/>
  <c r="D111" i="5"/>
  <c r="C111" i="5"/>
  <c r="Q110" i="5"/>
  <c r="P110" i="5"/>
  <c r="M110" i="5"/>
  <c r="L110" i="5"/>
  <c r="K110" i="5"/>
  <c r="I110" i="5"/>
  <c r="H110" i="5"/>
  <c r="G110" i="5"/>
  <c r="F110" i="5"/>
  <c r="D110" i="5"/>
  <c r="C110" i="5"/>
  <c r="Q109" i="5"/>
  <c r="P109" i="5"/>
  <c r="M109" i="5"/>
  <c r="L109" i="5"/>
  <c r="K109" i="5"/>
  <c r="I109" i="5"/>
  <c r="H109" i="5"/>
  <c r="G109" i="5"/>
  <c r="F109" i="5"/>
  <c r="D109" i="5"/>
  <c r="C109" i="5"/>
  <c r="Q108" i="5"/>
  <c r="P108" i="5"/>
  <c r="M108" i="5"/>
  <c r="L108" i="5"/>
  <c r="K108" i="5"/>
  <c r="I108" i="5"/>
  <c r="H108" i="5"/>
  <c r="G108" i="5"/>
  <c r="F108" i="5"/>
  <c r="D108" i="5"/>
  <c r="C108" i="5"/>
  <c r="Q107" i="5"/>
  <c r="P107" i="5"/>
  <c r="M107" i="5"/>
  <c r="L107" i="5"/>
  <c r="K107" i="5"/>
  <c r="I107" i="5"/>
  <c r="H107" i="5"/>
  <c r="G107" i="5"/>
  <c r="F107" i="5"/>
  <c r="D107" i="5"/>
  <c r="C107" i="5"/>
  <c r="Q106" i="5"/>
  <c r="P106" i="5"/>
  <c r="M106" i="5"/>
  <c r="L106" i="5"/>
  <c r="K106" i="5"/>
  <c r="I106" i="5"/>
  <c r="H106" i="5"/>
  <c r="G106" i="5"/>
  <c r="F106" i="5"/>
  <c r="D106" i="5"/>
  <c r="C106" i="5"/>
  <c r="Q105" i="5"/>
  <c r="P105" i="5"/>
  <c r="M105" i="5"/>
  <c r="L105" i="5"/>
  <c r="K105" i="5"/>
  <c r="I105" i="5"/>
  <c r="H105" i="5"/>
  <c r="G105" i="5"/>
  <c r="F105" i="5"/>
  <c r="D105" i="5"/>
  <c r="C105" i="5"/>
  <c r="Q104" i="5"/>
  <c r="P104" i="5"/>
  <c r="M104" i="5"/>
  <c r="L104" i="5"/>
  <c r="K104" i="5"/>
  <c r="I104" i="5"/>
  <c r="H104" i="5"/>
  <c r="G104" i="5"/>
  <c r="F104" i="5"/>
  <c r="D104" i="5"/>
  <c r="C104" i="5"/>
  <c r="Q103" i="5"/>
  <c r="P103" i="5"/>
  <c r="M103" i="5"/>
  <c r="L103" i="5"/>
  <c r="K103" i="5"/>
  <c r="I103" i="5"/>
  <c r="H103" i="5"/>
  <c r="G103" i="5"/>
  <c r="F103" i="5"/>
  <c r="D103" i="5"/>
  <c r="C103" i="5"/>
  <c r="Q102" i="5"/>
  <c r="P102" i="5"/>
  <c r="M102" i="5"/>
  <c r="L102" i="5"/>
  <c r="K102" i="5"/>
  <c r="I102" i="5"/>
  <c r="H102" i="5"/>
  <c r="G102" i="5"/>
  <c r="F102" i="5"/>
  <c r="D102" i="5"/>
  <c r="C102" i="5"/>
  <c r="Q101" i="5"/>
  <c r="P101" i="5"/>
  <c r="M101" i="5"/>
  <c r="L101" i="5"/>
  <c r="K101" i="5"/>
  <c r="I101" i="5"/>
  <c r="H101" i="5"/>
  <c r="G101" i="5"/>
  <c r="F101" i="5"/>
  <c r="D101" i="5"/>
  <c r="C101" i="5"/>
  <c r="Q100" i="5"/>
  <c r="P100" i="5"/>
  <c r="M100" i="5"/>
  <c r="L100" i="5"/>
  <c r="K100" i="5"/>
  <c r="I100" i="5"/>
  <c r="H100" i="5"/>
  <c r="G100" i="5"/>
  <c r="F100" i="5"/>
  <c r="D100" i="5"/>
  <c r="C100" i="5"/>
  <c r="Q99" i="5"/>
  <c r="P99" i="5"/>
  <c r="M99" i="5"/>
  <c r="L99" i="5"/>
  <c r="K99" i="5"/>
  <c r="I99" i="5"/>
  <c r="H99" i="5"/>
  <c r="G99" i="5"/>
  <c r="F99" i="5"/>
  <c r="D99" i="5"/>
  <c r="C99" i="5"/>
  <c r="Q98" i="5"/>
  <c r="P98" i="5"/>
  <c r="M98" i="5"/>
  <c r="L98" i="5"/>
  <c r="K98" i="5"/>
  <c r="I98" i="5"/>
  <c r="H98" i="5"/>
  <c r="G98" i="5"/>
  <c r="F98" i="5"/>
  <c r="D98" i="5"/>
  <c r="C98" i="5"/>
  <c r="Q97" i="5"/>
  <c r="P97" i="5"/>
  <c r="M97" i="5"/>
  <c r="L97" i="5"/>
  <c r="K97" i="5"/>
  <c r="I97" i="5"/>
  <c r="H97" i="5"/>
  <c r="G97" i="5"/>
  <c r="F97" i="5"/>
  <c r="D97" i="5"/>
  <c r="C97" i="5"/>
  <c r="Q96" i="5"/>
  <c r="P96" i="5"/>
  <c r="M96" i="5"/>
  <c r="L96" i="5"/>
  <c r="K96" i="5"/>
  <c r="I96" i="5"/>
  <c r="H96" i="5"/>
  <c r="G96" i="5"/>
  <c r="F96" i="5"/>
  <c r="D96" i="5"/>
  <c r="C96" i="5"/>
  <c r="Q95" i="5"/>
  <c r="P95" i="5"/>
  <c r="M95" i="5"/>
  <c r="L95" i="5"/>
  <c r="K95" i="5"/>
  <c r="I95" i="5"/>
  <c r="H95" i="5"/>
  <c r="G95" i="5"/>
  <c r="F95" i="5"/>
  <c r="D95" i="5"/>
  <c r="C95" i="5"/>
  <c r="Q94" i="5"/>
  <c r="P94" i="5"/>
  <c r="M94" i="5"/>
  <c r="L94" i="5"/>
  <c r="K94" i="5"/>
  <c r="I94" i="5"/>
  <c r="H94" i="5"/>
  <c r="G94" i="5"/>
  <c r="F94" i="5"/>
  <c r="D94" i="5"/>
  <c r="C94" i="5"/>
  <c r="Q93" i="5"/>
  <c r="P93" i="5"/>
  <c r="M93" i="5"/>
  <c r="L93" i="5"/>
  <c r="K93" i="5"/>
  <c r="I93" i="5"/>
  <c r="H93" i="5"/>
  <c r="G93" i="5"/>
  <c r="F93" i="5"/>
  <c r="D93" i="5"/>
  <c r="C93" i="5"/>
  <c r="Q92" i="5"/>
  <c r="P92" i="5"/>
  <c r="M92" i="5"/>
  <c r="L92" i="5"/>
  <c r="K92" i="5"/>
  <c r="I92" i="5"/>
  <c r="H92" i="5"/>
  <c r="G92" i="5"/>
  <c r="F92" i="5"/>
  <c r="D92" i="5"/>
  <c r="C92" i="5"/>
  <c r="Q91" i="5"/>
  <c r="P91" i="5"/>
  <c r="M91" i="5"/>
  <c r="L91" i="5"/>
  <c r="K91" i="5"/>
  <c r="I91" i="5"/>
  <c r="H91" i="5"/>
  <c r="G91" i="5"/>
  <c r="F91" i="5"/>
  <c r="D91" i="5"/>
  <c r="C91" i="5"/>
  <c r="Q90" i="5"/>
  <c r="P90" i="5"/>
  <c r="M90" i="5"/>
  <c r="L90" i="5"/>
  <c r="K90" i="5"/>
  <c r="I90" i="5"/>
  <c r="H90" i="5"/>
  <c r="G90" i="5"/>
  <c r="F90" i="5"/>
  <c r="D90" i="5"/>
  <c r="C90" i="5"/>
  <c r="Q89" i="5"/>
  <c r="P89" i="5"/>
  <c r="M89" i="5"/>
  <c r="L89" i="5"/>
  <c r="K89" i="5"/>
  <c r="I89" i="5"/>
  <c r="H89" i="5"/>
  <c r="G89" i="5"/>
  <c r="F89" i="5"/>
  <c r="D89" i="5"/>
  <c r="C89" i="5"/>
  <c r="Q88" i="5"/>
  <c r="P88" i="5"/>
  <c r="M88" i="5"/>
  <c r="L88" i="5"/>
  <c r="K88" i="5"/>
  <c r="I88" i="5"/>
  <c r="H88" i="5"/>
  <c r="G88" i="5"/>
  <c r="F88" i="5"/>
  <c r="D88" i="5"/>
  <c r="C88" i="5"/>
  <c r="Q87" i="5"/>
  <c r="P87" i="5"/>
  <c r="M87" i="5"/>
  <c r="L87" i="5"/>
  <c r="K87" i="5"/>
  <c r="I87" i="5"/>
  <c r="H87" i="5"/>
  <c r="G87" i="5"/>
  <c r="F87" i="5"/>
  <c r="D87" i="5"/>
  <c r="C87" i="5"/>
  <c r="Q86" i="5"/>
  <c r="P86" i="5"/>
  <c r="M86" i="5"/>
  <c r="L86" i="5"/>
  <c r="K86" i="5"/>
  <c r="I86" i="5"/>
  <c r="H86" i="5"/>
  <c r="G86" i="5"/>
  <c r="F86" i="5"/>
  <c r="D86" i="5"/>
  <c r="C86" i="5"/>
  <c r="Q85" i="5"/>
  <c r="P85" i="5"/>
  <c r="M85" i="5"/>
  <c r="L85" i="5"/>
  <c r="K85" i="5"/>
  <c r="I85" i="5"/>
  <c r="H85" i="5"/>
  <c r="G85" i="5"/>
  <c r="F85" i="5"/>
  <c r="D85" i="5"/>
  <c r="C85" i="5"/>
  <c r="Q84" i="5"/>
  <c r="P84" i="5"/>
  <c r="M84" i="5"/>
  <c r="L84" i="5"/>
  <c r="K84" i="5"/>
  <c r="I84" i="5"/>
  <c r="H84" i="5"/>
  <c r="G84" i="5"/>
  <c r="F84" i="5"/>
  <c r="D84" i="5"/>
  <c r="C84" i="5"/>
  <c r="Q83" i="5"/>
  <c r="P83" i="5"/>
  <c r="M83" i="5"/>
  <c r="L83" i="5"/>
  <c r="K83" i="5"/>
  <c r="I83" i="5"/>
  <c r="H83" i="5"/>
  <c r="G83" i="5"/>
  <c r="F83" i="5"/>
  <c r="D83" i="5"/>
  <c r="C83" i="5"/>
  <c r="Q82" i="5"/>
  <c r="P82" i="5"/>
  <c r="M82" i="5"/>
  <c r="L82" i="5"/>
  <c r="K82" i="5"/>
  <c r="I82" i="5"/>
  <c r="H82" i="5"/>
  <c r="G82" i="5"/>
  <c r="F82" i="5"/>
  <c r="D82" i="5"/>
  <c r="C82" i="5"/>
  <c r="Q81" i="5"/>
  <c r="P81" i="5"/>
  <c r="M81" i="5"/>
  <c r="L81" i="5"/>
  <c r="K81" i="5"/>
  <c r="I81" i="5"/>
  <c r="H81" i="5"/>
  <c r="G81" i="5"/>
  <c r="F81" i="5"/>
  <c r="D81" i="5"/>
  <c r="C81" i="5"/>
  <c r="Q80" i="5"/>
  <c r="P80" i="5"/>
  <c r="M80" i="5"/>
  <c r="L80" i="5"/>
  <c r="K80" i="5"/>
  <c r="I80" i="5"/>
  <c r="H80" i="5"/>
  <c r="G80" i="5"/>
  <c r="F80" i="5"/>
  <c r="D80" i="5"/>
  <c r="C80" i="5"/>
  <c r="Q79" i="5"/>
  <c r="P79" i="5"/>
  <c r="M79" i="5"/>
  <c r="L79" i="5"/>
  <c r="K79" i="5"/>
  <c r="I79" i="5"/>
  <c r="H79" i="5"/>
  <c r="G79" i="5"/>
  <c r="F79" i="5"/>
  <c r="D79" i="5"/>
  <c r="C79" i="5"/>
  <c r="Q78" i="5"/>
  <c r="P78" i="5"/>
  <c r="M78" i="5"/>
  <c r="L78" i="5"/>
  <c r="K78" i="5"/>
  <c r="I78" i="5"/>
  <c r="H78" i="5"/>
  <c r="G78" i="5"/>
  <c r="F78" i="5"/>
  <c r="D78" i="5"/>
  <c r="C78" i="5"/>
  <c r="Q77" i="5"/>
  <c r="P77" i="5"/>
  <c r="M77" i="5"/>
  <c r="L77" i="5"/>
  <c r="K77" i="5"/>
  <c r="I77" i="5"/>
  <c r="H77" i="5"/>
  <c r="G77" i="5"/>
  <c r="F77" i="5"/>
  <c r="D77" i="5"/>
  <c r="C77" i="5"/>
  <c r="Q76" i="5"/>
  <c r="P76" i="5"/>
  <c r="M76" i="5"/>
  <c r="L76" i="5"/>
  <c r="K76" i="5"/>
  <c r="I76" i="5"/>
  <c r="H76" i="5"/>
  <c r="G76" i="5"/>
  <c r="F76" i="5"/>
  <c r="D76" i="5"/>
  <c r="C76" i="5"/>
  <c r="Q75" i="5"/>
  <c r="P75" i="5"/>
  <c r="M75" i="5"/>
  <c r="L75" i="5"/>
  <c r="K75" i="5"/>
  <c r="I75" i="5"/>
  <c r="H75" i="5"/>
  <c r="G75" i="5"/>
  <c r="F75" i="5"/>
  <c r="D75" i="5"/>
  <c r="C75" i="5"/>
  <c r="Q74" i="5"/>
  <c r="P74" i="5"/>
  <c r="M74" i="5"/>
  <c r="L74" i="5"/>
  <c r="K74" i="5"/>
  <c r="I74" i="5"/>
  <c r="H74" i="5"/>
  <c r="G74" i="5"/>
  <c r="F74" i="5"/>
  <c r="D74" i="5"/>
  <c r="C74" i="5"/>
  <c r="Q73" i="5"/>
  <c r="P73" i="5"/>
  <c r="M73" i="5"/>
  <c r="L73" i="5"/>
  <c r="K73" i="5"/>
  <c r="I73" i="5"/>
  <c r="H73" i="5"/>
  <c r="G73" i="5"/>
  <c r="F73" i="5"/>
  <c r="D73" i="5"/>
  <c r="C73" i="5"/>
  <c r="Q72" i="5"/>
  <c r="P72" i="5"/>
  <c r="M72" i="5"/>
  <c r="L72" i="5"/>
  <c r="K72" i="5"/>
  <c r="I72" i="5"/>
  <c r="H72" i="5"/>
  <c r="G72" i="5"/>
  <c r="F72" i="5"/>
  <c r="D72" i="5"/>
  <c r="C72" i="5"/>
  <c r="Q71" i="5"/>
  <c r="P71" i="5"/>
  <c r="M71" i="5"/>
  <c r="L71" i="5"/>
  <c r="K71" i="5"/>
  <c r="I71" i="5"/>
  <c r="H71" i="5"/>
  <c r="G71" i="5"/>
  <c r="F71" i="5"/>
  <c r="D71" i="5"/>
  <c r="C71" i="5"/>
  <c r="Q70" i="5"/>
  <c r="P70" i="5"/>
  <c r="M70" i="5"/>
  <c r="L70" i="5"/>
  <c r="K70" i="5"/>
  <c r="I70" i="5"/>
  <c r="H70" i="5"/>
  <c r="G70" i="5"/>
  <c r="F70" i="5"/>
  <c r="D70" i="5"/>
  <c r="C70" i="5"/>
  <c r="Q69" i="5"/>
  <c r="P69" i="5"/>
  <c r="M69" i="5"/>
  <c r="L69" i="5"/>
  <c r="K69" i="5"/>
  <c r="I69" i="5"/>
  <c r="H69" i="5"/>
  <c r="G69" i="5"/>
  <c r="F69" i="5"/>
  <c r="D69" i="5"/>
  <c r="C69" i="5"/>
  <c r="Q68" i="5"/>
  <c r="P68" i="5"/>
  <c r="M68" i="5"/>
  <c r="L68" i="5"/>
  <c r="K68" i="5"/>
  <c r="I68" i="5"/>
  <c r="H68" i="5"/>
  <c r="G68" i="5"/>
  <c r="F68" i="5"/>
  <c r="D68" i="5"/>
  <c r="C68" i="5"/>
  <c r="Q67" i="5"/>
  <c r="P67" i="5"/>
  <c r="M67" i="5"/>
  <c r="L67" i="5"/>
  <c r="K67" i="5"/>
  <c r="I67" i="5"/>
  <c r="H67" i="5"/>
  <c r="G67" i="5"/>
  <c r="F67" i="5"/>
  <c r="D67" i="5"/>
  <c r="C67" i="5"/>
  <c r="Q66" i="5"/>
  <c r="P66" i="5"/>
  <c r="M66" i="5"/>
  <c r="L66" i="5"/>
  <c r="K66" i="5"/>
  <c r="I66" i="5"/>
  <c r="H66" i="5"/>
  <c r="G66" i="5"/>
  <c r="F66" i="5"/>
  <c r="D66" i="5"/>
  <c r="C66" i="5"/>
  <c r="Q65" i="5"/>
  <c r="P65" i="5"/>
  <c r="M65" i="5"/>
  <c r="L65" i="5"/>
  <c r="K65" i="5"/>
  <c r="I65" i="5"/>
  <c r="H65" i="5"/>
  <c r="G65" i="5"/>
  <c r="F65" i="5"/>
  <c r="D65" i="5"/>
  <c r="C65" i="5"/>
  <c r="Q64" i="5"/>
  <c r="P64" i="5"/>
  <c r="M64" i="5"/>
  <c r="L64" i="5"/>
  <c r="K64" i="5"/>
  <c r="I64" i="5"/>
  <c r="H64" i="5"/>
  <c r="G64" i="5"/>
  <c r="F64" i="5"/>
  <c r="D64" i="5"/>
  <c r="C64" i="5"/>
  <c r="Q63" i="5"/>
  <c r="P63" i="5"/>
  <c r="M63" i="5"/>
  <c r="L63" i="5"/>
  <c r="K63" i="5"/>
  <c r="I63" i="5"/>
  <c r="H63" i="5"/>
  <c r="G63" i="5"/>
  <c r="F63" i="5"/>
  <c r="D63" i="5"/>
  <c r="C63" i="5"/>
  <c r="Q62" i="5"/>
  <c r="P62" i="5"/>
  <c r="M62" i="5"/>
  <c r="L62" i="5"/>
  <c r="K62" i="5"/>
  <c r="I62" i="5"/>
  <c r="H62" i="5"/>
  <c r="G62" i="5"/>
  <c r="F62" i="5"/>
  <c r="D62" i="5"/>
  <c r="C62" i="5"/>
  <c r="Q61" i="5"/>
  <c r="P61" i="5"/>
  <c r="M61" i="5"/>
  <c r="L61" i="5"/>
  <c r="K61" i="5"/>
  <c r="I61" i="5"/>
  <c r="H61" i="5"/>
  <c r="G61" i="5"/>
  <c r="F61" i="5"/>
  <c r="D61" i="5"/>
  <c r="C61" i="5"/>
  <c r="Q60" i="5"/>
  <c r="P60" i="5"/>
  <c r="M60" i="5"/>
  <c r="L60" i="5"/>
  <c r="K60" i="5"/>
  <c r="I60" i="5"/>
  <c r="H60" i="5"/>
  <c r="G60" i="5"/>
  <c r="F60" i="5"/>
  <c r="D60" i="5"/>
  <c r="C60" i="5"/>
  <c r="Q59" i="5"/>
  <c r="P59" i="5"/>
  <c r="M59" i="5"/>
  <c r="L59" i="5"/>
  <c r="K59" i="5"/>
  <c r="I59" i="5"/>
  <c r="H59" i="5"/>
  <c r="G59" i="5"/>
  <c r="F59" i="5"/>
  <c r="D59" i="5"/>
  <c r="C59" i="5"/>
  <c r="Q58" i="5"/>
  <c r="P58" i="5"/>
  <c r="M58" i="5"/>
  <c r="L58" i="5"/>
  <c r="K58" i="5"/>
  <c r="I58" i="5"/>
  <c r="H58" i="5"/>
  <c r="G58" i="5"/>
  <c r="F58" i="5"/>
  <c r="D58" i="5"/>
  <c r="C58" i="5"/>
  <c r="Q57" i="5"/>
  <c r="P57" i="5"/>
  <c r="M57" i="5"/>
  <c r="L57" i="5"/>
  <c r="K57" i="5"/>
  <c r="I57" i="5"/>
  <c r="H57" i="5"/>
  <c r="G57" i="5"/>
  <c r="F57" i="5"/>
  <c r="D57" i="5"/>
  <c r="C57" i="5"/>
  <c r="Q56" i="5"/>
  <c r="P56" i="5"/>
  <c r="M56" i="5"/>
  <c r="L56" i="5"/>
  <c r="K56" i="5"/>
  <c r="I56" i="5"/>
  <c r="H56" i="5"/>
  <c r="G56" i="5"/>
  <c r="F56" i="5"/>
  <c r="D56" i="5"/>
  <c r="C56" i="5"/>
  <c r="Q55" i="5"/>
  <c r="P55" i="5"/>
  <c r="M55" i="5"/>
  <c r="L55" i="5"/>
  <c r="K55" i="5"/>
  <c r="I55" i="5"/>
  <c r="H55" i="5"/>
  <c r="G55" i="5"/>
  <c r="F55" i="5"/>
  <c r="D55" i="5"/>
  <c r="C55" i="5"/>
  <c r="Q54" i="5"/>
  <c r="P54" i="5"/>
  <c r="M54" i="5"/>
  <c r="L54" i="5"/>
  <c r="K54" i="5"/>
  <c r="I54" i="5"/>
  <c r="H54" i="5"/>
  <c r="G54" i="5"/>
  <c r="F54" i="5"/>
  <c r="D54" i="5"/>
  <c r="C54" i="5"/>
  <c r="Q53" i="5"/>
  <c r="P53" i="5"/>
  <c r="M53" i="5"/>
  <c r="L53" i="5"/>
  <c r="K53" i="5"/>
  <c r="I53" i="5"/>
  <c r="H53" i="5"/>
  <c r="G53" i="5"/>
  <c r="F53" i="5"/>
  <c r="D53" i="5"/>
  <c r="C53" i="5"/>
  <c r="Q52" i="5"/>
  <c r="P52" i="5"/>
  <c r="M52" i="5"/>
  <c r="L52" i="5"/>
  <c r="K52" i="5"/>
  <c r="I52" i="5"/>
  <c r="H52" i="5"/>
  <c r="G52" i="5"/>
  <c r="F52" i="5"/>
  <c r="D52" i="5"/>
  <c r="C52" i="5"/>
  <c r="Q51" i="5"/>
  <c r="P51" i="5"/>
  <c r="M51" i="5"/>
  <c r="L51" i="5"/>
  <c r="K51" i="5"/>
  <c r="I51" i="5"/>
  <c r="H51" i="5"/>
  <c r="G51" i="5"/>
  <c r="F51" i="5"/>
  <c r="D51" i="5"/>
  <c r="C51" i="5"/>
  <c r="Q50" i="5"/>
  <c r="P50" i="5"/>
  <c r="M50" i="5"/>
  <c r="L50" i="5"/>
  <c r="K50" i="5"/>
  <c r="I50" i="5"/>
  <c r="H50" i="5"/>
  <c r="G50" i="5"/>
  <c r="F50" i="5"/>
  <c r="D50" i="5"/>
  <c r="C50" i="5"/>
  <c r="Q49" i="5"/>
  <c r="P49" i="5"/>
  <c r="M49" i="5"/>
  <c r="L49" i="5"/>
  <c r="K49" i="5"/>
  <c r="I49" i="5"/>
  <c r="H49" i="5"/>
  <c r="G49" i="5"/>
  <c r="F49" i="5"/>
  <c r="D49" i="5"/>
  <c r="C49" i="5"/>
  <c r="Q48" i="5"/>
  <c r="P48" i="5"/>
  <c r="M48" i="5"/>
  <c r="L48" i="5"/>
  <c r="K48" i="5"/>
  <c r="I48" i="5"/>
  <c r="H48" i="5"/>
  <c r="G48" i="5"/>
  <c r="F48" i="5"/>
  <c r="D48" i="5"/>
  <c r="C48" i="5"/>
  <c r="Q47" i="5"/>
  <c r="P47" i="5"/>
  <c r="M47" i="5"/>
  <c r="L47" i="5"/>
  <c r="K47" i="5"/>
  <c r="I47" i="5"/>
  <c r="H47" i="5"/>
  <c r="G47" i="5"/>
  <c r="F47" i="5"/>
  <c r="D47" i="5"/>
  <c r="C47" i="5"/>
  <c r="Q46" i="5"/>
  <c r="P46" i="5"/>
  <c r="M46" i="5"/>
  <c r="L46" i="5"/>
  <c r="K46" i="5"/>
  <c r="I46" i="5"/>
  <c r="H46" i="5"/>
  <c r="G46" i="5"/>
  <c r="F46" i="5"/>
  <c r="D46" i="5"/>
  <c r="C46" i="5"/>
  <c r="Q45" i="5"/>
  <c r="P45" i="5"/>
  <c r="M45" i="5"/>
  <c r="L45" i="5"/>
  <c r="K45" i="5"/>
  <c r="I45" i="5"/>
  <c r="H45" i="5"/>
  <c r="G45" i="5"/>
  <c r="F45" i="5"/>
  <c r="D45" i="5"/>
  <c r="C45" i="5"/>
  <c r="Q44" i="5"/>
  <c r="P44" i="5"/>
  <c r="M44" i="5"/>
  <c r="L44" i="5"/>
  <c r="K44" i="5"/>
  <c r="I44" i="5"/>
  <c r="H44" i="5"/>
  <c r="G44" i="5"/>
  <c r="F44" i="5"/>
  <c r="D44" i="5"/>
  <c r="C44" i="5"/>
  <c r="Q43" i="5"/>
  <c r="P43" i="5"/>
  <c r="M43" i="5"/>
  <c r="L43" i="5"/>
  <c r="K43" i="5"/>
  <c r="I43" i="5"/>
  <c r="H43" i="5"/>
  <c r="G43" i="5"/>
  <c r="F43" i="5"/>
  <c r="D43" i="5"/>
  <c r="C43" i="5"/>
  <c r="Q42" i="5"/>
  <c r="P42" i="5"/>
  <c r="M42" i="5"/>
  <c r="L42" i="5"/>
  <c r="K42" i="5"/>
  <c r="I42" i="5"/>
  <c r="H42" i="5"/>
  <c r="G42" i="5"/>
  <c r="F42" i="5"/>
  <c r="D42" i="5"/>
  <c r="C42" i="5"/>
  <c r="Q41" i="5"/>
  <c r="P41" i="5"/>
  <c r="M41" i="5"/>
  <c r="L41" i="5"/>
  <c r="K41" i="5"/>
  <c r="I41" i="5"/>
  <c r="H41" i="5"/>
  <c r="G41" i="5"/>
  <c r="F41" i="5"/>
  <c r="D41" i="5"/>
  <c r="C41" i="5"/>
  <c r="Q40" i="5"/>
  <c r="P40" i="5"/>
  <c r="M40" i="5"/>
  <c r="L40" i="5"/>
  <c r="K40" i="5"/>
  <c r="I40" i="5"/>
  <c r="H40" i="5"/>
  <c r="G40" i="5"/>
  <c r="F40" i="5"/>
  <c r="D40" i="5"/>
  <c r="C40" i="5"/>
  <c r="Q39" i="5"/>
  <c r="P39" i="5"/>
  <c r="M39" i="5"/>
  <c r="L39" i="5"/>
  <c r="K39" i="5"/>
  <c r="I39" i="5"/>
  <c r="H39" i="5"/>
  <c r="G39" i="5"/>
  <c r="F39" i="5"/>
  <c r="D39" i="5"/>
  <c r="C39" i="5"/>
  <c r="Q38" i="5"/>
  <c r="P38" i="5"/>
  <c r="M38" i="5"/>
  <c r="L38" i="5"/>
  <c r="K38" i="5"/>
  <c r="I38" i="5"/>
  <c r="H38" i="5"/>
  <c r="G38" i="5"/>
  <c r="F38" i="5"/>
  <c r="D38" i="5"/>
  <c r="C38" i="5"/>
  <c r="Q37" i="5"/>
  <c r="P37" i="5"/>
  <c r="M37" i="5"/>
  <c r="L37" i="5"/>
  <c r="K37" i="5"/>
  <c r="I37" i="5"/>
  <c r="H37" i="5"/>
  <c r="G37" i="5"/>
  <c r="F37" i="5"/>
  <c r="D37" i="5"/>
  <c r="C37" i="5"/>
  <c r="Q36" i="5"/>
  <c r="P36" i="5"/>
  <c r="M36" i="5"/>
  <c r="L36" i="5"/>
  <c r="K36" i="5"/>
  <c r="I36" i="5"/>
  <c r="H36" i="5"/>
  <c r="G36" i="5"/>
  <c r="F36" i="5"/>
  <c r="D36" i="5"/>
  <c r="C36" i="5"/>
  <c r="Q35" i="5"/>
  <c r="P35" i="5"/>
  <c r="M35" i="5"/>
  <c r="L35" i="5"/>
  <c r="K35" i="5"/>
  <c r="I35" i="5"/>
  <c r="H35" i="5"/>
  <c r="G35" i="5"/>
  <c r="F35" i="5"/>
  <c r="D35" i="5"/>
  <c r="C35" i="5"/>
  <c r="Q34" i="5"/>
  <c r="P34" i="5"/>
  <c r="M34" i="5"/>
  <c r="L34" i="5"/>
  <c r="K34" i="5"/>
  <c r="I34" i="5"/>
  <c r="H34" i="5"/>
  <c r="G34" i="5"/>
  <c r="F34" i="5"/>
  <c r="D34" i="5"/>
  <c r="C34" i="5"/>
  <c r="Q33" i="5"/>
  <c r="P33" i="5"/>
  <c r="M33" i="5"/>
  <c r="L33" i="5"/>
  <c r="K33" i="5"/>
  <c r="I33" i="5"/>
  <c r="H33" i="5"/>
  <c r="G33" i="5"/>
  <c r="F33" i="5"/>
  <c r="D33" i="5"/>
  <c r="C33" i="5"/>
  <c r="Q32" i="5"/>
  <c r="P32" i="5"/>
  <c r="M32" i="5"/>
  <c r="L32" i="5"/>
  <c r="K32" i="5"/>
  <c r="I32" i="5"/>
  <c r="H32" i="5"/>
  <c r="G32" i="5"/>
  <c r="F32" i="5"/>
  <c r="D32" i="5"/>
  <c r="C32" i="5"/>
  <c r="Q31" i="5"/>
  <c r="P31" i="5"/>
  <c r="M31" i="5"/>
  <c r="L31" i="5"/>
  <c r="K31" i="5"/>
  <c r="I31" i="5"/>
  <c r="H31" i="5"/>
  <c r="G31" i="5"/>
  <c r="F31" i="5"/>
  <c r="D31" i="5"/>
  <c r="C31" i="5"/>
  <c r="Q30" i="5"/>
  <c r="P30" i="5"/>
  <c r="M30" i="5"/>
  <c r="L30" i="5"/>
  <c r="K30" i="5"/>
  <c r="I30" i="5"/>
  <c r="H30" i="5"/>
  <c r="G30" i="5"/>
  <c r="F30" i="5"/>
  <c r="D30" i="5"/>
  <c r="C30" i="5"/>
  <c r="Q29" i="5"/>
  <c r="P29" i="5"/>
  <c r="M29" i="5"/>
  <c r="L29" i="5"/>
  <c r="K29" i="5"/>
  <c r="I29" i="5"/>
  <c r="H29" i="5"/>
  <c r="G29" i="5"/>
  <c r="F29" i="5"/>
  <c r="D29" i="5"/>
  <c r="C29" i="5"/>
  <c r="Q28" i="5"/>
  <c r="P28" i="5"/>
  <c r="M28" i="5"/>
  <c r="L28" i="5"/>
  <c r="K28" i="5"/>
  <c r="I28" i="5"/>
  <c r="H28" i="5"/>
  <c r="G28" i="5"/>
  <c r="F28" i="5"/>
  <c r="D28" i="5"/>
  <c r="C28" i="5"/>
  <c r="Q27" i="5"/>
  <c r="P27" i="5"/>
  <c r="M27" i="5"/>
  <c r="L27" i="5"/>
  <c r="K27" i="5"/>
  <c r="I27" i="5"/>
  <c r="H27" i="5"/>
  <c r="G27" i="5"/>
  <c r="F27" i="5"/>
  <c r="D27" i="5"/>
  <c r="C27" i="5"/>
  <c r="Q26" i="5"/>
  <c r="P26" i="5"/>
  <c r="M26" i="5"/>
  <c r="L26" i="5"/>
  <c r="K26" i="5"/>
  <c r="I26" i="5"/>
  <c r="H26" i="5"/>
  <c r="G26" i="5"/>
  <c r="F26" i="5"/>
  <c r="D26" i="5"/>
  <c r="C26" i="5"/>
  <c r="Q25" i="5"/>
  <c r="P25" i="5"/>
  <c r="M25" i="5"/>
  <c r="L25" i="5"/>
  <c r="K25" i="5"/>
  <c r="I25" i="5"/>
  <c r="H25" i="5"/>
  <c r="G25" i="5"/>
  <c r="F25" i="5"/>
  <c r="D25" i="5"/>
  <c r="C25" i="5"/>
  <c r="Q24" i="5"/>
  <c r="P24" i="5"/>
  <c r="M24" i="5"/>
  <c r="L24" i="5"/>
  <c r="K24" i="5"/>
  <c r="I24" i="5"/>
  <c r="H24" i="5"/>
  <c r="G24" i="5"/>
  <c r="F24" i="5"/>
  <c r="D24" i="5"/>
  <c r="C24" i="5"/>
  <c r="Q23" i="5"/>
  <c r="P23" i="5"/>
  <c r="M23" i="5"/>
  <c r="L23" i="5"/>
  <c r="K23" i="5"/>
  <c r="I23" i="5"/>
  <c r="H23" i="5"/>
  <c r="G23" i="5"/>
  <c r="F23" i="5"/>
  <c r="D23" i="5"/>
  <c r="C23" i="5"/>
  <c r="Q22" i="5"/>
  <c r="P22" i="5"/>
  <c r="M22" i="5"/>
  <c r="L22" i="5"/>
  <c r="K22" i="5"/>
  <c r="I22" i="5"/>
  <c r="H22" i="5"/>
  <c r="G22" i="5"/>
  <c r="F22" i="5"/>
  <c r="D22" i="5"/>
  <c r="C22" i="5"/>
  <c r="Q21" i="5"/>
  <c r="P21" i="5"/>
  <c r="M21" i="5"/>
  <c r="L21" i="5"/>
  <c r="K21" i="5"/>
  <c r="I21" i="5"/>
  <c r="H21" i="5"/>
  <c r="G21" i="5"/>
  <c r="F21" i="5"/>
  <c r="D21" i="5"/>
  <c r="C21" i="5"/>
  <c r="Q20" i="5"/>
  <c r="P20" i="5"/>
  <c r="M20" i="5"/>
  <c r="L20" i="5"/>
  <c r="K20" i="5"/>
  <c r="I20" i="5"/>
  <c r="H20" i="5"/>
  <c r="G20" i="5"/>
  <c r="F20" i="5"/>
  <c r="D20" i="5"/>
  <c r="C20" i="5"/>
  <c r="Q19" i="5"/>
  <c r="P19" i="5"/>
  <c r="M19" i="5"/>
  <c r="L19" i="5"/>
  <c r="K19" i="5"/>
  <c r="I19" i="5"/>
  <c r="H19" i="5"/>
  <c r="G19" i="5"/>
  <c r="F19" i="5"/>
  <c r="D19" i="5"/>
  <c r="C19" i="5"/>
  <c r="Q18" i="5"/>
  <c r="P18" i="5"/>
  <c r="M18" i="5"/>
  <c r="L18" i="5"/>
  <c r="K18" i="5"/>
  <c r="I18" i="5"/>
  <c r="H18" i="5"/>
  <c r="G18" i="5"/>
  <c r="F18" i="5"/>
  <c r="D18" i="5"/>
  <c r="C18" i="5"/>
  <c r="Q17" i="5"/>
  <c r="P17" i="5"/>
  <c r="M17" i="5"/>
  <c r="L17" i="5"/>
  <c r="K17" i="5"/>
  <c r="I17" i="5"/>
  <c r="H17" i="5"/>
  <c r="G17" i="5"/>
  <c r="F17" i="5"/>
  <c r="D17" i="5"/>
  <c r="C17" i="5"/>
  <c r="Q16" i="5"/>
  <c r="P16" i="5"/>
  <c r="M16" i="5"/>
  <c r="L16" i="5"/>
  <c r="K16" i="5"/>
  <c r="I16" i="5"/>
  <c r="H16" i="5"/>
  <c r="G16" i="5"/>
  <c r="F16" i="5"/>
  <c r="D16" i="5"/>
  <c r="C16" i="5"/>
  <c r="Q15" i="5"/>
  <c r="P15" i="5"/>
  <c r="M15" i="5"/>
  <c r="L15" i="5"/>
  <c r="K15" i="5"/>
  <c r="I15" i="5"/>
  <c r="H15" i="5"/>
  <c r="G15" i="5"/>
  <c r="F15" i="5"/>
  <c r="D15" i="5"/>
  <c r="C15" i="5"/>
  <c r="Q14" i="5"/>
  <c r="P14" i="5"/>
  <c r="M14" i="5"/>
  <c r="L14" i="5"/>
  <c r="K14" i="5"/>
  <c r="I14" i="5"/>
  <c r="H14" i="5"/>
  <c r="G14" i="5"/>
  <c r="F14" i="5"/>
  <c r="D14" i="5"/>
  <c r="C14" i="5"/>
  <c r="Q13" i="5"/>
  <c r="P13" i="5"/>
  <c r="M13" i="5"/>
  <c r="L13" i="5"/>
  <c r="K13" i="5"/>
  <c r="I13" i="5"/>
  <c r="H13" i="5"/>
  <c r="G13" i="5"/>
  <c r="F13" i="5"/>
  <c r="D13" i="5"/>
  <c r="C13" i="5"/>
  <c r="Q12" i="5"/>
  <c r="P12" i="5"/>
  <c r="M12" i="5"/>
  <c r="L12" i="5"/>
  <c r="K12" i="5"/>
  <c r="I12" i="5"/>
  <c r="H12" i="5"/>
  <c r="G12" i="5"/>
  <c r="F12" i="5"/>
  <c r="D12" i="5"/>
  <c r="C12" i="5"/>
  <c r="Q11" i="5"/>
  <c r="P11" i="5"/>
  <c r="M11" i="5"/>
  <c r="L11" i="5"/>
  <c r="K11" i="5"/>
  <c r="I11" i="5"/>
  <c r="H11" i="5"/>
  <c r="G11" i="5"/>
  <c r="F11" i="5"/>
  <c r="D11" i="5"/>
  <c r="C11" i="5"/>
  <c r="Q10" i="5"/>
  <c r="P10" i="5"/>
  <c r="M10" i="5"/>
  <c r="L10" i="5"/>
  <c r="K10" i="5"/>
  <c r="I10" i="5"/>
  <c r="H10" i="5"/>
  <c r="G10" i="5"/>
  <c r="F10" i="5"/>
  <c r="D10" i="5"/>
  <c r="C10" i="5"/>
  <c r="Q9" i="5"/>
  <c r="P9" i="5"/>
  <c r="M9" i="5"/>
  <c r="L9" i="5"/>
  <c r="K9" i="5"/>
  <c r="I9" i="5"/>
  <c r="H9" i="5"/>
  <c r="G9" i="5"/>
  <c r="F9" i="5"/>
  <c r="D9" i="5"/>
  <c r="C9" i="5"/>
  <c r="Q8" i="5"/>
  <c r="P8" i="5"/>
  <c r="M8" i="5"/>
  <c r="L8" i="5"/>
  <c r="K8" i="5"/>
  <c r="I8" i="5"/>
  <c r="H8" i="5"/>
  <c r="G8" i="5"/>
  <c r="F8" i="5"/>
  <c r="D8" i="5"/>
  <c r="C8" i="5"/>
  <c r="Q7" i="5"/>
  <c r="P7" i="5"/>
  <c r="M7" i="5"/>
  <c r="L7" i="5"/>
  <c r="K7" i="5"/>
  <c r="I7" i="5"/>
  <c r="H7" i="5"/>
  <c r="G7" i="5"/>
  <c r="F7" i="5"/>
  <c r="D7" i="5"/>
  <c r="C7" i="5"/>
  <c r="Q6" i="5"/>
  <c r="P6" i="5"/>
  <c r="M6" i="5"/>
  <c r="L6" i="5"/>
  <c r="K6" i="5"/>
  <c r="I6" i="5"/>
  <c r="H6" i="5"/>
  <c r="G6" i="5"/>
  <c r="F6" i="5"/>
  <c r="D6" i="5"/>
  <c r="C6" i="5"/>
  <c r="Q5" i="5"/>
  <c r="P5" i="5"/>
  <c r="M5" i="5"/>
  <c r="L5" i="5"/>
  <c r="K5" i="5"/>
  <c r="I5" i="5"/>
  <c r="H5" i="5"/>
  <c r="G5" i="5"/>
  <c r="F5" i="5"/>
  <c r="D5" i="5"/>
  <c r="C5" i="5"/>
  <c r="Q4" i="5"/>
  <c r="P4" i="5"/>
  <c r="M4" i="5"/>
  <c r="L4" i="5"/>
  <c r="K4" i="5"/>
  <c r="I4" i="5"/>
  <c r="H4" i="5"/>
  <c r="G4" i="5"/>
  <c r="F4" i="5"/>
  <c r="D4" i="5"/>
  <c r="C4" i="5"/>
  <c r="Q3" i="5"/>
  <c r="P3" i="5"/>
  <c r="M3" i="5"/>
  <c r="L3" i="5"/>
  <c r="K3" i="5"/>
  <c r="I3" i="5"/>
  <c r="H3" i="5"/>
  <c r="G3" i="5"/>
  <c r="F3" i="5"/>
  <c r="D3" i="5"/>
  <c r="C3" i="5"/>
  <c r="Q142" i="4"/>
  <c r="P142" i="4"/>
  <c r="M142" i="4"/>
  <c r="L142" i="4"/>
  <c r="K142" i="4"/>
  <c r="J142" i="4"/>
  <c r="I142" i="4"/>
  <c r="H142" i="4"/>
  <c r="G142" i="4"/>
  <c r="F142" i="4"/>
  <c r="D142" i="4"/>
  <c r="C142" i="4"/>
  <c r="Q141" i="4"/>
  <c r="P141" i="4"/>
  <c r="N141" i="4"/>
  <c r="M141" i="4"/>
  <c r="L141" i="4"/>
  <c r="K141" i="4"/>
  <c r="I141" i="4"/>
  <c r="H141" i="4"/>
  <c r="G141" i="4"/>
  <c r="F141" i="4"/>
  <c r="D141" i="4"/>
  <c r="C141" i="4"/>
  <c r="Q140" i="4"/>
  <c r="P140" i="4"/>
  <c r="M140" i="4"/>
  <c r="L140" i="4"/>
  <c r="K140" i="4"/>
  <c r="J140" i="4"/>
  <c r="I140" i="4"/>
  <c r="H140" i="4"/>
  <c r="G140" i="4"/>
  <c r="F140" i="4"/>
  <c r="D140" i="4"/>
  <c r="C140" i="4"/>
  <c r="Q139" i="4"/>
  <c r="P139" i="4"/>
  <c r="M139" i="4"/>
  <c r="L139" i="4"/>
  <c r="K139" i="4"/>
  <c r="I139" i="4"/>
  <c r="H139" i="4"/>
  <c r="G139" i="4"/>
  <c r="F139" i="4"/>
  <c r="D139" i="4"/>
  <c r="C139" i="4"/>
  <c r="Q138" i="4"/>
  <c r="P138" i="4"/>
  <c r="M138" i="4"/>
  <c r="L138" i="4"/>
  <c r="K138" i="4"/>
  <c r="I138" i="4"/>
  <c r="H138" i="4"/>
  <c r="G138" i="4"/>
  <c r="F138" i="4"/>
  <c r="D138" i="4"/>
  <c r="C138" i="4"/>
  <c r="Q137" i="4"/>
  <c r="P137" i="4"/>
  <c r="M137" i="4"/>
  <c r="L137" i="4"/>
  <c r="K137" i="4"/>
  <c r="I137" i="4"/>
  <c r="H137" i="4"/>
  <c r="G137" i="4"/>
  <c r="F137" i="4"/>
  <c r="D137" i="4"/>
  <c r="C137" i="4"/>
  <c r="Q136" i="4"/>
  <c r="P136" i="4"/>
  <c r="M136" i="4"/>
  <c r="L136" i="4"/>
  <c r="K136" i="4"/>
  <c r="I136" i="4"/>
  <c r="H136" i="4"/>
  <c r="G136" i="4"/>
  <c r="F136" i="4"/>
  <c r="D136" i="4"/>
  <c r="C136" i="4"/>
  <c r="Q135" i="4"/>
  <c r="P135" i="4"/>
  <c r="M135" i="4"/>
  <c r="L135" i="4"/>
  <c r="K135" i="4"/>
  <c r="I135" i="4"/>
  <c r="H135" i="4"/>
  <c r="G135" i="4"/>
  <c r="F135" i="4"/>
  <c r="D135" i="4"/>
  <c r="C135" i="4"/>
  <c r="Q134" i="4"/>
  <c r="P134" i="4"/>
  <c r="M134" i="4"/>
  <c r="L134" i="4"/>
  <c r="K134" i="4"/>
  <c r="I134" i="4"/>
  <c r="H134" i="4"/>
  <c r="G134" i="4"/>
  <c r="F134" i="4"/>
  <c r="D134" i="4"/>
  <c r="C134" i="4"/>
  <c r="Q133" i="4"/>
  <c r="P133" i="4"/>
  <c r="M133" i="4"/>
  <c r="L133" i="4"/>
  <c r="K133" i="4"/>
  <c r="I133" i="4"/>
  <c r="H133" i="4"/>
  <c r="G133" i="4"/>
  <c r="F133" i="4"/>
  <c r="D133" i="4"/>
  <c r="C133" i="4"/>
  <c r="Q132" i="4"/>
  <c r="P132" i="4"/>
  <c r="M132" i="4"/>
  <c r="L132" i="4"/>
  <c r="K132" i="4"/>
  <c r="I132" i="4"/>
  <c r="H132" i="4"/>
  <c r="G132" i="4"/>
  <c r="F132" i="4"/>
  <c r="D132" i="4"/>
  <c r="C132" i="4"/>
  <c r="Q131" i="4"/>
  <c r="P131" i="4"/>
  <c r="M131" i="4"/>
  <c r="L131" i="4"/>
  <c r="K131" i="4"/>
  <c r="I131" i="4"/>
  <c r="H131" i="4"/>
  <c r="G131" i="4"/>
  <c r="F131" i="4"/>
  <c r="D131" i="4"/>
  <c r="C131" i="4"/>
  <c r="Q130" i="4"/>
  <c r="P130" i="4"/>
  <c r="M130" i="4"/>
  <c r="L130" i="4"/>
  <c r="K130" i="4"/>
  <c r="I130" i="4"/>
  <c r="H130" i="4"/>
  <c r="G130" i="4"/>
  <c r="F130" i="4"/>
  <c r="D130" i="4"/>
  <c r="C130" i="4"/>
  <c r="Q129" i="4"/>
  <c r="P129" i="4"/>
  <c r="M129" i="4"/>
  <c r="L129" i="4"/>
  <c r="K129" i="4"/>
  <c r="I129" i="4"/>
  <c r="H129" i="4"/>
  <c r="G129" i="4"/>
  <c r="F129" i="4"/>
  <c r="D129" i="4"/>
  <c r="C129" i="4"/>
  <c r="Q128" i="4"/>
  <c r="P128" i="4"/>
  <c r="M128" i="4"/>
  <c r="L128" i="4"/>
  <c r="K128" i="4"/>
  <c r="I128" i="4"/>
  <c r="H128" i="4"/>
  <c r="G128" i="4"/>
  <c r="F128" i="4"/>
  <c r="D128" i="4"/>
  <c r="C128" i="4"/>
  <c r="Q127" i="4"/>
  <c r="P127" i="4"/>
  <c r="M127" i="4"/>
  <c r="L127" i="4"/>
  <c r="K127" i="4"/>
  <c r="I127" i="4"/>
  <c r="H127" i="4"/>
  <c r="G127" i="4"/>
  <c r="F127" i="4"/>
  <c r="D127" i="4"/>
  <c r="C127" i="4"/>
  <c r="Q126" i="4"/>
  <c r="P126" i="4"/>
  <c r="M126" i="4"/>
  <c r="L126" i="4"/>
  <c r="K126" i="4"/>
  <c r="I126" i="4"/>
  <c r="H126" i="4"/>
  <c r="G126" i="4"/>
  <c r="F126" i="4"/>
  <c r="D126" i="4"/>
  <c r="C126" i="4"/>
  <c r="Q125" i="4"/>
  <c r="P125" i="4"/>
  <c r="M125" i="4"/>
  <c r="L125" i="4"/>
  <c r="K125" i="4"/>
  <c r="I125" i="4"/>
  <c r="H125" i="4"/>
  <c r="G125" i="4"/>
  <c r="F125" i="4"/>
  <c r="D125" i="4"/>
  <c r="C125" i="4"/>
  <c r="Q124" i="4"/>
  <c r="P124" i="4"/>
  <c r="M124" i="4"/>
  <c r="L124" i="4"/>
  <c r="K124" i="4"/>
  <c r="I124" i="4"/>
  <c r="H124" i="4"/>
  <c r="G124" i="4"/>
  <c r="F124" i="4"/>
  <c r="D124" i="4"/>
  <c r="C124" i="4"/>
  <c r="Q123" i="4"/>
  <c r="P123" i="4"/>
  <c r="M123" i="4"/>
  <c r="L123" i="4"/>
  <c r="K123" i="4"/>
  <c r="I123" i="4"/>
  <c r="H123" i="4"/>
  <c r="G123" i="4"/>
  <c r="F123" i="4"/>
  <c r="D123" i="4"/>
  <c r="C123" i="4"/>
  <c r="Q122" i="4"/>
  <c r="P122" i="4"/>
  <c r="M122" i="4"/>
  <c r="L122" i="4"/>
  <c r="K122" i="4"/>
  <c r="I122" i="4"/>
  <c r="H122" i="4"/>
  <c r="G122" i="4"/>
  <c r="F122" i="4"/>
  <c r="D122" i="4"/>
  <c r="C122" i="4"/>
  <c r="Q121" i="4"/>
  <c r="P121" i="4"/>
  <c r="M121" i="4"/>
  <c r="L121" i="4"/>
  <c r="K121" i="4"/>
  <c r="I121" i="4"/>
  <c r="H121" i="4"/>
  <c r="G121" i="4"/>
  <c r="F121" i="4"/>
  <c r="D121" i="4"/>
  <c r="C121" i="4"/>
  <c r="Q120" i="4"/>
  <c r="P120" i="4"/>
  <c r="M120" i="4"/>
  <c r="L120" i="4"/>
  <c r="K120" i="4"/>
  <c r="I120" i="4"/>
  <c r="H120" i="4"/>
  <c r="G120" i="4"/>
  <c r="F120" i="4"/>
  <c r="D120" i="4"/>
  <c r="C120" i="4"/>
  <c r="Q119" i="4"/>
  <c r="P119" i="4"/>
  <c r="M119" i="4"/>
  <c r="L119" i="4"/>
  <c r="K119" i="4"/>
  <c r="I119" i="4"/>
  <c r="H119" i="4"/>
  <c r="G119" i="4"/>
  <c r="F119" i="4"/>
  <c r="D119" i="4"/>
  <c r="C119" i="4"/>
  <c r="Q118" i="4"/>
  <c r="P118" i="4"/>
  <c r="M118" i="4"/>
  <c r="L118" i="4"/>
  <c r="K118" i="4"/>
  <c r="I118" i="4"/>
  <c r="H118" i="4"/>
  <c r="G118" i="4"/>
  <c r="F118" i="4"/>
  <c r="D118" i="4"/>
  <c r="C118" i="4"/>
  <c r="Q117" i="4"/>
  <c r="P117" i="4"/>
  <c r="M117" i="4"/>
  <c r="L117" i="4"/>
  <c r="K117" i="4"/>
  <c r="I117" i="4"/>
  <c r="H117" i="4"/>
  <c r="G117" i="4"/>
  <c r="F117" i="4"/>
  <c r="D117" i="4"/>
  <c r="C117" i="4"/>
  <c r="Q116" i="4"/>
  <c r="P116" i="4"/>
  <c r="M116" i="4"/>
  <c r="L116" i="4"/>
  <c r="K116" i="4"/>
  <c r="I116" i="4"/>
  <c r="H116" i="4"/>
  <c r="G116" i="4"/>
  <c r="F116" i="4"/>
  <c r="D116" i="4"/>
  <c r="C116" i="4"/>
  <c r="Q115" i="4"/>
  <c r="P115" i="4"/>
  <c r="M115" i="4"/>
  <c r="L115" i="4"/>
  <c r="K115" i="4"/>
  <c r="I115" i="4"/>
  <c r="H115" i="4"/>
  <c r="G115" i="4"/>
  <c r="F115" i="4"/>
  <c r="D115" i="4"/>
  <c r="C115" i="4"/>
  <c r="Q114" i="4"/>
  <c r="P114" i="4"/>
  <c r="M114" i="4"/>
  <c r="L114" i="4"/>
  <c r="K114" i="4"/>
  <c r="I114" i="4"/>
  <c r="H114" i="4"/>
  <c r="G114" i="4"/>
  <c r="F114" i="4"/>
  <c r="D114" i="4"/>
  <c r="C114" i="4"/>
  <c r="Q113" i="4"/>
  <c r="P113" i="4"/>
  <c r="M113" i="4"/>
  <c r="L113" i="4"/>
  <c r="K113" i="4"/>
  <c r="I113" i="4"/>
  <c r="H113" i="4"/>
  <c r="G113" i="4"/>
  <c r="F113" i="4"/>
  <c r="D113" i="4"/>
  <c r="C113" i="4"/>
  <c r="Q112" i="4"/>
  <c r="P112" i="4"/>
  <c r="M112" i="4"/>
  <c r="L112" i="4"/>
  <c r="K112" i="4"/>
  <c r="I112" i="4"/>
  <c r="H112" i="4"/>
  <c r="G112" i="4"/>
  <c r="F112" i="4"/>
  <c r="D112" i="4"/>
  <c r="C112" i="4"/>
  <c r="Q111" i="4"/>
  <c r="P111" i="4"/>
  <c r="M111" i="4"/>
  <c r="L111" i="4"/>
  <c r="K111" i="4"/>
  <c r="I111" i="4"/>
  <c r="H111" i="4"/>
  <c r="G111" i="4"/>
  <c r="F111" i="4"/>
  <c r="D111" i="4"/>
  <c r="C111" i="4"/>
  <c r="Q110" i="4"/>
  <c r="P110" i="4"/>
  <c r="M110" i="4"/>
  <c r="L110" i="4"/>
  <c r="K110" i="4"/>
  <c r="J110" i="4"/>
  <c r="I110" i="4"/>
  <c r="H110" i="4"/>
  <c r="G110" i="4"/>
  <c r="F110" i="4"/>
  <c r="D110" i="4"/>
  <c r="C110" i="4"/>
  <c r="Q109" i="4"/>
  <c r="P109" i="4"/>
  <c r="N109" i="4"/>
  <c r="M109" i="4"/>
  <c r="L109" i="4"/>
  <c r="K109" i="4"/>
  <c r="J109" i="4"/>
  <c r="I109" i="4"/>
  <c r="H109" i="4"/>
  <c r="G109" i="4"/>
  <c r="F109" i="4"/>
  <c r="D109" i="4"/>
  <c r="C109" i="4"/>
  <c r="Q108" i="4"/>
  <c r="P108" i="4"/>
  <c r="N108" i="4"/>
  <c r="M108" i="4"/>
  <c r="L108" i="4"/>
  <c r="K108" i="4"/>
  <c r="J108" i="4"/>
  <c r="I108" i="4"/>
  <c r="H108" i="4"/>
  <c r="G108" i="4"/>
  <c r="F108" i="4"/>
  <c r="D108" i="4"/>
  <c r="C108" i="4"/>
  <c r="Q107" i="4"/>
  <c r="P107" i="4"/>
  <c r="N107" i="4"/>
  <c r="M107" i="4"/>
  <c r="L107" i="4"/>
  <c r="K107" i="4"/>
  <c r="J107" i="4"/>
  <c r="I107" i="4"/>
  <c r="H107" i="4"/>
  <c r="G107" i="4"/>
  <c r="F107" i="4"/>
  <c r="D107" i="4"/>
  <c r="C107" i="4"/>
  <c r="Q106" i="4"/>
  <c r="P106" i="4"/>
  <c r="N106" i="4"/>
  <c r="M106" i="4"/>
  <c r="L106" i="4"/>
  <c r="K106" i="4"/>
  <c r="J106" i="4"/>
  <c r="I106" i="4"/>
  <c r="H106" i="4"/>
  <c r="G106" i="4"/>
  <c r="F106" i="4"/>
  <c r="D106" i="4"/>
  <c r="C106" i="4"/>
  <c r="Q105" i="4"/>
  <c r="P105" i="4"/>
  <c r="N105" i="4"/>
  <c r="M105" i="4"/>
  <c r="L105" i="4"/>
  <c r="K105" i="4"/>
  <c r="J105" i="4"/>
  <c r="I105" i="4"/>
  <c r="H105" i="4"/>
  <c r="G105" i="4"/>
  <c r="F105" i="4"/>
  <c r="D105" i="4"/>
  <c r="C105" i="4"/>
  <c r="Q104" i="4"/>
  <c r="P104" i="4"/>
  <c r="N104" i="4"/>
  <c r="M104" i="4"/>
  <c r="L104" i="4"/>
  <c r="K104" i="4"/>
  <c r="J104" i="4"/>
  <c r="I104" i="4"/>
  <c r="H104" i="4"/>
  <c r="G104" i="4"/>
  <c r="F104" i="4"/>
  <c r="D104" i="4"/>
  <c r="C104" i="4"/>
  <c r="Q103" i="4"/>
  <c r="P103" i="4"/>
  <c r="N103" i="4"/>
  <c r="M103" i="4"/>
  <c r="L103" i="4"/>
  <c r="K103" i="4"/>
  <c r="J103" i="4"/>
  <c r="I103" i="4"/>
  <c r="H103" i="4"/>
  <c r="G103" i="4"/>
  <c r="F103" i="4"/>
  <c r="D103" i="4"/>
  <c r="C103" i="4"/>
  <c r="Q102" i="4"/>
  <c r="P102" i="4"/>
  <c r="N102" i="4"/>
  <c r="M102" i="4"/>
  <c r="L102" i="4"/>
  <c r="K102" i="4"/>
  <c r="J102" i="4"/>
  <c r="I102" i="4"/>
  <c r="H102" i="4"/>
  <c r="G102" i="4"/>
  <c r="F102" i="4"/>
  <c r="D102" i="4"/>
  <c r="C102" i="4"/>
  <c r="Q101" i="4"/>
  <c r="P101" i="4"/>
  <c r="N101" i="4"/>
  <c r="M101" i="4"/>
  <c r="L101" i="4"/>
  <c r="K101" i="4"/>
  <c r="J101" i="4"/>
  <c r="I101" i="4"/>
  <c r="H101" i="4"/>
  <c r="G101" i="4"/>
  <c r="F101" i="4"/>
  <c r="D101" i="4"/>
  <c r="C101" i="4"/>
  <c r="Q100" i="4"/>
  <c r="P100" i="4"/>
  <c r="N100" i="4"/>
  <c r="M100" i="4"/>
  <c r="L100" i="4"/>
  <c r="K100" i="4"/>
  <c r="J100" i="4"/>
  <c r="I100" i="4"/>
  <c r="H100" i="4"/>
  <c r="G100" i="4"/>
  <c r="F100" i="4"/>
  <c r="D100" i="4"/>
  <c r="C100" i="4"/>
  <c r="Q99" i="4"/>
  <c r="P99" i="4"/>
  <c r="N99" i="4"/>
  <c r="M99" i="4"/>
  <c r="L99" i="4"/>
  <c r="K99" i="4"/>
  <c r="J99" i="4"/>
  <c r="I99" i="4"/>
  <c r="H99" i="4"/>
  <c r="G99" i="4"/>
  <c r="F99" i="4"/>
  <c r="D99" i="4"/>
  <c r="C99" i="4"/>
  <c r="Q98" i="4"/>
  <c r="P98" i="4"/>
  <c r="N98" i="4"/>
  <c r="M98" i="4"/>
  <c r="L98" i="4"/>
  <c r="K98" i="4"/>
  <c r="J98" i="4"/>
  <c r="I98" i="4"/>
  <c r="H98" i="4"/>
  <c r="G98" i="4"/>
  <c r="F98" i="4"/>
  <c r="D98" i="4"/>
  <c r="C98" i="4"/>
  <c r="Q97" i="4"/>
  <c r="P97" i="4"/>
  <c r="N97" i="4"/>
  <c r="M97" i="4"/>
  <c r="L97" i="4"/>
  <c r="K97" i="4"/>
  <c r="J97" i="4"/>
  <c r="I97" i="4"/>
  <c r="H97" i="4"/>
  <c r="G97" i="4"/>
  <c r="F97" i="4"/>
  <c r="D97" i="4"/>
  <c r="C97" i="4"/>
  <c r="Q96" i="4"/>
  <c r="P96" i="4"/>
  <c r="N96" i="4"/>
  <c r="M96" i="4"/>
  <c r="L96" i="4"/>
  <c r="K96" i="4"/>
  <c r="J96" i="4"/>
  <c r="I96" i="4"/>
  <c r="H96" i="4"/>
  <c r="G96" i="4"/>
  <c r="F96" i="4"/>
  <c r="D96" i="4"/>
  <c r="C96" i="4"/>
  <c r="Q95" i="4"/>
  <c r="P95" i="4"/>
  <c r="N95" i="4"/>
  <c r="M95" i="4"/>
  <c r="L95" i="4"/>
  <c r="K95" i="4"/>
  <c r="J95" i="4"/>
  <c r="I95" i="4"/>
  <c r="H95" i="4"/>
  <c r="G95" i="4"/>
  <c r="F95" i="4"/>
  <c r="D95" i="4"/>
  <c r="C95" i="4"/>
  <c r="Q94" i="4"/>
  <c r="P94" i="4"/>
  <c r="N94" i="4"/>
  <c r="M94" i="4"/>
  <c r="L94" i="4"/>
  <c r="K94" i="4"/>
  <c r="J94" i="4"/>
  <c r="I94" i="4"/>
  <c r="H94" i="4"/>
  <c r="G94" i="4"/>
  <c r="F94" i="4"/>
  <c r="D94" i="4"/>
  <c r="C94" i="4"/>
  <c r="Q93" i="4"/>
  <c r="P93" i="4"/>
  <c r="N93" i="4"/>
  <c r="M93" i="4"/>
  <c r="L93" i="4"/>
  <c r="K93" i="4"/>
  <c r="J93" i="4"/>
  <c r="I93" i="4"/>
  <c r="H93" i="4"/>
  <c r="G93" i="4"/>
  <c r="F93" i="4"/>
  <c r="D93" i="4"/>
  <c r="C93" i="4"/>
  <c r="Q92" i="4"/>
  <c r="P92" i="4"/>
  <c r="N92" i="4"/>
  <c r="M92" i="4"/>
  <c r="L92" i="4"/>
  <c r="K92" i="4"/>
  <c r="J92" i="4"/>
  <c r="I92" i="4"/>
  <c r="H92" i="4"/>
  <c r="G92" i="4"/>
  <c r="F92" i="4"/>
  <c r="D92" i="4"/>
  <c r="C92" i="4"/>
  <c r="Q91" i="4"/>
  <c r="P91" i="4"/>
  <c r="N91" i="4"/>
  <c r="M91" i="4"/>
  <c r="L91" i="4"/>
  <c r="K91" i="4"/>
  <c r="J91" i="4"/>
  <c r="I91" i="4"/>
  <c r="H91" i="4"/>
  <c r="G91" i="4"/>
  <c r="F91" i="4"/>
  <c r="D91" i="4"/>
  <c r="C91" i="4"/>
  <c r="Q90" i="4"/>
  <c r="P90" i="4"/>
  <c r="N90" i="4"/>
  <c r="M90" i="4"/>
  <c r="L90" i="4"/>
  <c r="K90" i="4"/>
  <c r="J90" i="4"/>
  <c r="I90" i="4"/>
  <c r="H90" i="4"/>
  <c r="G90" i="4"/>
  <c r="F90" i="4"/>
  <c r="D90" i="4"/>
  <c r="C90" i="4"/>
  <c r="Q89" i="4"/>
  <c r="P89" i="4"/>
  <c r="N89" i="4"/>
  <c r="M89" i="4"/>
  <c r="L89" i="4"/>
  <c r="K89" i="4"/>
  <c r="J89" i="4"/>
  <c r="I89" i="4"/>
  <c r="H89" i="4"/>
  <c r="G89" i="4"/>
  <c r="F89" i="4"/>
  <c r="D89" i="4"/>
  <c r="C89" i="4"/>
  <c r="Q88" i="4"/>
  <c r="P88" i="4"/>
  <c r="N88" i="4"/>
  <c r="M88" i="4"/>
  <c r="L88" i="4"/>
  <c r="K88" i="4"/>
  <c r="J88" i="4"/>
  <c r="I88" i="4"/>
  <c r="H88" i="4"/>
  <c r="G88" i="4"/>
  <c r="F88" i="4"/>
  <c r="D88" i="4"/>
  <c r="C88" i="4"/>
  <c r="Q87" i="4"/>
  <c r="P87" i="4"/>
  <c r="N87" i="4"/>
  <c r="M87" i="4"/>
  <c r="L87" i="4"/>
  <c r="K87" i="4"/>
  <c r="J87" i="4"/>
  <c r="I87" i="4"/>
  <c r="H87" i="4"/>
  <c r="G87" i="4"/>
  <c r="F87" i="4"/>
  <c r="D87" i="4"/>
  <c r="C87" i="4"/>
  <c r="Q86" i="4"/>
  <c r="P86" i="4"/>
  <c r="N86" i="4"/>
  <c r="M86" i="4"/>
  <c r="L86" i="4"/>
  <c r="K86" i="4"/>
  <c r="J86" i="4"/>
  <c r="I86" i="4"/>
  <c r="H86" i="4"/>
  <c r="G86" i="4"/>
  <c r="F86" i="4"/>
  <c r="D86" i="4"/>
  <c r="C86" i="4"/>
  <c r="Q85" i="4"/>
  <c r="P85" i="4"/>
  <c r="N85" i="4"/>
  <c r="M85" i="4"/>
  <c r="L85" i="4"/>
  <c r="K85" i="4"/>
  <c r="J85" i="4"/>
  <c r="I85" i="4"/>
  <c r="H85" i="4"/>
  <c r="G85" i="4"/>
  <c r="F85" i="4"/>
  <c r="D85" i="4"/>
  <c r="C85" i="4"/>
  <c r="Q84" i="4"/>
  <c r="P84" i="4"/>
  <c r="N84" i="4"/>
  <c r="M84" i="4"/>
  <c r="L84" i="4"/>
  <c r="K84" i="4"/>
  <c r="J84" i="4"/>
  <c r="I84" i="4"/>
  <c r="H84" i="4"/>
  <c r="G84" i="4"/>
  <c r="F84" i="4"/>
  <c r="D84" i="4"/>
  <c r="C84" i="4"/>
  <c r="Q83" i="4"/>
  <c r="P83" i="4"/>
  <c r="N83" i="4"/>
  <c r="M83" i="4"/>
  <c r="L83" i="4"/>
  <c r="K83" i="4"/>
  <c r="J83" i="4"/>
  <c r="I83" i="4"/>
  <c r="H83" i="4"/>
  <c r="G83" i="4"/>
  <c r="F83" i="4"/>
  <c r="D83" i="4"/>
  <c r="C83" i="4"/>
  <c r="Q82" i="4"/>
  <c r="P82" i="4"/>
  <c r="N82" i="4"/>
  <c r="M82" i="4"/>
  <c r="L82" i="4"/>
  <c r="K82" i="4"/>
  <c r="J82" i="4"/>
  <c r="I82" i="4"/>
  <c r="H82" i="4"/>
  <c r="G82" i="4"/>
  <c r="F82" i="4"/>
  <c r="D82" i="4"/>
  <c r="C82" i="4"/>
  <c r="Q81" i="4"/>
  <c r="P81" i="4"/>
  <c r="N81" i="4"/>
  <c r="M81" i="4"/>
  <c r="L81" i="4"/>
  <c r="K81" i="4"/>
  <c r="J81" i="4"/>
  <c r="I81" i="4"/>
  <c r="H81" i="4"/>
  <c r="G81" i="4"/>
  <c r="F81" i="4"/>
  <c r="D81" i="4"/>
  <c r="C81" i="4"/>
  <c r="Q80" i="4"/>
  <c r="P80" i="4"/>
  <c r="N80" i="4"/>
  <c r="M80" i="4"/>
  <c r="L80" i="4"/>
  <c r="K80" i="4"/>
  <c r="J80" i="4"/>
  <c r="I80" i="4"/>
  <c r="H80" i="4"/>
  <c r="G80" i="4"/>
  <c r="F80" i="4"/>
  <c r="D80" i="4"/>
  <c r="C80" i="4"/>
  <c r="Q79" i="4"/>
  <c r="P79" i="4"/>
  <c r="N79" i="4"/>
  <c r="M79" i="4"/>
  <c r="L79" i="4"/>
  <c r="K79" i="4"/>
  <c r="J79" i="4"/>
  <c r="I79" i="4"/>
  <c r="H79" i="4"/>
  <c r="G79" i="4"/>
  <c r="F79" i="4"/>
  <c r="D79" i="4"/>
  <c r="C79" i="4"/>
  <c r="Q78" i="4"/>
  <c r="P78" i="4"/>
  <c r="N78" i="4"/>
  <c r="M78" i="4"/>
  <c r="L78" i="4"/>
  <c r="K78" i="4"/>
  <c r="J78" i="4"/>
  <c r="I78" i="4"/>
  <c r="H78" i="4"/>
  <c r="G78" i="4"/>
  <c r="F78" i="4"/>
  <c r="D78" i="4"/>
  <c r="C78" i="4"/>
  <c r="Q77" i="4"/>
  <c r="P77" i="4"/>
  <c r="N77" i="4"/>
  <c r="M77" i="4"/>
  <c r="L77" i="4"/>
  <c r="K77" i="4"/>
  <c r="J77" i="4"/>
  <c r="I77" i="4"/>
  <c r="H77" i="4"/>
  <c r="G77" i="4"/>
  <c r="F77" i="4"/>
  <c r="D77" i="4"/>
  <c r="C77" i="4"/>
  <c r="Q76" i="4"/>
  <c r="P76" i="4"/>
  <c r="N76" i="4"/>
  <c r="M76" i="4"/>
  <c r="L76" i="4"/>
  <c r="K76" i="4"/>
  <c r="J76" i="4"/>
  <c r="I76" i="4"/>
  <c r="H76" i="4"/>
  <c r="G76" i="4"/>
  <c r="F76" i="4"/>
  <c r="D76" i="4"/>
  <c r="C76" i="4"/>
  <c r="Q75" i="4"/>
  <c r="P75" i="4"/>
  <c r="N75" i="4"/>
  <c r="M75" i="4"/>
  <c r="L75" i="4"/>
  <c r="K75" i="4"/>
  <c r="J75" i="4"/>
  <c r="I75" i="4"/>
  <c r="H75" i="4"/>
  <c r="G75" i="4"/>
  <c r="F75" i="4"/>
  <c r="D75" i="4"/>
  <c r="C75" i="4"/>
  <c r="Q74" i="4"/>
  <c r="P74" i="4"/>
  <c r="N74" i="4"/>
  <c r="M74" i="4"/>
  <c r="L74" i="4"/>
  <c r="K74" i="4"/>
  <c r="J74" i="4"/>
  <c r="I74" i="4"/>
  <c r="H74" i="4"/>
  <c r="G74" i="4"/>
  <c r="F74" i="4"/>
  <c r="D74" i="4"/>
  <c r="C74" i="4"/>
  <c r="Q73" i="4"/>
  <c r="P73" i="4"/>
  <c r="N73" i="4"/>
  <c r="M73" i="4"/>
  <c r="L73" i="4"/>
  <c r="K73" i="4"/>
  <c r="J73" i="4"/>
  <c r="I73" i="4"/>
  <c r="H73" i="4"/>
  <c r="G73" i="4"/>
  <c r="F73" i="4"/>
  <c r="D73" i="4"/>
  <c r="C73" i="4"/>
  <c r="Q72" i="4"/>
  <c r="P72" i="4"/>
  <c r="N72" i="4"/>
  <c r="M72" i="4"/>
  <c r="L72" i="4"/>
  <c r="K72" i="4"/>
  <c r="J72" i="4"/>
  <c r="I72" i="4"/>
  <c r="H72" i="4"/>
  <c r="G72" i="4"/>
  <c r="F72" i="4"/>
  <c r="D72" i="4"/>
  <c r="C72" i="4"/>
  <c r="Q71" i="4"/>
  <c r="P71" i="4"/>
  <c r="N71" i="4"/>
  <c r="M71" i="4"/>
  <c r="L71" i="4"/>
  <c r="K71" i="4"/>
  <c r="J71" i="4"/>
  <c r="I71" i="4"/>
  <c r="H71" i="4"/>
  <c r="G71" i="4"/>
  <c r="F71" i="4"/>
  <c r="D71" i="4"/>
  <c r="C71" i="4"/>
  <c r="Q70" i="4"/>
  <c r="P70" i="4"/>
  <c r="N70" i="4"/>
  <c r="M70" i="4"/>
  <c r="L70" i="4"/>
  <c r="K70" i="4"/>
  <c r="J70" i="4"/>
  <c r="I70" i="4"/>
  <c r="H70" i="4"/>
  <c r="G70" i="4"/>
  <c r="F70" i="4"/>
  <c r="D70" i="4"/>
  <c r="C70" i="4"/>
  <c r="Q69" i="4"/>
  <c r="P69" i="4"/>
  <c r="N69" i="4"/>
  <c r="M69" i="4"/>
  <c r="L69" i="4"/>
  <c r="K69" i="4"/>
  <c r="J69" i="4"/>
  <c r="I69" i="4"/>
  <c r="H69" i="4"/>
  <c r="G69" i="4"/>
  <c r="F69" i="4"/>
  <c r="D69" i="4"/>
  <c r="C69" i="4"/>
  <c r="Q68" i="4"/>
  <c r="P68" i="4"/>
  <c r="N68" i="4"/>
  <c r="M68" i="4"/>
  <c r="L68" i="4"/>
  <c r="K68" i="4"/>
  <c r="J68" i="4"/>
  <c r="I68" i="4"/>
  <c r="H68" i="4"/>
  <c r="G68" i="4"/>
  <c r="F68" i="4"/>
  <c r="D68" i="4"/>
  <c r="C68" i="4"/>
  <c r="Q67" i="4"/>
  <c r="P67" i="4"/>
  <c r="N67" i="4"/>
  <c r="M67" i="4"/>
  <c r="L67" i="4"/>
  <c r="K67" i="4"/>
  <c r="J67" i="4"/>
  <c r="I67" i="4"/>
  <c r="H67" i="4"/>
  <c r="G67" i="4"/>
  <c r="F67" i="4"/>
  <c r="D67" i="4"/>
  <c r="C67" i="4"/>
  <c r="Q66" i="4"/>
  <c r="P66" i="4"/>
  <c r="N66" i="4"/>
  <c r="M66" i="4"/>
  <c r="L66" i="4"/>
  <c r="K66" i="4"/>
  <c r="J66" i="4"/>
  <c r="I66" i="4"/>
  <c r="H66" i="4"/>
  <c r="G66" i="4"/>
  <c r="F66" i="4"/>
  <c r="D66" i="4"/>
  <c r="C66" i="4"/>
  <c r="Q65" i="4"/>
  <c r="P65" i="4"/>
  <c r="N65" i="4"/>
  <c r="M65" i="4"/>
  <c r="L65" i="4"/>
  <c r="K65" i="4"/>
  <c r="J65" i="4"/>
  <c r="I65" i="4"/>
  <c r="H65" i="4"/>
  <c r="G65" i="4"/>
  <c r="F65" i="4"/>
  <c r="D65" i="4"/>
  <c r="C65" i="4"/>
  <c r="Q64" i="4"/>
  <c r="P64" i="4"/>
  <c r="N64" i="4"/>
  <c r="M64" i="4"/>
  <c r="L64" i="4"/>
  <c r="K64" i="4"/>
  <c r="J64" i="4"/>
  <c r="I64" i="4"/>
  <c r="H64" i="4"/>
  <c r="G64" i="4"/>
  <c r="F64" i="4"/>
  <c r="D64" i="4"/>
  <c r="C64" i="4"/>
  <c r="Q63" i="4"/>
  <c r="P63" i="4"/>
  <c r="N63" i="4"/>
  <c r="M63" i="4"/>
  <c r="L63" i="4"/>
  <c r="K63" i="4"/>
  <c r="J63" i="4"/>
  <c r="I63" i="4"/>
  <c r="H63" i="4"/>
  <c r="G63" i="4"/>
  <c r="F63" i="4"/>
  <c r="D63" i="4"/>
  <c r="C63" i="4"/>
  <c r="Q62" i="4"/>
  <c r="P62" i="4"/>
  <c r="N62" i="4"/>
  <c r="M62" i="4"/>
  <c r="L62" i="4"/>
  <c r="K62" i="4"/>
  <c r="J62" i="4"/>
  <c r="I62" i="4"/>
  <c r="H62" i="4"/>
  <c r="G62" i="4"/>
  <c r="F62" i="4"/>
  <c r="D62" i="4"/>
  <c r="C62" i="4"/>
  <c r="Q61" i="4"/>
  <c r="P61" i="4"/>
  <c r="N61" i="4"/>
  <c r="M61" i="4"/>
  <c r="L61" i="4"/>
  <c r="K61" i="4"/>
  <c r="J61" i="4"/>
  <c r="I61" i="4"/>
  <c r="H61" i="4"/>
  <c r="G61" i="4"/>
  <c r="F61" i="4"/>
  <c r="D61" i="4"/>
  <c r="C61" i="4"/>
  <c r="Q60" i="4"/>
  <c r="P60" i="4"/>
  <c r="N60" i="4"/>
  <c r="M60" i="4"/>
  <c r="L60" i="4"/>
  <c r="K60" i="4"/>
  <c r="J60" i="4"/>
  <c r="I60" i="4"/>
  <c r="H60" i="4"/>
  <c r="G60" i="4"/>
  <c r="F60" i="4"/>
  <c r="D60" i="4"/>
  <c r="C60" i="4"/>
  <c r="Q59" i="4"/>
  <c r="P59" i="4"/>
  <c r="N59" i="4"/>
  <c r="M59" i="4"/>
  <c r="L59" i="4"/>
  <c r="K59" i="4"/>
  <c r="J59" i="4"/>
  <c r="I59" i="4"/>
  <c r="H59" i="4"/>
  <c r="G59" i="4"/>
  <c r="F59" i="4"/>
  <c r="D59" i="4"/>
  <c r="C59" i="4"/>
  <c r="Q58" i="4"/>
  <c r="P58" i="4"/>
  <c r="N58" i="4"/>
  <c r="M58" i="4"/>
  <c r="L58" i="4"/>
  <c r="K58" i="4"/>
  <c r="J58" i="4"/>
  <c r="I58" i="4"/>
  <c r="H58" i="4"/>
  <c r="G58" i="4"/>
  <c r="F58" i="4"/>
  <c r="D58" i="4"/>
  <c r="C58" i="4"/>
  <c r="Q57" i="4"/>
  <c r="P57" i="4"/>
  <c r="N57" i="4"/>
  <c r="M57" i="4"/>
  <c r="L57" i="4"/>
  <c r="K57" i="4"/>
  <c r="J57" i="4"/>
  <c r="I57" i="4"/>
  <c r="H57" i="4"/>
  <c r="G57" i="4"/>
  <c r="F57" i="4"/>
  <c r="D57" i="4"/>
  <c r="C57" i="4"/>
  <c r="Q56" i="4"/>
  <c r="P56" i="4"/>
  <c r="N56" i="4"/>
  <c r="M56" i="4"/>
  <c r="L56" i="4"/>
  <c r="K56" i="4"/>
  <c r="J56" i="4"/>
  <c r="I56" i="4"/>
  <c r="H56" i="4"/>
  <c r="G56" i="4"/>
  <c r="F56" i="4"/>
  <c r="D56" i="4"/>
  <c r="C56" i="4"/>
  <c r="Q55" i="4"/>
  <c r="P55" i="4"/>
  <c r="N55" i="4"/>
  <c r="M55" i="4"/>
  <c r="L55" i="4"/>
  <c r="K55" i="4"/>
  <c r="J55" i="4"/>
  <c r="I55" i="4"/>
  <c r="H55" i="4"/>
  <c r="G55" i="4"/>
  <c r="F55" i="4"/>
  <c r="D55" i="4"/>
  <c r="C55" i="4"/>
  <c r="Q54" i="4"/>
  <c r="P54" i="4"/>
  <c r="N54" i="4"/>
  <c r="M54" i="4"/>
  <c r="L54" i="4"/>
  <c r="K54" i="4"/>
  <c r="J54" i="4"/>
  <c r="I54" i="4"/>
  <c r="H54" i="4"/>
  <c r="G54" i="4"/>
  <c r="F54" i="4"/>
  <c r="D54" i="4"/>
  <c r="C54" i="4"/>
  <c r="Q53" i="4"/>
  <c r="P53" i="4"/>
  <c r="N53" i="4"/>
  <c r="M53" i="4"/>
  <c r="L53" i="4"/>
  <c r="K53" i="4"/>
  <c r="J53" i="4"/>
  <c r="I53" i="4"/>
  <c r="H53" i="4"/>
  <c r="G53" i="4"/>
  <c r="F53" i="4"/>
  <c r="D53" i="4"/>
  <c r="C53" i="4"/>
  <c r="Q52" i="4"/>
  <c r="P52" i="4"/>
  <c r="N52" i="4"/>
  <c r="M52" i="4"/>
  <c r="L52" i="4"/>
  <c r="K52" i="4"/>
  <c r="J52" i="4"/>
  <c r="I52" i="4"/>
  <c r="H52" i="4"/>
  <c r="G52" i="4"/>
  <c r="F52" i="4"/>
  <c r="D52" i="4"/>
  <c r="C52" i="4"/>
  <c r="Q51" i="4"/>
  <c r="P51" i="4"/>
  <c r="N51" i="4"/>
  <c r="M51" i="4"/>
  <c r="L51" i="4"/>
  <c r="K51" i="4"/>
  <c r="J51" i="4"/>
  <c r="I51" i="4"/>
  <c r="H51" i="4"/>
  <c r="G51" i="4"/>
  <c r="F51" i="4"/>
  <c r="D51" i="4"/>
  <c r="C51" i="4"/>
  <c r="Q50" i="4"/>
  <c r="P50" i="4"/>
  <c r="N50" i="4"/>
  <c r="M50" i="4"/>
  <c r="L50" i="4"/>
  <c r="K50" i="4"/>
  <c r="J50" i="4"/>
  <c r="I50" i="4"/>
  <c r="H50" i="4"/>
  <c r="G50" i="4"/>
  <c r="F50" i="4"/>
  <c r="D50" i="4"/>
  <c r="C50" i="4"/>
  <c r="Q49" i="4"/>
  <c r="P49" i="4"/>
  <c r="N49" i="4"/>
  <c r="M49" i="4"/>
  <c r="L49" i="4"/>
  <c r="K49" i="4"/>
  <c r="J49" i="4"/>
  <c r="I49" i="4"/>
  <c r="H49" i="4"/>
  <c r="G49" i="4"/>
  <c r="F49" i="4"/>
  <c r="D49" i="4"/>
  <c r="C49" i="4"/>
  <c r="Q48" i="4"/>
  <c r="P48" i="4"/>
  <c r="N48" i="4"/>
  <c r="M48" i="4"/>
  <c r="L48" i="4"/>
  <c r="K48" i="4"/>
  <c r="J48" i="4"/>
  <c r="I48" i="4"/>
  <c r="H48" i="4"/>
  <c r="G48" i="4"/>
  <c r="F48" i="4"/>
  <c r="D48" i="4"/>
  <c r="C48" i="4"/>
  <c r="Q47" i="4"/>
  <c r="P47" i="4"/>
  <c r="N47" i="4"/>
  <c r="M47" i="4"/>
  <c r="L47" i="4"/>
  <c r="K47" i="4"/>
  <c r="J47" i="4"/>
  <c r="I47" i="4"/>
  <c r="H47" i="4"/>
  <c r="G47" i="4"/>
  <c r="F47" i="4"/>
  <c r="D47" i="4"/>
  <c r="C47" i="4"/>
  <c r="Q46" i="4"/>
  <c r="P46" i="4"/>
  <c r="N46" i="4"/>
  <c r="M46" i="4"/>
  <c r="L46" i="4"/>
  <c r="K46" i="4"/>
  <c r="J46" i="4"/>
  <c r="I46" i="4"/>
  <c r="H46" i="4"/>
  <c r="G46" i="4"/>
  <c r="F46" i="4"/>
  <c r="D46" i="4"/>
  <c r="C46" i="4"/>
  <c r="Q45" i="4"/>
  <c r="P45" i="4"/>
  <c r="N45" i="4"/>
  <c r="M45" i="4"/>
  <c r="L45" i="4"/>
  <c r="K45" i="4"/>
  <c r="J45" i="4"/>
  <c r="I45" i="4"/>
  <c r="H45" i="4"/>
  <c r="G45" i="4"/>
  <c r="F45" i="4"/>
  <c r="D45" i="4"/>
  <c r="C45" i="4"/>
  <c r="Q44" i="4"/>
  <c r="P44" i="4"/>
  <c r="N44" i="4"/>
  <c r="M44" i="4"/>
  <c r="L44" i="4"/>
  <c r="K44" i="4"/>
  <c r="J44" i="4"/>
  <c r="I44" i="4"/>
  <c r="H44" i="4"/>
  <c r="G44" i="4"/>
  <c r="F44" i="4"/>
  <c r="D44" i="4"/>
  <c r="C44" i="4"/>
  <c r="Q43" i="4"/>
  <c r="P43" i="4"/>
  <c r="N43" i="4"/>
  <c r="M43" i="4"/>
  <c r="L43" i="4"/>
  <c r="K43" i="4"/>
  <c r="J43" i="4"/>
  <c r="I43" i="4"/>
  <c r="H43" i="4"/>
  <c r="G43" i="4"/>
  <c r="F43" i="4"/>
  <c r="D43" i="4"/>
  <c r="C43" i="4"/>
  <c r="Q42" i="4"/>
  <c r="P42" i="4"/>
  <c r="N42" i="4"/>
  <c r="M42" i="4"/>
  <c r="L42" i="4"/>
  <c r="K42" i="4"/>
  <c r="J42" i="4"/>
  <c r="I42" i="4"/>
  <c r="H42" i="4"/>
  <c r="G42" i="4"/>
  <c r="F42" i="4"/>
  <c r="D42" i="4"/>
  <c r="C42" i="4"/>
  <c r="Q41" i="4"/>
  <c r="P41" i="4"/>
  <c r="N41" i="4"/>
  <c r="M41" i="4"/>
  <c r="L41" i="4"/>
  <c r="K41" i="4"/>
  <c r="J41" i="4"/>
  <c r="I41" i="4"/>
  <c r="H41" i="4"/>
  <c r="G41" i="4"/>
  <c r="F41" i="4"/>
  <c r="D41" i="4"/>
  <c r="C41" i="4"/>
  <c r="Q40" i="4"/>
  <c r="P40" i="4"/>
  <c r="N40" i="4"/>
  <c r="M40" i="4"/>
  <c r="L40" i="4"/>
  <c r="K40" i="4"/>
  <c r="J40" i="4"/>
  <c r="I40" i="4"/>
  <c r="H40" i="4"/>
  <c r="G40" i="4"/>
  <c r="F40" i="4"/>
  <c r="D40" i="4"/>
  <c r="C40" i="4"/>
  <c r="Q39" i="4"/>
  <c r="P39" i="4"/>
  <c r="N39" i="4"/>
  <c r="M39" i="4"/>
  <c r="L39" i="4"/>
  <c r="K39" i="4"/>
  <c r="J39" i="4"/>
  <c r="I39" i="4"/>
  <c r="H39" i="4"/>
  <c r="G39" i="4"/>
  <c r="F39" i="4"/>
  <c r="D39" i="4"/>
  <c r="C39" i="4"/>
  <c r="Q38" i="4"/>
  <c r="P38" i="4"/>
  <c r="N38" i="4"/>
  <c r="M38" i="4"/>
  <c r="L38" i="4"/>
  <c r="K38" i="4"/>
  <c r="J38" i="4"/>
  <c r="I38" i="4"/>
  <c r="H38" i="4"/>
  <c r="G38" i="4"/>
  <c r="F38" i="4"/>
  <c r="D38" i="4"/>
  <c r="C38" i="4"/>
  <c r="Q37" i="4"/>
  <c r="P37" i="4"/>
  <c r="N37" i="4"/>
  <c r="M37" i="4"/>
  <c r="L37" i="4"/>
  <c r="K37" i="4"/>
  <c r="J37" i="4"/>
  <c r="I37" i="4"/>
  <c r="H37" i="4"/>
  <c r="G37" i="4"/>
  <c r="F37" i="4"/>
  <c r="D37" i="4"/>
  <c r="C37" i="4"/>
  <c r="Q36" i="4"/>
  <c r="P36" i="4"/>
  <c r="N36" i="4"/>
  <c r="M36" i="4"/>
  <c r="L36" i="4"/>
  <c r="K36" i="4"/>
  <c r="J36" i="4"/>
  <c r="I36" i="4"/>
  <c r="H36" i="4"/>
  <c r="G36" i="4"/>
  <c r="F36" i="4"/>
  <c r="D36" i="4"/>
  <c r="C36" i="4"/>
  <c r="Q35" i="4"/>
  <c r="P35" i="4"/>
  <c r="N35" i="4"/>
  <c r="M35" i="4"/>
  <c r="L35" i="4"/>
  <c r="K35" i="4"/>
  <c r="J35" i="4"/>
  <c r="I35" i="4"/>
  <c r="H35" i="4"/>
  <c r="G35" i="4"/>
  <c r="F35" i="4"/>
  <c r="D35" i="4"/>
  <c r="C35" i="4"/>
  <c r="Q34" i="4"/>
  <c r="P34" i="4"/>
  <c r="N34" i="4"/>
  <c r="M34" i="4"/>
  <c r="L34" i="4"/>
  <c r="K34" i="4"/>
  <c r="J34" i="4"/>
  <c r="I34" i="4"/>
  <c r="H34" i="4"/>
  <c r="G34" i="4"/>
  <c r="F34" i="4"/>
  <c r="D34" i="4"/>
  <c r="C34" i="4"/>
  <c r="Q33" i="4"/>
  <c r="P33" i="4"/>
  <c r="N33" i="4"/>
  <c r="M33" i="4"/>
  <c r="L33" i="4"/>
  <c r="K33" i="4"/>
  <c r="J33" i="4"/>
  <c r="I33" i="4"/>
  <c r="H33" i="4"/>
  <c r="G33" i="4"/>
  <c r="F33" i="4"/>
  <c r="D33" i="4"/>
  <c r="C33" i="4"/>
  <c r="Q32" i="4"/>
  <c r="P32" i="4"/>
  <c r="N32" i="4"/>
  <c r="M32" i="4"/>
  <c r="L32" i="4"/>
  <c r="K32" i="4"/>
  <c r="J32" i="4"/>
  <c r="I32" i="4"/>
  <c r="H32" i="4"/>
  <c r="G32" i="4"/>
  <c r="F32" i="4"/>
  <c r="D32" i="4"/>
  <c r="C32" i="4"/>
  <c r="Q31" i="4"/>
  <c r="P31" i="4"/>
  <c r="N31" i="4"/>
  <c r="M31" i="4"/>
  <c r="L31" i="4"/>
  <c r="K31" i="4"/>
  <c r="J31" i="4"/>
  <c r="I31" i="4"/>
  <c r="H31" i="4"/>
  <c r="G31" i="4"/>
  <c r="F31" i="4"/>
  <c r="D31" i="4"/>
  <c r="C31" i="4"/>
  <c r="Q30" i="4"/>
  <c r="P30" i="4"/>
  <c r="N30" i="4"/>
  <c r="M30" i="4"/>
  <c r="L30" i="4"/>
  <c r="K30" i="4"/>
  <c r="J30" i="4"/>
  <c r="I30" i="4"/>
  <c r="H30" i="4"/>
  <c r="G30" i="4"/>
  <c r="F30" i="4"/>
  <c r="D30" i="4"/>
  <c r="C30" i="4"/>
  <c r="Q29" i="4"/>
  <c r="P29" i="4"/>
  <c r="N29" i="4"/>
  <c r="M29" i="4"/>
  <c r="L29" i="4"/>
  <c r="K29" i="4"/>
  <c r="J29" i="4"/>
  <c r="I29" i="4"/>
  <c r="H29" i="4"/>
  <c r="G29" i="4"/>
  <c r="F29" i="4"/>
  <c r="D29" i="4"/>
  <c r="C29" i="4"/>
  <c r="Q28" i="4"/>
  <c r="P28" i="4"/>
  <c r="N28" i="4"/>
  <c r="M28" i="4"/>
  <c r="L28" i="4"/>
  <c r="K28" i="4"/>
  <c r="J28" i="4"/>
  <c r="I28" i="4"/>
  <c r="H28" i="4"/>
  <c r="G28" i="4"/>
  <c r="F28" i="4"/>
  <c r="D28" i="4"/>
  <c r="C28" i="4"/>
  <c r="Q27" i="4"/>
  <c r="P27" i="4"/>
  <c r="N27" i="4"/>
  <c r="M27" i="4"/>
  <c r="L27" i="4"/>
  <c r="K27" i="4"/>
  <c r="J27" i="4"/>
  <c r="I27" i="4"/>
  <c r="H27" i="4"/>
  <c r="G27" i="4"/>
  <c r="F27" i="4"/>
  <c r="D27" i="4"/>
  <c r="C27" i="4"/>
  <c r="Q26" i="4"/>
  <c r="P26" i="4"/>
  <c r="N26" i="4"/>
  <c r="M26" i="4"/>
  <c r="L26" i="4"/>
  <c r="K26" i="4"/>
  <c r="J26" i="4"/>
  <c r="I26" i="4"/>
  <c r="H26" i="4"/>
  <c r="G26" i="4"/>
  <c r="F26" i="4"/>
  <c r="D26" i="4"/>
  <c r="C26" i="4"/>
  <c r="Q25" i="4"/>
  <c r="P25" i="4"/>
  <c r="N25" i="4"/>
  <c r="M25" i="4"/>
  <c r="L25" i="4"/>
  <c r="K25" i="4"/>
  <c r="J25" i="4"/>
  <c r="I25" i="4"/>
  <c r="H25" i="4"/>
  <c r="G25" i="4"/>
  <c r="F25" i="4"/>
  <c r="D25" i="4"/>
  <c r="C25" i="4"/>
  <c r="Q24" i="4"/>
  <c r="P24" i="4"/>
  <c r="N24" i="4"/>
  <c r="M24" i="4"/>
  <c r="L24" i="4"/>
  <c r="K24" i="4"/>
  <c r="J24" i="4"/>
  <c r="I24" i="4"/>
  <c r="H24" i="4"/>
  <c r="G24" i="4"/>
  <c r="F24" i="4"/>
  <c r="D24" i="4"/>
  <c r="C24" i="4"/>
  <c r="Q23" i="4"/>
  <c r="P23" i="4"/>
  <c r="N23" i="4"/>
  <c r="M23" i="4"/>
  <c r="L23" i="4"/>
  <c r="K23" i="4"/>
  <c r="J23" i="4"/>
  <c r="I23" i="4"/>
  <c r="H23" i="4"/>
  <c r="G23" i="4"/>
  <c r="F23" i="4"/>
  <c r="D23" i="4"/>
  <c r="C23" i="4"/>
  <c r="Q22" i="4"/>
  <c r="P22" i="4"/>
  <c r="N22" i="4"/>
  <c r="M22" i="4"/>
  <c r="L22" i="4"/>
  <c r="K22" i="4"/>
  <c r="J22" i="4"/>
  <c r="I22" i="4"/>
  <c r="H22" i="4"/>
  <c r="G22" i="4"/>
  <c r="F22" i="4"/>
  <c r="D22" i="4"/>
  <c r="C22" i="4"/>
  <c r="Q21" i="4"/>
  <c r="P21" i="4"/>
  <c r="N21" i="4"/>
  <c r="M21" i="4"/>
  <c r="L21" i="4"/>
  <c r="K21" i="4"/>
  <c r="J21" i="4"/>
  <c r="I21" i="4"/>
  <c r="H21" i="4"/>
  <c r="G21" i="4"/>
  <c r="F21" i="4"/>
  <c r="D21" i="4"/>
  <c r="C21" i="4"/>
  <c r="Q20" i="4"/>
  <c r="P20" i="4"/>
  <c r="N20" i="4"/>
  <c r="M20" i="4"/>
  <c r="L20" i="4"/>
  <c r="K20" i="4"/>
  <c r="J20" i="4"/>
  <c r="I20" i="4"/>
  <c r="H20" i="4"/>
  <c r="G20" i="4"/>
  <c r="F20" i="4"/>
  <c r="D20" i="4"/>
  <c r="C20" i="4"/>
  <c r="Q19" i="4"/>
  <c r="P19" i="4"/>
  <c r="N19" i="4"/>
  <c r="M19" i="4"/>
  <c r="L19" i="4"/>
  <c r="K19" i="4"/>
  <c r="J19" i="4"/>
  <c r="I19" i="4"/>
  <c r="H19" i="4"/>
  <c r="G19" i="4"/>
  <c r="F19" i="4"/>
  <c r="D19" i="4"/>
  <c r="C19" i="4"/>
  <c r="Q18" i="4"/>
  <c r="P18" i="4"/>
  <c r="N18" i="4"/>
  <c r="M18" i="4"/>
  <c r="L18" i="4"/>
  <c r="K18" i="4"/>
  <c r="J18" i="4"/>
  <c r="I18" i="4"/>
  <c r="H18" i="4"/>
  <c r="G18" i="4"/>
  <c r="F18" i="4"/>
  <c r="D18" i="4"/>
  <c r="C18" i="4"/>
  <c r="Q17" i="4"/>
  <c r="P17" i="4"/>
  <c r="N17" i="4"/>
  <c r="M17" i="4"/>
  <c r="L17" i="4"/>
  <c r="K17" i="4"/>
  <c r="J17" i="4"/>
  <c r="I17" i="4"/>
  <c r="H17" i="4"/>
  <c r="G17" i="4"/>
  <c r="F17" i="4"/>
  <c r="D17" i="4"/>
  <c r="C17" i="4"/>
  <c r="Q16" i="4"/>
  <c r="P16" i="4"/>
  <c r="N16" i="4"/>
  <c r="M16" i="4"/>
  <c r="L16" i="4"/>
  <c r="K16" i="4"/>
  <c r="J16" i="4"/>
  <c r="I16" i="4"/>
  <c r="H16" i="4"/>
  <c r="G16" i="4"/>
  <c r="F16" i="4"/>
  <c r="D16" i="4"/>
  <c r="C16" i="4"/>
  <c r="Q15" i="4"/>
  <c r="P15" i="4"/>
  <c r="N15" i="4"/>
  <c r="M15" i="4"/>
  <c r="L15" i="4"/>
  <c r="K15" i="4"/>
  <c r="J15" i="4"/>
  <c r="I15" i="4"/>
  <c r="H15" i="4"/>
  <c r="G15" i="4"/>
  <c r="F15" i="4"/>
  <c r="D15" i="4"/>
  <c r="C15" i="4"/>
  <c r="Q14" i="4"/>
  <c r="P14" i="4"/>
  <c r="N14" i="4"/>
  <c r="M14" i="4"/>
  <c r="L14" i="4"/>
  <c r="K14" i="4"/>
  <c r="J14" i="4"/>
  <c r="I14" i="4"/>
  <c r="H14" i="4"/>
  <c r="G14" i="4"/>
  <c r="F14" i="4"/>
  <c r="D14" i="4"/>
  <c r="C14" i="4"/>
  <c r="Q13" i="4"/>
  <c r="P13" i="4"/>
  <c r="N13" i="4"/>
  <c r="M13" i="4"/>
  <c r="L13" i="4"/>
  <c r="K13" i="4"/>
  <c r="J13" i="4"/>
  <c r="I13" i="4"/>
  <c r="H13" i="4"/>
  <c r="G13" i="4"/>
  <c r="F13" i="4"/>
  <c r="D13" i="4"/>
  <c r="C13" i="4"/>
  <c r="Q12" i="4"/>
  <c r="P12" i="4"/>
  <c r="N12" i="4"/>
  <c r="M12" i="4"/>
  <c r="L12" i="4"/>
  <c r="K12" i="4"/>
  <c r="J12" i="4"/>
  <c r="I12" i="4"/>
  <c r="H12" i="4"/>
  <c r="G12" i="4"/>
  <c r="F12" i="4"/>
  <c r="D12" i="4"/>
  <c r="C12" i="4"/>
  <c r="Q11" i="4"/>
  <c r="P11" i="4"/>
  <c r="N11" i="4"/>
  <c r="M11" i="4"/>
  <c r="L11" i="4"/>
  <c r="K11" i="4"/>
  <c r="J11" i="4"/>
  <c r="I11" i="4"/>
  <c r="H11" i="4"/>
  <c r="G11" i="4"/>
  <c r="F11" i="4"/>
  <c r="D11" i="4"/>
  <c r="C11" i="4"/>
  <c r="Q10" i="4"/>
  <c r="P10" i="4"/>
  <c r="N10" i="4"/>
  <c r="M10" i="4"/>
  <c r="L10" i="4"/>
  <c r="K10" i="4"/>
  <c r="J10" i="4"/>
  <c r="I10" i="4"/>
  <c r="H10" i="4"/>
  <c r="G10" i="4"/>
  <c r="F10" i="4"/>
  <c r="D10" i="4"/>
  <c r="C10" i="4"/>
  <c r="Q9" i="4"/>
  <c r="P9" i="4"/>
  <c r="N9" i="4"/>
  <c r="M9" i="4"/>
  <c r="L9" i="4"/>
  <c r="K9" i="4"/>
  <c r="J9" i="4"/>
  <c r="I9" i="4"/>
  <c r="H9" i="4"/>
  <c r="G9" i="4"/>
  <c r="F9" i="4"/>
  <c r="D9" i="4"/>
  <c r="C9" i="4"/>
  <c r="Q8" i="4"/>
  <c r="P8" i="4"/>
  <c r="N8" i="4"/>
  <c r="M8" i="4"/>
  <c r="L8" i="4"/>
  <c r="K8" i="4"/>
  <c r="J8" i="4"/>
  <c r="I8" i="4"/>
  <c r="H8" i="4"/>
  <c r="G8" i="4"/>
  <c r="F8" i="4"/>
  <c r="D8" i="4"/>
  <c r="C8" i="4"/>
  <c r="Q7" i="4"/>
  <c r="P7" i="4"/>
  <c r="N7" i="4"/>
  <c r="M7" i="4"/>
  <c r="L7" i="4"/>
  <c r="K7" i="4"/>
  <c r="J7" i="4"/>
  <c r="I7" i="4"/>
  <c r="H7" i="4"/>
  <c r="G7" i="4"/>
  <c r="F7" i="4"/>
  <c r="D7" i="4"/>
  <c r="C7" i="4"/>
  <c r="Q6" i="4"/>
  <c r="P6" i="4"/>
  <c r="N6" i="4"/>
  <c r="M6" i="4"/>
  <c r="L6" i="4"/>
  <c r="K6" i="4"/>
  <c r="J6" i="4"/>
  <c r="I6" i="4"/>
  <c r="H6" i="4"/>
  <c r="G6" i="4"/>
  <c r="F6" i="4"/>
  <c r="D6" i="4"/>
  <c r="C6" i="4"/>
  <c r="Q5" i="4"/>
  <c r="P5" i="4"/>
  <c r="N5" i="4"/>
  <c r="M5" i="4"/>
  <c r="L5" i="4"/>
  <c r="K5" i="4"/>
  <c r="J5" i="4"/>
  <c r="I5" i="4"/>
  <c r="H5" i="4"/>
  <c r="G5" i="4"/>
  <c r="F5" i="4"/>
  <c r="D5" i="4"/>
  <c r="C5" i="4"/>
  <c r="Q4" i="4"/>
  <c r="P4" i="4"/>
  <c r="N4" i="4"/>
  <c r="M4" i="4"/>
  <c r="L4" i="4"/>
  <c r="K4" i="4"/>
  <c r="J4" i="4"/>
  <c r="I4" i="4"/>
  <c r="H4" i="4"/>
  <c r="G4" i="4"/>
  <c r="F4" i="4"/>
  <c r="D4" i="4"/>
  <c r="C4" i="4"/>
  <c r="Q3" i="4"/>
  <c r="P3" i="4"/>
  <c r="N3" i="4"/>
  <c r="M3" i="4"/>
  <c r="L3" i="4"/>
  <c r="K3" i="4"/>
  <c r="J3" i="4"/>
  <c r="I3" i="4"/>
  <c r="H3" i="4"/>
  <c r="G3" i="4"/>
  <c r="F3" i="4"/>
  <c r="D3" i="4"/>
  <c r="C3" i="4"/>
  <c r="Q358" i="3"/>
  <c r="P358" i="3"/>
  <c r="N358" i="3"/>
  <c r="M358" i="3"/>
  <c r="L358" i="3"/>
  <c r="K358" i="3"/>
  <c r="I358" i="3"/>
  <c r="H358" i="3"/>
  <c r="G358" i="3"/>
  <c r="F358" i="3"/>
  <c r="D358" i="3"/>
  <c r="C358" i="3"/>
  <c r="Q357" i="3"/>
  <c r="P357" i="3"/>
  <c r="M357" i="3"/>
  <c r="L357" i="3"/>
  <c r="K357" i="3"/>
  <c r="J357" i="3"/>
  <c r="I357" i="3"/>
  <c r="H357" i="3"/>
  <c r="G357" i="3"/>
  <c r="F357" i="3"/>
  <c r="D357" i="3"/>
  <c r="C357" i="3"/>
  <c r="Q356" i="3"/>
  <c r="P356" i="3"/>
  <c r="M356" i="3"/>
  <c r="L356" i="3"/>
  <c r="K356" i="3"/>
  <c r="I356" i="3"/>
  <c r="H356" i="3"/>
  <c r="G356" i="3"/>
  <c r="F356" i="3"/>
  <c r="D356" i="3"/>
  <c r="C356" i="3"/>
  <c r="Q355" i="3"/>
  <c r="P355" i="3"/>
  <c r="M355" i="3"/>
  <c r="L355" i="3"/>
  <c r="K355" i="3"/>
  <c r="I355" i="3"/>
  <c r="H355" i="3"/>
  <c r="G355" i="3"/>
  <c r="F355" i="3"/>
  <c r="D355" i="3"/>
  <c r="C355" i="3"/>
  <c r="Q354" i="3"/>
  <c r="P354" i="3"/>
  <c r="M354" i="3"/>
  <c r="L354" i="3"/>
  <c r="K354" i="3"/>
  <c r="I354" i="3"/>
  <c r="H354" i="3"/>
  <c r="G354" i="3"/>
  <c r="F354" i="3"/>
  <c r="D354" i="3"/>
  <c r="C354" i="3"/>
  <c r="Q353" i="3"/>
  <c r="P353" i="3"/>
  <c r="M353" i="3"/>
  <c r="L353" i="3"/>
  <c r="K353" i="3"/>
  <c r="I353" i="3"/>
  <c r="H353" i="3"/>
  <c r="G353" i="3"/>
  <c r="F353" i="3"/>
  <c r="D353" i="3"/>
  <c r="C353" i="3"/>
  <c r="Q352" i="3"/>
  <c r="P352" i="3"/>
  <c r="M352" i="3"/>
  <c r="L352" i="3"/>
  <c r="K352" i="3"/>
  <c r="I352" i="3"/>
  <c r="H352" i="3"/>
  <c r="G352" i="3"/>
  <c r="F352" i="3"/>
  <c r="D352" i="3"/>
  <c r="C352" i="3"/>
  <c r="Q351" i="3"/>
  <c r="P351" i="3"/>
  <c r="M351" i="3"/>
  <c r="L351" i="3"/>
  <c r="K351" i="3"/>
  <c r="I351" i="3"/>
  <c r="H351" i="3"/>
  <c r="G351" i="3"/>
  <c r="F351" i="3"/>
  <c r="D351" i="3"/>
  <c r="C351" i="3"/>
  <c r="Q350" i="3"/>
  <c r="P350" i="3"/>
  <c r="M350" i="3"/>
  <c r="L350" i="3"/>
  <c r="K350" i="3"/>
  <c r="I350" i="3"/>
  <c r="H350" i="3"/>
  <c r="G350" i="3"/>
  <c r="F350" i="3"/>
  <c r="D350" i="3"/>
  <c r="C350" i="3"/>
  <c r="Q349" i="3"/>
  <c r="P349" i="3"/>
  <c r="M349" i="3"/>
  <c r="L349" i="3"/>
  <c r="K349" i="3"/>
  <c r="I349" i="3"/>
  <c r="H349" i="3"/>
  <c r="G349" i="3"/>
  <c r="F349" i="3"/>
  <c r="D349" i="3"/>
  <c r="C349" i="3"/>
  <c r="Q348" i="3"/>
  <c r="P348" i="3"/>
  <c r="M348" i="3"/>
  <c r="L348" i="3"/>
  <c r="K348" i="3"/>
  <c r="I348" i="3"/>
  <c r="H348" i="3"/>
  <c r="G348" i="3"/>
  <c r="F348" i="3"/>
  <c r="D348" i="3"/>
  <c r="C348" i="3"/>
  <c r="Q347" i="3"/>
  <c r="P347" i="3"/>
  <c r="M347" i="3"/>
  <c r="L347" i="3"/>
  <c r="K347" i="3"/>
  <c r="I347" i="3"/>
  <c r="H347" i="3"/>
  <c r="G347" i="3"/>
  <c r="F347" i="3"/>
  <c r="D347" i="3"/>
  <c r="C347" i="3"/>
  <c r="Q346" i="3"/>
  <c r="P346" i="3"/>
  <c r="M346" i="3"/>
  <c r="L346" i="3"/>
  <c r="K346" i="3"/>
  <c r="I346" i="3"/>
  <c r="H346" i="3"/>
  <c r="G346" i="3"/>
  <c r="F346" i="3"/>
  <c r="D346" i="3"/>
  <c r="C346" i="3"/>
  <c r="Q345" i="3"/>
  <c r="P345" i="3"/>
  <c r="M345" i="3"/>
  <c r="L345" i="3"/>
  <c r="K345" i="3"/>
  <c r="I345" i="3"/>
  <c r="H345" i="3"/>
  <c r="G345" i="3"/>
  <c r="F345" i="3"/>
  <c r="D345" i="3"/>
  <c r="C345" i="3"/>
  <c r="Q344" i="3"/>
  <c r="P344" i="3"/>
  <c r="M344" i="3"/>
  <c r="L344" i="3"/>
  <c r="K344" i="3"/>
  <c r="I344" i="3"/>
  <c r="H344" i="3"/>
  <c r="G344" i="3"/>
  <c r="F344" i="3"/>
  <c r="D344" i="3"/>
  <c r="C344" i="3"/>
  <c r="Q343" i="3"/>
  <c r="P343" i="3"/>
  <c r="M343" i="3"/>
  <c r="L343" i="3"/>
  <c r="K343" i="3"/>
  <c r="I343" i="3"/>
  <c r="H343" i="3"/>
  <c r="G343" i="3"/>
  <c r="F343" i="3"/>
  <c r="D343" i="3"/>
  <c r="C343" i="3"/>
  <c r="Q342" i="3"/>
  <c r="P342" i="3"/>
  <c r="M342" i="3"/>
  <c r="L342" i="3"/>
  <c r="K342" i="3"/>
  <c r="I342" i="3"/>
  <c r="H342" i="3"/>
  <c r="G342" i="3"/>
  <c r="F342" i="3"/>
  <c r="D342" i="3"/>
  <c r="C342" i="3"/>
  <c r="Q341" i="3"/>
  <c r="P341" i="3"/>
  <c r="M341" i="3"/>
  <c r="L341" i="3"/>
  <c r="K341" i="3"/>
  <c r="I341" i="3"/>
  <c r="H341" i="3"/>
  <c r="G341" i="3"/>
  <c r="F341" i="3"/>
  <c r="D341" i="3"/>
  <c r="C341" i="3"/>
  <c r="Q340" i="3"/>
  <c r="P340" i="3"/>
  <c r="M340" i="3"/>
  <c r="L340" i="3"/>
  <c r="K340" i="3"/>
  <c r="I340" i="3"/>
  <c r="H340" i="3"/>
  <c r="G340" i="3"/>
  <c r="F340" i="3"/>
  <c r="D340" i="3"/>
  <c r="C340" i="3"/>
  <c r="Q339" i="3"/>
  <c r="P339" i="3"/>
  <c r="M339" i="3"/>
  <c r="L339" i="3"/>
  <c r="K339" i="3"/>
  <c r="I339" i="3"/>
  <c r="H339" i="3"/>
  <c r="G339" i="3"/>
  <c r="F339" i="3"/>
  <c r="D339" i="3"/>
  <c r="C339" i="3"/>
  <c r="Q338" i="3"/>
  <c r="P338" i="3"/>
  <c r="M338" i="3"/>
  <c r="L338" i="3"/>
  <c r="K338" i="3"/>
  <c r="I338" i="3"/>
  <c r="H338" i="3"/>
  <c r="G338" i="3"/>
  <c r="F338" i="3"/>
  <c r="D338" i="3"/>
  <c r="C338" i="3"/>
  <c r="Q337" i="3"/>
  <c r="P337" i="3"/>
  <c r="M337" i="3"/>
  <c r="L337" i="3"/>
  <c r="K337" i="3"/>
  <c r="I337" i="3"/>
  <c r="H337" i="3"/>
  <c r="G337" i="3"/>
  <c r="F337" i="3"/>
  <c r="D337" i="3"/>
  <c r="C337" i="3"/>
  <c r="Q336" i="3"/>
  <c r="P336" i="3"/>
  <c r="M336" i="3"/>
  <c r="L336" i="3"/>
  <c r="K336" i="3"/>
  <c r="I336" i="3"/>
  <c r="H336" i="3"/>
  <c r="G336" i="3"/>
  <c r="F336" i="3"/>
  <c r="D336" i="3"/>
  <c r="C336" i="3"/>
  <c r="Q335" i="3"/>
  <c r="P335" i="3"/>
  <c r="M335" i="3"/>
  <c r="L335" i="3"/>
  <c r="K335" i="3"/>
  <c r="I335" i="3"/>
  <c r="H335" i="3"/>
  <c r="G335" i="3"/>
  <c r="F335" i="3"/>
  <c r="D335" i="3"/>
  <c r="C335" i="3"/>
  <c r="Q334" i="3"/>
  <c r="P334" i="3"/>
  <c r="M334" i="3"/>
  <c r="L334" i="3"/>
  <c r="K334" i="3"/>
  <c r="I334" i="3"/>
  <c r="H334" i="3"/>
  <c r="G334" i="3"/>
  <c r="F334" i="3"/>
  <c r="D334" i="3"/>
  <c r="C334" i="3"/>
  <c r="Q333" i="3"/>
  <c r="P333" i="3"/>
  <c r="M333" i="3"/>
  <c r="L333" i="3"/>
  <c r="K333" i="3"/>
  <c r="I333" i="3"/>
  <c r="H333" i="3"/>
  <c r="G333" i="3"/>
  <c r="F333" i="3"/>
  <c r="D333" i="3"/>
  <c r="C333" i="3"/>
  <c r="Q332" i="3"/>
  <c r="P332" i="3"/>
  <c r="M332" i="3"/>
  <c r="L332" i="3"/>
  <c r="K332" i="3"/>
  <c r="I332" i="3"/>
  <c r="H332" i="3"/>
  <c r="G332" i="3"/>
  <c r="F332" i="3"/>
  <c r="D332" i="3"/>
  <c r="C332" i="3"/>
  <c r="Q331" i="3"/>
  <c r="P331" i="3"/>
  <c r="M331" i="3"/>
  <c r="L331" i="3"/>
  <c r="K331" i="3"/>
  <c r="I331" i="3"/>
  <c r="H331" i="3"/>
  <c r="G331" i="3"/>
  <c r="F331" i="3"/>
  <c r="D331" i="3"/>
  <c r="C331" i="3"/>
  <c r="Q330" i="3"/>
  <c r="P330" i="3"/>
  <c r="M330" i="3"/>
  <c r="L330" i="3"/>
  <c r="K330" i="3"/>
  <c r="I330" i="3"/>
  <c r="H330" i="3"/>
  <c r="G330" i="3"/>
  <c r="F330" i="3"/>
  <c r="D330" i="3"/>
  <c r="C330" i="3"/>
  <c r="Q329" i="3"/>
  <c r="P329" i="3"/>
  <c r="M329" i="3"/>
  <c r="L329" i="3"/>
  <c r="K329" i="3"/>
  <c r="I329" i="3"/>
  <c r="H329" i="3"/>
  <c r="G329" i="3"/>
  <c r="F329" i="3"/>
  <c r="D329" i="3"/>
  <c r="C329" i="3"/>
  <c r="Q328" i="3"/>
  <c r="P328" i="3"/>
  <c r="M328" i="3"/>
  <c r="L328" i="3"/>
  <c r="K328" i="3"/>
  <c r="I328" i="3"/>
  <c r="H328" i="3"/>
  <c r="G328" i="3"/>
  <c r="F328" i="3"/>
  <c r="D328" i="3"/>
  <c r="C328" i="3"/>
  <c r="Q327" i="3"/>
  <c r="P327" i="3"/>
  <c r="M327" i="3"/>
  <c r="L327" i="3"/>
  <c r="K327" i="3"/>
  <c r="I327" i="3"/>
  <c r="H327" i="3"/>
  <c r="G327" i="3"/>
  <c r="F327" i="3"/>
  <c r="D327" i="3"/>
  <c r="C327" i="3"/>
  <c r="Q326" i="3"/>
  <c r="P326" i="3"/>
  <c r="M326" i="3"/>
  <c r="L326" i="3"/>
  <c r="K326" i="3"/>
  <c r="I326" i="3"/>
  <c r="H326" i="3"/>
  <c r="G326" i="3"/>
  <c r="F326" i="3"/>
  <c r="D326" i="3"/>
  <c r="C326" i="3"/>
  <c r="Q325" i="3"/>
  <c r="P325" i="3"/>
  <c r="M325" i="3"/>
  <c r="L325" i="3"/>
  <c r="K325" i="3"/>
  <c r="I325" i="3"/>
  <c r="H325" i="3"/>
  <c r="G325" i="3"/>
  <c r="F325" i="3"/>
  <c r="D325" i="3"/>
  <c r="C325" i="3"/>
  <c r="Q324" i="3"/>
  <c r="P324" i="3"/>
  <c r="M324" i="3"/>
  <c r="L324" i="3"/>
  <c r="K324" i="3"/>
  <c r="I324" i="3"/>
  <c r="H324" i="3"/>
  <c r="G324" i="3"/>
  <c r="F324" i="3"/>
  <c r="D324" i="3"/>
  <c r="C324" i="3"/>
  <c r="Q323" i="3"/>
  <c r="P323" i="3"/>
  <c r="M323" i="3"/>
  <c r="L323" i="3"/>
  <c r="K323" i="3"/>
  <c r="I323" i="3"/>
  <c r="H323" i="3"/>
  <c r="G323" i="3"/>
  <c r="F323" i="3"/>
  <c r="D323" i="3"/>
  <c r="C323" i="3"/>
  <c r="Q322" i="3"/>
  <c r="P322" i="3"/>
  <c r="M322" i="3"/>
  <c r="L322" i="3"/>
  <c r="K322" i="3"/>
  <c r="I322" i="3"/>
  <c r="H322" i="3"/>
  <c r="G322" i="3"/>
  <c r="F322" i="3"/>
  <c r="D322" i="3"/>
  <c r="C322" i="3"/>
  <c r="Q321" i="3"/>
  <c r="P321" i="3"/>
  <c r="M321" i="3"/>
  <c r="L321" i="3"/>
  <c r="K321" i="3"/>
  <c r="I321" i="3"/>
  <c r="H321" i="3"/>
  <c r="G321" i="3"/>
  <c r="F321" i="3"/>
  <c r="D321" i="3"/>
  <c r="C321" i="3"/>
  <c r="Q320" i="3"/>
  <c r="P320" i="3"/>
  <c r="M320" i="3"/>
  <c r="L320" i="3"/>
  <c r="K320" i="3"/>
  <c r="I320" i="3"/>
  <c r="H320" i="3"/>
  <c r="G320" i="3"/>
  <c r="F320" i="3"/>
  <c r="D320" i="3"/>
  <c r="C320" i="3"/>
  <c r="Q319" i="3"/>
  <c r="P319" i="3"/>
  <c r="M319" i="3"/>
  <c r="L319" i="3"/>
  <c r="K319" i="3"/>
  <c r="I319" i="3"/>
  <c r="H319" i="3"/>
  <c r="G319" i="3"/>
  <c r="F319" i="3"/>
  <c r="D319" i="3"/>
  <c r="C319" i="3"/>
  <c r="Q318" i="3"/>
  <c r="P318" i="3"/>
  <c r="M318" i="3"/>
  <c r="L318" i="3"/>
  <c r="K318" i="3"/>
  <c r="I318" i="3"/>
  <c r="H318" i="3"/>
  <c r="G318" i="3"/>
  <c r="F318" i="3"/>
  <c r="D318" i="3"/>
  <c r="C318" i="3"/>
  <c r="Q317" i="3"/>
  <c r="P317" i="3"/>
  <c r="M317" i="3"/>
  <c r="L317" i="3"/>
  <c r="K317" i="3"/>
  <c r="I317" i="3"/>
  <c r="H317" i="3"/>
  <c r="G317" i="3"/>
  <c r="F317" i="3"/>
  <c r="D317" i="3"/>
  <c r="C317" i="3"/>
  <c r="Q316" i="3"/>
  <c r="P316" i="3"/>
  <c r="M316" i="3"/>
  <c r="L316" i="3"/>
  <c r="K316" i="3"/>
  <c r="I316" i="3"/>
  <c r="H316" i="3"/>
  <c r="G316" i="3"/>
  <c r="F316" i="3"/>
  <c r="D316" i="3"/>
  <c r="C316" i="3"/>
  <c r="Q315" i="3"/>
  <c r="P315" i="3"/>
  <c r="M315" i="3"/>
  <c r="L315" i="3"/>
  <c r="K315" i="3"/>
  <c r="I315" i="3"/>
  <c r="H315" i="3"/>
  <c r="G315" i="3"/>
  <c r="F315" i="3"/>
  <c r="D315" i="3"/>
  <c r="C315" i="3"/>
  <c r="Q314" i="3"/>
  <c r="P314" i="3"/>
  <c r="M314" i="3"/>
  <c r="L314" i="3"/>
  <c r="K314" i="3"/>
  <c r="I314" i="3"/>
  <c r="H314" i="3"/>
  <c r="G314" i="3"/>
  <c r="F314" i="3"/>
  <c r="D314" i="3"/>
  <c r="C314" i="3"/>
  <c r="Q313" i="3"/>
  <c r="P313" i="3"/>
  <c r="M313" i="3"/>
  <c r="L313" i="3"/>
  <c r="K313" i="3"/>
  <c r="I313" i="3"/>
  <c r="H313" i="3"/>
  <c r="G313" i="3"/>
  <c r="F313" i="3"/>
  <c r="D313" i="3"/>
  <c r="C313" i="3"/>
  <c r="Q312" i="3"/>
  <c r="P312" i="3"/>
  <c r="M312" i="3"/>
  <c r="L312" i="3"/>
  <c r="K312" i="3"/>
  <c r="I312" i="3"/>
  <c r="H312" i="3"/>
  <c r="G312" i="3"/>
  <c r="F312" i="3"/>
  <c r="D312" i="3"/>
  <c r="C312" i="3"/>
  <c r="Q311" i="3"/>
  <c r="P311" i="3"/>
  <c r="M311" i="3"/>
  <c r="L311" i="3"/>
  <c r="K311" i="3"/>
  <c r="I311" i="3"/>
  <c r="H311" i="3"/>
  <c r="G311" i="3"/>
  <c r="F311" i="3"/>
  <c r="D311" i="3"/>
  <c r="C311" i="3"/>
  <c r="Q310" i="3"/>
  <c r="P310" i="3"/>
  <c r="M310" i="3"/>
  <c r="L310" i="3"/>
  <c r="K310" i="3"/>
  <c r="I310" i="3"/>
  <c r="H310" i="3"/>
  <c r="G310" i="3"/>
  <c r="F310" i="3"/>
  <c r="D310" i="3"/>
  <c r="C310" i="3"/>
  <c r="Q309" i="3"/>
  <c r="P309" i="3"/>
  <c r="M309" i="3"/>
  <c r="L309" i="3"/>
  <c r="K309" i="3"/>
  <c r="I309" i="3"/>
  <c r="H309" i="3"/>
  <c r="G309" i="3"/>
  <c r="F309" i="3"/>
  <c r="D309" i="3"/>
  <c r="C309" i="3"/>
  <c r="Q308" i="3"/>
  <c r="P308" i="3"/>
  <c r="M308" i="3"/>
  <c r="L308" i="3"/>
  <c r="K308" i="3"/>
  <c r="I308" i="3"/>
  <c r="H308" i="3"/>
  <c r="G308" i="3"/>
  <c r="F308" i="3"/>
  <c r="D308" i="3"/>
  <c r="C308" i="3"/>
  <c r="Q307" i="3"/>
  <c r="P307" i="3"/>
  <c r="M307" i="3"/>
  <c r="L307" i="3"/>
  <c r="K307" i="3"/>
  <c r="I307" i="3"/>
  <c r="H307" i="3"/>
  <c r="G307" i="3"/>
  <c r="F307" i="3"/>
  <c r="D307" i="3"/>
  <c r="C307" i="3"/>
  <c r="Q306" i="3"/>
  <c r="P306" i="3"/>
  <c r="M306" i="3"/>
  <c r="L306" i="3"/>
  <c r="K306" i="3"/>
  <c r="I306" i="3"/>
  <c r="H306" i="3"/>
  <c r="G306" i="3"/>
  <c r="F306" i="3"/>
  <c r="D306" i="3"/>
  <c r="C306" i="3"/>
  <c r="Q305" i="3"/>
  <c r="P305" i="3"/>
  <c r="M305" i="3"/>
  <c r="L305" i="3"/>
  <c r="K305" i="3"/>
  <c r="I305" i="3"/>
  <c r="H305" i="3"/>
  <c r="G305" i="3"/>
  <c r="F305" i="3"/>
  <c r="D305" i="3"/>
  <c r="C305" i="3"/>
  <c r="Q304" i="3"/>
  <c r="P304" i="3"/>
  <c r="M304" i="3"/>
  <c r="L304" i="3"/>
  <c r="K304" i="3"/>
  <c r="I304" i="3"/>
  <c r="H304" i="3"/>
  <c r="G304" i="3"/>
  <c r="F304" i="3"/>
  <c r="D304" i="3"/>
  <c r="C304" i="3"/>
  <c r="Q303" i="3"/>
  <c r="P303" i="3"/>
  <c r="M303" i="3"/>
  <c r="L303" i="3"/>
  <c r="K303" i="3"/>
  <c r="I303" i="3"/>
  <c r="H303" i="3"/>
  <c r="G303" i="3"/>
  <c r="F303" i="3"/>
  <c r="D303" i="3"/>
  <c r="C303" i="3"/>
  <c r="Q302" i="3"/>
  <c r="P302" i="3"/>
  <c r="M302" i="3"/>
  <c r="L302" i="3"/>
  <c r="K302" i="3"/>
  <c r="I302" i="3"/>
  <c r="H302" i="3"/>
  <c r="G302" i="3"/>
  <c r="F302" i="3"/>
  <c r="D302" i="3"/>
  <c r="C302" i="3"/>
  <c r="Q301" i="3"/>
  <c r="P301" i="3"/>
  <c r="M301" i="3"/>
  <c r="L301" i="3"/>
  <c r="K301" i="3"/>
  <c r="I301" i="3"/>
  <c r="H301" i="3"/>
  <c r="G301" i="3"/>
  <c r="F301" i="3"/>
  <c r="D301" i="3"/>
  <c r="C301" i="3"/>
  <c r="Q300" i="3"/>
  <c r="P300" i="3"/>
  <c r="M300" i="3"/>
  <c r="L300" i="3"/>
  <c r="K300" i="3"/>
  <c r="I300" i="3"/>
  <c r="H300" i="3"/>
  <c r="G300" i="3"/>
  <c r="F300" i="3"/>
  <c r="D300" i="3"/>
  <c r="C300" i="3"/>
  <c r="Q299" i="3"/>
  <c r="P299" i="3"/>
  <c r="M299" i="3"/>
  <c r="L299" i="3"/>
  <c r="K299" i="3"/>
  <c r="I299" i="3"/>
  <c r="H299" i="3"/>
  <c r="G299" i="3"/>
  <c r="F299" i="3"/>
  <c r="D299" i="3"/>
  <c r="C299" i="3"/>
  <c r="Q298" i="3"/>
  <c r="P298" i="3"/>
  <c r="M298" i="3"/>
  <c r="L298" i="3"/>
  <c r="K298" i="3"/>
  <c r="I298" i="3"/>
  <c r="H298" i="3"/>
  <c r="G298" i="3"/>
  <c r="F298" i="3"/>
  <c r="D298" i="3"/>
  <c r="C298" i="3"/>
  <c r="Q297" i="3"/>
  <c r="P297" i="3"/>
  <c r="N297" i="3"/>
  <c r="M297" i="3"/>
  <c r="L297" i="3"/>
  <c r="K297" i="3"/>
  <c r="J297" i="3"/>
  <c r="I297" i="3"/>
  <c r="H297" i="3"/>
  <c r="G297" i="3"/>
  <c r="F297" i="3"/>
  <c r="D297" i="3"/>
  <c r="C297" i="3"/>
  <c r="Q296" i="3"/>
  <c r="P296" i="3"/>
  <c r="N296" i="3"/>
  <c r="M296" i="3"/>
  <c r="L296" i="3"/>
  <c r="K296" i="3"/>
  <c r="J296" i="3"/>
  <c r="I296" i="3"/>
  <c r="H296" i="3"/>
  <c r="G296" i="3"/>
  <c r="F296" i="3"/>
  <c r="D296" i="3"/>
  <c r="C296" i="3"/>
  <c r="Q295" i="3"/>
  <c r="P295" i="3"/>
  <c r="N295" i="3"/>
  <c r="M295" i="3"/>
  <c r="L295" i="3"/>
  <c r="K295" i="3"/>
  <c r="J295" i="3"/>
  <c r="I295" i="3"/>
  <c r="H295" i="3"/>
  <c r="G295" i="3"/>
  <c r="F295" i="3"/>
  <c r="D295" i="3"/>
  <c r="C295" i="3"/>
  <c r="Q294" i="3"/>
  <c r="P294" i="3"/>
  <c r="N294" i="3"/>
  <c r="M294" i="3"/>
  <c r="L294" i="3"/>
  <c r="K294" i="3"/>
  <c r="J294" i="3"/>
  <c r="I294" i="3"/>
  <c r="H294" i="3"/>
  <c r="G294" i="3"/>
  <c r="F294" i="3"/>
  <c r="D294" i="3"/>
  <c r="C294" i="3"/>
  <c r="Q293" i="3"/>
  <c r="P293" i="3"/>
  <c r="N293" i="3"/>
  <c r="M293" i="3"/>
  <c r="L293" i="3"/>
  <c r="K293" i="3"/>
  <c r="J293" i="3"/>
  <c r="I293" i="3"/>
  <c r="H293" i="3"/>
  <c r="G293" i="3"/>
  <c r="F293" i="3"/>
  <c r="D293" i="3"/>
  <c r="C293" i="3"/>
  <c r="Q292" i="3"/>
  <c r="P292" i="3"/>
  <c r="N292" i="3"/>
  <c r="M292" i="3"/>
  <c r="L292" i="3"/>
  <c r="K292" i="3"/>
  <c r="J292" i="3"/>
  <c r="I292" i="3"/>
  <c r="H292" i="3"/>
  <c r="G292" i="3"/>
  <c r="F292" i="3"/>
  <c r="D292" i="3"/>
  <c r="C292" i="3"/>
  <c r="Q291" i="3"/>
  <c r="P291" i="3"/>
  <c r="N291" i="3"/>
  <c r="M291" i="3"/>
  <c r="L291" i="3"/>
  <c r="K291" i="3"/>
  <c r="J291" i="3"/>
  <c r="I291" i="3"/>
  <c r="H291" i="3"/>
  <c r="G291" i="3"/>
  <c r="F291" i="3"/>
  <c r="D291" i="3"/>
  <c r="C291" i="3"/>
  <c r="Q290" i="3"/>
  <c r="P290" i="3"/>
  <c r="N290" i="3"/>
  <c r="M290" i="3"/>
  <c r="L290" i="3"/>
  <c r="K290" i="3"/>
  <c r="J290" i="3"/>
  <c r="I290" i="3"/>
  <c r="H290" i="3"/>
  <c r="G290" i="3"/>
  <c r="F290" i="3"/>
  <c r="D290" i="3"/>
  <c r="C290" i="3"/>
  <c r="Q289" i="3"/>
  <c r="P289" i="3"/>
  <c r="N289" i="3"/>
  <c r="M289" i="3"/>
  <c r="L289" i="3"/>
  <c r="K289" i="3"/>
  <c r="J289" i="3"/>
  <c r="I289" i="3"/>
  <c r="H289" i="3"/>
  <c r="G289" i="3"/>
  <c r="F289" i="3"/>
  <c r="D289" i="3"/>
  <c r="C289" i="3"/>
  <c r="Q288" i="3"/>
  <c r="P288" i="3"/>
  <c r="N288" i="3"/>
  <c r="M288" i="3"/>
  <c r="L288" i="3"/>
  <c r="K288" i="3"/>
  <c r="J288" i="3"/>
  <c r="I288" i="3"/>
  <c r="H288" i="3"/>
  <c r="G288" i="3"/>
  <c r="F288" i="3"/>
  <c r="D288" i="3"/>
  <c r="C288" i="3"/>
  <c r="Q287" i="3"/>
  <c r="P287" i="3"/>
  <c r="N287" i="3"/>
  <c r="M287" i="3"/>
  <c r="L287" i="3"/>
  <c r="K287" i="3"/>
  <c r="J287" i="3"/>
  <c r="I287" i="3"/>
  <c r="H287" i="3"/>
  <c r="G287" i="3"/>
  <c r="F287" i="3"/>
  <c r="D287" i="3"/>
  <c r="C287" i="3"/>
  <c r="Q286" i="3"/>
  <c r="P286" i="3"/>
  <c r="N286" i="3"/>
  <c r="M286" i="3"/>
  <c r="L286" i="3"/>
  <c r="K286" i="3"/>
  <c r="J286" i="3"/>
  <c r="I286" i="3"/>
  <c r="H286" i="3"/>
  <c r="G286" i="3"/>
  <c r="F286" i="3"/>
  <c r="D286" i="3"/>
  <c r="C286" i="3"/>
  <c r="Q285" i="3"/>
  <c r="P285" i="3"/>
  <c r="N285" i="3"/>
  <c r="M285" i="3"/>
  <c r="L285" i="3"/>
  <c r="K285" i="3"/>
  <c r="J285" i="3"/>
  <c r="I285" i="3"/>
  <c r="H285" i="3"/>
  <c r="G285" i="3"/>
  <c r="F285" i="3"/>
  <c r="D285" i="3"/>
  <c r="C285" i="3"/>
  <c r="Q284" i="3"/>
  <c r="P284" i="3"/>
  <c r="N284" i="3"/>
  <c r="M284" i="3"/>
  <c r="L284" i="3"/>
  <c r="K284" i="3"/>
  <c r="J284" i="3"/>
  <c r="I284" i="3"/>
  <c r="H284" i="3"/>
  <c r="G284" i="3"/>
  <c r="F284" i="3"/>
  <c r="D284" i="3"/>
  <c r="C284" i="3"/>
  <c r="Q283" i="3"/>
  <c r="P283" i="3"/>
  <c r="N283" i="3"/>
  <c r="M283" i="3"/>
  <c r="L283" i="3"/>
  <c r="K283" i="3"/>
  <c r="J283" i="3"/>
  <c r="I283" i="3"/>
  <c r="H283" i="3"/>
  <c r="G283" i="3"/>
  <c r="F283" i="3"/>
  <c r="D283" i="3"/>
  <c r="C283" i="3"/>
  <c r="Q282" i="3"/>
  <c r="P282" i="3"/>
  <c r="N282" i="3"/>
  <c r="M282" i="3"/>
  <c r="L282" i="3"/>
  <c r="K282" i="3"/>
  <c r="J282" i="3"/>
  <c r="I282" i="3"/>
  <c r="H282" i="3"/>
  <c r="G282" i="3"/>
  <c r="F282" i="3"/>
  <c r="D282" i="3"/>
  <c r="C282" i="3"/>
  <c r="Q281" i="3"/>
  <c r="P281" i="3"/>
  <c r="N281" i="3"/>
  <c r="M281" i="3"/>
  <c r="L281" i="3"/>
  <c r="K281" i="3"/>
  <c r="J281" i="3"/>
  <c r="I281" i="3"/>
  <c r="H281" i="3"/>
  <c r="G281" i="3"/>
  <c r="F281" i="3"/>
  <c r="D281" i="3"/>
  <c r="C281" i="3"/>
  <c r="Q280" i="3"/>
  <c r="P280" i="3"/>
  <c r="N280" i="3"/>
  <c r="M280" i="3"/>
  <c r="L280" i="3"/>
  <c r="K280" i="3"/>
  <c r="J280" i="3"/>
  <c r="I280" i="3"/>
  <c r="H280" i="3"/>
  <c r="G280" i="3"/>
  <c r="F280" i="3"/>
  <c r="D280" i="3"/>
  <c r="C280" i="3"/>
  <c r="Q279" i="3"/>
  <c r="P279" i="3"/>
  <c r="N279" i="3"/>
  <c r="M279" i="3"/>
  <c r="L279" i="3"/>
  <c r="K279" i="3"/>
  <c r="J279" i="3"/>
  <c r="I279" i="3"/>
  <c r="H279" i="3"/>
  <c r="G279" i="3"/>
  <c r="F279" i="3"/>
  <c r="D279" i="3"/>
  <c r="C279" i="3"/>
  <c r="Q278" i="3"/>
  <c r="P278" i="3"/>
  <c r="N278" i="3"/>
  <c r="M278" i="3"/>
  <c r="L278" i="3"/>
  <c r="K278" i="3"/>
  <c r="J278" i="3"/>
  <c r="I278" i="3"/>
  <c r="H278" i="3"/>
  <c r="G278" i="3"/>
  <c r="F278" i="3"/>
  <c r="D278" i="3"/>
  <c r="C278" i="3"/>
  <c r="Q277" i="3"/>
  <c r="P277" i="3"/>
  <c r="N277" i="3"/>
  <c r="M277" i="3"/>
  <c r="L277" i="3"/>
  <c r="K277" i="3"/>
  <c r="J277" i="3"/>
  <c r="I277" i="3"/>
  <c r="H277" i="3"/>
  <c r="G277" i="3"/>
  <c r="F277" i="3"/>
  <c r="D277" i="3"/>
  <c r="C277" i="3"/>
  <c r="Q276" i="3"/>
  <c r="P276" i="3"/>
  <c r="N276" i="3"/>
  <c r="M276" i="3"/>
  <c r="L276" i="3"/>
  <c r="K276" i="3"/>
  <c r="J276" i="3"/>
  <c r="I276" i="3"/>
  <c r="H276" i="3"/>
  <c r="G276" i="3"/>
  <c r="F276" i="3"/>
  <c r="D276" i="3"/>
  <c r="C276" i="3"/>
  <c r="Q275" i="3"/>
  <c r="P275" i="3"/>
  <c r="N275" i="3"/>
  <c r="M275" i="3"/>
  <c r="L275" i="3"/>
  <c r="K275" i="3"/>
  <c r="J275" i="3"/>
  <c r="I275" i="3"/>
  <c r="H275" i="3"/>
  <c r="G275" i="3"/>
  <c r="F275" i="3"/>
  <c r="D275" i="3"/>
  <c r="C275" i="3"/>
  <c r="Q274" i="3"/>
  <c r="P274" i="3"/>
  <c r="N274" i="3"/>
  <c r="M274" i="3"/>
  <c r="L274" i="3"/>
  <c r="K274" i="3"/>
  <c r="J274" i="3"/>
  <c r="I274" i="3"/>
  <c r="H274" i="3"/>
  <c r="G274" i="3"/>
  <c r="F274" i="3"/>
  <c r="D274" i="3"/>
  <c r="C274" i="3"/>
  <c r="Q273" i="3"/>
  <c r="P273" i="3"/>
  <c r="N273" i="3"/>
  <c r="M273" i="3"/>
  <c r="L273" i="3"/>
  <c r="K273" i="3"/>
  <c r="J273" i="3"/>
  <c r="I273" i="3"/>
  <c r="H273" i="3"/>
  <c r="G273" i="3"/>
  <c r="F273" i="3"/>
  <c r="D273" i="3"/>
  <c r="C273" i="3"/>
  <c r="Q272" i="3"/>
  <c r="P272" i="3"/>
  <c r="N272" i="3"/>
  <c r="M272" i="3"/>
  <c r="L272" i="3"/>
  <c r="K272" i="3"/>
  <c r="J272" i="3"/>
  <c r="I272" i="3"/>
  <c r="H272" i="3"/>
  <c r="G272" i="3"/>
  <c r="F272" i="3"/>
  <c r="D272" i="3"/>
  <c r="C272" i="3"/>
  <c r="Q271" i="3"/>
  <c r="P271" i="3"/>
  <c r="N271" i="3"/>
  <c r="M271" i="3"/>
  <c r="L271" i="3"/>
  <c r="K271" i="3"/>
  <c r="J271" i="3"/>
  <c r="I271" i="3"/>
  <c r="H271" i="3"/>
  <c r="G271" i="3"/>
  <c r="F271" i="3"/>
  <c r="D271" i="3"/>
  <c r="C271" i="3"/>
  <c r="Q270" i="3"/>
  <c r="P270" i="3"/>
  <c r="N270" i="3"/>
  <c r="M270" i="3"/>
  <c r="L270" i="3"/>
  <c r="K270" i="3"/>
  <c r="J270" i="3"/>
  <c r="I270" i="3"/>
  <c r="H270" i="3"/>
  <c r="G270" i="3"/>
  <c r="F270" i="3"/>
  <c r="D270" i="3"/>
  <c r="C270" i="3"/>
  <c r="Q269" i="3"/>
  <c r="P269" i="3"/>
  <c r="N269" i="3"/>
  <c r="M269" i="3"/>
  <c r="L269" i="3"/>
  <c r="K269" i="3"/>
  <c r="J269" i="3"/>
  <c r="I269" i="3"/>
  <c r="H269" i="3"/>
  <c r="G269" i="3"/>
  <c r="F269" i="3"/>
  <c r="D269" i="3"/>
  <c r="C269" i="3"/>
  <c r="Q268" i="3"/>
  <c r="P268" i="3"/>
  <c r="N268" i="3"/>
  <c r="M268" i="3"/>
  <c r="L268" i="3"/>
  <c r="K268" i="3"/>
  <c r="J268" i="3"/>
  <c r="I268" i="3"/>
  <c r="H268" i="3"/>
  <c r="G268" i="3"/>
  <c r="F268" i="3"/>
  <c r="D268" i="3"/>
  <c r="C268" i="3"/>
  <c r="Q267" i="3"/>
  <c r="P267" i="3"/>
  <c r="N267" i="3"/>
  <c r="M267" i="3"/>
  <c r="L267" i="3"/>
  <c r="K267" i="3"/>
  <c r="J267" i="3"/>
  <c r="I267" i="3"/>
  <c r="H267" i="3"/>
  <c r="G267" i="3"/>
  <c r="F267" i="3"/>
  <c r="D267" i="3"/>
  <c r="C267" i="3"/>
  <c r="Q266" i="3"/>
  <c r="P266" i="3"/>
  <c r="N266" i="3"/>
  <c r="M266" i="3"/>
  <c r="L266" i="3"/>
  <c r="K266" i="3"/>
  <c r="J266" i="3"/>
  <c r="I266" i="3"/>
  <c r="H266" i="3"/>
  <c r="G266" i="3"/>
  <c r="F266" i="3"/>
  <c r="D266" i="3"/>
  <c r="C266" i="3"/>
  <c r="Q265" i="3"/>
  <c r="P265" i="3"/>
  <c r="N265" i="3"/>
  <c r="M265" i="3"/>
  <c r="L265" i="3"/>
  <c r="K265" i="3"/>
  <c r="J265" i="3"/>
  <c r="I265" i="3"/>
  <c r="H265" i="3"/>
  <c r="G265" i="3"/>
  <c r="F265" i="3"/>
  <c r="D265" i="3"/>
  <c r="C265" i="3"/>
  <c r="Q264" i="3"/>
  <c r="P264" i="3"/>
  <c r="N264" i="3"/>
  <c r="M264" i="3"/>
  <c r="L264" i="3"/>
  <c r="K264" i="3"/>
  <c r="J264" i="3"/>
  <c r="I264" i="3"/>
  <c r="H264" i="3"/>
  <c r="G264" i="3"/>
  <c r="F264" i="3"/>
  <c r="D264" i="3"/>
  <c r="C264" i="3"/>
  <c r="Q263" i="3"/>
  <c r="P263" i="3"/>
  <c r="N263" i="3"/>
  <c r="M263" i="3"/>
  <c r="L263" i="3"/>
  <c r="K263" i="3"/>
  <c r="J263" i="3"/>
  <c r="I263" i="3"/>
  <c r="H263" i="3"/>
  <c r="G263" i="3"/>
  <c r="F263" i="3"/>
  <c r="D263" i="3"/>
  <c r="C263" i="3"/>
  <c r="Q262" i="3"/>
  <c r="P262" i="3"/>
  <c r="N262" i="3"/>
  <c r="M262" i="3"/>
  <c r="L262" i="3"/>
  <c r="K262" i="3"/>
  <c r="J262" i="3"/>
  <c r="I262" i="3"/>
  <c r="H262" i="3"/>
  <c r="G262" i="3"/>
  <c r="F262" i="3"/>
  <c r="D262" i="3"/>
  <c r="C262" i="3"/>
  <c r="Q261" i="3"/>
  <c r="P261" i="3"/>
  <c r="N261" i="3"/>
  <c r="M261" i="3"/>
  <c r="L261" i="3"/>
  <c r="K261" i="3"/>
  <c r="J261" i="3"/>
  <c r="I261" i="3"/>
  <c r="H261" i="3"/>
  <c r="G261" i="3"/>
  <c r="F261" i="3"/>
  <c r="D261" i="3"/>
  <c r="C261" i="3"/>
  <c r="Q260" i="3"/>
  <c r="P260" i="3"/>
  <c r="N260" i="3"/>
  <c r="M260" i="3"/>
  <c r="L260" i="3"/>
  <c r="K260" i="3"/>
  <c r="J260" i="3"/>
  <c r="I260" i="3"/>
  <c r="H260" i="3"/>
  <c r="G260" i="3"/>
  <c r="F260" i="3"/>
  <c r="D260" i="3"/>
  <c r="C260" i="3"/>
  <c r="Q259" i="3"/>
  <c r="P259" i="3"/>
  <c r="N259" i="3"/>
  <c r="M259" i="3"/>
  <c r="L259" i="3"/>
  <c r="K259" i="3"/>
  <c r="J259" i="3"/>
  <c r="I259" i="3"/>
  <c r="H259" i="3"/>
  <c r="G259" i="3"/>
  <c r="F259" i="3"/>
  <c r="D259" i="3"/>
  <c r="C259" i="3"/>
  <c r="Q258" i="3"/>
  <c r="P258" i="3"/>
  <c r="N258" i="3"/>
  <c r="M258" i="3"/>
  <c r="L258" i="3"/>
  <c r="K258" i="3"/>
  <c r="J258" i="3"/>
  <c r="I258" i="3"/>
  <c r="H258" i="3"/>
  <c r="G258" i="3"/>
  <c r="F258" i="3"/>
  <c r="D258" i="3"/>
  <c r="C258" i="3"/>
  <c r="Q257" i="3"/>
  <c r="P257" i="3"/>
  <c r="N257" i="3"/>
  <c r="M257" i="3"/>
  <c r="L257" i="3"/>
  <c r="K257" i="3"/>
  <c r="J257" i="3"/>
  <c r="I257" i="3"/>
  <c r="H257" i="3"/>
  <c r="G257" i="3"/>
  <c r="F257" i="3"/>
  <c r="D257" i="3"/>
  <c r="C257" i="3"/>
  <c r="Q256" i="3"/>
  <c r="P256" i="3"/>
  <c r="N256" i="3"/>
  <c r="M256" i="3"/>
  <c r="L256" i="3"/>
  <c r="K256" i="3"/>
  <c r="J256" i="3"/>
  <c r="I256" i="3"/>
  <c r="H256" i="3"/>
  <c r="G256" i="3"/>
  <c r="F256" i="3"/>
  <c r="D256" i="3"/>
  <c r="C256" i="3"/>
  <c r="Q255" i="3"/>
  <c r="P255" i="3"/>
  <c r="N255" i="3"/>
  <c r="M255" i="3"/>
  <c r="L255" i="3"/>
  <c r="K255" i="3"/>
  <c r="J255" i="3"/>
  <c r="I255" i="3"/>
  <c r="H255" i="3"/>
  <c r="G255" i="3"/>
  <c r="F255" i="3"/>
  <c r="D255" i="3"/>
  <c r="C255" i="3"/>
  <c r="Q254" i="3"/>
  <c r="P254" i="3"/>
  <c r="N254" i="3"/>
  <c r="M254" i="3"/>
  <c r="L254" i="3"/>
  <c r="K254" i="3"/>
  <c r="J254" i="3"/>
  <c r="I254" i="3"/>
  <c r="H254" i="3"/>
  <c r="G254" i="3"/>
  <c r="F254" i="3"/>
  <c r="D254" i="3"/>
  <c r="C254" i="3"/>
  <c r="Q253" i="3"/>
  <c r="P253" i="3"/>
  <c r="N253" i="3"/>
  <c r="M253" i="3"/>
  <c r="L253" i="3"/>
  <c r="K253" i="3"/>
  <c r="J253" i="3"/>
  <c r="I253" i="3"/>
  <c r="H253" i="3"/>
  <c r="G253" i="3"/>
  <c r="F253" i="3"/>
  <c r="D253" i="3"/>
  <c r="C253" i="3"/>
  <c r="Q252" i="3"/>
  <c r="P252" i="3"/>
  <c r="N252" i="3"/>
  <c r="M252" i="3"/>
  <c r="L252" i="3"/>
  <c r="K252" i="3"/>
  <c r="J252" i="3"/>
  <c r="I252" i="3"/>
  <c r="H252" i="3"/>
  <c r="G252" i="3"/>
  <c r="F252" i="3"/>
  <c r="D252" i="3"/>
  <c r="C252" i="3"/>
  <c r="Q251" i="3"/>
  <c r="P251" i="3"/>
  <c r="N251" i="3"/>
  <c r="M251" i="3"/>
  <c r="L251" i="3"/>
  <c r="K251" i="3"/>
  <c r="J251" i="3"/>
  <c r="I251" i="3"/>
  <c r="H251" i="3"/>
  <c r="G251" i="3"/>
  <c r="F251" i="3"/>
  <c r="D251" i="3"/>
  <c r="C251" i="3"/>
  <c r="Q250" i="3"/>
  <c r="P250" i="3"/>
  <c r="N250" i="3"/>
  <c r="M250" i="3"/>
  <c r="L250" i="3"/>
  <c r="K250" i="3"/>
  <c r="J250" i="3"/>
  <c r="I250" i="3"/>
  <c r="H250" i="3"/>
  <c r="G250" i="3"/>
  <c r="F250" i="3"/>
  <c r="D250" i="3"/>
  <c r="C250" i="3"/>
  <c r="Q249" i="3"/>
  <c r="P249" i="3"/>
  <c r="N249" i="3"/>
  <c r="M249" i="3"/>
  <c r="L249" i="3"/>
  <c r="K249" i="3"/>
  <c r="J249" i="3"/>
  <c r="I249" i="3"/>
  <c r="H249" i="3"/>
  <c r="G249" i="3"/>
  <c r="F249" i="3"/>
  <c r="D249" i="3"/>
  <c r="C249" i="3"/>
  <c r="Q248" i="3"/>
  <c r="P248" i="3"/>
  <c r="N248" i="3"/>
  <c r="M248" i="3"/>
  <c r="L248" i="3"/>
  <c r="K248" i="3"/>
  <c r="J248" i="3"/>
  <c r="I248" i="3"/>
  <c r="H248" i="3"/>
  <c r="G248" i="3"/>
  <c r="F248" i="3"/>
  <c r="D248" i="3"/>
  <c r="C248" i="3"/>
  <c r="Q247" i="3"/>
  <c r="P247" i="3"/>
  <c r="N247" i="3"/>
  <c r="M247" i="3"/>
  <c r="L247" i="3"/>
  <c r="K247" i="3"/>
  <c r="J247" i="3"/>
  <c r="I247" i="3"/>
  <c r="H247" i="3"/>
  <c r="G247" i="3"/>
  <c r="F247" i="3"/>
  <c r="D247" i="3"/>
  <c r="C247" i="3"/>
  <c r="Q246" i="3"/>
  <c r="P246" i="3"/>
  <c r="N246" i="3"/>
  <c r="M246" i="3"/>
  <c r="L246" i="3"/>
  <c r="K246" i="3"/>
  <c r="J246" i="3"/>
  <c r="I246" i="3"/>
  <c r="H246" i="3"/>
  <c r="G246" i="3"/>
  <c r="F246" i="3"/>
  <c r="D246" i="3"/>
  <c r="C246" i="3"/>
  <c r="Q245" i="3"/>
  <c r="P245" i="3"/>
  <c r="N245" i="3"/>
  <c r="M245" i="3"/>
  <c r="L245" i="3"/>
  <c r="K245" i="3"/>
  <c r="J245" i="3"/>
  <c r="I245" i="3"/>
  <c r="H245" i="3"/>
  <c r="G245" i="3"/>
  <c r="F245" i="3"/>
  <c r="D245" i="3"/>
  <c r="C245" i="3"/>
  <c r="Q244" i="3"/>
  <c r="P244" i="3"/>
  <c r="N244" i="3"/>
  <c r="M244" i="3"/>
  <c r="L244" i="3"/>
  <c r="K244" i="3"/>
  <c r="J244" i="3"/>
  <c r="I244" i="3"/>
  <c r="H244" i="3"/>
  <c r="G244" i="3"/>
  <c r="F244" i="3"/>
  <c r="D244" i="3"/>
  <c r="C244" i="3"/>
  <c r="Q243" i="3"/>
  <c r="P243" i="3"/>
  <c r="N243" i="3"/>
  <c r="M243" i="3"/>
  <c r="L243" i="3"/>
  <c r="K243" i="3"/>
  <c r="J243" i="3"/>
  <c r="I243" i="3"/>
  <c r="H243" i="3"/>
  <c r="G243" i="3"/>
  <c r="F243" i="3"/>
  <c r="D243" i="3"/>
  <c r="C243" i="3"/>
  <c r="Q242" i="3"/>
  <c r="P242" i="3"/>
  <c r="N242" i="3"/>
  <c r="M242" i="3"/>
  <c r="L242" i="3"/>
  <c r="K242" i="3"/>
  <c r="J242" i="3"/>
  <c r="I242" i="3"/>
  <c r="H242" i="3"/>
  <c r="G242" i="3"/>
  <c r="F242" i="3"/>
  <c r="D242" i="3"/>
  <c r="C242" i="3"/>
  <c r="Q241" i="3"/>
  <c r="P241" i="3"/>
  <c r="N241" i="3"/>
  <c r="M241" i="3"/>
  <c r="L241" i="3"/>
  <c r="K241" i="3"/>
  <c r="J241" i="3"/>
  <c r="I241" i="3"/>
  <c r="H241" i="3"/>
  <c r="G241" i="3"/>
  <c r="F241" i="3"/>
  <c r="D241" i="3"/>
  <c r="C241" i="3"/>
  <c r="Q240" i="3"/>
  <c r="P240" i="3"/>
  <c r="N240" i="3"/>
  <c r="M240" i="3"/>
  <c r="L240" i="3"/>
  <c r="K240" i="3"/>
  <c r="J240" i="3"/>
  <c r="I240" i="3"/>
  <c r="H240" i="3"/>
  <c r="G240" i="3"/>
  <c r="F240" i="3"/>
  <c r="D240" i="3"/>
  <c r="C240" i="3"/>
  <c r="Q239" i="3"/>
  <c r="P239" i="3"/>
  <c r="N239" i="3"/>
  <c r="M239" i="3"/>
  <c r="L239" i="3"/>
  <c r="K239" i="3"/>
  <c r="J239" i="3"/>
  <c r="I239" i="3"/>
  <c r="H239" i="3"/>
  <c r="G239" i="3"/>
  <c r="F239" i="3"/>
  <c r="D239" i="3"/>
  <c r="C239" i="3"/>
  <c r="Q238" i="3"/>
  <c r="P238" i="3"/>
  <c r="N238" i="3"/>
  <c r="M238" i="3"/>
  <c r="L238" i="3"/>
  <c r="K238" i="3"/>
  <c r="J238" i="3"/>
  <c r="I238" i="3"/>
  <c r="H238" i="3"/>
  <c r="G238" i="3"/>
  <c r="F238" i="3"/>
  <c r="D238" i="3"/>
  <c r="C238" i="3"/>
  <c r="Q237" i="3"/>
  <c r="P237" i="3"/>
  <c r="N237" i="3"/>
  <c r="M237" i="3"/>
  <c r="L237" i="3"/>
  <c r="K237" i="3"/>
  <c r="J237" i="3"/>
  <c r="I237" i="3"/>
  <c r="H237" i="3"/>
  <c r="G237" i="3"/>
  <c r="F237" i="3"/>
  <c r="D237" i="3"/>
  <c r="C237" i="3"/>
  <c r="Q236" i="3"/>
  <c r="P236" i="3"/>
  <c r="N236" i="3"/>
  <c r="M236" i="3"/>
  <c r="L236" i="3"/>
  <c r="K236" i="3"/>
  <c r="J236" i="3"/>
  <c r="I236" i="3"/>
  <c r="H236" i="3"/>
  <c r="G236" i="3"/>
  <c r="F236" i="3"/>
  <c r="D236" i="3"/>
  <c r="C236" i="3"/>
  <c r="Q235" i="3"/>
  <c r="P235" i="3"/>
  <c r="N235" i="3"/>
  <c r="M235" i="3"/>
  <c r="L235" i="3"/>
  <c r="K235" i="3"/>
  <c r="J235" i="3"/>
  <c r="I235" i="3"/>
  <c r="H235" i="3"/>
  <c r="G235" i="3"/>
  <c r="F235" i="3"/>
  <c r="D235" i="3"/>
  <c r="C235" i="3"/>
  <c r="Q234" i="3"/>
  <c r="P234" i="3"/>
  <c r="N234" i="3"/>
  <c r="M234" i="3"/>
  <c r="L234" i="3"/>
  <c r="K234" i="3"/>
  <c r="J234" i="3"/>
  <c r="I234" i="3"/>
  <c r="H234" i="3"/>
  <c r="G234" i="3"/>
  <c r="F234" i="3"/>
  <c r="D234" i="3"/>
  <c r="C234" i="3"/>
  <c r="Q233" i="3"/>
  <c r="P233" i="3"/>
  <c r="N233" i="3"/>
  <c r="M233" i="3"/>
  <c r="L233" i="3"/>
  <c r="K233" i="3"/>
  <c r="J233" i="3"/>
  <c r="I233" i="3"/>
  <c r="H233" i="3"/>
  <c r="G233" i="3"/>
  <c r="F233" i="3"/>
  <c r="D233" i="3"/>
  <c r="C233" i="3"/>
  <c r="Q232" i="3"/>
  <c r="P232" i="3"/>
  <c r="N232" i="3"/>
  <c r="M232" i="3"/>
  <c r="L232" i="3"/>
  <c r="K232" i="3"/>
  <c r="J232" i="3"/>
  <c r="I232" i="3"/>
  <c r="H232" i="3"/>
  <c r="G232" i="3"/>
  <c r="F232" i="3"/>
  <c r="D232" i="3"/>
  <c r="C232" i="3"/>
  <c r="Q231" i="3"/>
  <c r="P231" i="3"/>
  <c r="N231" i="3"/>
  <c r="M231" i="3"/>
  <c r="L231" i="3"/>
  <c r="K231" i="3"/>
  <c r="J231" i="3"/>
  <c r="I231" i="3"/>
  <c r="H231" i="3"/>
  <c r="G231" i="3"/>
  <c r="F231" i="3"/>
  <c r="D231" i="3"/>
  <c r="C231" i="3"/>
  <c r="Q230" i="3"/>
  <c r="P230" i="3"/>
  <c r="N230" i="3"/>
  <c r="M230" i="3"/>
  <c r="L230" i="3"/>
  <c r="K230" i="3"/>
  <c r="J230" i="3"/>
  <c r="I230" i="3"/>
  <c r="H230" i="3"/>
  <c r="G230" i="3"/>
  <c r="F230" i="3"/>
  <c r="D230" i="3"/>
  <c r="C230" i="3"/>
  <c r="Q229" i="3"/>
  <c r="P229" i="3"/>
  <c r="N229" i="3"/>
  <c r="M229" i="3"/>
  <c r="L229" i="3"/>
  <c r="K229" i="3"/>
  <c r="J229" i="3"/>
  <c r="I229" i="3"/>
  <c r="H229" i="3"/>
  <c r="G229" i="3"/>
  <c r="F229" i="3"/>
  <c r="D229" i="3"/>
  <c r="C229" i="3"/>
  <c r="Q228" i="3"/>
  <c r="P228" i="3"/>
  <c r="N228" i="3"/>
  <c r="M228" i="3"/>
  <c r="L228" i="3"/>
  <c r="K228" i="3"/>
  <c r="J228" i="3"/>
  <c r="I228" i="3"/>
  <c r="H228" i="3"/>
  <c r="G228" i="3"/>
  <c r="F228" i="3"/>
  <c r="D228" i="3"/>
  <c r="C228" i="3"/>
  <c r="Q227" i="3"/>
  <c r="P227" i="3"/>
  <c r="N227" i="3"/>
  <c r="M227" i="3"/>
  <c r="L227" i="3"/>
  <c r="K227" i="3"/>
  <c r="J227" i="3"/>
  <c r="I227" i="3"/>
  <c r="H227" i="3"/>
  <c r="G227" i="3"/>
  <c r="F227" i="3"/>
  <c r="D227" i="3"/>
  <c r="C227" i="3"/>
  <c r="Q226" i="3"/>
  <c r="P226" i="3"/>
  <c r="N226" i="3"/>
  <c r="M226" i="3"/>
  <c r="L226" i="3"/>
  <c r="K226" i="3"/>
  <c r="J226" i="3"/>
  <c r="I226" i="3"/>
  <c r="H226" i="3"/>
  <c r="G226" i="3"/>
  <c r="F226" i="3"/>
  <c r="D226" i="3"/>
  <c r="C226" i="3"/>
  <c r="Q225" i="3"/>
  <c r="P225" i="3"/>
  <c r="N225" i="3"/>
  <c r="M225" i="3"/>
  <c r="L225" i="3"/>
  <c r="K225" i="3"/>
  <c r="J225" i="3"/>
  <c r="I225" i="3"/>
  <c r="H225" i="3"/>
  <c r="G225" i="3"/>
  <c r="F225" i="3"/>
  <c r="D225" i="3"/>
  <c r="C225" i="3"/>
  <c r="Q224" i="3"/>
  <c r="P224" i="3"/>
  <c r="N224" i="3"/>
  <c r="M224" i="3"/>
  <c r="L224" i="3"/>
  <c r="K224" i="3"/>
  <c r="J224" i="3"/>
  <c r="I224" i="3"/>
  <c r="H224" i="3"/>
  <c r="G224" i="3"/>
  <c r="F224" i="3"/>
  <c r="D224" i="3"/>
  <c r="C224" i="3"/>
  <c r="Q223" i="3"/>
  <c r="P223" i="3"/>
  <c r="N223" i="3"/>
  <c r="M223" i="3"/>
  <c r="L223" i="3"/>
  <c r="K223" i="3"/>
  <c r="J223" i="3"/>
  <c r="I223" i="3"/>
  <c r="H223" i="3"/>
  <c r="G223" i="3"/>
  <c r="F223" i="3"/>
  <c r="D223" i="3"/>
  <c r="C223" i="3"/>
  <c r="Q222" i="3"/>
  <c r="P222" i="3"/>
  <c r="N222" i="3"/>
  <c r="M222" i="3"/>
  <c r="L222" i="3"/>
  <c r="K222" i="3"/>
  <c r="J222" i="3"/>
  <c r="I222" i="3"/>
  <c r="H222" i="3"/>
  <c r="G222" i="3"/>
  <c r="F222" i="3"/>
  <c r="D222" i="3"/>
  <c r="C222" i="3"/>
  <c r="Q221" i="3"/>
  <c r="P221" i="3"/>
  <c r="N221" i="3"/>
  <c r="M221" i="3"/>
  <c r="L221" i="3"/>
  <c r="K221" i="3"/>
  <c r="J221" i="3"/>
  <c r="I221" i="3"/>
  <c r="H221" i="3"/>
  <c r="G221" i="3"/>
  <c r="F221" i="3"/>
  <c r="D221" i="3"/>
  <c r="C221" i="3"/>
  <c r="Q220" i="3"/>
  <c r="P220" i="3"/>
  <c r="N220" i="3"/>
  <c r="M220" i="3"/>
  <c r="L220" i="3"/>
  <c r="K220" i="3"/>
  <c r="J220" i="3"/>
  <c r="I220" i="3"/>
  <c r="H220" i="3"/>
  <c r="G220" i="3"/>
  <c r="F220" i="3"/>
  <c r="D220" i="3"/>
  <c r="C220" i="3"/>
  <c r="Q219" i="3"/>
  <c r="P219" i="3"/>
  <c r="N219" i="3"/>
  <c r="M219" i="3"/>
  <c r="L219" i="3"/>
  <c r="K219" i="3"/>
  <c r="J219" i="3"/>
  <c r="I219" i="3"/>
  <c r="H219" i="3"/>
  <c r="G219" i="3"/>
  <c r="F219" i="3"/>
  <c r="D219" i="3"/>
  <c r="C219" i="3"/>
  <c r="Q218" i="3"/>
  <c r="P218" i="3"/>
  <c r="N218" i="3"/>
  <c r="M218" i="3"/>
  <c r="L218" i="3"/>
  <c r="K218" i="3"/>
  <c r="J218" i="3"/>
  <c r="I218" i="3"/>
  <c r="H218" i="3"/>
  <c r="G218" i="3"/>
  <c r="F218" i="3"/>
  <c r="D218" i="3"/>
  <c r="C218" i="3"/>
  <c r="Q217" i="3"/>
  <c r="P217" i="3"/>
  <c r="N217" i="3"/>
  <c r="M217" i="3"/>
  <c r="L217" i="3"/>
  <c r="K217" i="3"/>
  <c r="J217" i="3"/>
  <c r="I217" i="3"/>
  <c r="H217" i="3"/>
  <c r="G217" i="3"/>
  <c r="F217" i="3"/>
  <c r="D217" i="3"/>
  <c r="C217" i="3"/>
  <c r="Q216" i="3"/>
  <c r="P216" i="3"/>
  <c r="N216" i="3"/>
  <c r="M216" i="3"/>
  <c r="L216" i="3"/>
  <c r="K216" i="3"/>
  <c r="J216" i="3"/>
  <c r="I216" i="3"/>
  <c r="H216" i="3"/>
  <c r="G216" i="3"/>
  <c r="F216" i="3"/>
  <c r="D216" i="3"/>
  <c r="C216" i="3"/>
  <c r="Q215" i="3"/>
  <c r="P215" i="3"/>
  <c r="N215" i="3"/>
  <c r="M215" i="3"/>
  <c r="L215" i="3"/>
  <c r="K215" i="3"/>
  <c r="J215" i="3"/>
  <c r="I215" i="3"/>
  <c r="H215" i="3"/>
  <c r="G215" i="3"/>
  <c r="F215" i="3"/>
  <c r="D215" i="3"/>
  <c r="C215" i="3"/>
  <c r="Q214" i="3"/>
  <c r="P214" i="3"/>
  <c r="N214" i="3"/>
  <c r="M214" i="3"/>
  <c r="L214" i="3"/>
  <c r="K214" i="3"/>
  <c r="J214" i="3"/>
  <c r="I214" i="3"/>
  <c r="H214" i="3"/>
  <c r="G214" i="3"/>
  <c r="F214" i="3"/>
  <c r="D214" i="3"/>
  <c r="C214" i="3"/>
  <c r="Q213" i="3"/>
  <c r="P213" i="3"/>
  <c r="M213" i="3"/>
  <c r="L213" i="3"/>
  <c r="K213" i="3"/>
  <c r="I213" i="3"/>
  <c r="H213" i="3"/>
  <c r="G213" i="3"/>
  <c r="F213" i="3"/>
  <c r="D213" i="3"/>
  <c r="C213" i="3"/>
  <c r="Q212" i="3"/>
  <c r="P212" i="3"/>
  <c r="M212" i="3"/>
  <c r="L212" i="3"/>
  <c r="K212" i="3"/>
  <c r="I212" i="3"/>
  <c r="H212" i="3"/>
  <c r="G212" i="3"/>
  <c r="F212" i="3"/>
  <c r="D212" i="3"/>
  <c r="C212" i="3"/>
  <c r="Q211" i="3"/>
  <c r="P211" i="3"/>
  <c r="M211" i="3"/>
  <c r="L211" i="3"/>
  <c r="K211" i="3"/>
  <c r="I211" i="3"/>
  <c r="H211" i="3"/>
  <c r="G211" i="3"/>
  <c r="F211" i="3"/>
  <c r="D211" i="3"/>
  <c r="C211" i="3"/>
  <c r="Q210" i="3"/>
  <c r="P210" i="3"/>
  <c r="M210" i="3"/>
  <c r="L210" i="3"/>
  <c r="K210" i="3"/>
  <c r="I210" i="3"/>
  <c r="H210" i="3"/>
  <c r="G210" i="3"/>
  <c r="F210" i="3"/>
  <c r="D210" i="3"/>
  <c r="C210" i="3"/>
  <c r="Q209" i="3"/>
  <c r="P209" i="3"/>
  <c r="M209" i="3"/>
  <c r="L209" i="3"/>
  <c r="K209" i="3"/>
  <c r="I209" i="3"/>
  <c r="H209" i="3"/>
  <c r="G209" i="3"/>
  <c r="F209" i="3"/>
  <c r="D209" i="3"/>
  <c r="C209" i="3"/>
  <c r="Q208" i="3"/>
  <c r="P208" i="3"/>
  <c r="M208" i="3"/>
  <c r="L208" i="3"/>
  <c r="K208" i="3"/>
  <c r="I208" i="3"/>
  <c r="H208" i="3"/>
  <c r="G208" i="3"/>
  <c r="F208" i="3"/>
  <c r="D208" i="3"/>
  <c r="C208" i="3"/>
  <c r="Q207" i="3"/>
  <c r="P207" i="3"/>
  <c r="M207" i="3"/>
  <c r="L207" i="3"/>
  <c r="K207" i="3"/>
  <c r="I207" i="3"/>
  <c r="H207" i="3"/>
  <c r="G207" i="3"/>
  <c r="F207" i="3"/>
  <c r="D207" i="3"/>
  <c r="C207" i="3"/>
  <c r="Q206" i="3"/>
  <c r="P206" i="3"/>
  <c r="M206" i="3"/>
  <c r="L206" i="3"/>
  <c r="K206" i="3"/>
  <c r="I206" i="3"/>
  <c r="H206" i="3"/>
  <c r="G206" i="3"/>
  <c r="F206" i="3"/>
  <c r="D206" i="3"/>
  <c r="C206" i="3"/>
  <c r="Q205" i="3"/>
  <c r="P205" i="3"/>
  <c r="M205" i="3"/>
  <c r="L205" i="3"/>
  <c r="K205" i="3"/>
  <c r="I205" i="3"/>
  <c r="H205" i="3"/>
  <c r="G205" i="3"/>
  <c r="F205" i="3"/>
  <c r="D205" i="3"/>
  <c r="C205" i="3"/>
  <c r="Q204" i="3"/>
  <c r="P204" i="3"/>
  <c r="M204" i="3"/>
  <c r="L204" i="3"/>
  <c r="K204" i="3"/>
  <c r="I204" i="3"/>
  <c r="H204" i="3"/>
  <c r="G204" i="3"/>
  <c r="F204" i="3"/>
  <c r="D204" i="3"/>
  <c r="C204" i="3"/>
  <c r="Q203" i="3"/>
  <c r="P203" i="3"/>
  <c r="M203" i="3"/>
  <c r="L203" i="3"/>
  <c r="K203" i="3"/>
  <c r="I203" i="3"/>
  <c r="H203" i="3"/>
  <c r="G203" i="3"/>
  <c r="F203" i="3"/>
  <c r="D203" i="3"/>
  <c r="C203" i="3"/>
  <c r="Q202" i="3"/>
  <c r="P202" i="3"/>
  <c r="M202" i="3"/>
  <c r="L202" i="3"/>
  <c r="K202" i="3"/>
  <c r="I202" i="3"/>
  <c r="H202" i="3"/>
  <c r="G202" i="3"/>
  <c r="F202" i="3"/>
  <c r="D202" i="3"/>
  <c r="C202" i="3"/>
  <c r="Q201" i="3"/>
  <c r="P201" i="3"/>
  <c r="M201" i="3"/>
  <c r="L201" i="3"/>
  <c r="K201" i="3"/>
  <c r="I201" i="3"/>
  <c r="H201" i="3"/>
  <c r="G201" i="3"/>
  <c r="F201" i="3"/>
  <c r="D201" i="3"/>
  <c r="C201" i="3"/>
  <c r="Q200" i="3"/>
  <c r="P200" i="3"/>
  <c r="M200" i="3"/>
  <c r="L200" i="3"/>
  <c r="K200" i="3"/>
  <c r="I200" i="3"/>
  <c r="H200" i="3"/>
  <c r="G200" i="3"/>
  <c r="F200" i="3"/>
  <c r="D200" i="3"/>
  <c r="C200" i="3"/>
  <c r="Q199" i="3"/>
  <c r="P199" i="3"/>
  <c r="M199" i="3"/>
  <c r="L199" i="3"/>
  <c r="K199" i="3"/>
  <c r="I199" i="3"/>
  <c r="H199" i="3"/>
  <c r="G199" i="3"/>
  <c r="F199" i="3"/>
  <c r="D199" i="3"/>
  <c r="C199" i="3"/>
  <c r="Q198" i="3"/>
  <c r="P198" i="3"/>
  <c r="M198" i="3"/>
  <c r="L198" i="3"/>
  <c r="K198" i="3"/>
  <c r="I198" i="3"/>
  <c r="H198" i="3"/>
  <c r="G198" i="3"/>
  <c r="F198" i="3"/>
  <c r="D198" i="3"/>
  <c r="C198" i="3"/>
  <c r="Q197" i="3"/>
  <c r="P197" i="3"/>
  <c r="M197" i="3"/>
  <c r="L197" i="3"/>
  <c r="K197" i="3"/>
  <c r="I197" i="3"/>
  <c r="H197" i="3"/>
  <c r="G197" i="3"/>
  <c r="F197" i="3"/>
  <c r="D197" i="3"/>
  <c r="C197" i="3"/>
  <c r="Q196" i="3"/>
  <c r="P196" i="3"/>
  <c r="M196" i="3"/>
  <c r="L196" i="3"/>
  <c r="K196" i="3"/>
  <c r="I196" i="3"/>
  <c r="H196" i="3"/>
  <c r="G196" i="3"/>
  <c r="F196" i="3"/>
  <c r="D196" i="3"/>
  <c r="C196" i="3"/>
  <c r="Q195" i="3"/>
  <c r="P195" i="3"/>
  <c r="M195" i="3"/>
  <c r="L195" i="3"/>
  <c r="K195" i="3"/>
  <c r="I195" i="3"/>
  <c r="H195" i="3"/>
  <c r="G195" i="3"/>
  <c r="F195" i="3"/>
  <c r="D195" i="3"/>
  <c r="C195" i="3"/>
  <c r="Q194" i="3"/>
  <c r="P194" i="3"/>
  <c r="M194" i="3"/>
  <c r="L194" i="3"/>
  <c r="K194" i="3"/>
  <c r="I194" i="3"/>
  <c r="H194" i="3"/>
  <c r="G194" i="3"/>
  <c r="F194" i="3"/>
  <c r="D194" i="3"/>
  <c r="C194" i="3"/>
  <c r="Q193" i="3"/>
  <c r="P193" i="3"/>
  <c r="M193" i="3"/>
  <c r="L193" i="3"/>
  <c r="K193" i="3"/>
  <c r="I193" i="3"/>
  <c r="H193" i="3"/>
  <c r="G193" i="3"/>
  <c r="F193" i="3"/>
  <c r="D193" i="3"/>
  <c r="C193" i="3"/>
  <c r="Q192" i="3"/>
  <c r="P192" i="3"/>
  <c r="M192" i="3"/>
  <c r="L192" i="3"/>
  <c r="K192" i="3"/>
  <c r="I192" i="3"/>
  <c r="H192" i="3"/>
  <c r="G192" i="3"/>
  <c r="F192" i="3"/>
  <c r="D192" i="3"/>
  <c r="C192" i="3"/>
  <c r="Q191" i="3"/>
  <c r="P191" i="3"/>
  <c r="M191" i="3"/>
  <c r="L191" i="3"/>
  <c r="K191" i="3"/>
  <c r="I191" i="3"/>
  <c r="H191" i="3"/>
  <c r="G191" i="3"/>
  <c r="F191" i="3"/>
  <c r="D191" i="3"/>
  <c r="C191" i="3"/>
  <c r="Q190" i="3"/>
  <c r="P190" i="3"/>
  <c r="M190" i="3"/>
  <c r="L190" i="3"/>
  <c r="K190" i="3"/>
  <c r="I190" i="3"/>
  <c r="H190" i="3"/>
  <c r="G190" i="3"/>
  <c r="F190" i="3"/>
  <c r="D190" i="3"/>
  <c r="C190" i="3"/>
  <c r="Q189" i="3"/>
  <c r="P189" i="3"/>
  <c r="M189" i="3"/>
  <c r="L189" i="3"/>
  <c r="K189" i="3"/>
  <c r="I189" i="3"/>
  <c r="H189" i="3"/>
  <c r="G189" i="3"/>
  <c r="F189" i="3"/>
  <c r="D189" i="3"/>
  <c r="C189" i="3"/>
  <c r="Q188" i="3"/>
  <c r="P188" i="3"/>
  <c r="M188" i="3"/>
  <c r="L188" i="3"/>
  <c r="K188" i="3"/>
  <c r="I188" i="3"/>
  <c r="H188" i="3"/>
  <c r="G188" i="3"/>
  <c r="F188" i="3"/>
  <c r="D188" i="3"/>
  <c r="C188" i="3"/>
  <c r="Q187" i="3"/>
  <c r="P187" i="3"/>
  <c r="M187" i="3"/>
  <c r="L187" i="3"/>
  <c r="K187" i="3"/>
  <c r="I187" i="3"/>
  <c r="H187" i="3"/>
  <c r="G187" i="3"/>
  <c r="F187" i="3"/>
  <c r="D187" i="3"/>
  <c r="C187" i="3"/>
  <c r="Q186" i="3"/>
  <c r="P186" i="3"/>
  <c r="M186" i="3"/>
  <c r="L186" i="3"/>
  <c r="K186" i="3"/>
  <c r="I186" i="3"/>
  <c r="H186" i="3"/>
  <c r="G186" i="3"/>
  <c r="F186" i="3"/>
  <c r="D186" i="3"/>
  <c r="C186" i="3"/>
  <c r="Q185" i="3"/>
  <c r="P185" i="3"/>
  <c r="M185" i="3"/>
  <c r="L185" i="3"/>
  <c r="K185" i="3"/>
  <c r="I185" i="3"/>
  <c r="H185" i="3"/>
  <c r="G185" i="3"/>
  <c r="F185" i="3"/>
  <c r="D185" i="3"/>
  <c r="C185" i="3"/>
  <c r="Q184" i="3"/>
  <c r="P184" i="3"/>
  <c r="M184" i="3"/>
  <c r="L184" i="3"/>
  <c r="K184" i="3"/>
  <c r="I184" i="3"/>
  <c r="H184" i="3"/>
  <c r="G184" i="3"/>
  <c r="F184" i="3"/>
  <c r="D184" i="3"/>
  <c r="C184" i="3"/>
  <c r="Q183" i="3"/>
  <c r="P183" i="3"/>
  <c r="M183" i="3"/>
  <c r="L183" i="3"/>
  <c r="K183" i="3"/>
  <c r="I183" i="3"/>
  <c r="H183" i="3"/>
  <c r="G183" i="3"/>
  <c r="F183" i="3"/>
  <c r="D183" i="3"/>
  <c r="C183" i="3"/>
  <c r="Q182" i="3"/>
  <c r="P182" i="3"/>
  <c r="M182" i="3"/>
  <c r="L182" i="3"/>
  <c r="K182" i="3"/>
  <c r="I182" i="3"/>
  <c r="H182" i="3"/>
  <c r="G182" i="3"/>
  <c r="F182" i="3"/>
  <c r="D182" i="3"/>
  <c r="C182" i="3"/>
  <c r="Q181" i="3"/>
  <c r="P181" i="3"/>
  <c r="M181" i="3"/>
  <c r="L181" i="3"/>
  <c r="K181" i="3"/>
  <c r="I181" i="3"/>
  <c r="H181" i="3"/>
  <c r="G181" i="3"/>
  <c r="F181" i="3"/>
  <c r="D181" i="3"/>
  <c r="C181" i="3"/>
  <c r="Q180" i="3"/>
  <c r="P180" i="3"/>
  <c r="M180" i="3"/>
  <c r="L180" i="3"/>
  <c r="K180" i="3"/>
  <c r="I180" i="3"/>
  <c r="H180" i="3"/>
  <c r="G180" i="3"/>
  <c r="F180" i="3"/>
  <c r="D180" i="3"/>
  <c r="C180" i="3"/>
  <c r="Q179" i="3"/>
  <c r="P179" i="3"/>
  <c r="M179" i="3"/>
  <c r="L179" i="3"/>
  <c r="K179" i="3"/>
  <c r="I179" i="3"/>
  <c r="H179" i="3"/>
  <c r="G179" i="3"/>
  <c r="F179" i="3"/>
  <c r="D179" i="3"/>
  <c r="C179" i="3"/>
  <c r="Q178" i="3"/>
  <c r="P178" i="3"/>
  <c r="M178" i="3"/>
  <c r="L178" i="3"/>
  <c r="K178" i="3"/>
  <c r="I178" i="3"/>
  <c r="H178" i="3"/>
  <c r="G178" i="3"/>
  <c r="F178" i="3"/>
  <c r="D178" i="3"/>
  <c r="C178" i="3"/>
  <c r="Q177" i="3"/>
  <c r="P177" i="3"/>
  <c r="M177" i="3"/>
  <c r="L177" i="3"/>
  <c r="K177" i="3"/>
  <c r="I177" i="3"/>
  <c r="H177" i="3"/>
  <c r="G177" i="3"/>
  <c r="F177" i="3"/>
  <c r="D177" i="3"/>
  <c r="C177" i="3"/>
  <c r="Q176" i="3"/>
  <c r="P176" i="3"/>
  <c r="M176" i="3"/>
  <c r="L176" i="3"/>
  <c r="K176" i="3"/>
  <c r="I176" i="3"/>
  <c r="H176" i="3"/>
  <c r="G176" i="3"/>
  <c r="F176" i="3"/>
  <c r="D176" i="3"/>
  <c r="C176" i="3"/>
  <c r="Q175" i="3"/>
  <c r="P175" i="3"/>
  <c r="M175" i="3"/>
  <c r="L175" i="3"/>
  <c r="K175" i="3"/>
  <c r="I175" i="3"/>
  <c r="H175" i="3"/>
  <c r="G175" i="3"/>
  <c r="F175" i="3"/>
  <c r="D175" i="3"/>
  <c r="C175" i="3"/>
  <c r="Q174" i="3"/>
  <c r="P174" i="3"/>
  <c r="M174" i="3"/>
  <c r="L174" i="3"/>
  <c r="K174" i="3"/>
  <c r="I174" i="3"/>
  <c r="H174" i="3"/>
  <c r="G174" i="3"/>
  <c r="F174" i="3"/>
  <c r="D174" i="3"/>
  <c r="C174" i="3"/>
  <c r="Q173" i="3"/>
  <c r="P173" i="3"/>
  <c r="M173" i="3"/>
  <c r="L173" i="3"/>
  <c r="K173" i="3"/>
  <c r="I173" i="3"/>
  <c r="H173" i="3"/>
  <c r="G173" i="3"/>
  <c r="F173" i="3"/>
  <c r="D173" i="3"/>
  <c r="C173" i="3"/>
  <c r="Q172" i="3"/>
  <c r="P172" i="3"/>
  <c r="M172" i="3"/>
  <c r="L172" i="3"/>
  <c r="K172" i="3"/>
  <c r="I172" i="3"/>
  <c r="H172" i="3"/>
  <c r="G172" i="3"/>
  <c r="F172" i="3"/>
  <c r="D172" i="3"/>
  <c r="C172" i="3"/>
  <c r="Q171" i="3"/>
  <c r="P171" i="3"/>
  <c r="M171" i="3"/>
  <c r="L171" i="3"/>
  <c r="K171" i="3"/>
  <c r="I171" i="3"/>
  <c r="H171" i="3"/>
  <c r="G171" i="3"/>
  <c r="F171" i="3"/>
  <c r="D171" i="3"/>
  <c r="C171" i="3"/>
  <c r="Q170" i="3"/>
  <c r="P170" i="3"/>
  <c r="M170" i="3"/>
  <c r="L170" i="3"/>
  <c r="K170" i="3"/>
  <c r="I170" i="3"/>
  <c r="H170" i="3"/>
  <c r="G170" i="3"/>
  <c r="F170" i="3"/>
  <c r="D170" i="3"/>
  <c r="C170" i="3"/>
  <c r="Q169" i="3"/>
  <c r="P169" i="3"/>
  <c r="M169" i="3"/>
  <c r="L169" i="3"/>
  <c r="K169" i="3"/>
  <c r="I169" i="3"/>
  <c r="H169" i="3"/>
  <c r="G169" i="3"/>
  <c r="F169" i="3"/>
  <c r="D169" i="3"/>
  <c r="C169" i="3"/>
  <c r="Q168" i="3"/>
  <c r="P168" i="3"/>
  <c r="M168" i="3"/>
  <c r="L168" i="3"/>
  <c r="K168" i="3"/>
  <c r="I168" i="3"/>
  <c r="H168" i="3"/>
  <c r="G168" i="3"/>
  <c r="F168" i="3"/>
  <c r="D168" i="3"/>
  <c r="C168" i="3"/>
  <c r="Q167" i="3"/>
  <c r="P167" i="3"/>
  <c r="M167" i="3"/>
  <c r="L167" i="3"/>
  <c r="K167" i="3"/>
  <c r="I167" i="3"/>
  <c r="H167" i="3"/>
  <c r="G167" i="3"/>
  <c r="F167" i="3"/>
  <c r="D167" i="3"/>
  <c r="C167" i="3"/>
  <c r="Q166" i="3"/>
  <c r="P166" i="3"/>
  <c r="M166" i="3"/>
  <c r="L166" i="3"/>
  <c r="K166" i="3"/>
  <c r="I166" i="3"/>
  <c r="H166" i="3"/>
  <c r="G166" i="3"/>
  <c r="F166" i="3"/>
  <c r="D166" i="3"/>
  <c r="C166" i="3"/>
  <c r="Q165" i="3"/>
  <c r="P165" i="3"/>
  <c r="M165" i="3"/>
  <c r="L165" i="3"/>
  <c r="K165" i="3"/>
  <c r="I165" i="3"/>
  <c r="H165" i="3"/>
  <c r="G165" i="3"/>
  <c r="F165" i="3"/>
  <c r="D165" i="3"/>
  <c r="C165" i="3"/>
  <c r="Q164" i="3"/>
  <c r="P164" i="3"/>
  <c r="M164" i="3"/>
  <c r="L164" i="3"/>
  <c r="K164" i="3"/>
  <c r="I164" i="3"/>
  <c r="H164" i="3"/>
  <c r="G164" i="3"/>
  <c r="F164" i="3"/>
  <c r="D164" i="3"/>
  <c r="C164" i="3"/>
  <c r="Q163" i="3"/>
  <c r="P163" i="3"/>
  <c r="M163" i="3"/>
  <c r="L163" i="3"/>
  <c r="K163" i="3"/>
  <c r="I163" i="3"/>
  <c r="H163" i="3"/>
  <c r="G163" i="3"/>
  <c r="F163" i="3"/>
  <c r="D163" i="3"/>
  <c r="C163" i="3"/>
  <c r="Q162" i="3"/>
  <c r="P162" i="3"/>
  <c r="M162" i="3"/>
  <c r="L162" i="3"/>
  <c r="K162" i="3"/>
  <c r="I162" i="3"/>
  <c r="H162" i="3"/>
  <c r="G162" i="3"/>
  <c r="F162" i="3"/>
  <c r="D162" i="3"/>
  <c r="C162" i="3"/>
  <c r="Q161" i="3"/>
  <c r="P161" i="3"/>
  <c r="M161" i="3"/>
  <c r="L161" i="3"/>
  <c r="K161" i="3"/>
  <c r="I161" i="3"/>
  <c r="H161" i="3"/>
  <c r="G161" i="3"/>
  <c r="F161" i="3"/>
  <c r="D161" i="3"/>
  <c r="C161" i="3"/>
  <c r="Q160" i="3"/>
  <c r="P160" i="3"/>
  <c r="M160" i="3"/>
  <c r="L160" i="3"/>
  <c r="K160" i="3"/>
  <c r="I160" i="3"/>
  <c r="H160" i="3"/>
  <c r="G160" i="3"/>
  <c r="F160" i="3"/>
  <c r="D160" i="3"/>
  <c r="C160" i="3"/>
  <c r="Q159" i="3"/>
  <c r="P159" i="3"/>
  <c r="M159" i="3"/>
  <c r="L159" i="3"/>
  <c r="K159" i="3"/>
  <c r="I159" i="3"/>
  <c r="H159" i="3"/>
  <c r="G159" i="3"/>
  <c r="F159" i="3"/>
  <c r="D159" i="3"/>
  <c r="C159" i="3"/>
  <c r="Q158" i="3"/>
  <c r="P158" i="3"/>
  <c r="M158" i="3"/>
  <c r="L158" i="3"/>
  <c r="K158" i="3"/>
  <c r="I158" i="3"/>
  <c r="H158" i="3"/>
  <c r="G158" i="3"/>
  <c r="F158" i="3"/>
  <c r="D158" i="3"/>
  <c r="C158" i="3"/>
  <c r="Q157" i="3"/>
  <c r="P157" i="3"/>
  <c r="M157" i="3"/>
  <c r="L157" i="3"/>
  <c r="K157" i="3"/>
  <c r="I157" i="3"/>
  <c r="H157" i="3"/>
  <c r="G157" i="3"/>
  <c r="F157" i="3"/>
  <c r="D157" i="3"/>
  <c r="C157" i="3"/>
  <c r="Q156" i="3"/>
  <c r="P156" i="3"/>
  <c r="M156" i="3"/>
  <c r="L156" i="3"/>
  <c r="K156" i="3"/>
  <c r="I156" i="3"/>
  <c r="H156" i="3"/>
  <c r="G156" i="3"/>
  <c r="F156" i="3"/>
  <c r="D156" i="3"/>
  <c r="C156" i="3"/>
  <c r="Q155" i="3"/>
  <c r="P155" i="3"/>
  <c r="M155" i="3"/>
  <c r="L155" i="3"/>
  <c r="K155" i="3"/>
  <c r="I155" i="3"/>
  <c r="H155" i="3"/>
  <c r="G155" i="3"/>
  <c r="F155" i="3"/>
  <c r="D155" i="3"/>
  <c r="C155" i="3"/>
  <c r="Q154" i="3"/>
  <c r="P154" i="3"/>
  <c r="M154" i="3"/>
  <c r="L154" i="3"/>
  <c r="K154" i="3"/>
  <c r="I154" i="3"/>
  <c r="H154" i="3"/>
  <c r="G154" i="3"/>
  <c r="F154" i="3"/>
  <c r="D154" i="3"/>
  <c r="C154" i="3"/>
  <c r="Q153" i="3"/>
  <c r="P153" i="3"/>
  <c r="M153" i="3"/>
  <c r="L153" i="3"/>
  <c r="K153" i="3"/>
  <c r="I153" i="3"/>
  <c r="H153" i="3"/>
  <c r="G153" i="3"/>
  <c r="F153" i="3"/>
  <c r="D153" i="3"/>
  <c r="C153" i="3"/>
  <c r="Q152" i="3"/>
  <c r="P152" i="3"/>
  <c r="M152" i="3"/>
  <c r="L152" i="3"/>
  <c r="K152" i="3"/>
  <c r="I152" i="3"/>
  <c r="H152" i="3"/>
  <c r="G152" i="3"/>
  <c r="F152" i="3"/>
  <c r="D152" i="3"/>
  <c r="C152" i="3"/>
  <c r="Q151" i="3"/>
  <c r="P151" i="3"/>
  <c r="M151" i="3"/>
  <c r="L151" i="3"/>
  <c r="K151" i="3"/>
  <c r="I151" i="3"/>
  <c r="H151" i="3"/>
  <c r="G151" i="3"/>
  <c r="F151" i="3"/>
  <c r="D151" i="3"/>
  <c r="C151" i="3"/>
  <c r="Q150" i="3"/>
  <c r="P150" i="3"/>
  <c r="M150" i="3"/>
  <c r="L150" i="3"/>
  <c r="K150" i="3"/>
  <c r="I150" i="3"/>
  <c r="H150" i="3"/>
  <c r="G150" i="3"/>
  <c r="F150" i="3"/>
  <c r="D150" i="3"/>
  <c r="C150" i="3"/>
  <c r="Q149" i="3"/>
  <c r="P149" i="3"/>
  <c r="M149" i="3"/>
  <c r="L149" i="3"/>
  <c r="K149" i="3"/>
  <c r="I149" i="3"/>
  <c r="H149" i="3"/>
  <c r="G149" i="3"/>
  <c r="F149" i="3"/>
  <c r="D149" i="3"/>
  <c r="C149" i="3"/>
  <c r="Q148" i="3"/>
  <c r="P148" i="3"/>
  <c r="M148" i="3"/>
  <c r="L148" i="3"/>
  <c r="K148" i="3"/>
  <c r="J148" i="3"/>
  <c r="I148" i="3"/>
  <c r="H148" i="3"/>
  <c r="G148" i="3"/>
  <c r="F148" i="3"/>
  <c r="D148" i="3"/>
  <c r="C148" i="3"/>
  <c r="Q147" i="3"/>
  <c r="P147" i="3"/>
  <c r="N147" i="3"/>
  <c r="M147" i="3"/>
  <c r="L147" i="3"/>
  <c r="K147" i="3"/>
  <c r="J147" i="3"/>
  <c r="I147" i="3"/>
  <c r="H147" i="3"/>
  <c r="G147" i="3"/>
  <c r="F147" i="3"/>
  <c r="D147" i="3"/>
  <c r="C147" i="3"/>
  <c r="Q146" i="3"/>
  <c r="P146" i="3"/>
  <c r="N146" i="3"/>
  <c r="M146" i="3"/>
  <c r="L146" i="3"/>
  <c r="K146" i="3"/>
  <c r="J146" i="3"/>
  <c r="I146" i="3"/>
  <c r="H146" i="3"/>
  <c r="G146" i="3"/>
  <c r="F146" i="3"/>
  <c r="D146" i="3"/>
  <c r="C146" i="3"/>
  <c r="Q145" i="3"/>
  <c r="P145" i="3"/>
  <c r="N145" i="3"/>
  <c r="M145" i="3"/>
  <c r="L145" i="3"/>
  <c r="K145" i="3"/>
  <c r="J145" i="3"/>
  <c r="I145" i="3"/>
  <c r="H145" i="3"/>
  <c r="G145" i="3"/>
  <c r="F145" i="3"/>
  <c r="D145" i="3"/>
  <c r="C145" i="3"/>
  <c r="Q144" i="3"/>
  <c r="P144" i="3"/>
  <c r="N144" i="3"/>
  <c r="M144" i="3"/>
  <c r="L144" i="3"/>
  <c r="K144" i="3"/>
  <c r="J144" i="3"/>
  <c r="I144" i="3"/>
  <c r="H144" i="3"/>
  <c r="G144" i="3"/>
  <c r="F144" i="3"/>
  <c r="D144" i="3"/>
  <c r="C144" i="3"/>
  <c r="Q143" i="3"/>
  <c r="P143" i="3"/>
  <c r="N143" i="3"/>
  <c r="M143" i="3"/>
  <c r="L143" i="3"/>
  <c r="K143" i="3"/>
  <c r="J143" i="3"/>
  <c r="I143" i="3"/>
  <c r="H143" i="3"/>
  <c r="G143" i="3"/>
  <c r="F143" i="3"/>
  <c r="D143" i="3"/>
  <c r="C143" i="3"/>
  <c r="Q142" i="3"/>
  <c r="P142" i="3"/>
  <c r="N142" i="3"/>
  <c r="M142" i="3"/>
  <c r="L142" i="3"/>
  <c r="K142" i="3"/>
  <c r="J142" i="3"/>
  <c r="I142" i="3"/>
  <c r="H142" i="3"/>
  <c r="G142" i="3"/>
  <c r="F142" i="3"/>
  <c r="D142" i="3"/>
  <c r="C142" i="3"/>
  <c r="Q141" i="3"/>
  <c r="P141" i="3"/>
  <c r="N141" i="3"/>
  <c r="M141" i="3"/>
  <c r="L141" i="3"/>
  <c r="K141" i="3"/>
  <c r="J141" i="3"/>
  <c r="I141" i="3"/>
  <c r="H141" i="3"/>
  <c r="G141" i="3"/>
  <c r="F141" i="3"/>
  <c r="D141" i="3"/>
  <c r="C141" i="3"/>
  <c r="Q140" i="3"/>
  <c r="P140" i="3"/>
  <c r="N140" i="3"/>
  <c r="M140" i="3"/>
  <c r="L140" i="3"/>
  <c r="K140" i="3"/>
  <c r="J140" i="3"/>
  <c r="I140" i="3"/>
  <c r="H140" i="3"/>
  <c r="G140" i="3"/>
  <c r="F140" i="3"/>
  <c r="D140" i="3"/>
  <c r="C140" i="3"/>
  <c r="Q139" i="3"/>
  <c r="P139" i="3"/>
  <c r="N139" i="3"/>
  <c r="M139" i="3"/>
  <c r="L139" i="3"/>
  <c r="K139" i="3"/>
  <c r="J139" i="3"/>
  <c r="I139" i="3"/>
  <c r="H139" i="3"/>
  <c r="G139" i="3"/>
  <c r="F139" i="3"/>
  <c r="D139" i="3"/>
  <c r="C139" i="3"/>
  <c r="Q138" i="3"/>
  <c r="P138" i="3"/>
  <c r="N138" i="3"/>
  <c r="M138" i="3"/>
  <c r="L138" i="3"/>
  <c r="K138" i="3"/>
  <c r="J138" i="3"/>
  <c r="I138" i="3"/>
  <c r="H138" i="3"/>
  <c r="G138" i="3"/>
  <c r="F138" i="3"/>
  <c r="D138" i="3"/>
  <c r="C138" i="3"/>
  <c r="Q137" i="3"/>
  <c r="P137" i="3"/>
  <c r="N137" i="3"/>
  <c r="M137" i="3"/>
  <c r="L137" i="3"/>
  <c r="K137" i="3"/>
  <c r="J137" i="3"/>
  <c r="I137" i="3"/>
  <c r="H137" i="3"/>
  <c r="G137" i="3"/>
  <c r="F137" i="3"/>
  <c r="D137" i="3"/>
  <c r="C137" i="3"/>
  <c r="Q136" i="3"/>
  <c r="P136" i="3"/>
  <c r="N136" i="3"/>
  <c r="M136" i="3"/>
  <c r="L136" i="3"/>
  <c r="K136" i="3"/>
  <c r="J136" i="3"/>
  <c r="I136" i="3"/>
  <c r="H136" i="3"/>
  <c r="G136" i="3"/>
  <c r="F136" i="3"/>
  <c r="D136" i="3"/>
  <c r="C136" i="3"/>
  <c r="Q135" i="3"/>
  <c r="P135" i="3"/>
  <c r="N135" i="3"/>
  <c r="M135" i="3"/>
  <c r="L135" i="3"/>
  <c r="K135" i="3"/>
  <c r="J135" i="3"/>
  <c r="I135" i="3"/>
  <c r="H135" i="3"/>
  <c r="G135" i="3"/>
  <c r="F135" i="3"/>
  <c r="D135" i="3"/>
  <c r="C135" i="3"/>
  <c r="Q134" i="3"/>
  <c r="P134" i="3"/>
  <c r="N134" i="3"/>
  <c r="M134" i="3"/>
  <c r="L134" i="3"/>
  <c r="K134" i="3"/>
  <c r="J134" i="3"/>
  <c r="I134" i="3"/>
  <c r="H134" i="3"/>
  <c r="G134" i="3"/>
  <c r="F134" i="3"/>
  <c r="D134" i="3"/>
  <c r="C134" i="3"/>
  <c r="Q133" i="3"/>
  <c r="P133" i="3"/>
  <c r="N133" i="3"/>
  <c r="M133" i="3"/>
  <c r="L133" i="3"/>
  <c r="K133" i="3"/>
  <c r="J133" i="3"/>
  <c r="I133" i="3"/>
  <c r="H133" i="3"/>
  <c r="G133" i="3"/>
  <c r="F133" i="3"/>
  <c r="D133" i="3"/>
  <c r="C133" i="3"/>
  <c r="Q132" i="3"/>
  <c r="P132" i="3"/>
  <c r="N132" i="3"/>
  <c r="M132" i="3"/>
  <c r="L132" i="3"/>
  <c r="K132" i="3"/>
  <c r="J132" i="3"/>
  <c r="I132" i="3"/>
  <c r="H132" i="3"/>
  <c r="G132" i="3"/>
  <c r="F132" i="3"/>
  <c r="D132" i="3"/>
  <c r="C132" i="3"/>
  <c r="Q131" i="3"/>
  <c r="P131" i="3"/>
  <c r="N131" i="3"/>
  <c r="M131" i="3"/>
  <c r="L131" i="3"/>
  <c r="K131" i="3"/>
  <c r="J131" i="3"/>
  <c r="I131" i="3"/>
  <c r="H131" i="3"/>
  <c r="G131" i="3"/>
  <c r="F131" i="3"/>
  <c r="D131" i="3"/>
  <c r="C131" i="3"/>
  <c r="Q130" i="3"/>
  <c r="P130" i="3"/>
  <c r="N130" i="3"/>
  <c r="M130" i="3"/>
  <c r="L130" i="3"/>
  <c r="K130" i="3"/>
  <c r="J130" i="3"/>
  <c r="I130" i="3"/>
  <c r="H130" i="3"/>
  <c r="G130" i="3"/>
  <c r="F130" i="3"/>
  <c r="D130" i="3"/>
  <c r="C130" i="3"/>
  <c r="Q129" i="3"/>
  <c r="P129" i="3"/>
  <c r="N129" i="3"/>
  <c r="M129" i="3"/>
  <c r="L129" i="3"/>
  <c r="K129" i="3"/>
  <c r="J129" i="3"/>
  <c r="I129" i="3"/>
  <c r="H129" i="3"/>
  <c r="G129" i="3"/>
  <c r="F129" i="3"/>
  <c r="D129" i="3"/>
  <c r="C129" i="3"/>
  <c r="Q128" i="3"/>
  <c r="P128" i="3"/>
  <c r="N128" i="3"/>
  <c r="M128" i="3"/>
  <c r="L128" i="3"/>
  <c r="K128" i="3"/>
  <c r="J128" i="3"/>
  <c r="I128" i="3"/>
  <c r="H128" i="3"/>
  <c r="G128" i="3"/>
  <c r="F128" i="3"/>
  <c r="D128" i="3"/>
  <c r="C128" i="3"/>
  <c r="Q127" i="3"/>
  <c r="P127" i="3"/>
  <c r="N127" i="3"/>
  <c r="M127" i="3"/>
  <c r="L127" i="3"/>
  <c r="K127" i="3"/>
  <c r="J127" i="3"/>
  <c r="I127" i="3"/>
  <c r="H127" i="3"/>
  <c r="G127" i="3"/>
  <c r="F127" i="3"/>
  <c r="D127" i="3"/>
  <c r="C127" i="3"/>
  <c r="Q126" i="3"/>
  <c r="P126" i="3"/>
  <c r="N126" i="3"/>
  <c r="M126" i="3"/>
  <c r="L126" i="3"/>
  <c r="K126" i="3"/>
  <c r="J126" i="3"/>
  <c r="I126" i="3"/>
  <c r="H126" i="3"/>
  <c r="G126" i="3"/>
  <c r="F126" i="3"/>
  <c r="D126" i="3"/>
  <c r="C126" i="3"/>
  <c r="Q125" i="3"/>
  <c r="P125" i="3"/>
  <c r="N125" i="3"/>
  <c r="M125" i="3"/>
  <c r="L125" i="3"/>
  <c r="K125" i="3"/>
  <c r="J125" i="3"/>
  <c r="I125" i="3"/>
  <c r="H125" i="3"/>
  <c r="G125" i="3"/>
  <c r="F125" i="3"/>
  <c r="D125" i="3"/>
  <c r="C125" i="3"/>
  <c r="Q124" i="3"/>
  <c r="P124" i="3"/>
  <c r="N124" i="3"/>
  <c r="M124" i="3"/>
  <c r="L124" i="3"/>
  <c r="K124" i="3"/>
  <c r="J124" i="3"/>
  <c r="I124" i="3"/>
  <c r="H124" i="3"/>
  <c r="G124" i="3"/>
  <c r="F124" i="3"/>
  <c r="D124" i="3"/>
  <c r="C124" i="3"/>
  <c r="Q123" i="3"/>
  <c r="P123" i="3"/>
  <c r="N123" i="3"/>
  <c r="M123" i="3"/>
  <c r="L123" i="3"/>
  <c r="K123" i="3"/>
  <c r="J123" i="3"/>
  <c r="I123" i="3"/>
  <c r="H123" i="3"/>
  <c r="G123" i="3"/>
  <c r="F123" i="3"/>
  <c r="D123" i="3"/>
  <c r="C123" i="3"/>
  <c r="Q122" i="3"/>
  <c r="P122" i="3"/>
  <c r="N122" i="3"/>
  <c r="M122" i="3"/>
  <c r="L122" i="3"/>
  <c r="K122" i="3"/>
  <c r="J122" i="3"/>
  <c r="I122" i="3"/>
  <c r="H122" i="3"/>
  <c r="G122" i="3"/>
  <c r="F122" i="3"/>
  <c r="D122" i="3"/>
  <c r="C122" i="3"/>
  <c r="Q121" i="3"/>
  <c r="P121" i="3"/>
  <c r="N121" i="3"/>
  <c r="M121" i="3"/>
  <c r="L121" i="3"/>
  <c r="K121" i="3"/>
  <c r="J121" i="3"/>
  <c r="I121" i="3"/>
  <c r="H121" i="3"/>
  <c r="G121" i="3"/>
  <c r="F121" i="3"/>
  <c r="D121" i="3"/>
  <c r="C121" i="3"/>
  <c r="Q120" i="3"/>
  <c r="P120" i="3"/>
  <c r="N120" i="3"/>
  <c r="M120" i="3"/>
  <c r="L120" i="3"/>
  <c r="K120" i="3"/>
  <c r="J120" i="3"/>
  <c r="I120" i="3"/>
  <c r="H120" i="3"/>
  <c r="G120" i="3"/>
  <c r="F120" i="3"/>
  <c r="D120" i="3"/>
  <c r="C120" i="3"/>
  <c r="Q119" i="3"/>
  <c r="P119" i="3"/>
  <c r="N119" i="3"/>
  <c r="M119" i="3"/>
  <c r="L119" i="3"/>
  <c r="K119" i="3"/>
  <c r="J119" i="3"/>
  <c r="I119" i="3"/>
  <c r="H119" i="3"/>
  <c r="G119" i="3"/>
  <c r="F119" i="3"/>
  <c r="D119" i="3"/>
  <c r="C119" i="3"/>
  <c r="Q118" i="3"/>
  <c r="P118" i="3"/>
  <c r="N118" i="3"/>
  <c r="M118" i="3"/>
  <c r="L118" i="3"/>
  <c r="K118" i="3"/>
  <c r="J118" i="3"/>
  <c r="I118" i="3"/>
  <c r="H118" i="3"/>
  <c r="G118" i="3"/>
  <c r="F118" i="3"/>
  <c r="D118" i="3"/>
  <c r="C118" i="3"/>
  <c r="Q117" i="3"/>
  <c r="P117" i="3"/>
  <c r="N117" i="3"/>
  <c r="M117" i="3"/>
  <c r="L117" i="3"/>
  <c r="K117" i="3"/>
  <c r="J117" i="3"/>
  <c r="I117" i="3"/>
  <c r="H117" i="3"/>
  <c r="G117" i="3"/>
  <c r="F117" i="3"/>
  <c r="D117" i="3"/>
  <c r="C117" i="3"/>
  <c r="Q116" i="3"/>
  <c r="P116" i="3"/>
  <c r="N116" i="3"/>
  <c r="M116" i="3"/>
  <c r="L116" i="3"/>
  <c r="K116" i="3"/>
  <c r="J116" i="3"/>
  <c r="I116" i="3"/>
  <c r="H116" i="3"/>
  <c r="G116" i="3"/>
  <c r="F116" i="3"/>
  <c r="D116" i="3"/>
  <c r="C116" i="3"/>
  <c r="Q115" i="3"/>
  <c r="P115" i="3"/>
  <c r="N115" i="3"/>
  <c r="M115" i="3"/>
  <c r="L115" i="3"/>
  <c r="K115" i="3"/>
  <c r="J115" i="3"/>
  <c r="I115" i="3"/>
  <c r="H115" i="3"/>
  <c r="G115" i="3"/>
  <c r="F115" i="3"/>
  <c r="D115" i="3"/>
  <c r="C115" i="3"/>
  <c r="Q114" i="3"/>
  <c r="P114" i="3"/>
  <c r="N114" i="3"/>
  <c r="M114" i="3"/>
  <c r="L114" i="3"/>
  <c r="K114" i="3"/>
  <c r="J114" i="3"/>
  <c r="I114" i="3"/>
  <c r="H114" i="3"/>
  <c r="G114" i="3"/>
  <c r="F114" i="3"/>
  <c r="D114" i="3"/>
  <c r="C114" i="3"/>
  <c r="Q113" i="3"/>
  <c r="P113" i="3"/>
  <c r="N113" i="3"/>
  <c r="M113" i="3"/>
  <c r="L113" i="3"/>
  <c r="K113" i="3"/>
  <c r="J113" i="3"/>
  <c r="I113" i="3"/>
  <c r="H113" i="3"/>
  <c r="G113" i="3"/>
  <c r="F113" i="3"/>
  <c r="D113" i="3"/>
  <c r="C113" i="3"/>
  <c r="Q112" i="3"/>
  <c r="P112" i="3"/>
  <c r="N112" i="3"/>
  <c r="M112" i="3"/>
  <c r="L112" i="3"/>
  <c r="K112" i="3"/>
  <c r="J112" i="3"/>
  <c r="I112" i="3"/>
  <c r="H112" i="3"/>
  <c r="G112" i="3"/>
  <c r="F112" i="3"/>
  <c r="D112" i="3"/>
  <c r="C112" i="3"/>
  <c r="Q111" i="3"/>
  <c r="P111" i="3"/>
  <c r="N111" i="3"/>
  <c r="M111" i="3"/>
  <c r="L111" i="3"/>
  <c r="K111" i="3"/>
  <c r="J111" i="3"/>
  <c r="I111" i="3"/>
  <c r="H111" i="3"/>
  <c r="G111" i="3"/>
  <c r="F111" i="3"/>
  <c r="D111" i="3"/>
  <c r="C111" i="3"/>
  <c r="Q110" i="3"/>
  <c r="P110" i="3"/>
  <c r="N110" i="3"/>
  <c r="M110" i="3"/>
  <c r="L110" i="3"/>
  <c r="K110" i="3"/>
  <c r="J110" i="3"/>
  <c r="I110" i="3"/>
  <c r="H110" i="3"/>
  <c r="G110" i="3"/>
  <c r="F110" i="3"/>
  <c r="D110" i="3"/>
  <c r="C110" i="3"/>
  <c r="Q109" i="3"/>
  <c r="P109" i="3"/>
  <c r="N109" i="3"/>
  <c r="M109" i="3"/>
  <c r="L109" i="3"/>
  <c r="K109" i="3"/>
  <c r="J109" i="3"/>
  <c r="I109" i="3"/>
  <c r="H109" i="3"/>
  <c r="G109" i="3"/>
  <c r="F109" i="3"/>
  <c r="D109" i="3"/>
  <c r="C109" i="3"/>
  <c r="Q108" i="3"/>
  <c r="P108" i="3"/>
  <c r="N108" i="3"/>
  <c r="M108" i="3"/>
  <c r="L108" i="3"/>
  <c r="K108" i="3"/>
  <c r="J108" i="3"/>
  <c r="I108" i="3"/>
  <c r="H108" i="3"/>
  <c r="G108" i="3"/>
  <c r="F108" i="3"/>
  <c r="D108" i="3"/>
  <c r="C108" i="3"/>
  <c r="Q107" i="3"/>
  <c r="P107" i="3"/>
  <c r="N107" i="3"/>
  <c r="M107" i="3"/>
  <c r="L107" i="3"/>
  <c r="K107" i="3"/>
  <c r="J107" i="3"/>
  <c r="I107" i="3"/>
  <c r="H107" i="3"/>
  <c r="G107" i="3"/>
  <c r="F107" i="3"/>
  <c r="D107" i="3"/>
  <c r="C107" i="3"/>
  <c r="Q106" i="3"/>
  <c r="P106" i="3"/>
  <c r="N106" i="3"/>
  <c r="M106" i="3"/>
  <c r="L106" i="3"/>
  <c r="K106" i="3"/>
  <c r="J106" i="3"/>
  <c r="I106" i="3"/>
  <c r="H106" i="3"/>
  <c r="G106" i="3"/>
  <c r="F106" i="3"/>
  <c r="D106" i="3"/>
  <c r="C106" i="3"/>
  <c r="Q105" i="3"/>
  <c r="P105" i="3"/>
  <c r="N105" i="3"/>
  <c r="M105" i="3"/>
  <c r="L105" i="3"/>
  <c r="K105" i="3"/>
  <c r="J105" i="3"/>
  <c r="I105" i="3"/>
  <c r="H105" i="3"/>
  <c r="G105" i="3"/>
  <c r="F105" i="3"/>
  <c r="D105" i="3"/>
  <c r="C105" i="3"/>
  <c r="Q104" i="3"/>
  <c r="P104" i="3"/>
  <c r="N104" i="3"/>
  <c r="M104" i="3"/>
  <c r="L104" i="3"/>
  <c r="K104" i="3"/>
  <c r="J104" i="3"/>
  <c r="I104" i="3"/>
  <c r="H104" i="3"/>
  <c r="G104" i="3"/>
  <c r="F104" i="3"/>
  <c r="D104" i="3"/>
  <c r="C104" i="3"/>
  <c r="Q103" i="3"/>
  <c r="P103" i="3"/>
  <c r="N103" i="3"/>
  <c r="M103" i="3"/>
  <c r="L103" i="3"/>
  <c r="K103" i="3"/>
  <c r="J103" i="3"/>
  <c r="I103" i="3"/>
  <c r="H103" i="3"/>
  <c r="G103" i="3"/>
  <c r="F103" i="3"/>
  <c r="D103" i="3"/>
  <c r="C103" i="3"/>
  <c r="Q102" i="3"/>
  <c r="P102" i="3"/>
  <c r="N102" i="3"/>
  <c r="M102" i="3"/>
  <c r="L102" i="3"/>
  <c r="K102" i="3"/>
  <c r="J102" i="3"/>
  <c r="I102" i="3"/>
  <c r="H102" i="3"/>
  <c r="G102" i="3"/>
  <c r="F102" i="3"/>
  <c r="D102" i="3"/>
  <c r="C102" i="3"/>
  <c r="Q101" i="3"/>
  <c r="P101" i="3"/>
  <c r="N101" i="3"/>
  <c r="M101" i="3"/>
  <c r="L101" i="3"/>
  <c r="K101" i="3"/>
  <c r="J101" i="3"/>
  <c r="I101" i="3"/>
  <c r="H101" i="3"/>
  <c r="G101" i="3"/>
  <c r="F101" i="3"/>
  <c r="D101" i="3"/>
  <c r="C101" i="3"/>
  <c r="Q100" i="3"/>
  <c r="P100" i="3"/>
  <c r="N100" i="3"/>
  <c r="M100" i="3"/>
  <c r="L100" i="3"/>
  <c r="K100" i="3"/>
  <c r="J100" i="3"/>
  <c r="I100" i="3"/>
  <c r="H100" i="3"/>
  <c r="G100" i="3"/>
  <c r="F100" i="3"/>
  <c r="D100" i="3"/>
  <c r="C100" i="3"/>
  <c r="Q99" i="3"/>
  <c r="P99" i="3"/>
  <c r="N99" i="3"/>
  <c r="M99" i="3"/>
  <c r="L99" i="3"/>
  <c r="K99" i="3"/>
  <c r="J99" i="3"/>
  <c r="I99" i="3"/>
  <c r="H99" i="3"/>
  <c r="G99" i="3"/>
  <c r="F99" i="3"/>
  <c r="D99" i="3"/>
  <c r="C99" i="3"/>
  <c r="Q98" i="3"/>
  <c r="P98" i="3"/>
  <c r="N98" i="3"/>
  <c r="M98" i="3"/>
  <c r="L98" i="3"/>
  <c r="K98" i="3"/>
  <c r="J98" i="3"/>
  <c r="I98" i="3"/>
  <c r="H98" i="3"/>
  <c r="G98" i="3"/>
  <c r="F98" i="3"/>
  <c r="D98" i="3"/>
  <c r="C98" i="3"/>
  <c r="Q97" i="3"/>
  <c r="P97" i="3"/>
  <c r="N97" i="3"/>
  <c r="M97" i="3"/>
  <c r="L97" i="3"/>
  <c r="K97" i="3"/>
  <c r="J97" i="3"/>
  <c r="I97" i="3"/>
  <c r="H97" i="3"/>
  <c r="G97" i="3"/>
  <c r="F97" i="3"/>
  <c r="D97" i="3"/>
  <c r="C97" i="3"/>
  <c r="Q96" i="3"/>
  <c r="P96" i="3"/>
  <c r="N96" i="3"/>
  <c r="M96" i="3"/>
  <c r="L96" i="3"/>
  <c r="K96" i="3"/>
  <c r="J96" i="3"/>
  <c r="I96" i="3"/>
  <c r="H96" i="3"/>
  <c r="G96" i="3"/>
  <c r="F96" i="3"/>
  <c r="D96" i="3"/>
  <c r="C96" i="3"/>
  <c r="Q95" i="3"/>
  <c r="P95" i="3"/>
  <c r="N95" i="3"/>
  <c r="M95" i="3"/>
  <c r="L95" i="3"/>
  <c r="K95" i="3"/>
  <c r="J95" i="3"/>
  <c r="I95" i="3"/>
  <c r="H95" i="3"/>
  <c r="G95" i="3"/>
  <c r="F95" i="3"/>
  <c r="D95" i="3"/>
  <c r="C95" i="3"/>
  <c r="Q94" i="3"/>
  <c r="P94" i="3"/>
  <c r="N94" i="3"/>
  <c r="M94" i="3"/>
  <c r="L94" i="3"/>
  <c r="K94" i="3"/>
  <c r="J94" i="3"/>
  <c r="I94" i="3"/>
  <c r="H94" i="3"/>
  <c r="G94" i="3"/>
  <c r="F94" i="3"/>
  <c r="D94" i="3"/>
  <c r="C94" i="3"/>
  <c r="Q93" i="3"/>
  <c r="P93" i="3"/>
  <c r="N93" i="3"/>
  <c r="M93" i="3"/>
  <c r="L93" i="3"/>
  <c r="K93" i="3"/>
  <c r="J93" i="3"/>
  <c r="I93" i="3"/>
  <c r="H93" i="3"/>
  <c r="G93" i="3"/>
  <c r="F93" i="3"/>
  <c r="D93" i="3"/>
  <c r="C93" i="3"/>
  <c r="Q92" i="3"/>
  <c r="P92" i="3"/>
  <c r="N92" i="3"/>
  <c r="M92" i="3"/>
  <c r="L92" i="3"/>
  <c r="K92" i="3"/>
  <c r="J92" i="3"/>
  <c r="I92" i="3"/>
  <c r="H92" i="3"/>
  <c r="G92" i="3"/>
  <c r="F92" i="3"/>
  <c r="D92" i="3"/>
  <c r="C92" i="3"/>
  <c r="Q91" i="3"/>
  <c r="P91" i="3"/>
  <c r="N91" i="3"/>
  <c r="M91" i="3"/>
  <c r="L91" i="3"/>
  <c r="K91" i="3"/>
  <c r="J91" i="3"/>
  <c r="I91" i="3"/>
  <c r="H91" i="3"/>
  <c r="G91" i="3"/>
  <c r="F91" i="3"/>
  <c r="D91" i="3"/>
  <c r="C91" i="3"/>
  <c r="Q90" i="3"/>
  <c r="P90" i="3"/>
  <c r="N90" i="3"/>
  <c r="M90" i="3"/>
  <c r="L90" i="3"/>
  <c r="K90" i="3"/>
  <c r="J90" i="3"/>
  <c r="I90" i="3"/>
  <c r="H90" i="3"/>
  <c r="G90" i="3"/>
  <c r="F90" i="3"/>
  <c r="D90" i="3"/>
  <c r="C90" i="3"/>
  <c r="Q89" i="3"/>
  <c r="P89" i="3"/>
  <c r="N89" i="3"/>
  <c r="M89" i="3"/>
  <c r="L89" i="3"/>
  <c r="K89" i="3"/>
  <c r="J89" i="3"/>
  <c r="I89" i="3"/>
  <c r="H89" i="3"/>
  <c r="G89" i="3"/>
  <c r="F89" i="3"/>
  <c r="D89" i="3"/>
  <c r="C89" i="3"/>
  <c r="Q88" i="3"/>
  <c r="P88" i="3"/>
  <c r="N88" i="3"/>
  <c r="M88" i="3"/>
  <c r="L88" i="3"/>
  <c r="K88" i="3"/>
  <c r="J88" i="3"/>
  <c r="I88" i="3"/>
  <c r="H88" i="3"/>
  <c r="G88" i="3"/>
  <c r="F88" i="3"/>
  <c r="D88" i="3"/>
  <c r="C88" i="3"/>
  <c r="Q87" i="3"/>
  <c r="P87" i="3"/>
  <c r="N87" i="3"/>
  <c r="M87" i="3"/>
  <c r="L87" i="3"/>
  <c r="K87" i="3"/>
  <c r="J87" i="3"/>
  <c r="I87" i="3"/>
  <c r="H87" i="3"/>
  <c r="G87" i="3"/>
  <c r="F87" i="3"/>
  <c r="D87" i="3"/>
  <c r="C87" i="3"/>
  <c r="Q86" i="3"/>
  <c r="P86" i="3"/>
  <c r="N86" i="3"/>
  <c r="M86" i="3"/>
  <c r="L86" i="3"/>
  <c r="K86" i="3"/>
  <c r="J86" i="3"/>
  <c r="I86" i="3"/>
  <c r="H86" i="3"/>
  <c r="G86" i="3"/>
  <c r="F86" i="3"/>
  <c r="D86" i="3"/>
  <c r="C86" i="3"/>
  <c r="Q85" i="3"/>
  <c r="P85" i="3"/>
  <c r="N85" i="3"/>
  <c r="M85" i="3"/>
  <c r="L85" i="3"/>
  <c r="K85" i="3"/>
  <c r="J85" i="3"/>
  <c r="I85" i="3"/>
  <c r="H85" i="3"/>
  <c r="G85" i="3"/>
  <c r="F85" i="3"/>
  <c r="D85" i="3"/>
  <c r="C85" i="3"/>
  <c r="Q84" i="3"/>
  <c r="P84" i="3"/>
  <c r="N84" i="3"/>
  <c r="M84" i="3"/>
  <c r="L84" i="3"/>
  <c r="K84" i="3"/>
  <c r="J84" i="3"/>
  <c r="I84" i="3"/>
  <c r="H84" i="3"/>
  <c r="G84" i="3"/>
  <c r="F84" i="3"/>
  <c r="D84" i="3"/>
  <c r="C84" i="3"/>
  <c r="Q83" i="3"/>
  <c r="P83" i="3"/>
  <c r="N83" i="3"/>
  <c r="M83" i="3"/>
  <c r="L83" i="3"/>
  <c r="K83" i="3"/>
  <c r="J83" i="3"/>
  <c r="I83" i="3"/>
  <c r="H83" i="3"/>
  <c r="G83" i="3"/>
  <c r="F83" i="3"/>
  <c r="D83" i="3"/>
  <c r="C83" i="3"/>
  <c r="Q82" i="3"/>
  <c r="P82" i="3"/>
  <c r="N82" i="3"/>
  <c r="M82" i="3"/>
  <c r="L82" i="3"/>
  <c r="K82" i="3"/>
  <c r="J82" i="3"/>
  <c r="I82" i="3"/>
  <c r="H82" i="3"/>
  <c r="G82" i="3"/>
  <c r="F82" i="3"/>
  <c r="D82" i="3"/>
  <c r="C82" i="3"/>
  <c r="Q81" i="3"/>
  <c r="P81" i="3"/>
  <c r="N81" i="3"/>
  <c r="M81" i="3"/>
  <c r="L81" i="3"/>
  <c r="K81" i="3"/>
  <c r="J81" i="3"/>
  <c r="I81" i="3"/>
  <c r="H81" i="3"/>
  <c r="G81" i="3"/>
  <c r="F81" i="3"/>
  <c r="D81" i="3"/>
  <c r="C81" i="3"/>
  <c r="Q80" i="3"/>
  <c r="P80" i="3"/>
  <c r="N80" i="3"/>
  <c r="M80" i="3"/>
  <c r="L80" i="3"/>
  <c r="K80" i="3"/>
  <c r="J80" i="3"/>
  <c r="I80" i="3"/>
  <c r="H80" i="3"/>
  <c r="G80" i="3"/>
  <c r="F80" i="3"/>
  <c r="D80" i="3"/>
  <c r="C80" i="3"/>
  <c r="Q79" i="3"/>
  <c r="P79" i="3"/>
  <c r="M79" i="3"/>
  <c r="L79" i="3"/>
  <c r="K79" i="3"/>
  <c r="I79" i="3"/>
  <c r="H79" i="3"/>
  <c r="G79" i="3"/>
  <c r="F79" i="3"/>
  <c r="D79" i="3"/>
  <c r="C79" i="3"/>
  <c r="Q78" i="3"/>
  <c r="P78" i="3"/>
  <c r="M78" i="3"/>
  <c r="L78" i="3"/>
  <c r="K78" i="3"/>
  <c r="I78" i="3"/>
  <c r="H78" i="3"/>
  <c r="G78" i="3"/>
  <c r="F78" i="3"/>
  <c r="D78" i="3"/>
  <c r="C78" i="3"/>
  <c r="Q77" i="3"/>
  <c r="P77" i="3"/>
  <c r="M77" i="3"/>
  <c r="L77" i="3"/>
  <c r="K77" i="3"/>
  <c r="I77" i="3"/>
  <c r="H77" i="3"/>
  <c r="G77" i="3"/>
  <c r="F77" i="3"/>
  <c r="D77" i="3"/>
  <c r="C77" i="3"/>
  <c r="Q76" i="3"/>
  <c r="P76" i="3"/>
  <c r="M76" i="3"/>
  <c r="L76" i="3"/>
  <c r="K76" i="3"/>
  <c r="I76" i="3"/>
  <c r="H76" i="3"/>
  <c r="G76" i="3"/>
  <c r="F76" i="3"/>
  <c r="D76" i="3"/>
  <c r="C76" i="3"/>
  <c r="Q75" i="3"/>
  <c r="P75" i="3"/>
  <c r="M75" i="3"/>
  <c r="L75" i="3"/>
  <c r="K75" i="3"/>
  <c r="I75" i="3"/>
  <c r="H75" i="3"/>
  <c r="G75" i="3"/>
  <c r="F75" i="3"/>
  <c r="D75" i="3"/>
  <c r="C75" i="3"/>
  <c r="Q74" i="3"/>
  <c r="P74" i="3"/>
  <c r="M74" i="3"/>
  <c r="L74" i="3"/>
  <c r="K74" i="3"/>
  <c r="I74" i="3"/>
  <c r="H74" i="3"/>
  <c r="G74" i="3"/>
  <c r="F74" i="3"/>
  <c r="D74" i="3"/>
  <c r="C74" i="3"/>
  <c r="Q73" i="3"/>
  <c r="P73" i="3"/>
  <c r="M73" i="3"/>
  <c r="L73" i="3"/>
  <c r="K73" i="3"/>
  <c r="I73" i="3"/>
  <c r="H73" i="3"/>
  <c r="G73" i="3"/>
  <c r="F73" i="3"/>
  <c r="D73" i="3"/>
  <c r="C73" i="3"/>
  <c r="Q72" i="3"/>
  <c r="P72" i="3"/>
  <c r="M72" i="3"/>
  <c r="L72" i="3"/>
  <c r="K72" i="3"/>
  <c r="I72" i="3"/>
  <c r="H72" i="3"/>
  <c r="G72" i="3"/>
  <c r="F72" i="3"/>
  <c r="D72" i="3"/>
  <c r="C72" i="3"/>
  <c r="Q71" i="3"/>
  <c r="P71" i="3"/>
  <c r="M71" i="3"/>
  <c r="L71" i="3"/>
  <c r="K71" i="3"/>
  <c r="I71" i="3"/>
  <c r="H71" i="3"/>
  <c r="G71" i="3"/>
  <c r="F71" i="3"/>
  <c r="D71" i="3"/>
  <c r="C71" i="3"/>
  <c r="Q70" i="3"/>
  <c r="P70" i="3"/>
  <c r="M70" i="3"/>
  <c r="L70" i="3"/>
  <c r="K70" i="3"/>
  <c r="I70" i="3"/>
  <c r="H70" i="3"/>
  <c r="G70" i="3"/>
  <c r="F70" i="3"/>
  <c r="D70" i="3"/>
  <c r="C70" i="3"/>
  <c r="Q69" i="3"/>
  <c r="P69" i="3"/>
  <c r="M69" i="3"/>
  <c r="L69" i="3"/>
  <c r="K69" i="3"/>
  <c r="I69" i="3"/>
  <c r="H69" i="3"/>
  <c r="G69" i="3"/>
  <c r="F69" i="3"/>
  <c r="D69" i="3"/>
  <c r="C69" i="3"/>
  <c r="Q68" i="3"/>
  <c r="P68" i="3"/>
  <c r="M68" i="3"/>
  <c r="L68" i="3"/>
  <c r="K68" i="3"/>
  <c r="I68" i="3"/>
  <c r="H68" i="3"/>
  <c r="G68" i="3"/>
  <c r="F68" i="3"/>
  <c r="D68" i="3"/>
  <c r="C68" i="3"/>
  <c r="Q67" i="3"/>
  <c r="P67" i="3"/>
  <c r="M67" i="3"/>
  <c r="L67" i="3"/>
  <c r="K67" i="3"/>
  <c r="I67" i="3"/>
  <c r="H67" i="3"/>
  <c r="G67" i="3"/>
  <c r="F67" i="3"/>
  <c r="D67" i="3"/>
  <c r="C67" i="3"/>
  <c r="Q66" i="3"/>
  <c r="P66" i="3"/>
  <c r="M66" i="3"/>
  <c r="L66" i="3"/>
  <c r="K66" i="3"/>
  <c r="I66" i="3"/>
  <c r="H66" i="3"/>
  <c r="G66" i="3"/>
  <c r="F66" i="3"/>
  <c r="D66" i="3"/>
  <c r="C66" i="3"/>
  <c r="Q65" i="3"/>
  <c r="P65" i="3"/>
  <c r="M65" i="3"/>
  <c r="L65" i="3"/>
  <c r="K65" i="3"/>
  <c r="I65" i="3"/>
  <c r="H65" i="3"/>
  <c r="G65" i="3"/>
  <c r="F65" i="3"/>
  <c r="D65" i="3"/>
  <c r="C65" i="3"/>
  <c r="Q64" i="3"/>
  <c r="P64" i="3"/>
  <c r="M64" i="3"/>
  <c r="L64" i="3"/>
  <c r="K64" i="3"/>
  <c r="I64" i="3"/>
  <c r="H64" i="3"/>
  <c r="G64" i="3"/>
  <c r="F64" i="3"/>
  <c r="D64" i="3"/>
  <c r="C64" i="3"/>
  <c r="Q63" i="3"/>
  <c r="P63" i="3"/>
  <c r="M63" i="3"/>
  <c r="L63" i="3"/>
  <c r="K63" i="3"/>
  <c r="I63" i="3"/>
  <c r="H63" i="3"/>
  <c r="G63" i="3"/>
  <c r="F63" i="3"/>
  <c r="D63" i="3"/>
  <c r="C63" i="3"/>
  <c r="Q62" i="3"/>
  <c r="P62" i="3"/>
  <c r="M62" i="3"/>
  <c r="L62" i="3"/>
  <c r="K62" i="3"/>
  <c r="I62" i="3"/>
  <c r="H62" i="3"/>
  <c r="G62" i="3"/>
  <c r="F62" i="3"/>
  <c r="D62" i="3"/>
  <c r="C62" i="3"/>
  <c r="Q61" i="3"/>
  <c r="P61" i="3"/>
  <c r="M61" i="3"/>
  <c r="L61" i="3"/>
  <c r="K61" i="3"/>
  <c r="I61" i="3"/>
  <c r="H61" i="3"/>
  <c r="G61" i="3"/>
  <c r="F61" i="3"/>
  <c r="D61" i="3"/>
  <c r="C61" i="3"/>
  <c r="Q60" i="3"/>
  <c r="P60" i="3"/>
  <c r="N60" i="3"/>
  <c r="M60" i="3"/>
  <c r="L60" i="3"/>
  <c r="K60" i="3"/>
  <c r="J60" i="3"/>
  <c r="I60" i="3"/>
  <c r="H60" i="3"/>
  <c r="G60" i="3"/>
  <c r="F60" i="3"/>
  <c r="D60" i="3"/>
  <c r="C60" i="3"/>
  <c r="Q59" i="3"/>
  <c r="P59" i="3"/>
  <c r="N59" i="3"/>
  <c r="M59" i="3"/>
  <c r="L59" i="3"/>
  <c r="K59" i="3"/>
  <c r="J59" i="3"/>
  <c r="I59" i="3"/>
  <c r="H59" i="3"/>
  <c r="G59" i="3"/>
  <c r="F59" i="3"/>
  <c r="D59" i="3"/>
  <c r="C59" i="3"/>
  <c r="Q58" i="3"/>
  <c r="P58" i="3"/>
  <c r="N58" i="3"/>
  <c r="M58" i="3"/>
  <c r="L58" i="3"/>
  <c r="K58" i="3"/>
  <c r="J58" i="3"/>
  <c r="I58" i="3"/>
  <c r="H58" i="3"/>
  <c r="G58" i="3"/>
  <c r="F58" i="3"/>
  <c r="D58" i="3"/>
  <c r="C58" i="3"/>
  <c r="Q57" i="3"/>
  <c r="P57" i="3"/>
  <c r="N57" i="3"/>
  <c r="M57" i="3"/>
  <c r="L57" i="3"/>
  <c r="K57" i="3"/>
  <c r="J57" i="3"/>
  <c r="I57" i="3"/>
  <c r="H57" i="3"/>
  <c r="G57" i="3"/>
  <c r="F57" i="3"/>
  <c r="D57" i="3"/>
  <c r="C57" i="3"/>
  <c r="Q56" i="3"/>
  <c r="P56" i="3"/>
  <c r="N56" i="3"/>
  <c r="M56" i="3"/>
  <c r="L56" i="3"/>
  <c r="K56" i="3"/>
  <c r="J56" i="3"/>
  <c r="I56" i="3"/>
  <c r="H56" i="3"/>
  <c r="G56" i="3"/>
  <c r="F56" i="3"/>
  <c r="D56" i="3"/>
  <c r="C56" i="3"/>
  <c r="Q55" i="3"/>
  <c r="P55" i="3"/>
  <c r="N55" i="3"/>
  <c r="M55" i="3"/>
  <c r="L55" i="3"/>
  <c r="K55" i="3"/>
  <c r="J55" i="3"/>
  <c r="I55" i="3"/>
  <c r="H55" i="3"/>
  <c r="G55" i="3"/>
  <c r="F55" i="3"/>
  <c r="D55" i="3"/>
  <c r="C55" i="3"/>
  <c r="Q54" i="3"/>
  <c r="P54" i="3"/>
  <c r="N54" i="3"/>
  <c r="M54" i="3"/>
  <c r="L54" i="3"/>
  <c r="K54" i="3"/>
  <c r="J54" i="3"/>
  <c r="I54" i="3"/>
  <c r="H54" i="3"/>
  <c r="G54" i="3"/>
  <c r="F54" i="3"/>
  <c r="D54" i="3"/>
  <c r="C54" i="3"/>
  <c r="Q53" i="3"/>
  <c r="P53" i="3"/>
  <c r="N53" i="3"/>
  <c r="M53" i="3"/>
  <c r="L53" i="3"/>
  <c r="K53" i="3"/>
  <c r="J53" i="3"/>
  <c r="I53" i="3"/>
  <c r="H53" i="3"/>
  <c r="G53" i="3"/>
  <c r="F53" i="3"/>
  <c r="D53" i="3"/>
  <c r="C53" i="3"/>
  <c r="Q52" i="3"/>
  <c r="P52" i="3"/>
  <c r="N52" i="3"/>
  <c r="M52" i="3"/>
  <c r="L52" i="3"/>
  <c r="K52" i="3"/>
  <c r="J52" i="3"/>
  <c r="I52" i="3"/>
  <c r="H52" i="3"/>
  <c r="G52" i="3"/>
  <c r="F52" i="3"/>
  <c r="D52" i="3"/>
  <c r="C52" i="3"/>
  <c r="Q51" i="3"/>
  <c r="P51" i="3"/>
  <c r="N51" i="3"/>
  <c r="M51" i="3"/>
  <c r="L51" i="3"/>
  <c r="K51" i="3"/>
  <c r="J51" i="3"/>
  <c r="I51" i="3"/>
  <c r="H51" i="3"/>
  <c r="G51" i="3"/>
  <c r="F51" i="3"/>
  <c r="D51" i="3"/>
  <c r="C51" i="3"/>
  <c r="Q50" i="3"/>
  <c r="P50" i="3"/>
  <c r="N50" i="3"/>
  <c r="M50" i="3"/>
  <c r="L50" i="3"/>
  <c r="K50" i="3"/>
  <c r="J50" i="3"/>
  <c r="I50" i="3"/>
  <c r="H50" i="3"/>
  <c r="G50" i="3"/>
  <c r="F50" i="3"/>
  <c r="D50" i="3"/>
  <c r="C50" i="3"/>
  <c r="Q49" i="3"/>
  <c r="P49" i="3"/>
  <c r="N49" i="3"/>
  <c r="M49" i="3"/>
  <c r="L49" i="3"/>
  <c r="K49" i="3"/>
  <c r="J49" i="3"/>
  <c r="I49" i="3"/>
  <c r="H49" i="3"/>
  <c r="G49" i="3"/>
  <c r="F49" i="3"/>
  <c r="D49" i="3"/>
  <c r="C49" i="3"/>
  <c r="Q48" i="3"/>
  <c r="P48" i="3"/>
  <c r="N48" i="3"/>
  <c r="M48" i="3"/>
  <c r="L48" i="3"/>
  <c r="K48" i="3"/>
  <c r="J48" i="3"/>
  <c r="I48" i="3"/>
  <c r="H48" i="3"/>
  <c r="G48" i="3"/>
  <c r="F48" i="3"/>
  <c r="D48" i="3"/>
  <c r="C48" i="3"/>
  <c r="Q47" i="3"/>
  <c r="P47" i="3"/>
  <c r="N47" i="3"/>
  <c r="M47" i="3"/>
  <c r="L47" i="3"/>
  <c r="K47" i="3"/>
  <c r="J47" i="3"/>
  <c r="I47" i="3"/>
  <c r="H47" i="3"/>
  <c r="G47" i="3"/>
  <c r="F47" i="3"/>
  <c r="D47" i="3"/>
  <c r="C47" i="3"/>
  <c r="Q46" i="3"/>
  <c r="P46" i="3"/>
  <c r="N46" i="3"/>
  <c r="M46" i="3"/>
  <c r="L46" i="3"/>
  <c r="K46" i="3"/>
  <c r="J46" i="3"/>
  <c r="I46" i="3"/>
  <c r="H46" i="3"/>
  <c r="G46" i="3"/>
  <c r="F46" i="3"/>
  <c r="D46" i="3"/>
  <c r="C46" i="3"/>
  <c r="Q45" i="3"/>
  <c r="P45" i="3"/>
  <c r="N45" i="3"/>
  <c r="M45" i="3"/>
  <c r="L45" i="3"/>
  <c r="K45" i="3"/>
  <c r="J45" i="3"/>
  <c r="I45" i="3"/>
  <c r="H45" i="3"/>
  <c r="G45" i="3"/>
  <c r="F45" i="3"/>
  <c r="D45" i="3"/>
  <c r="C45" i="3"/>
  <c r="Q44" i="3"/>
  <c r="P44" i="3"/>
  <c r="N44" i="3"/>
  <c r="M44" i="3"/>
  <c r="L44" i="3"/>
  <c r="K44" i="3"/>
  <c r="J44" i="3"/>
  <c r="I44" i="3"/>
  <c r="H44" i="3"/>
  <c r="G44" i="3"/>
  <c r="F44" i="3"/>
  <c r="D44" i="3"/>
  <c r="C44" i="3"/>
  <c r="Q43" i="3"/>
  <c r="P43" i="3"/>
  <c r="N43" i="3"/>
  <c r="M43" i="3"/>
  <c r="L43" i="3"/>
  <c r="K43" i="3"/>
  <c r="J43" i="3"/>
  <c r="I43" i="3"/>
  <c r="H43" i="3"/>
  <c r="G43" i="3"/>
  <c r="F43" i="3"/>
  <c r="D43" i="3"/>
  <c r="C43" i="3"/>
  <c r="Q42" i="3"/>
  <c r="P42" i="3"/>
  <c r="N42" i="3"/>
  <c r="M42" i="3"/>
  <c r="L42" i="3"/>
  <c r="K42" i="3"/>
  <c r="J42" i="3"/>
  <c r="I42" i="3"/>
  <c r="H42" i="3"/>
  <c r="G42" i="3"/>
  <c r="F42" i="3"/>
  <c r="D42" i="3"/>
  <c r="C42" i="3"/>
  <c r="Q41" i="3"/>
  <c r="P41" i="3"/>
  <c r="N41" i="3"/>
  <c r="M41" i="3"/>
  <c r="L41" i="3"/>
  <c r="K41" i="3"/>
  <c r="J41" i="3"/>
  <c r="I41" i="3"/>
  <c r="H41" i="3"/>
  <c r="G41" i="3"/>
  <c r="F41" i="3"/>
  <c r="D41" i="3"/>
  <c r="C41" i="3"/>
  <c r="Q40" i="3"/>
  <c r="P40" i="3"/>
  <c r="N40" i="3"/>
  <c r="M40" i="3"/>
  <c r="L40" i="3"/>
  <c r="K40" i="3"/>
  <c r="J40" i="3"/>
  <c r="I40" i="3"/>
  <c r="H40" i="3"/>
  <c r="G40" i="3"/>
  <c r="F40" i="3"/>
  <c r="D40" i="3"/>
  <c r="C40" i="3"/>
  <c r="Q39" i="3"/>
  <c r="P39" i="3"/>
  <c r="N39" i="3"/>
  <c r="M39" i="3"/>
  <c r="L39" i="3"/>
  <c r="K39" i="3"/>
  <c r="J39" i="3"/>
  <c r="I39" i="3"/>
  <c r="H39" i="3"/>
  <c r="G39" i="3"/>
  <c r="F39" i="3"/>
  <c r="D39" i="3"/>
  <c r="C39" i="3"/>
  <c r="Q38" i="3"/>
  <c r="P38" i="3"/>
  <c r="N38" i="3"/>
  <c r="M38" i="3"/>
  <c r="L38" i="3"/>
  <c r="K38" i="3"/>
  <c r="J38" i="3"/>
  <c r="I38" i="3"/>
  <c r="H38" i="3"/>
  <c r="G38" i="3"/>
  <c r="F38" i="3"/>
  <c r="D38" i="3"/>
  <c r="C38" i="3"/>
  <c r="Q37" i="3"/>
  <c r="P37" i="3"/>
  <c r="N37" i="3"/>
  <c r="M37" i="3"/>
  <c r="L37" i="3"/>
  <c r="K37" i="3"/>
  <c r="J37" i="3"/>
  <c r="I37" i="3"/>
  <c r="H37" i="3"/>
  <c r="G37" i="3"/>
  <c r="F37" i="3"/>
  <c r="D37" i="3"/>
  <c r="C37" i="3"/>
  <c r="Q36" i="3"/>
  <c r="P36" i="3"/>
  <c r="N36" i="3"/>
  <c r="M36" i="3"/>
  <c r="L36" i="3"/>
  <c r="K36" i="3"/>
  <c r="J36" i="3"/>
  <c r="I36" i="3"/>
  <c r="H36" i="3"/>
  <c r="G36" i="3"/>
  <c r="F36" i="3"/>
  <c r="D36" i="3"/>
  <c r="C36" i="3"/>
  <c r="Q35" i="3"/>
  <c r="P35" i="3"/>
  <c r="N35" i="3"/>
  <c r="M35" i="3"/>
  <c r="L35" i="3"/>
  <c r="K35" i="3"/>
  <c r="J35" i="3"/>
  <c r="I35" i="3"/>
  <c r="H35" i="3"/>
  <c r="G35" i="3"/>
  <c r="F35" i="3"/>
  <c r="D35" i="3"/>
  <c r="C35" i="3"/>
  <c r="Q34" i="3"/>
  <c r="P34" i="3"/>
  <c r="N34" i="3"/>
  <c r="M34" i="3"/>
  <c r="L34" i="3"/>
  <c r="K34" i="3"/>
  <c r="J34" i="3"/>
  <c r="I34" i="3"/>
  <c r="H34" i="3"/>
  <c r="G34" i="3"/>
  <c r="F34" i="3"/>
  <c r="D34" i="3"/>
  <c r="C34" i="3"/>
  <c r="Q33" i="3"/>
  <c r="P33" i="3"/>
  <c r="N33" i="3"/>
  <c r="M33" i="3"/>
  <c r="L33" i="3"/>
  <c r="K33" i="3"/>
  <c r="J33" i="3"/>
  <c r="I33" i="3"/>
  <c r="H33" i="3"/>
  <c r="G33" i="3"/>
  <c r="F33" i="3"/>
  <c r="D33" i="3"/>
  <c r="C33" i="3"/>
  <c r="Q32" i="3"/>
  <c r="P32" i="3"/>
  <c r="N32" i="3"/>
  <c r="M32" i="3"/>
  <c r="L32" i="3"/>
  <c r="K32" i="3"/>
  <c r="J32" i="3"/>
  <c r="I32" i="3"/>
  <c r="H32" i="3"/>
  <c r="G32" i="3"/>
  <c r="F32" i="3"/>
  <c r="D32" i="3"/>
  <c r="C32" i="3"/>
  <c r="Q31" i="3"/>
  <c r="P31" i="3"/>
  <c r="N31" i="3"/>
  <c r="M31" i="3"/>
  <c r="L31" i="3"/>
  <c r="K31" i="3"/>
  <c r="J31" i="3"/>
  <c r="I31" i="3"/>
  <c r="H31" i="3"/>
  <c r="G31" i="3"/>
  <c r="F31" i="3"/>
  <c r="D31" i="3"/>
  <c r="C31" i="3"/>
  <c r="Q30" i="3"/>
  <c r="P30" i="3"/>
  <c r="N30" i="3"/>
  <c r="M30" i="3"/>
  <c r="L30" i="3"/>
  <c r="K30" i="3"/>
  <c r="J30" i="3"/>
  <c r="I30" i="3"/>
  <c r="H30" i="3"/>
  <c r="G30" i="3"/>
  <c r="F30" i="3"/>
  <c r="D30" i="3"/>
  <c r="C30" i="3"/>
  <c r="Q29" i="3"/>
  <c r="P29" i="3"/>
  <c r="N29" i="3"/>
  <c r="M29" i="3"/>
  <c r="L29" i="3"/>
  <c r="K29" i="3"/>
  <c r="J29" i="3"/>
  <c r="I29" i="3"/>
  <c r="H29" i="3"/>
  <c r="G29" i="3"/>
  <c r="F29" i="3"/>
  <c r="D29" i="3"/>
  <c r="C29" i="3"/>
  <c r="Q28" i="3"/>
  <c r="P28" i="3"/>
  <c r="N28" i="3"/>
  <c r="M28" i="3"/>
  <c r="L28" i="3"/>
  <c r="K28" i="3"/>
  <c r="J28" i="3"/>
  <c r="I28" i="3"/>
  <c r="H28" i="3"/>
  <c r="G28" i="3"/>
  <c r="F28" i="3"/>
  <c r="D28" i="3"/>
  <c r="C28" i="3"/>
  <c r="Q27" i="3"/>
  <c r="P27" i="3"/>
  <c r="N27" i="3"/>
  <c r="M27" i="3"/>
  <c r="L27" i="3"/>
  <c r="K27" i="3"/>
  <c r="J27" i="3"/>
  <c r="I27" i="3"/>
  <c r="H27" i="3"/>
  <c r="G27" i="3"/>
  <c r="F27" i="3"/>
  <c r="D27" i="3"/>
  <c r="C27" i="3"/>
  <c r="Q26" i="3"/>
  <c r="P26" i="3"/>
  <c r="N26" i="3"/>
  <c r="M26" i="3"/>
  <c r="L26" i="3"/>
  <c r="K26" i="3"/>
  <c r="J26" i="3"/>
  <c r="I26" i="3"/>
  <c r="H26" i="3"/>
  <c r="G26" i="3"/>
  <c r="F26" i="3"/>
  <c r="D26" i="3"/>
  <c r="C26" i="3"/>
  <c r="Q25" i="3"/>
  <c r="P25" i="3"/>
  <c r="N25" i="3"/>
  <c r="M25" i="3"/>
  <c r="L25" i="3"/>
  <c r="K25" i="3"/>
  <c r="J25" i="3"/>
  <c r="I25" i="3"/>
  <c r="H25" i="3"/>
  <c r="G25" i="3"/>
  <c r="F25" i="3"/>
  <c r="D25" i="3"/>
  <c r="C25" i="3"/>
  <c r="Q24" i="3"/>
  <c r="P24" i="3"/>
  <c r="N24" i="3"/>
  <c r="M24" i="3"/>
  <c r="L24" i="3"/>
  <c r="K24" i="3"/>
  <c r="J24" i="3"/>
  <c r="I24" i="3"/>
  <c r="H24" i="3"/>
  <c r="G24" i="3"/>
  <c r="F24" i="3"/>
  <c r="D24" i="3"/>
  <c r="C24" i="3"/>
  <c r="Q23" i="3"/>
  <c r="P23" i="3"/>
  <c r="N23" i="3"/>
  <c r="M23" i="3"/>
  <c r="L23" i="3"/>
  <c r="K23" i="3"/>
  <c r="J23" i="3"/>
  <c r="I23" i="3"/>
  <c r="H23" i="3"/>
  <c r="G23" i="3"/>
  <c r="F23" i="3"/>
  <c r="D23" i="3"/>
  <c r="C23" i="3"/>
  <c r="Q22" i="3"/>
  <c r="P22" i="3"/>
  <c r="N22" i="3"/>
  <c r="M22" i="3"/>
  <c r="L22" i="3"/>
  <c r="K22" i="3"/>
  <c r="J22" i="3"/>
  <c r="I22" i="3"/>
  <c r="H22" i="3"/>
  <c r="G22" i="3"/>
  <c r="F22" i="3"/>
  <c r="D22" i="3"/>
  <c r="C22" i="3"/>
  <c r="Q21" i="3"/>
  <c r="P21" i="3"/>
  <c r="N21" i="3"/>
  <c r="M21" i="3"/>
  <c r="L21" i="3"/>
  <c r="K21" i="3"/>
  <c r="J21" i="3"/>
  <c r="I21" i="3"/>
  <c r="H21" i="3"/>
  <c r="G21" i="3"/>
  <c r="F21" i="3"/>
  <c r="D21" i="3"/>
  <c r="C21" i="3"/>
  <c r="Q20" i="3"/>
  <c r="P20" i="3"/>
  <c r="N20" i="3"/>
  <c r="M20" i="3"/>
  <c r="L20" i="3"/>
  <c r="K20" i="3"/>
  <c r="J20" i="3"/>
  <c r="I20" i="3"/>
  <c r="H20" i="3"/>
  <c r="G20" i="3"/>
  <c r="F20" i="3"/>
  <c r="D20" i="3"/>
  <c r="C20" i="3"/>
  <c r="Q19" i="3"/>
  <c r="P19" i="3"/>
  <c r="N19" i="3"/>
  <c r="M19" i="3"/>
  <c r="L19" i="3"/>
  <c r="K19" i="3"/>
  <c r="J19" i="3"/>
  <c r="I19" i="3"/>
  <c r="H19" i="3"/>
  <c r="G19" i="3"/>
  <c r="F19" i="3"/>
  <c r="D19" i="3"/>
  <c r="C19" i="3"/>
  <c r="Q18" i="3"/>
  <c r="P18" i="3"/>
  <c r="N18" i="3"/>
  <c r="M18" i="3"/>
  <c r="L18" i="3"/>
  <c r="K18" i="3"/>
  <c r="J18" i="3"/>
  <c r="I18" i="3"/>
  <c r="H18" i="3"/>
  <c r="G18" i="3"/>
  <c r="F18" i="3"/>
  <c r="D18" i="3"/>
  <c r="C18" i="3"/>
  <c r="Q17" i="3"/>
  <c r="P17" i="3"/>
  <c r="N17" i="3"/>
  <c r="M17" i="3"/>
  <c r="L17" i="3"/>
  <c r="K17" i="3"/>
  <c r="J17" i="3"/>
  <c r="I17" i="3"/>
  <c r="H17" i="3"/>
  <c r="G17" i="3"/>
  <c r="F17" i="3"/>
  <c r="D17" i="3"/>
  <c r="C17" i="3"/>
  <c r="Q16" i="3"/>
  <c r="P16" i="3"/>
  <c r="N16" i="3"/>
  <c r="M16" i="3"/>
  <c r="L16" i="3"/>
  <c r="K16" i="3"/>
  <c r="J16" i="3"/>
  <c r="I16" i="3"/>
  <c r="H16" i="3"/>
  <c r="G16" i="3"/>
  <c r="F16" i="3"/>
  <c r="D16" i="3"/>
  <c r="C16" i="3"/>
  <c r="Q15" i="3"/>
  <c r="P15" i="3"/>
  <c r="N15" i="3"/>
  <c r="M15" i="3"/>
  <c r="L15" i="3"/>
  <c r="K15" i="3"/>
  <c r="J15" i="3"/>
  <c r="I15" i="3"/>
  <c r="H15" i="3"/>
  <c r="G15" i="3"/>
  <c r="F15" i="3"/>
  <c r="D15" i="3"/>
  <c r="C15" i="3"/>
  <c r="Q14" i="3"/>
  <c r="P14" i="3"/>
  <c r="N14" i="3"/>
  <c r="M14" i="3"/>
  <c r="L14" i="3"/>
  <c r="K14" i="3"/>
  <c r="J14" i="3"/>
  <c r="I14" i="3"/>
  <c r="H14" i="3"/>
  <c r="G14" i="3"/>
  <c r="F14" i="3"/>
  <c r="D14" i="3"/>
  <c r="C14" i="3"/>
  <c r="Q13" i="3"/>
  <c r="P13" i="3"/>
  <c r="N13" i="3"/>
  <c r="M13" i="3"/>
  <c r="L13" i="3"/>
  <c r="K13" i="3"/>
  <c r="J13" i="3"/>
  <c r="I13" i="3"/>
  <c r="H13" i="3"/>
  <c r="G13" i="3"/>
  <c r="F13" i="3"/>
  <c r="D13" i="3"/>
  <c r="C13" i="3"/>
  <c r="Q12" i="3"/>
  <c r="P12" i="3"/>
  <c r="N12" i="3"/>
  <c r="M12" i="3"/>
  <c r="L12" i="3"/>
  <c r="K12" i="3"/>
  <c r="J12" i="3"/>
  <c r="I12" i="3"/>
  <c r="H12" i="3"/>
  <c r="G12" i="3"/>
  <c r="F12" i="3"/>
  <c r="D12" i="3"/>
  <c r="C12" i="3"/>
  <c r="Q11" i="3"/>
  <c r="P11" i="3"/>
  <c r="N11" i="3"/>
  <c r="M11" i="3"/>
  <c r="L11" i="3"/>
  <c r="K11" i="3"/>
  <c r="J11" i="3"/>
  <c r="I11" i="3"/>
  <c r="H11" i="3"/>
  <c r="G11" i="3"/>
  <c r="F11" i="3"/>
  <c r="D11" i="3"/>
  <c r="C11" i="3"/>
  <c r="Q10" i="3"/>
  <c r="P10" i="3"/>
  <c r="N10" i="3"/>
  <c r="M10" i="3"/>
  <c r="L10" i="3"/>
  <c r="K10" i="3"/>
  <c r="J10" i="3"/>
  <c r="I10" i="3"/>
  <c r="H10" i="3"/>
  <c r="G10" i="3"/>
  <c r="F10" i="3"/>
  <c r="D10" i="3"/>
  <c r="C10" i="3"/>
  <c r="Q9" i="3"/>
  <c r="P9" i="3"/>
  <c r="N9" i="3"/>
  <c r="M9" i="3"/>
  <c r="L9" i="3"/>
  <c r="K9" i="3"/>
  <c r="J9" i="3"/>
  <c r="I9" i="3"/>
  <c r="H9" i="3"/>
  <c r="G9" i="3"/>
  <c r="F9" i="3"/>
  <c r="D9" i="3"/>
  <c r="C9" i="3"/>
  <c r="Q8" i="3"/>
  <c r="P8" i="3"/>
  <c r="N8" i="3"/>
  <c r="M8" i="3"/>
  <c r="L8" i="3"/>
  <c r="K8" i="3"/>
  <c r="J8" i="3"/>
  <c r="I8" i="3"/>
  <c r="H8" i="3"/>
  <c r="G8" i="3"/>
  <c r="F8" i="3"/>
  <c r="D8" i="3"/>
  <c r="C8" i="3"/>
  <c r="Q7" i="3"/>
  <c r="P7" i="3"/>
  <c r="N7" i="3"/>
  <c r="M7" i="3"/>
  <c r="L7" i="3"/>
  <c r="K7" i="3"/>
  <c r="J7" i="3"/>
  <c r="I7" i="3"/>
  <c r="H7" i="3"/>
  <c r="G7" i="3"/>
  <c r="F7" i="3"/>
  <c r="D7" i="3"/>
  <c r="C7" i="3"/>
  <c r="Q6" i="3"/>
  <c r="P6" i="3"/>
  <c r="N6" i="3"/>
  <c r="M6" i="3"/>
  <c r="L6" i="3"/>
  <c r="K6" i="3"/>
  <c r="J6" i="3"/>
  <c r="I6" i="3"/>
  <c r="H6" i="3"/>
  <c r="G6" i="3"/>
  <c r="F6" i="3"/>
  <c r="D6" i="3"/>
  <c r="C6" i="3"/>
  <c r="Q5" i="3"/>
  <c r="P5" i="3"/>
  <c r="N5" i="3"/>
  <c r="M5" i="3"/>
  <c r="L5" i="3"/>
  <c r="K5" i="3"/>
  <c r="J5" i="3"/>
  <c r="I5" i="3"/>
  <c r="H5" i="3"/>
  <c r="G5" i="3"/>
  <c r="F5" i="3"/>
  <c r="D5" i="3"/>
  <c r="C5" i="3"/>
  <c r="Q4" i="3"/>
  <c r="P4" i="3"/>
  <c r="N4" i="3"/>
  <c r="M4" i="3"/>
  <c r="L4" i="3"/>
  <c r="K4" i="3"/>
  <c r="J4" i="3"/>
  <c r="I4" i="3"/>
  <c r="H4" i="3"/>
  <c r="G4" i="3"/>
  <c r="F4" i="3"/>
  <c r="D4" i="3"/>
  <c r="C4" i="3"/>
  <c r="Q3" i="3"/>
  <c r="P3" i="3"/>
  <c r="N3" i="3"/>
  <c r="M3" i="3"/>
  <c r="L3" i="3"/>
  <c r="K3" i="3"/>
  <c r="J3" i="3"/>
  <c r="I3" i="3"/>
  <c r="H3" i="3"/>
  <c r="G3" i="3"/>
  <c r="F3" i="3"/>
  <c r="D3" i="3"/>
  <c r="C3" i="3"/>
  <c r="Q142" i="2"/>
  <c r="P142" i="2"/>
  <c r="M142" i="2"/>
  <c r="L142" i="2"/>
  <c r="K142" i="2"/>
  <c r="J142" i="2"/>
  <c r="I142" i="2"/>
  <c r="H142" i="2"/>
  <c r="G142" i="2"/>
  <c r="F142" i="2"/>
  <c r="D142" i="2"/>
  <c r="C142" i="2"/>
  <c r="Q141" i="2"/>
  <c r="P141" i="2"/>
  <c r="M141" i="2"/>
  <c r="L141" i="2"/>
  <c r="K141" i="2"/>
  <c r="I141" i="2"/>
  <c r="H141" i="2"/>
  <c r="G141" i="2"/>
  <c r="F141" i="2"/>
  <c r="D141" i="2"/>
  <c r="C141" i="2"/>
  <c r="Q140" i="2"/>
  <c r="P140" i="2"/>
  <c r="M140" i="2"/>
  <c r="L140" i="2"/>
  <c r="K140" i="2"/>
  <c r="I140" i="2"/>
  <c r="H140" i="2"/>
  <c r="G140" i="2"/>
  <c r="F140" i="2"/>
  <c r="D140" i="2"/>
  <c r="C140" i="2"/>
  <c r="Q139" i="2"/>
  <c r="P139" i="2"/>
  <c r="M139" i="2"/>
  <c r="L139" i="2"/>
  <c r="K139" i="2"/>
  <c r="I139" i="2"/>
  <c r="H139" i="2"/>
  <c r="G139" i="2"/>
  <c r="F139" i="2"/>
  <c r="D139" i="2"/>
  <c r="C139" i="2"/>
  <c r="Q138" i="2"/>
  <c r="P138" i="2"/>
  <c r="M138" i="2"/>
  <c r="L138" i="2"/>
  <c r="K138" i="2"/>
  <c r="I138" i="2"/>
  <c r="H138" i="2"/>
  <c r="G138" i="2"/>
  <c r="F138" i="2"/>
  <c r="D138" i="2"/>
  <c r="C138" i="2"/>
  <c r="Q137" i="2"/>
  <c r="P137" i="2"/>
  <c r="M137" i="2"/>
  <c r="L137" i="2"/>
  <c r="K137" i="2"/>
  <c r="I137" i="2"/>
  <c r="H137" i="2"/>
  <c r="G137" i="2"/>
  <c r="F137" i="2"/>
  <c r="D137" i="2"/>
  <c r="C137" i="2"/>
  <c r="Q136" i="2"/>
  <c r="P136" i="2"/>
  <c r="N136" i="2"/>
  <c r="M136" i="2"/>
  <c r="L136" i="2"/>
  <c r="K136" i="2"/>
  <c r="J136" i="2"/>
  <c r="I136" i="2"/>
  <c r="H136" i="2"/>
  <c r="G136" i="2"/>
  <c r="F136" i="2"/>
  <c r="D136" i="2"/>
  <c r="C136" i="2"/>
  <c r="Q135" i="2"/>
  <c r="P135" i="2"/>
  <c r="N135" i="2"/>
  <c r="M135" i="2"/>
  <c r="L135" i="2"/>
  <c r="K135" i="2"/>
  <c r="J135" i="2"/>
  <c r="I135" i="2"/>
  <c r="H135" i="2"/>
  <c r="G135" i="2"/>
  <c r="F135" i="2"/>
  <c r="D135" i="2"/>
  <c r="C135" i="2"/>
  <c r="Q134" i="2"/>
  <c r="P134" i="2"/>
  <c r="N134" i="2"/>
  <c r="M134" i="2"/>
  <c r="L134" i="2"/>
  <c r="K134" i="2"/>
  <c r="J134" i="2"/>
  <c r="I134" i="2"/>
  <c r="H134" i="2"/>
  <c r="G134" i="2"/>
  <c r="F134" i="2"/>
  <c r="D134" i="2"/>
  <c r="C134" i="2"/>
  <c r="Q133" i="2"/>
  <c r="P133" i="2"/>
  <c r="N133" i="2"/>
  <c r="M133" i="2"/>
  <c r="L133" i="2"/>
  <c r="K133" i="2"/>
  <c r="J133" i="2"/>
  <c r="I133" i="2"/>
  <c r="H133" i="2"/>
  <c r="G133" i="2"/>
  <c r="F133" i="2"/>
  <c r="D133" i="2"/>
  <c r="C133" i="2"/>
  <c r="Q132" i="2"/>
  <c r="P132" i="2"/>
  <c r="N132" i="2"/>
  <c r="M132" i="2"/>
  <c r="L132" i="2"/>
  <c r="K132" i="2"/>
  <c r="J132" i="2"/>
  <c r="I132" i="2"/>
  <c r="H132" i="2"/>
  <c r="G132" i="2"/>
  <c r="F132" i="2"/>
  <c r="D132" i="2"/>
  <c r="C132" i="2"/>
  <c r="Q131" i="2"/>
  <c r="P131" i="2"/>
  <c r="N131" i="2"/>
  <c r="M131" i="2"/>
  <c r="L131" i="2"/>
  <c r="K131" i="2"/>
  <c r="J131" i="2"/>
  <c r="I131" i="2"/>
  <c r="H131" i="2"/>
  <c r="G131" i="2"/>
  <c r="F131" i="2"/>
  <c r="D131" i="2"/>
  <c r="C131" i="2"/>
  <c r="Q130" i="2"/>
  <c r="P130" i="2"/>
  <c r="N130" i="2"/>
  <c r="M130" i="2"/>
  <c r="L130" i="2"/>
  <c r="K130" i="2"/>
  <c r="J130" i="2"/>
  <c r="I130" i="2"/>
  <c r="H130" i="2"/>
  <c r="G130" i="2"/>
  <c r="F130" i="2"/>
  <c r="D130" i="2"/>
  <c r="C130" i="2"/>
  <c r="Q129" i="2"/>
  <c r="P129" i="2"/>
  <c r="N129" i="2"/>
  <c r="M129" i="2"/>
  <c r="L129" i="2"/>
  <c r="K129" i="2"/>
  <c r="J129" i="2"/>
  <c r="I129" i="2"/>
  <c r="H129" i="2"/>
  <c r="G129" i="2"/>
  <c r="F129" i="2"/>
  <c r="D129" i="2"/>
  <c r="C129" i="2"/>
  <c r="Q128" i="2"/>
  <c r="P128" i="2"/>
  <c r="N128" i="2"/>
  <c r="M128" i="2"/>
  <c r="L128" i="2"/>
  <c r="K128" i="2"/>
  <c r="J128" i="2"/>
  <c r="I128" i="2"/>
  <c r="H128" i="2"/>
  <c r="G128" i="2"/>
  <c r="F128" i="2"/>
  <c r="D128" i="2"/>
  <c r="C128" i="2"/>
  <c r="Q127" i="2"/>
  <c r="P127" i="2"/>
  <c r="N127" i="2"/>
  <c r="M127" i="2"/>
  <c r="L127" i="2"/>
  <c r="K127" i="2"/>
  <c r="J127" i="2"/>
  <c r="I127" i="2"/>
  <c r="H127" i="2"/>
  <c r="G127" i="2"/>
  <c r="F127" i="2"/>
  <c r="D127" i="2"/>
  <c r="C127" i="2"/>
  <c r="Q126" i="2"/>
  <c r="P126" i="2"/>
  <c r="N126" i="2"/>
  <c r="M126" i="2"/>
  <c r="L126" i="2"/>
  <c r="K126" i="2"/>
  <c r="J126" i="2"/>
  <c r="I126" i="2"/>
  <c r="H126" i="2"/>
  <c r="G126" i="2"/>
  <c r="F126" i="2"/>
  <c r="D126" i="2"/>
  <c r="C126" i="2"/>
  <c r="Q125" i="2"/>
  <c r="P125" i="2"/>
  <c r="N125" i="2"/>
  <c r="M125" i="2"/>
  <c r="L125" i="2"/>
  <c r="K125" i="2"/>
  <c r="J125" i="2"/>
  <c r="I125" i="2"/>
  <c r="H125" i="2"/>
  <c r="G125" i="2"/>
  <c r="F125" i="2"/>
  <c r="D125" i="2"/>
  <c r="C125" i="2"/>
  <c r="Q124" i="2"/>
  <c r="P124" i="2"/>
  <c r="N124" i="2"/>
  <c r="M124" i="2"/>
  <c r="L124" i="2"/>
  <c r="K124" i="2"/>
  <c r="J124" i="2"/>
  <c r="I124" i="2"/>
  <c r="H124" i="2"/>
  <c r="G124" i="2"/>
  <c r="F124" i="2"/>
  <c r="D124" i="2"/>
  <c r="C124" i="2"/>
  <c r="Q123" i="2"/>
  <c r="P123" i="2"/>
  <c r="N123" i="2"/>
  <c r="M123" i="2"/>
  <c r="L123" i="2"/>
  <c r="K123" i="2"/>
  <c r="J123" i="2"/>
  <c r="I123" i="2"/>
  <c r="H123" i="2"/>
  <c r="G123" i="2"/>
  <c r="F123" i="2"/>
  <c r="D123" i="2"/>
  <c r="C123" i="2"/>
  <c r="Q122" i="2"/>
  <c r="P122" i="2"/>
  <c r="N122" i="2"/>
  <c r="M122" i="2"/>
  <c r="L122" i="2"/>
  <c r="K122" i="2"/>
  <c r="J122" i="2"/>
  <c r="I122" i="2"/>
  <c r="H122" i="2"/>
  <c r="G122" i="2"/>
  <c r="F122" i="2"/>
  <c r="D122" i="2"/>
  <c r="C122" i="2"/>
  <c r="Q121" i="2"/>
  <c r="P121" i="2"/>
  <c r="N121" i="2"/>
  <c r="M121" i="2"/>
  <c r="L121" i="2"/>
  <c r="K121" i="2"/>
  <c r="J121" i="2"/>
  <c r="I121" i="2"/>
  <c r="H121" i="2"/>
  <c r="G121" i="2"/>
  <c r="F121" i="2"/>
  <c r="D121" i="2"/>
  <c r="C121" i="2"/>
  <c r="Q120" i="2"/>
  <c r="P120" i="2"/>
  <c r="N120" i="2"/>
  <c r="M120" i="2"/>
  <c r="L120" i="2"/>
  <c r="K120" i="2"/>
  <c r="J120" i="2"/>
  <c r="I120" i="2"/>
  <c r="H120" i="2"/>
  <c r="G120" i="2"/>
  <c r="F120" i="2"/>
  <c r="D120" i="2"/>
  <c r="C120" i="2"/>
  <c r="Q119" i="2"/>
  <c r="P119" i="2"/>
  <c r="N119" i="2"/>
  <c r="M119" i="2"/>
  <c r="L119" i="2"/>
  <c r="K119" i="2"/>
  <c r="J119" i="2"/>
  <c r="I119" i="2"/>
  <c r="H119" i="2"/>
  <c r="G119" i="2"/>
  <c r="F119" i="2"/>
  <c r="D119" i="2"/>
  <c r="C119" i="2"/>
  <c r="Q118" i="2"/>
  <c r="P118" i="2"/>
  <c r="N118" i="2"/>
  <c r="M118" i="2"/>
  <c r="L118" i="2"/>
  <c r="K118" i="2"/>
  <c r="J118" i="2"/>
  <c r="I118" i="2"/>
  <c r="H118" i="2"/>
  <c r="G118" i="2"/>
  <c r="F118" i="2"/>
  <c r="D118" i="2"/>
  <c r="C118" i="2"/>
  <c r="Q117" i="2"/>
  <c r="P117" i="2"/>
  <c r="N117" i="2"/>
  <c r="M117" i="2"/>
  <c r="L117" i="2"/>
  <c r="K117" i="2"/>
  <c r="J117" i="2"/>
  <c r="I117" i="2"/>
  <c r="H117" i="2"/>
  <c r="G117" i="2"/>
  <c r="F117" i="2"/>
  <c r="D117" i="2"/>
  <c r="C117" i="2"/>
  <c r="Q116" i="2"/>
  <c r="P116" i="2"/>
  <c r="N116" i="2"/>
  <c r="M116" i="2"/>
  <c r="L116" i="2"/>
  <c r="K116" i="2"/>
  <c r="J116" i="2"/>
  <c r="I116" i="2"/>
  <c r="H116" i="2"/>
  <c r="G116" i="2"/>
  <c r="F116" i="2"/>
  <c r="D116" i="2"/>
  <c r="C116" i="2"/>
  <c r="Q115" i="2"/>
  <c r="P115" i="2"/>
  <c r="N115" i="2"/>
  <c r="M115" i="2"/>
  <c r="L115" i="2"/>
  <c r="K115" i="2"/>
  <c r="J115" i="2"/>
  <c r="I115" i="2"/>
  <c r="H115" i="2"/>
  <c r="G115" i="2"/>
  <c r="F115" i="2"/>
  <c r="D115" i="2"/>
  <c r="C115" i="2"/>
  <c r="Q114" i="2"/>
  <c r="P114" i="2"/>
  <c r="N114" i="2"/>
  <c r="M114" i="2"/>
  <c r="L114" i="2"/>
  <c r="K114" i="2"/>
  <c r="J114" i="2"/>
  <c r="I114" i="2"/>
  <c r="H114" i="2"/>
  <c r="G114" i="2"/>
  <c r="F114" i="2"/>
  <c r="D114" i="2"/>
  <c r="C114" i="2"/>
  <c r="Q113" i="2"/>
  <c r="P113" i="2"/>
  <c r="N113" i="2"/>
  <c r="M113" i="2"/>
  <c r="L113" i="2"/>
  <c r="K113" i="2"/>
  <c r="J113" i="2"/>
  <c r="I113" i="2"/>
  <c r="H113" i="2"/>
  <c r="G113" i="2"/>
  <c r="F113" i="2"/>
  <c r="D113" i="2"/>
  <c r="C113" i="2"/>
  <c r="Q112" i="2"/>
  <c r="P112" i="2"/>
  <c r="N112" i="2"/>
  <c r="M112" i="2"/>
  <c r="L112" i="2"/>
  <c r="K112" i="2"/>
  <c r="J112" i="2"/>
  <c r="I112" i="2"/>
  <c r="H112" i="2"/>
  <c r="G112" i="2"/>
  <c r="F112" i="2"/>
  <c r="D112" i="2"/>
  <c r="C112" i="2"/>
  <c r="Q111" i="2"/>
  <c r="P111" i="2"/>
  <c r="N111" i="2"/>
  <c r="M111" i="2"/>
  <c r="L111" i="2"/>
  <c r="K111" i="2"/>
  <c r="J111" i="2"/>
  <c r="I111" i="2"/>
  <c r="H111" i="2"/>
  <c r="G111" i="2"/>
  <c r="F111" i="2"/>
  <c r="D111" i="2"/>
  <c r="C111" i="2"/>
  <c r="Q110" i="2"/>
  <c r="P110" i="2"/>
  <c r="N110" i="2"/>
  <c r="M110" i="2"/>
  <c r="L110" i="2"/>
  <c r="K110" i="2"/>
  <c r="J110" i="2"/>
  <c r="I110" i="2"/>
  <c r="H110" i="2"/>
  <c r="G110" i="2"/>
  <c r="F110" i="2"/>
  <c r="D110" i="2"/>
  <c r="C110" i="2"/>
  <c r="Q109" i="2"/>
  <c r="P109" i="2"/>
  <c r="N109" i="2"/>
  <c r="M109" i="2"/>
  <c r="L109" i="2"/>
  <c r="K109" i="2"/>
  <c r="J109" i="2"/>
  <c r="I109" i="2"/>
  <c r="H109" i="2"/>
  <c r="G109" i="2"/>
  <c r="F109" i="2"/>
  <c r="D109" i="2"/>
  <c r="C109" i="2"/>
  <c r="Q108" i="2"/>
  <c r="P108" i="2"/>
  <c r="N108" i="2"/>
  <c r="M108" i="2"/>
  <c r="L108" i="2"/>
  <c r="K108" i="2"/>
  <c r="J108" i="2"/>
  <c r="I108" i="2"/>
  <c r="H108" i="2"/>
  <c r="G108" i="2"/>
  <c r="F108" i="2"/>
  <c r="D108" i="2"/>
  <c r="C108" i="2"/>
  <c r="Q107" i="2"/>
  <c r="P107" i="2"/>
  <c r="N107" i="2"/>
  <c r="M107" i="2"/>
  <c r="L107" i="2"/>
  <c r="K107" i="2"/>
  <c r="J107" i="2"/>
  <c r="I107" i="2"/>
  <c r="H107" i="2"/>
  <c r="G107" i="2"/>
  <c r="F107" i="2"/>
  <c r="D107" i="2"/>
  <c r="C107" i="2"/>
  <c r="Q106" i="2"/>
  <c r="P106" i="2"/>
  <c r="N106" i="2"/>
  <c r="M106" i="2"/>
  <c r="L106" i="2"/>
  <c r="K106" i="2"/>
  <c r="J106" i="2"/>
  <c r="I106" i="2"/>
  <c r="H106" i="2"/>
  <c r="G106" i="2"/>
  <c r="F106" i="2"/>
  <c r="D106" i="2"/>
  <c r="C106" i="2"/>
  <c r="Q105" i="2"/>
  <c r="P105" i="2"/>
  <c r="N105" i="2"/>
  <c r="M105" i="2"/>
  <c r="L105" i="2"/>
  <c r="K105" i="2"/>
  <c r="J105" i="2"/>
  <c r="I105" i="2"/>
  <c r="H105" i="2"/>
  <c r="G105" i="2"/>
  <c r="F105" i="2"/>
  <c r="D105" i="2"/>
  <c r="C105" i="2"/>
  <c r="Q104" i="2"/>
  <c r="P104" i="2"/>
  <c r="N104" i="2"/>
  <c r="M104" i="2"/>
  <c r="L104" i="2"/>
  <c r="K104" i="2"/>
  <c r="J104" i="2"/>
  <c r="I104" i="2"/>
  <c r="H104" i="2"/>
  <c r="G104" i="2"/>
  <c r="F104" i="2"/>
  <c r="D104" i="2"/>
  <c r="C104" i="2"/>
  <c r="Q103" i="2"/>
  <c r="P103" i="2"/>
  <c r="N103" i="2"/>
  <c r="M103" i="2"/>
  <c r="L103" i="2"/>
  <c r="K103" i="2"/>
  <c r="J103" i="2"/>
  <c r="I103" i="2"/>
  <c r="H103" i="2"/>
  <c r="G103" i="2"/>
  <c r="F103" i="2"/>
  <c r="D103" i="2"/>
  <c r="C103" i="2"/>
  <c r="Q102" i="2"/>
  <c r="P102" i="2"/>
  <c r="N102" i="2"/>
  <c r="M102" i="2"/>
  <c r="L102" i="2"/>
  <c r="K102" i="2"/>
  <c r="J102" i="2"/>
  <c r="I102" i="2"/>
  <c r="H102" i="2"/>
  <c r="G102" i="2"/>
  <c r="F102" i="2"/>
  <c r="D102" i="2"/>
  <c r="C102" i="2"/>
  <c r="Q101" i="2"/>
  <c r="P101" i="2"/>
  <c r="N101" i="2"/>
  <c r="M101" i="2"/>
  <c r="L101" i="2"/>
  <c r="K101" i="2"/>
  <c r="J101" i="2"/>
  <c r="I101" i="2"/>
  <c r="H101" i="2"/>
  <c r="G101" i="2"/>
  <c r="F101" i="2"/>
  <c r="D101" i="2"/>
  <c r="C101" i="2"/>
  <c r="Q100" i="2"/>
  <c r="P100" i="2"/>
  <c r="N100" i="2"/>
  <c r="M100" i="2"/>
  <c r="L100" i="2"/>
  <c r="K100" i="2"/>
  <c r="J100" i="2"/>
  <c r="I100" i="2"/>
  <c r="H100" i="2"/>
  <c r="G100" i="2"/>
  <c r="F100" i="2"/>
  <c r="D100" i="2"/>
  <c r="C100" i="2"/>
  <c r="Q99" i="2"/>
  <c r="P99" i="2"/>
  <c r="N99" i="2"/>
  <c r="M99" i="2"/>
  <c r="L99" i="2"/>
  <c r="K99" i="2"/>
  <c r="J99" i="2"/>
  <c r="I99" i="2"/>
  <c r="H99" i="2"/>
  <c r="G99" i="2"/>
  <c r="F99" i="2"/>
  <c r="D99" i="2"/>
  <c r="C99" i="2"/>
  <c r="Q98" i="2"/>
  <c r="P98" i="2"/>
  <c r="N98" i="2"/>
  <c r="M98" i="2"/>
  <c r="L98" i="2"/>
  <c r="K98" i="2"/>
  <c r="J98" i="2"/>
  <c r="I98" i="2"/>
  <c r="H98" i="2"/>
  <c r="G98" i="2"/>
  <c r="F98" i="2"/>
  <c r="D98" i="2"/>
  <c r="C98" i="2"/>
  <c r="Q97" i="2"/>
  <c r="P97" i="2"/>
  <c r="N97" i="2"/>
  <c r="M97" i="2"/>
  <c r="L97" i="2"/>
  <c r="K97" i="2"/>
  <c r="J97" i="2"/>
  <c r="I97" i="2"/>
  <c r="H97" i="2"/>
  <c r="G97" i="2"/>
  <c r="F97" i="2"/>
  <c r="D97" i="2"/>
  <c r="C97" i="2"/>
  <c r="Q96" i="2"/>
  <c r="P96" i="2"/>
  <c r="N96" i="2"/>
  <c r="M96" i="2"/>
  <c r="L96" i="2"/>
  <c r="K96" i="2"/>
  <c r="J96" i="2"/>
  <c r="I96" i="2"/>
  <c r="H96" i="2"/>
  <c r="G96" i="2"/>
  <c r="F96" i="2"/>
  <c r="D96" i="2"/>
  <c r="C96" i="2"/>
  <c r="Q95" i="2"/>
  <c r="P95" i="2"/>
  <c r="N95" i="2"/>
  <c r="M95" i="2"/>
  <c r="L95" i="2"/>
  <c r="K95" i="2"/>
  <c r="J95" i="2"/>
  <c r="I95" i="2"/>
  <c r="H95" i="2"/>
  <c r="G95" i="2"/>
  <c r="F95" i="2"/>
  <c r="D95" i="2"/>
  <c r="C95" i="2"/>
  <c r="Q94" i="2"/>
  <c r="P94" i="2"/>
  <c r="N94" i="2"/>
  <c r="M94" i="2"/>
  <c r="L94" i="2"/>
  <c r="K94" i="2"/>
  <c r="J94" i="2"/>
  <c r="I94" i="2"/>
  <c r="H94" i="2"/>
  <c r="G94" i="2"/>
  <c r="F94" i="2"/>
  <c r="D94" i="2"/>
  <c r="C94" i="2"/>
  <c r="Q93" i="2"/>
  <c r="P93" i="2"/>
  <c r="N93" i="2"/>
  <c r="M93" i="2"/>
  <c r="L93" i="2"/>
  <c r="K93" i="2"/>
  <c r="J93" i="2"/>
  <c r="I93" i="2"/>
  <c r="H93" i="2"/>
  <c r="G93" i="2"/>
  <c r="F93" i="2"/>
  <c r="D93" i="2"/>
  <c r="C93" i="2"/>
  <c r="Q92" i="2"/>
  <c r="P92" i="2"/>
  <c r="N92" i="2"/>
  <c r="M92" i="2"/>
  <c r="L92" i="2"/>
  <c r="K92" i="2"/>
  <c r="J92" i="2"/>
  <c r="I92" i="2"/>
  <c r="H92" i="2"/>
  <c r="G92" i="2"/>
  <c r="F92" i="2"/>
  <c r="D92" i="2"/>
  <c r="C92" i="2"/>
  <c r="Q91" i="2"/>
  <c r="P91" i="2"/>
  <c r="N91" i="2"/>
  <c r="M91" i="2"/>
  <c r="L91" i="2"/>
  <c r="K91" i="2"/>
  <c r="J91" i="2"/>
  <c r="I91" i="2"/>
  <c r="H91" i="2"/>
  <c r="G91" i="2"/>
  <c r="F91" i="2"/>
  <c r="D91" i="2"/>
  <c r="C91" i="2"/>
  <c r="Q90" i="2"/>
  <c r="P90" i="2"/>
  <c r="N90" i="2"/>
  <c r="M90" i="2"/>
  <c r="L90" i="2"/>
  <c r="K90" i="2"/>
  <c r="J90" i="2"/>
  <c r="I90" i="2"/>
  <c r="H90" i="2"/>
  <c r="G90" i="2"/>
  <c r="F90" i="2"/>
  <c r="D90" i="2"/>
  <c r="C90" i="2"/>
  <c r="Q89" i="2"/>
  <c r="P89" i="2"/>
  <c r="N89" i="2"/>
  <c r="M89" i="2"/>
  <c r="L89" i="2"/>
  <c r="K89" i="2"/>
  <c r="J89" i="2"/>
  <c r="I89" i="2"/>
  <c r="H89" i="2"/>
  <c r="G89" i="2"/>
  <c r="F89" i="2"/>
  <c r="D89" i="2"/>
  <c r="C89" i="2"/>
  <c r="Q88" i="2"/>
  <c r="P88" i="2"/>
  <c r="N88" i="2"/>
  <c r="M88" i="2"/>
  <c r="L88" i="2"/>
  <c r="K88" i="2"/>
  <c r="J88" i="2"/>
  <c r="I88" i="2"/>
  <c r="H88" i="2"/>
  <c r="G88" i="2"/>
  <c r="F88" i="2"/>
  <c r="D88" i="2"/>
  <c r="C88" i="2"/>
  <c r="Q87" i="2"/>
  <c r="P87" i="2"/>
  <c r="N87" i="2"/>
  <c r="M87" i="2"/>
  <c r="L87" i="2"/>
  <c r="K87" i="2"/>
  <c r="J87" i="2"/>
  <c r="I87" i="2"/>
  <c r="H87" i="2"/>
  <c r="G87" i="2"/>
  <c r="F87" i="2"/>
  <c r="D87" i="2"/>
  <c r="C87" i="2"/>
  <c r="Q86" i="2"/>
  <c r="P86" i="2"/>
  <c r="N86" i="2"/>
  <c r="M86" i="2"/>
  <c r="L86" i="2"/>
  <c r="K86" i="2"/>
  <c r="J86" i="2"/>
  <c r="I86" i="2"/>
  <c r="H86" i="2"/>
  <c r="G86" i="2"/>
  <c r="F86" i="2"/>
  <c r="D86" i="2"/>
  <c r="C86" i="2"/>
  <c r="Q85" i="2"/>
  <c r="P85" i="2"/>
  <c r="M85" i="2"/>
  <c r="L85" i="2"/>
  <c r="K85" i="2"/>
  <c r="I85" i="2"/>
  <c r="H85" i="2"/>
  <c r="G85" i="2"/>
  <c r="F85" i="2"/>
  <c r="D85" i="2"/>
  <c r="C85" i="2"/>
  <c r="Q84" i="2"/>
  <c r="P84" i="2"/>
  <c r="M84" i="2"/>
  <c r="L84" i="2"/>
  <c r="K84" i="2"/>
  <c r="I84" i="2"/>
  <c r="H84" i="2"/>
  <c r="G84" i="2"/>
  <c r="F84" i="2"/>
  <c r="D84" i="2"/>
  <c r="C84" i="2"/>
  <c r="Q83" i="2"/>
  <c r="P83" i="2"/>
  <c r="M83" i="2"/>
  <c r="L83" i="2"/>
  <c r="K83" i="2"/>
  <c r="I83" i="2"/>
  <c r="H83" i="2"/>
  <c r="G83" i="2"/>
  <c r="F83" i="2"/>
  <c r="D83" i="2"/>
  <c r="C83" i="2"/>
  <c r="Q82" i="2"/>
  <c r="P82" i="2"/>
  <c r="M82" i="2"/>
  <c r="L82" i="2"/>
  <c r="K82" i="2"/>
  <c r="I82" i="2"/>
  <c r="H82" i="2"/>
  <c r="G82" i="2"/>
  <c r="F82" i="2"/>
  <c r="D82" i="2"/>
  <c r="C82" i="2"/>
  <c r="Q81" i="2"/>
  <c r="P81" i="2"/>
  <c r="M81" i="2"/>
  <c r="L81" i="2"/>
  <c r="K81" i="2"/>
  <c r="I81" i="2"/>
  <c r="H81" i="2"/>
  <c r="G81" i="2"/>
  <c r="F81" i="2"/>
  <c r="D81" i="2"/>
  <c r="C81" i="2"/>
  <c r="Q80" i="2"/>
  <c r="P80" i="2"/>
  <c r="M80" i="2"/>
  <c r="L80" i="2"/>
  <c r="K80" i="2"/>
  <c r="I80" i="2"/>
  <c r="H80" i="2"/>
  <c r="G80" i="2"/>
  <c r="F80" i="2"/>
  <c r="D80" i="2"/>
  <c r="C80" i="2"/>
  <c r="Q79" i="2"/>
  <c r="P79" i="2"/>
  <c r="M79" i="2"/>
  <c r="L79" i="2"/>
  <c r="K79" i="2"/>
  <c r="I79" i="2"/>
  <c r="H79" i="2"/>
  <c r="G79" i="2"/>
  <c r="F79" i="2"/>
  <c r="D79" i="2"/>
  <c r="C79" i="2"/>
  <c r="Q78" i="2"/>
  <c r="P78" i="2"/>
  <c r="M78" i="2"/>
  <c r="L78" i="2"/>
  <c r="K78" i="2"/>
  <c r="I78" i="2"/>
  <c r="H78" i="2"/>
  <c r="G78" i="2"/>
  <c r="F78" i="2"/>
  <c r="D78" i="2"/>
  <c r="C78" i="2"/>
  <c r="Q77" i="2"/>
  <c r="P77" i="2"/>
  <c r="M77" i="2"/>
  <c r="L77" i="2"/>
  <c r="K77" i="2"/>
  <c r="I77" i="2"/>
  <c r="H77" i="2"/>
  <c r="G77" i="2"/>
  <c r="F77" i="2"/>
  <c r="D77" i="2"/>
  <c r="C77" i="2"/>
  <c r="Q76" i="2"/>
  <c r="P76" i="2"/>
  <c r="M76" i="2"/>
  <c r="L76" i="2"/>
  <c r="K76" i="2"/>
  <c r="I76" i="2"/>
  <c r="H76" i="2"/>
  <c r="G76" i="2"/>
  <c r="F76" i="2"/>
  <c r="D76" i="2"/>
  <c r="C76" i="2"/>
  <c r="Q75" i="2"/>
  <c r="P75" i="2"/>
  <c r="M75" i="2"/>
  <c r="L75" i="2"/>
  <c r="K75" i="2"/>
  <c r="I75" i="2"/>
  <c r="H75" i="2"/>
  <c r="G75" i="2"/>
  <c r="F75" i="2"/>
  <c r="D75" i="2"/>
  <c r="C75" i="2"/>
  <c r="Q74" i="2"/>
  <c r="P74" i="2"/>
  <c r="M74" i="2"/>
  <c r="L74" i="2"/>
  <c r="K74" i="2"/>
  <c r="I74" i="2"/>
  <c r="H74" i="2"/>
  <c r="G74" i="2"/>
  <c r="F74" i="2"/>
  <c r="D74" i="2"/>
  <c r="C74" i="2"/>
  <c r="Q73" i="2"/>
  <c r="P73" i="2"/>
  <c r="M73" i="2"/>
  <c r="L73" i="2"/>
  <c r="K73" i="2"/>
  <c r="I73" i="2"/>
  <c r="H73" i="2"/>
  <c r="G73" i="2"/>
  <c r="F73" i="2"/>
  <c r="D73" i="2"/>
  <c r="C73" i="2"/>
  <c r="Q72" i="2"/>
  <c r="P72" i="2"/>
  <c r="M72" i="2"/>
  <c r="L72" i="2"/>
  <c r="K72" i="2"/>
  <c r="I72" i="2"/>
  <c r="H72" i="2"/>
  <c r="G72" i="2"/>
  <c r="F72" i="2"/>
  <c r="D72" i="2"/>
  <c r="C72" i="2"/>
  <c r="Q71" i="2"/>
  <c r="P71" i="2"/>
  <c r="M71" i="2"/>
  <c r="L71" i="2"/>
  <c r="K71" i="2"/>
  <c r="I71" i="2"/>
  <c r="H71" i="2"/>
  <c r="G71" i="2"/>
  <c r="F71" i="2"/>
  <c r="D71" i="2"/>
  <c r="C71" i="2"/>
  <c r="Q70" i="2"/>
  <c r="P70" i="2"/>
  <c r="M70" i="2"/>
  <c r="L70" i="2"/>
  <c r="K70" i="2"/>
  <c r="I70" i="2"/>
  <c r="H70" i="2"/>
  <c r="G70" i="2"/>
  <c r="F70" i="2"/>
  <c r="D70" i="2"/>
  <c r="C70" i="2"/>
  <c r="Q69" i="2"/>
  <c r="P69" i="2"/>
  <c r="M69" i="2"/>
  <c r="L69" i="2"/>
  <c r="K69" i="2"/>
  <c r="I69" i="2"/>
  <c r="H69" i="2"/>
  <c r="G69" i="2"/>
  <c r="F69" i="2"/>
  <c r="D69" i="2"/>
  <c r="C69" i="2"/>
  <c r="Q68" i="2"/>
  <c r="P68" i="2"/>
  <c r="M68" i="2"/>
  <c r="L68" i="2"/>
  <c r="K68" i="2"/>
  <c r="I68" i="2"/>
  <c r="H68" i="2"/>
  <c r="G68" i="2"/>
  <c r="F68" i="2"/>
  <c r="D68" i="2"/>
  <c r="C68" i="2"/>
  <c r="Q67" i="2"/>
  <c r="P67" i="2"/>
  <c r="N67" i="2"/>
  <c r="M67" i="2"/>
  <c r="L67" i="2"/>
  <c r="K67" i="2"/>
  <c r="J67" i="2"/>
  <c r="I67" i="2"/>
  <c r="H67" i="2"/>
  <c r="G67" i="2"/>
  <c r="F67" i="2"/>
  <c r="D67" i="2"/>
  <c r="C67" i="2"/>
  <c r="Q66" i="2"/>
  <c r="P66" i="2"/>
  <c r="N66" i="2"/>
  <c r="M66" i="2"/>
  <c r="L66" i="2"/>
  <c r="K66" i="2"/>
  <c r="J66" i="2"/>
  <c r="I66" i="2"/>
  <c r="H66" i="2"/>
  <c r="G66" i="2"/>
  <c r="F66" i="2"/>
  <c r="D66" i="2"/>
  <c r="C66" i="2"/>
  <c r="Q65" i="2"/>
  <c r="P65" i="2"/>
  <c r="N65" i="2"/>
  <c r="M65" i="2"/>
  <c r="L65" i="2"/>
  <c r="K65" i="2"/>
  <c r="J65" i="2"/>
  <c r="I65" i="2"/>
  <c r="H65" i="2"/>
  <c r="G65" i="2"/>
  <c r="F65" i="2"/>
  <c r="D65" i="2"/>
  <c r="C65" i="2"/>
  <c r="Q64" i="2"/>
  <c r="P64" i="2"/>
  <c r="N64" i="2"/>
  <c r="M64" i="2"/>
  <c r="L64" i="2"/>
  <c r="K64" i="2"/>
  <c r="J64" i="2"/>
  <c r="I64" i="2"/>
  <c r="H64" i="2"/>
  <c r="G64" i="2"/>
  <c r="F64" i="2"/>
  <c r="D64" i="2"/>
  <c r="C64" i="2"/>
  <c r="Q63" i="2"/>
  <c r="P63" i="2"/>
  <c r="N63" i="2"/>
  <c r="M63" i="2"/>
  <c r="L63" i="2"/>
  <c r="K63" i="2"/>
  <c r="J63" i="2"/>
  <c r="I63" i="2"/>
  <c r="H63" i="2"/>
  <c r="G63" i="2"/>
  <c r="F63" i="2"/>
  <c r="D63" i="2"/>
  <c r="C63" i="2"/>
  <c r="Q62" i="2"/>
  <c r="P62" i="2"/>
  <c r="N62" i="2"/>
  <c r="M62" i="2"/>
  <c r="L62" i="2"/>
  <c r="K62" i="2"/>
  <c r="J62" i="2"/>
  <c r="I62" i="2"/>
  <c r="H62" i="2"/>
  <c r="G62" i="2"/>
  <c r="F62" i="2"/>
  <c r="D62" i="2"/>
  <c r="C62" i="2"/>
  <c r="Q61" i="2"/>
  <c r="P61" i="2"/>
  <c r="N61" i="2"/>
  <c r="M61" i="2"/>
  <c r="L61" i="2"/>
  <c r="K61" i="2"/>
  <c r="J61" i="2"/>
  <c r="I61" i="2"/>
  <c r="H61" i="2"/>
  <c r="G61" i="2"/>
  <c r="F61" i="2"/>
  <c r="D61" i="2"/>
  <c r="C61" i="2"/>
  <c r="Q60" i="2"/>
  <c r="P60" i="2"/>
  <c r="N60" i="2"/>
  <c r="M60" i="2"/>
  <c r="L60" i="2"/>
  <c r="K60" i="2"/>
  <c r="J60" i="2"/>
  <c r="I60" i="2"/>
  <c r="H60" i="2"/>
  <c r="G60" i="2"/>
  <c r="F60" i="2"/>
  <c r="D60" i="2"/>
  <c r="C60" i="2"/>
  <c r="Q59" i="2"/>
  <c r="P59" i="2"/>
  <c r="N59" i="2"/>
  <c r="M59" i="2"/>
  <c r="L59" i="2"/>
  <c r="K59" i="2"/>
  <c r="J59" i="2"/>
  <c r="I59" i="2"/>
  <c r="H59" i="2"/>
  <c r="G59" i="2"/>
  <c r="F59" i="2"/>
  <c r="D59" i="2"/>
  <c r="C59" i="2"/>
  <c r="Q58" i="2"/>
  <c r="P58" i="2"/>
  <c r="N58" i="2"/>
  <c r="M58" i="2"/>
  <c r="L58" i="2"/>
  <c r="K58" i="2"/>
  <c r="J58" i="2"/>
  <c r="I58" i="2"/>
  <c r="H58" i="2"/>
  <c r="G58" i="2"/>
  <c r="F58" i="2"/>
  <c r="D58" i="2"/>
  <c r="C58" i="2"/>
  <c r="Q57" i="2"/>
  <c r="P57" i="2"/>
  <c r="N57" i="2"/>
  <c r="M57" i="2"/>
  <c r="L57" i="2"/>
  <c r="K57" i="2"/>
  <c r="J57" i="2"/>
  <c r="I57" i="2"/>
  <c r="H57" i="2"/>
  <c r="G57" i="2"/>
  <c r="F57" i="2"/>
  <c r="D57" i="2"/>
  <c r="C57" i="2"/>
  <c r="Q56" i="2"/>
  <c r="P56" i="2"/>
  <c r="N56" i="2"/>
  <c r="M56" i="2"/>
  <c r="L56" i="2"/>
  <c r="K56" i="2"/>
  <c r="J56" i="2"/>
  <c r="I56" i="2"/>
  <c r="H56" i="2"/>
  <c r="G56" i="2"/>
  <c r="F56" i="2"/>
  <c r="D56" i="2"/>
  <c r="C56" i="2"/>
  <c r="Q55" i="2"/>
  <c r="P55" i="2"/>
  <c r="N55" i="2"/>
  <c r="M55" i="2"/>
  <c r="L55" i="2"/>
  <c r="K55" i="2"/>
  <c r="J55" i="2"/>
  <c r="I55" i="2"/>
  <c r="H55" i="2"/>
  <c r="G55" i="2"/>
  <c r="F55" i="2"/>
  <c r="D55" i="2"/>
  <c r="C55" i="2"/>
  <c r="Q54" i="2"/>
  <c r="P54" i="2"/>
  <c r="N54" i="2"/>
  <c r="M54" i="2"/>
  <c r="L54" i="2"/>
  <c r="K54" i="2"/>
  <c r="J54" i="2"/>
  <c r="I54" i="2"/>
  <c r="H54" i="2"/>
  <c r="G54" i="2"/>
  <c r="F54" i="2"/>
  <c r="D54" i="2"/>
  <c r="C54" i="2"/>
  <c r="Q53" i="2"/>
  <c r="P53" i="2"/>
  <c r="N53" i="2"/>
  <c r="M53" i="2"/>
  <c r="L53" i="2"/>
  <c r="K53" i="2"/>
  <c r="J53" i="2"/>
  <c r="I53" i="2"/>
  <c r="H53" i="2"/>
  <c r="G53" i="2"/>
  <c r="F53" i="2"/>
  <c r="D53" i="2"/>
  <c r="C53" i="2"/>
  <c r="Q52" i="2"/>
  <c r="P52" i="2"/>
  <c r="N52" i="2"/>
  <c r="M52" i="2"/>
  <c r="L52" i="2"/>
  <c r="K52" i="2"/>
  <c r="J52" i="2"/>
  <c r="I52" i="2"/>
  <c r="H52" i="2"/>
  <c r="G52" i="2"/>
  <c r="F52" i="2"/>
  <c r="D52" i="2"/>
  <c r="C52" i="2"/>
  <c r="Q51" i="2"/>
  <c r="P51" i="2"/>
  <c r="N51" i="2"/>
  <c r="M51" i="2"/>
  <c r="L51" i="2"/>
  <c r="K51" i="2"/>
  <c r="J51" i="2"/>
  <c r="I51" i="2"/>
  <c r="H51" i="2"/>
  <c r="G51" i="2"/>
  <c r="F51" i="2"/>
  <c r="D51" i="2"/>
  <c r="C51" i="2"/>
  <c r="Q50" i="2"/>
  <c r="P50" i="2"/>
  <c r="N50" i="2"/>
  <c r="M50" i="2"/>
  <c r="L50" i="2"/>
  <c r="K50" i="2"/>
  <c r="J50" i="2"/>
  <c r="I50" i="2"/>
  <c r="H50" i="2"/>
  <c r="G50" i="2"/>
  <c r="F50" i="2"/>
  <c r="D50" i="2"/>
  <c r="C50" i="2"/>
  <c r="Q49" i="2"/>
  <c r="P49" i="2"/>
  <c r="N49" i="2"/>
  <c r="M49" i="2"/>
  <c r="L49" i="2"/>
  <c r="K49" i="2"/>
  <c r="J49" i="2"/>
  <c r="I49" i="2"/>
  <c r="H49" i="2"/>
  <c r="G49" i="2"/>
  <c r="F49" i="2"/>
  <c r="D49" i="2"/>
  <c r="C49" i="2"/>
  <c r="Q48" i="2"/>
  <c r="P48" i="2"/>
  <c r="N48" i="2"/>
  <c r="M48" i="2"/>
  <c r="L48" i="2"/>
  <c r="K48" i="2"/>
  <c r="J48" i="2"/>
  <c r="I48" i="2"/>
  <c r="H48" i="2"/>
  <c r="G48" i="2"/>
  <c r="F48" i="2"/>
  <c r="D48" i="2"/>
  <c r="C48" i="2"/>
  <c r="Q47" i="2"/>
  <c r="P47" i="2"/>
  <c r="N47" i="2"/>
  <c r="M47" i="2"/>
  <c r="L47" i="2"/>
  <c r="K47" i="2"/>
  <c r="J47" i="2"/>
  <c r="I47" i="2"/>
  <c r="H47" i="2"/>
  <c r="G47" i="2"/>
  <c r="F47" i="2"/>
  <c r="D47" i="2"/>
  <c r="C47" i="2"/>
  <c r="Q46" i="2"/>
  <c r="P46" i="2"/>
  <c r="N46" i="2"/>
  <c r="M46" i="2"/>
  <c r="L46" i="2"/>
  <c r="K46" i="2"/>
  <c r="J46" i="2"/>
  <c r="I46" i="2"/>
  <c r="H46" i="2"/>
  <c r="G46" i="2"/>
  <c r="F46" i="2"/>
  <c r="D46" i="2"/>
  <c r="C46" i="2"/>
  <c r="Q45" i="2"/>
  <c r="P45" i="2"/>
  <c r="N45" i="2"/>
  <c r="M45" i="2"/>
  <c r="L45" i="2"/>
  <c r="K45" i="2"/>
  <c r="J45" i="2"/>
  <c r="I45" i="2"/>
  <c r="H45" i="2"/>
  <c r="G45" i="2"/>
  <c r="F45" i="2"/>
  <c r="D45" i="2"/>
  <c r="C45" i="2"/>
  <c r="Q44" i="2"/>
  <c r="P44" i="2"/>
  <c r="N44" i="2"/>
  <c r="M44" i="2"/>
  <c r="L44" i="2"/>
  <c r="K44" i="2"/>
  <c r="J44" i="2"/>
  <c r="I44" i="2"/>
  <c r="H44" i="2"/>
  <c r="G44" i="2"/>
  <c r="F44" i="2"/>
  <c r="D44" i="2"/>
  <c r="C44" i="2"/>
  <c r="Q43" i="2"/>
  <c r="P43" i="2"/>
  <c r="N43" i="2"/>
  <c r="M43" i="2"/>
  <c r="L43" i="2"/>
  <c r="K43" i="2"/>
  <c r="J43" i="2"/>
  <c r="I43" i="2"/>
  <c r="H43" i="2"/>
  <c r="G43" i="2"/>
  <c r="F43" i="2"/>
  <c r="D43" i="2"/>
  <c r="C43" i="2"/>
  <c r="Q42" i="2"/>
  <c r="P42" i="2"/>
  <c r="N42" i="2"/>
  <c r="M42" i="2"/>
  <c r="L42" i="2"/>
  <c r="K42" i="2"/>
  <c r="J42" i="2"/>
  <c r="I42" i="2"/>
  <c r="H42" i="2"/>
  <c r="G42" i="2"/>
  <c r="F42" i="2"/>
  <c r="D42" i="2"/>
  <c r="C42" i="2"/>
  <c r="Q41" i="2"/>
  <c r="P41" i="2"/>
  <c r="N41" i="2"/>
  <c r="M41" i="2"/>
  <c r="L41" i="2"/>
  <c r="K41" i="2"/>
  <c r="J41" i="2"/>
  <c r="I41" i="2"/>
  <c r="H41" i="2"/>
  <c r="G41" i="2"/>
  <c r="F41" i="2"/>
  <c r="D41" i="2"/>
  <c r="C41" i="2"/>
  <c r="Q40" i="2"/>
  <c r="P40" i="2"/>
  <c r="N40" i="2"/>
  <c r="M40" i="2"/>
  <c r="L40" i="2"/>
  <c r="K40" i="2"/>
  <c r="J40" i="2"/>
  <c r="I40" i="2"/>
  <c r="H40" i="2"/>
  <c r="G40" i="2"/>
  <c r="F40" i="2"/>
  <c r="D40" i="2"/>
  <c r="C40" i="2"/>
  <c r="Q39" i="2"/>
  <c r="P39" i="2"/>
  <c r="N39" i="2"/>
  <c r="M39" i="2"/>
  <c r="L39" i="2"/>
  <c r="K39" i="2"/>
  <c r="J39" i="2"/>
  <c r="I39" i="2"/>
  <c r="H39" i="2"/>
  <c r="G39" i="2"/>
  <c r="F39" i="2"/>
  <c r="D39" i="2"/>
  <c r="C39" i="2"/>
  <c r="Q38" i="2"/>
  <c r="P38" i="2"/>
  <c r="N38" i="2"/>
  <c r="M38" i="2"/>
  <c r="L38" i="2"/>
  <c r="K38" i="2"/>
  <c r="J38" i="2"/>
  <c r="I38" i="2"/>
  <c r="H38" i="2"/>
  <c r="G38" i="2"/>
  <c r="F38" i="2"/>
  <c r="D38" i="2"/>
  <c r="C38" i="2"/>
  <c r="Q37" i="2"/>
  <c r="P37" i="2"/>
  <c r="N37" i="2"/>
  <c r="M37" i="2"/>
  <c r="L37" i="2"/>
  <c r="K37" i="2"/>
  <c r="J37" i="2"/>
  <c r="I37" i="2"/>
  <c r="H37" i="2"/>
  <c r="G37" i="2"/>
  <c r="F37" i="2"/>
  <c r="D37" i="2"/>
  <c r="C37" i="2"/>
  <c r="Q36" i="2"/>
  <c r="P36" i="2"/>
  <c r="N36" i="2"/>
  <c r="M36" i="2"/>
  <c r="L36" i="2"/>
  <c r="K36" i="2"/>
  <c r="J36" i="2"/>
  <c r="I36" i="2"/>
  <c r="H36" i="2"/>
  <c r="G36" i="2"/>
  <c r="F36" i="2"/>
  <c r="D36" i="2"/>
  <c r="C36" i="2"/>
  <c r="Q35" i="2"/>
  <c r="P35" i="2"/>
  <c r="N35" i="2"/>
  <c r="M35" i="2"/>
  <c r="L35" i="2"/>
  <c r="K35" i="2"/>
  <c r="J35" i="2"/>
  <c r="I35" i="2"/>
  <c r="H35" i="2"/>
  <c r="G35" i="2"/>
  <c r="F35" i="2"/>
  <c r="D35" i="2"/>
  <c r="C35" i="2"/>
  <c r="Q34" i="2"/>
  <c r="P34" i="2"/>
  <c r="N34" i="2"/>
  <c r="M34" i="2"/>
  <c r="L34" i="2"/>
  <c r="K34" i="2"/>
  <c r="J34" i="2"/>
  <c r="I34" i="2"/>
  <c r="H34" i="2"/>
  <c r="G34" i="2"/>
  <c r="F34" i="2"/>
  <c r="D34" i="2"/>
  <c r="C34" i="2"/>
  <c r="Q33" i="2"/>
  <c r="P33" i="2"/>
  <c r="N33" i="2"/>
  <c r="M33" i="2"/>
  <c r="L33" i="2"/>
  <c r="K33" i="2"/>
  <c r="J33" i="2"/>
  <c r="I33" i="2"/>
  <c r="H33" i="2"/>
  <c r="G33" i="2"/>
  <c r="F33" i="2"/>
  <c r="D33" i="2"/>
  <c r="C33" i="2"/>
  <c r="Q32" i="2"/>
  <c r="P32" i="2"/>
  <c r="N32" i="2"/>
  <c r="M32" i="2"/>
  <c r="L32" i="2"/>
  <c r="K32" i="2"/>
  <c r="J32" i="2"/>
  <c r="I32" i="2"/>
  <c r="H32" i="2"/>
  <c r="G32" i="2"/>
  <c r="F32" i="2"/>
  <c r="D32" i="2"/>
  <c r="C32" i="2"/>
  <c r="Q31" i="2"/>
  <c r="P31" i="2"/>
  <c r="N31" i="2"/>
  <c r="M31" i="2"/>
  <c r="L31" i="2"/>
  <c r="K31" i="2"/>
  <c r="J31" i="2"/>
  <c r="I31" i="2"/>
  <c r="H31" i="2"/>
  <c r="G31" i="2"/>
  <c r="F31" i="2"/>
  <c r="D31" i="2"/>
  <c r="C31" i="2"/>
  <c r="Q30" i="2"/>
  <c r="P30" i="2"/>
  <c r="N30" i="2"/>
  <c r="M30" i="2"/>
  <c r="L30" i="2"/>
  <c r="K30" i="2"/>
  <c r="J30" i="2"/>
  <c r="I30" i="2"/>
  <c r="H30" i="2"/>
  <c r="G30" i="2"/>
  <c r="F30" i="2"/>
  <c r="D30" i="2"/>
  <c r="C30" i="2"/>
  <c r="Q29" i="2"/>
  <c r="P29" i="2"/>
  <c r="N29" i="2"/>
  <c r="M29" i="2"/>
  <c r="L29" i="2"/>
  <c r="K29" i="2"/>
  <c r="J29" i="2"/>
  <c r="I29" i="2"/>
  <c r="H29" i="2"/>
  <c r="G29" i="2"/>
  <c r="F29" i="2"/>
  <c r="D29" i="2"/>
  <c r="C29" i="2"/>
  <c r="Q28" i="2"/>
  <c r="P28" i="2"/>
  <c r="N28" i="2"/>
  <c r="M28" i="2"/>
  <c r="L28" i="2"/>
  <c r="K28" i="2"/>
  <c r="J28" i="2"/>
  <c r="I28" i="2"/>
  <c r="H28" i="2"/>
  <c r="G28" i="2"/>
  <c r="F28" i="2"/>
  <c r="D28" i="2"/>
  <c r="C28" i="2"/>
  <c r="Q27" i="2"/>
  <c r="P27" i="2"/>
  <c r="N27" i="2"/>
  <c r="M27" i="2"/>
  <c r="L27" i="2"/>
  <c r="K27" i="2"/>
  <c r="J27" i="2"/>
  <c r="I27" i="2"/>
  <c r="H27" i="2"/>
  <c r="G27" i="2"/>
  <c r="F27" i="2"/>
  <c r="D27" i="2"/>
  <c r="C27" i="2"/>
  <c r="Q26" i="2"/>
  <c r="P26" i="2"/>
  <c r="N26" i="2"/>
  <c r="M26" i="2"/>
  <c r="L26" i="2"/>
  <c r="K26" i="2"/>
  <c r="J26" i="2"/>
  <c r="I26" i="2"/>
  <c r="H26" i="2"/>
  <c r="G26" i="2"/>
  <c r="F26" i="2"/>
  <c r="D26" i="2"/>
  <c r="C26" i="2"/>
  <c r="Q25" i="2"/>
  <c r="P25" i="2"/>
  <c r="N25" i="2"/>
  <c r="M25" i="2"/>
  <c r="L25" i="2"/>
  <c r="K25" i="2"/>
  <c r="J25" i="2"/>
  <c r="I25" i="2"/>
  <c r="H25" i="2"/>
  <c r="G25" i="2"/>
  <c r="F25" i="2"/>
  <c r="D25" i="2"/>
  <c r="C25" i="2"/>
  <c r="Q24" i="2"/>
  <c r="P24" i="2"/>
  <c r="N24" i="2"/>
  <c r="M24" i="2"/>
  <c r="L24" i="2"/>
  <c r="K24" i="2"/>
  <c r="J24" i="2"/>
  <c r="I24" i="2"/>
  <c r="H24" i="2"/>
  <c r="G24" i="2"/>
  <c r="F24" i="2"/>
  <c r="D24" i="2"/>
  <c r="C24" i="2"/>
  <c r="Q23" i="2"/>
  <c r="P23" i="2"/>
  <c r="N23" i="2"/>
  <c r="M23" i="2"/>
  <c r="L23" i="2"/>
  <c r="K23" i="2"/>
  <c r="J23" i="2"/>
  <c r="I23" i="2"/>
  <c r="H23" i="2"/>
  <c r="G23" i="2"/>
  <c r="F23" i="2"/>
  <c r="D23" i="2"/>
  <c r="C23" i="2"/>
  <c r="Q22" i="2"/>
  <c r="P22" i="2"/>
  <c r="N22" i="2"/>
  <c r="M22" i="2"/>
  <c r="L22" i="2"/>
  <c r="K22" i="2"/>
  <c r="J22" i="2"/>
  <c r="I22" i="2"/>
  <c r="H22" i="2"/>
  <c r="G22" i="2"/>
  <c r="F22" i="2"/>
  <c r="D22" i="2"/>
  <c r="C22" i="2"/>
  <c r="Q21" i="2"/>
  <c r="P21" i="2"/>
  <c r="N21" i="2"/>
  <c r="M21" i="2"/>
  <c r="L21" i="2"/>
  <c r="K21" i="2"/>
  <c r="J21" i="2"/>
  <c r="I21" i="2"/>
  <c r="H21" i="2"/>
  <c r="G21" i="2"/>
  <c r="F21" i="2"/>
  <c r="D21" i="2"/>
  <c r="C21" i="2"/>
  <c r="Q20" i="2"/>
  <c r="P20" i="2"/>
  <c r="N20" i="2"/>
  <c r="M20" i="2"/>
  <c r="L20" i="2"/>
  <c r="K20" i="2"/>
  <c r="J20" i="2"/>
  <c r="I20" i="2"/>
  <c r="H20" i="2"/>
  <c r="G20" i="2"/>
  <c r="F20" i="2"/>
  <c r="D20" i="2"/>
  <c r="C20" i="2"/>
  <c r="Q19" i="2"/>
  <c r="P19" i="2"/>
  <c r="N19" i="2"/>
  <c r="M19" i="2"/>
  <c r="L19" i="2"/>
  <c r="K19" i="2"/>
  <c r="J19" i="2"/>
  <c r="I19" i="2"/>
  <c r="H19" i="2"/>
  <c r="G19" i="2"/>
  <c r="F19" i="2"/>
  <c r="D19" i="2"/>
  <c r="C19" i="2"/>
  <c r="Q18" i="2"/>
  <c r="P18" i="2"/>
  <c r="N18" i="2"/>
  <c r="M18" i="2"/>
  <c r="L18" i="2"/>
  <c r="K18" i="2"/>
  <c r="J18" i="2"/>
  <c r="I18" i="2"/>
  <c r="H18" i="2"/>
  <c r="G18" i="2"/>
  <c r="F18" i="2"/>
  <c r="D18" i="2"/>
  <c r="C18" i="2"/>
  <c r="Q17" i="2"/>
  <c r="P17" i="2"/>
  <c r="N17" i="2"/>
  <c r="M17" i="2"/>
  <c r="L17" i="2"/>
  <c r="K17" i="2"/>
  <c r="J17" i="2"/>
  <c r="I17" i="2"/>
  <c r="H17" i="2"/>
  <c r="G17" i="2"/>
  <c r="F17" i="2"/>
  <c r="D17" i="2"/>
  <c r="C17" i="2"/>
  <c r="Q16" i="2"/>
  <c r="P16" i="2"/>
  <c r="N16" i="2"/>
  <c r="M16" i="2"/>
  <c r="L16" i="2"/>
  <c r="K16" i="2"/>
  <c r="J16" i="2"/>
  <c r="I16" i="2"/>
  <c r="H16" i="2"/>
  <c r="G16" i="2"/>
  <c r="F16" i="2"/>
  <c r="D16" i="2"/>
  <c r="C16" i="2"/>
  <c r="Q15" i="2"/>
  <c r="P15" i="2"/>
  <c r="N15" i="2"/>
  <c r="M15" i="2"/>
  <c r="L15" i="2"/>
  <c r="K15" i="2"/>
  <c r="J15" i="2"/>
  <c r="I15" i="2"/>
  <c r="H15" i="2"/>
  <c r="G15" i="2"/>
  <c r="F15" i="2"/>
  <c r="D15" i="2"/>
  <c r="C15" i="2"/>
  <c r="Q14" i="2"/>
  <c r="P14" i="2"/>
  <c r="N14" i="2"/>
  <c r="M14" i="2"/>
  <c r="L14" i="2"/>
  <c r="K14" i="2"/>
  <c r="J14" i="2"/>
  <c r="I14" i="2"/>
  <c r="H14" i="2"/>
  <c r="G14" i="2"/>
  <c r="F14" i="2"/>
  <c r="D14" i="2"/>
  <c r="C14" i="2"/>
  <c r="Q13" i="2"/>
  <c r="P13" i="2"/>
  <c r="N13" i="2"/>
  <c r="M13" i="2"/>
  <c r="L13" i="2"/>
  <c r="K13" i="2"/>
  <c r="J13" i="2"/>
  <c r="I13" i="2"/>
  <c r="H13" i="2"/>
  <c r="G13" i="2"/>
  <c r="F13" i="2"/>
  <c r="D13" i="2"/>
  <c r="C13" i="2"/>
  <c r="Q12" i="2"/>
  <c r="P12" i="2"/>
  <c r="N12" i="2"/>
  <c r="M12" i="2"/>
  <c r="L12" i="2"/>
  <c r="K12" i="2"/>
  <c r="J12" i="2"/>
  <c r="I12" i="2"/>
  <c r="H12" i="2"/>
  <c r="G12" i="2"/>
  <c r="F12" i="2"/>
  <c r="D12" i="2"/>
  <c r="C12" i="2"/>
  <c r="Q11" i="2"/>
  <c r="P11" i="2"/>
  <c r="N11" i="2"/>
  <c r="M11" i="2"/>
  <c r="L11" i="2"/>
  <c r="K11" i="2"/>
  <c r="J11" i="2"/>
  <c r="I11" i="2"/>
  <c r="H11" i="2"/>
  <c r="G11" i="2"/>
  <c r="F11" i="2"/>
  <c r="D11" i="2"/>
  <c r="C11" i="2"/>
  <c r="Q10" i="2"/>
  <c r="P10" i="2"/>
  <c r="N10" i="2"/>
  <c r="M10" i="2"/>
  <c r="L10" i="2"/>
  <c r="K10" i="2"/>
  <c r="J10" i="2"/>
  <c r="I10" i="2"/>
  <c r="H10" i="2"/>
  <c r="G10" i="2"/>
  <c r="F10" i="2"/>
  <c r="D10" i="2"/>
  <c r="C10" i="2"/>
  <c r="Q9" i="2"/>
  <c r="P9" i="2"/>
  <c r="N9" i="2"/>
  <c r="M9" i="2"/>
  <c r="L9" i="2"/>
  <c r="K9" i="2"/>
  <c r="J9" i="2"/>
  <c r="I9" i="2"/>
  <c r="H9" i="2"/>
  <c r="G9" i="2"/>
  <c r="F9" i="2"/>
  <c r="D9" i="2"/>
  <c r="C9" i="2"/>
  <c r="Q8" i="2"/>
  <c r="P8" i="2"/>
  <c r="N8" i="2"/>
  <c r="M8" i="2"/>
  <c r="L8" i="2"/>
  <c r="K8" i="2"/>
  <c r="J8" i="2"/>
  <c r="I8" i="2"/>
  <c r="H8" i="2"/>
  <c r="G8" i="2"/>
  <c r="F8" i="2"/>
  <c r="D8" i="2"/>
  <c r="C8" i="2"/>
  <c r="Q7" i="2"/>
  <c r="P7" i="2"/>
  <c r="N7" i="2"/>
  <c r="M7" i="2"/>
  <c r="L7" i="2"/>
  <c r="K7" i="2"/>
  <c r="J7" i="2"/>
  <c r="I7" i="2"/>
  <c r="H7" i="2"/>
  <c r="G7" i="2"/>
  <c r="F7" i="2"/>
  <c r="D7" i="2"/>
  <c r="C7" i="2"/>
  <c r="Q6" i="2"/>
  <c r="P6" i="2"/>
  <c r="N6" i="2"/>
  <c r="M6" i="2"/>
  <c r="L6" i="2"/>
  <c r="K6" i="2"/>
  <c r="J6" i="2"/>
  <c r="I6" i="2"/>
  <c r="H6" i="2"/>
  <c r="G6" i="2"/>
  <c r="F6" i="2"/>
  <c r="D6" i="2"/>
  <c r="C6" i="2"/>
  <c r="Q5" i="2"/>
  <c r="P5" i="2"/>
  <c r="N5" i="2"/>
  <c r="M5" i="2"/>
  <c r="L5" i="2"/>
  <c r="K5" i="2"/>
  <c r="J5" i="2"/>
  <c r="I5" i="2"/>
  <c r="H5" i="2"/>
  <c r="G5" i="2"/>
  <c r="F5" i="2"/>
  <c r="D5" i="2"/>
  <c r="C5" i="2"/>
  <c r="Q4" i="2"/>
  <c r="P4" i="2"/>
  <c r="N4" i="2"/>
  <c r="M4" i="2"/>
  <c r="L4" i="2"/>
  <c r="K4" i="2"/>
  <c r="J4" i="2"/>
  <c r="I4" i="2"/>
  <c r="H4" i="2"/>
  <c r="G4" i="2"/>
  <c r="F4" i="2"/>
  <c r="D4" i="2"/>
  <c r="C4" i="2"/>
  <c r="Q3" i="2"/>
  <c r="P3" i="2"/>
  <c r="N3" i="2"/>
  <c r="M3" i="2"/>
  <c r="L3" i="2"/>
  <c r="K3" i="2"/>
  <c r="J3" i="2"/>
  <c r="I3" i="2"/>
  <c r="H3" i="2"/>
  <c r="G3" i="2"/>
  <c r="F3" i="2"/>
  <c r="D3" i="2"/>
  <c r="C3" i="2"/>
  <c r="N1025" i="1"/>
  <c r="N32" i="6" s="1"/>
  <c r="J1025" i="1"/>
  <c r="N1024" i="1"/>
  <c r="N31" i="6" s="1"/>
  <c r="J1024" i="1"/>
  <c r="N1023" i="1"/>
  <c r="J1023" i="1"/>
  <c r="J30" i="6" s="1"/>
  <c r="N1022" i="1"/>
  <c r="N29" i="6" s="1"/>
  <c r="J1022" i="1"/>
  <c r="N1021" i="1"/>
  <c r="N28" i="6" s="1"/>
  <c r="J1021" i="1"/>
  <c r="N1020" i="1"/>
  <c r="N27" i="6" s="1"/>
  <c r="J1020" i="1"/>
  <c r="N1019" i="1"/>
  <c r="N26" i="6" s="1"/>
  <c r="J1019" i="1"/>
  <c r="N1018" i="1"/>
  <c r="N25" i="6" s="1"/>
  <c r="J1018" i="1"/>
  <c r="N1017" i="1"/>
  <c r="N24" i="6" s="1"/>
  <c r="J1017" i="1"/>
  <c r="N1016" i="1"/>
  <c r="N23" i="6" s="1"/>
  <c r="J1016" i="1"/>
  <c r="N1015" i="1"/>
  <c r="N22" i="6" s="1"/>
  <c r="J1015" i="1"/>
  <c r="N1014" i="1"/>
  <c r="N21" i="6" s="1"/>
  <c r="J1014" i="1"/>
  <c r="O1013" i="1"/>
  <c r="N1013" i="1"/>
  <c r="N20" i="6" s="1"/>
  <c r="J1013" i="1"/>
  <c r="J20" i="6" s="1"/>
  <c r="N1012" i="1"/>
  <c r="N19" i="6" s="1"/>
  <c r="J1012" i="1"/>
  <c r="N1011" i="1"/>
  <c r="N18" i="6" s="1"/>
  <c r="J1011" i="1"/>
  <c r="N1010" i="1"/>
  <c r="N17" i="6" s="1"/>
  <c r="J1010" i="1"/>
  <c r="N1009" i="1"/>
  <c r="N16" i="6" s="1"/>
  <c r="J1009" i="1"/>
  <c r="N1008" i="1"/>
  <c r="N15" i="6" s="1"/>
  <c r="J1008" i="1"/>
  <c r="N1007" i="1"/>
  <c r="N14" i="6" s="1"/>
  <c r="J1007" i="1"/>
  <c r="N1006" i="1"/>
  <c r="N13" i="6" s="1"/>
  <c r="J1006" i="1"/>
  <c r="N1005" i="1"/>
  <c r="N12" i="6" s="1"/>
  <c r="J1005" i="1"/>
  <c r="N1004" i="1"/>
  <c r="N11" i="6" s="1"/>
  <c r="J1004" i="1"/>
  <c r="N1003" i="1"/>
  <c r="N10" i="6" s="1"/>
  <c r="J1003" i="1"/>
  <c r="N1002" i="1"/>
  <c r="N9" i="6" s="1"/>
  <c r="J1002" i="1"/>
  <c r="N1001" i="1"/>
  <c r="N8" i="6" s="1"/>
  <c r="J1001" i="1"/>
  <c r="N1000" i="1"/>
  <c r="N7" i="6" s="1"/>
  <c r="J1000" i="1"/>
  <c r="N999" i="1"/>
  <c r="N6" i="6" s="1"/>
  <c r="J999" i="1"/>
  <c r="N998" i="1"/>
  <c r="N5" i="6" s="1"/>
  <c r="J998" i="1"/>
  <c r="N997" i="1"/>
  <c r="N4" i="6" s="1"/>
  <c r="J997" i="1"/>
  <c r="N996" i="1"/>
  <c r="N3" i="6" s="1"/>
  <c r="J996" i="1"/>
  <c r="N994" i="1"/>
  <c r="N993" i="1"/>
  <c r="N992" i="1"/>
  <c r="J992" i="1"/>
  <c r="N991" i="1"/>
  <c r="N990" i="1"/>
  <c r="N358" i="5" s="1"/>
  <c r="J990" i="1"/>
  <c r="J989" i="1"/>
  <c r="N988" i="1"/>
  <c r="N357" i="5" s="1"/>
  <c r="J988" i="1"/>
  <c r="N987" i="1"/>
  <c r="N356" i="5" s="1"/>
  <c r="J987" i="1"/>
  <c r="N986" i="1"/>
  <c r="N356" i="3" s="1"/>
  <c r="J986" i="1"/>
  <c r="N985" i="1"/>
  <c r="N355" i="3" s="1"/>
  <c r="J985" i="1"/>
  <c r="N984" i="1"/>
  <c r="N354" i="3" s="1"/>
  <c r="J984" i="1"/>
  <c r="N983" i="1"/>
  <c r="N982" i="1"/>
  <c r="N353" i="3" s="1"/>
  <c r="J982" i="1"/>
  <c r="J981" i="1"/>
  <c r="N980" i="1"/>
  <c r="N354" i="5" s="1"/>
  <c r="J980" i="1"/>
  <c r="N979" i="1"/>
  <c r="N352" i="3" s="1"/>
  <c r="J979" i="1"/>
  <c r="N978" i="1"/>
  <c r="N351" i="3" s="1"/>
  <c r="J978" i="1"/>
  <c r="N977" i="1"/>
  <c r="N350" i="3" s="1"/>
  <c r="J977" i="1"/>
  <c r="N976" i="1"/>
  <c r="N139" i="4" s="1"/>
  <c r="J976" i="1"/>
  <c r="N975" i="1"/>
  <c r="N349" i="3" s="1"/>
  <c r="J975" i="1"/>
  <c r="N974" i="1"/>
  <c r="N348" i="3" s="1"/>
  <c r="J974" i="1"/>
  <c r="N973" i="1"/>
  <c r="N347" i="3" s="1"/>
  <c r="J973" i="1"/>
  <c r="N972" i="1"/>
  <c r="N353" i="5" s="1"/>
  <c r="J972" i="1"/>
  <c r="N971" i="1"/>
  <c r="N346" i="3" s="1"/>
  <c r="J971" i="1"/>
  <c r="N970" i="1"/>
  <c r="N345" i="3" s="1"/>
  <c r="J970" i="1"/>
  <c r="N969" i="1"/>
  <c r="N344" i="3" s="1"/>
  <c r="J969" i="1"/>
  <c r="N968" i="1"/>
  <c r="N352" i="5" s="1"/>
  <c r="J968" i="1"/>
  <c r="N967" i="1"/>
  <c r="N351" i="5" s="1"/>
  <c r="J967" i="1"/>
  <c r="N966" i="1"/>
  <c r="N141" i="2" s="1"/>
  <c r="J966" i="1"/>
  <c r="N965" i="1"/>
  <c r="N138" i="4" s="1"/>
  <c r="J965" i="1"/>
  <c r="N964" i="1"/>
  <c r="N350" i="5" s="1"/>
  <c r="J964" i="1"/>
  <c r="N963" i="1"/>
  <c r="N343" i="3" s="1"/>
  <c r="J963" i="1"/>
  <c r="N962" i="1"/>
  <c r="N342" i="3" s="1"/>
  <c r="J962" i="1"/>
  <c r="N961" i="1"/>
  <c r="N137" i="4" s="1"/>
  <c r="J961" i="1"/>
  <c r="N960" i="1"/>
  <c r="N349" i="5" s="1"/>
  <c r="J960" i="1"/>
  <c r="N959" i="1"/>
  <c r="N341" i="3" s="1"/>
  <c r="J959" i="1"/>
  <c r="N958" i="1"/>
  <c r="N136" i="4" s="1"/>
  <c r="J958" i="1"/>
  <c r="N957" i="1"/>
  <c r="N135" i="4" s="1"/>
  <c r="J957" i="1"/>
  <c r="N956" i="1"/>
  <c r="N134" i="4" s="1"/>
  <c r="J956" i="1"/>
  <c r="N955" i="1"/>
  <c r="N340" i="3" s="1"/>
  <c r="J955" i="1"/>
  <c r="N954" i="1"/>
  <c r="N133" i="4" s="1"/>
  <c r="J954" i="1"/>
  <c r="N953" i="1"/>
  <c r="N339" i="3" s="1"/>
  <c r="J953" i="1"/>
  <c r="N952" i="1"/>
  <c r="N338" i="3" s="1"/>
  <c r="J952" i="1"/>
  <c r="N951" i="1"/>
  <c r="N337" i="3" s="1"/>
  <c r="J951" i="1"/>
  <c r="N950" i="1"/>
  <c r="N348" i="5" s="1"/>
  <c r="J950" i="1"/>
  <c r="N949" i="1"/>
  <c r="N132" i="4" s="1"/>
  <c r="J949" i="1"/>
  <c r="N948" i="1"/>
  <c r="N336" i="3" s="1"/>
  <c r="J948" i="1"/>
  <c r="N947" i="1"/>
  <c r="N347" i="5" s="1"/>
  <c r="J947" i="1"/>
  <c r="N946" i="1"/>
  <c r="N346" i="5" s="1"/>
  <c r="J946" i="1"/>
  <c r="N945" i="1"/>
  <c r="N345" i="5" s="1"/>
  <c r="J945" i="1"/>
  <c r="N944" i="1"/>
  <c r="N344" i="5" s="1"/>
  <c r="J944" i="1"/>
  <c r="N943" i="1"/>
  <c r="N335" i="3" s="1"/>
  <c r="J943" i="1"/>
  <c r="N942" i="1"/>
  <c r="N343" i="5" s="1"/>
  <c r="J942" i="1"/>
  <c r="N941" i="1"/>
  <c r="N342" i="5" s="1"/>
  <c r="J941" i="1"/>
  <c r="N940" i="1"/>
  <c r="N341" i="5" s="1"/>
  <c r="J940" i="1"/>
  <c r="N939" i="1"/>
  <c r="N334" i="3" s="1"/>
  <c r="J939" i="1"/>
  <c r="N938" i="1"/>
  <c r="N140" i="2" s="1"/>
  <c r="J938" i="1"/>
  <c r="N937" i="1"/>
  <c r="N333" i="3" s="1"/>
  <c r="J937" i="1"/>
  <c r="N936" i="1"/>
  <c r="N332" i="3" s="1"/>
  <c r="J936" i="1"/>
  <c r="N935" i="1"/>
  <c r="N331" i="3" s="1"/>
  <c r="J935" i="1"/>
  <c r="N934" i="1"/>
  <c r="N330" i="3" s="1"/>
  <c r="J934" i="1"/>
  <c r="N933" i="1"/>
  <c r="N340" i="5" s="1"/>
  <c r="J933" i="1"/>
  <c r="N932" i="1"/>
  <c r="N339" i="5" s="1"/>
  <c r="J932" i="1"/>
  <c r="N931" i="1"/>
  <c r="N338" i="5" s="1"/>
  <c r="J931" i="1"/>
  <c r="N930" i="1"/>
  <c r="N337" i="5" s="1"/>
  <c r="J930" i="1"/>
  <c r="N929" i="1"/>
  <c r="N336" i="5" s="1"/>
  <c r="J929" i="1"/>
  <c r="N928" i="1"/>
  <c r="N131" i="4" s="1"/>
  <c r="J928" i="1"/>
  <c r="N927" i="1"/>
  <c r="N130" i="4" s="1"/>
  <c r="J927" i="1"/>
  <c r="N926" i="1"/>
  <c r="N139" i="2" s="1"/>
  <c r="J926" i="1"/>
  <c r="N925" i="1"/>
  <c r="N129" i="4" s="1"/>
  <c r="J925" i="1"/>
  <c r="N924" i="1"/>
  <c r="N138" i="2" s="1"/>
  <c r="J924" i="1"/>
  <c r="N923" i="1"/>
  <c r="N329" i="3" s="1"/>
  <c r="J923" i="1"/>
  <c r="O922" i="1"/>
  <c r="N922" i="1"/>
  <c r="N328" i="3" s="1"/>
  <c r="J922" i="1"/>
  <c r="J328" i="3" s="1"/>
  <c r="N921" i="1"/>
  <c r="N327" i="3" s="1"/>
  <c r="J921" i="1"/>
  <c r="N920" i="1"/>
  <c r="N326" i="3" s="1"/>
  <c r="J920" i="1"/>
  <c r="N919" i="1"/>
  <c r="N325" i="3" s="1"/>
  <c r="J919" i="1"/>
  <c r="N918" i="1"/>
  <c r="N324" i="3" s="1"/>
  <c r="J918" i="1"/>
  <c r="N917" i="1"/>
  <c r="N128" i="4" s="1"/>
  <c r="J917" i="1"/>
  <c r="N916" i="1"/>
  <c r="N323" i="3" s="1"/>
  <c r="J916" i="1"/>
  <c r="N915" i="1"/>
  <c r="N335" i="5" s="1"/>
  <c r="J915" i="1"/>
  <c r="N914" i="1"/>
  <c r="N322" i="3" s="1"/>
  <c r="J914" i="1"/>
  <c r="N913" i="1"/>
  <c r="N334" i="5" s="1"/>
  <c r="J913" i="1"/>
  <c r="N912" i="1"/>
  <c r="N321" i="3" s="1"/>
  <c r="J912" i="1"/>
  <c r="N911" i="1"/>
  <c r="N320" i="3" s="1"/>
  <c r="J911" i="1"/>
  <c r="N910" i="1"/>
  <c r="N137" i="2" s="1"/>
  <c r="J910" i="1"/>
  <c r="N909" i="1"/>
  <c r="N319" i="3" s="1"/>
  <c r="J909" i="1"/>
  <c r="N908" i="1"/>
  <c r="N318" i="3" s="1"/>
  <c r="J908" i="1"/>
  <c r="N907" i="1"/>
  <c r="N333" i="5" s="1"/>
  <c r="J907" i="1"/>
  <c r="N906" i="1"/>
  <c r="N317" i="3" s="1"/>
  <c r="J906" i="1"/>
  <c r="N905" i="1"/>
  <c r="N316" i="3" s="1"/>
  <c r="J905" i="1"/>
  <c r="N904" i="1"/>
  <c r="N332" i="5" s="1"/>
  <c r="J904" i="1"/>
  <c r="N903" i="1"/>
  <c r="N315" i="3" s="1"/>
  <c r="J903" i="1"/>
  <c r="N902" i="1"/>
  <c r="N331" i="5" s="1"/>
  <c r="J902" i="1"/>
  <c r="N901" i="1"/>
  <c r="N330" i="5" s="1"/>
  <c r="J901" i="1"/>
  <c r="N900" i="1"/>
  <c r="N329" i="5" s="1"/>
  <c r="J900" i="1"/>
  <c r="N899" i="1"/>
  <c r="N314" i="3" s="1"/>
  <c r="J899" i="1"/>
  <c r="N898" i="1"/>
  <c r="N328" i="5" s="1"/>
  <c r="J898" i="1"/>
  <c r="N897" i="1"/>
  <c r="N313" i="3" s="1"/>
  <c r="J897" i="1"/>
  <c r="N896" i="1"/>
  <c r="N127" i="4" s="1"/>
  <c r="J896" i="1"/>
  <c r="N895" i="1"/>
  <c r="N327" i="5" s="1"/>
  <c r="J895" i="1"/>
  <c r="N894" i="1"/>
  <c r="N326" i="5" s="1"/>
  <c r="J894" i="1"/>
  <c r="N893" i="1"/>
  <c r="N325" i="5" s="1"/>
  <c r="J893" i="1"/>
  <c r="N892" i="1"/>
  <c r="N312" i="3" s="1"/>
  <c r="J892" i="1"/>
  <c r="N891" i="1"/>
  <c r="N311" i="3" s="1"/>
  <c r="J891" i="1"/>
  <c r="N890" i="1"/>
  <c r="N310" i="3" s="1"/>
  <c r="J890" i="1"/>
  <c r="N889" i="1"/>
  <c r="N309" i="3" s="1"/>
  <c r="J889" i="1"/>
  <c r="O888" i="1"/>
  <c r="N888" i="1"/>
  <c r="N308" i="3" s="1"/>
  <c r="J888" i="1"/>
  <c r="J308" i="3" s="1"/>
  <c r="N887" i="1"/>
  <c r="N324" i="5" s="1"/>
  <c r="J887" i="1"/>
  <c r="N886" i="1"/>
  <c r="N126" i="4" s="1"/>
  <c r="J886" i="1"/>
  <c r="N885" i="1"/>
  <c r="N323" i="5" s="1"/>
  <c r="J885" i="1"/>
  <c r="N884" i="1"/>
  <c r="N307" i="3" s="1"/>
  <c r="J884" i="1"/>
  <c r="N883" i="1"/>
  <c r="N125" i="4" s="1"/>
  <c r="J883" i="1"/>
  <c r="N882" i="1"/>
  <c r="N322" i="5" s="1"/>
  <c r="J882" i="1"/>
  <c r="N881" i="1"/>
  <c r="N124" i="4" s="1"/>
  <c r="J881" i="1"/>
  <c r="N880" i="1"/>
  <c r="N321" i="5" s="1"/>
  <c r="J880" i="1"/>
  <c r="N879" i="1"/>
  <c r="N306" i="3" s="1"/>
  <c r="J879" i="1"/>
  <c r="N878" i="1"/>
  <c r="N320" i="5" s="1"/>
  <c r="J878" i="1"/>
  <c r="N877" i="1"/>
  <c r="N305" i="3" s="1"/>
  <c r="J877" i="1"/>
  <c r="N876" i="1"/>
  <c r="N319" i="5" s="1"/>
  <c r="J876" i="1"/>
  <c r="N875" i="1"/>
  <c r="N304" i="3" s="1"/>
  <c r="J875" i="1"/>
  <c r="N874" i="1"/>
  <c r="N123" i="4" s="1"/>
  <c r="J874" i="1"/>
  <c r="N873" i="1"/>
  <c r="N122" i="4" s="1"/>
  <c r="J873" i="1"/>
  <c r="N872" i="1"/>
  <c r="N318" i="5" s="1"/>
  <c r="J872" i="1"/>
  <c r="N871" i="1"/>
  <c r="N303" i="3" s="1"/>
  <c r="J871" i="1"/>
  <c r="N870" i="1"/>
  <c r="N317" i="5" s="1"/>
  <c r="J870" i="1"/>
  <c r="N869" i="1"/>
  <c r="N121" i="4" s="1"/>
  <c r="J869" i="1"/>
  <c r="N868" i="1"/>
  <c r="N316" i="5" s="1"/>
  <c r="J868" i="1"/>
  <c r="N867" i="1"/>
  <c r="N302" i="3" s="1"/>
  <c r="J867" i="1"/>
  <c r="N866" i="1"/>
  <c r="N301" i="3" s="1"/>
  <c r="J866" i="1"/>
  <c r="N865" i="1"/>
  <c r="N315" i="5" s="1"/>
  <c r="J865" i="1"/>
  <c r="N864" i="1"/>
  <c r="N314" i="5" s="1"/>
  <c r="J864" i="1"/>
  <c r="N863" i="1"/>
  <c r="N300" i="3" s="1"/>
  <c r="J863" i="1"/>
  <c r="N862" i="1"/>
  <c r="N299" i="3" s="1"/>
  <c r="J862" i="1"/>
  <c r="N861" i="1"/>
  <c r="N298" i="3" s="1"/>
  <c r="J861" i="1"/>
  <c r="N860" i="1"/>
  <c r="J860" i="1"/>
  <c r="O860" i="1" s="1"/>
  <c r="N859" i="1"/>
  <c r="J859" i="1"/>
  <c r="O859" i="1" s="1"/>
  <c r="N858" i="1"/>
  <c r="J858" i="1"/>
  <c r="O858" i="1" s="1"/>
  <c r="N857" i="1"/>
  <c r="N313" i="5" s="1"/>
  <c r="J857" i="1"/>
  <c r="N856" i="1"/>
  <c r="J856" i="1"/>
  <c r="O856" i="1" s="1"/>
  <c r="N855" i="1"/>
  <c r="N312" i="5" s="1"/>
  <c r="J855" i="1"/>
  <c r="N854" i="1"/>
  <c r="J854" i="1"/>
  <c r="O854" i="1" s="1"/>
  <c r="N853" i="1"/>
  <c r="N311" i="5" s="1"/>
  <c r="J853" i="1"/>
  <c r="N852" i="1"/>
  <c r="N310" i="5" s="1"/>
  <c r="J852" i="1"/>
  <c r="N851" i="1"/>
  <c r="N309" i="5" s="1"/>
  <c r="J851" i="1"/>
  <c r="N850" i="1"/>
  <c r="J850" i="1"/>
  <c r="O850" i="1" s="1"/>
  <c r="N849" i="1"/>
  <c r="J849" i="1"/>
  <c r="O849" i="1" s="1"/>
  <c r="N848" i="1"/>
  <c r="N120" i="4" s="1"/>
  <c r="J848" i="1"/>
  <c r="N847" i="1"/>
  <c r="N308" i="5" s="1"/>
  <c r="J847" i="1"/>
  <c r="N846" i="1"/>
  <c r="N307" i="5" s="1"/>
  <c r="J846" i="1"/>
  <c r="N845" i="1"/>
  <c r="N306" i="5" s="1"/>
  <c r="J845" i="1"/>
  <c r="N844" i="1"/>
  <c r="N305" i="5" s="1"/>
  <c r="J844" i="1"/>
  <c r="N843" i="1"/>
  <c r="J843" i="1"/>
  <c r="O843" i="1" s="1"/>
  <c r="N842" i="1"/>
  <c r="J842" i="1"/>
  <c r="O842" i="1" s="1"/>
  <c r="N841" i="1"/>
  <c r="N119" i="4" s="1"/>
  <c r="J841" i="1"/>
  <c r="N840" i="1"/>
  <c r="N304" i="5" s="1"/>
  <c r="J840" i="1"/>
  <c r="N839" i="1"/>
  <c r="J839" i="1"/>
  <c r="O839" i="1" s="1"/>
  <c r="N838" i="1"/>
  <c r="N118" i="4" s="1"/>
  <c r="J838" i="1"/>
  <c r="N837" i="1"/>
  <c r="N303" i="5" s="1"/>
  <c r="J837" i="1"/>
  <c r="N836" i="1"/>
  <c r="N302" i="5" s="1"/>
  <c r="J836" i="1"/>
  <c r="N835" i="1"/>
  <c r="N117" i="4" s="1"/>
  <c r="J835" i="1"/>
  <c r="N834" i="1"/>
  <c r="N301" i="5" s="1"/>
  <c r="J834" i="1"/>
  <c r="N833" i="1"/>
  <c r="N300" i="5" s="1"/>
  <c r="J833" i="1"/>
  <c r="N832" i="1"/>
  <c r="J832" i="1"/>
  <c r="O832" i="1" s="1"/>
  <c r="N831" i="1"/>
  <c r="N116" i="4" s="1"/>
  <c r="J831" i="1"/>
  <c r="N830" i="1"/>
  <c r="N299" i="5" s="1"/>
  <c r="J830" i="1"/>
  <c r="N829" i="1"/>
  <c r="J829" i="1"/>
  <c r="O829" i="1" s="1"/>
  <c r="N828" i="1"/>
  <c r="N298" i="5" s="1"/>
  <c r="J828" i="1"/>
  <c r="N827" i="1"/>
  <c r="N297" i="5" s="1"/>
  <c r="J827" i="1"/>
  <c r="N826" i="1"/>
  <c r="N296" i="5" s="1"/>
  <c r="J826" i="1"/>
  <c r="N825" i="1"/>
  <c r="J825" i="1"/>
  <c r="O825" i="1" s="1"/>
  <c r="N824" i="1"/>
  <c r="J824" i="1"/>
  <c r="O824" i="1" s="1"/>
  <c r="N823" i="1"/>
  <c r="J823" i="1"/>
  <c r="O823" i="1" s="1"/>
  <c r="N822" i="1"/>
  <c r="N295" i="5" s="1"/>
  <c r="J822" i="1"/>
  <c r="N821" i="1"/>
  <c r="N294" i="5" s="1"/>
  <c r="J821" i="1"/>
  <c r="N820" i="1"/>
  <c r="N115" i="4" s="1"/>
  <c r="J820" i="1"/>
  <c r="N819" i="1"/>
  <c r="J819" i="1"/>
  <c r="O819" i="1" s="1"/>
  <c r="N818" i="1"/>
  <c r="N293" i="5" s="1"/>
  <c r="J818" i="1"/>
  <c r="N817" i="1"/>
  <c r="J817" i="1"/>
  <c r="O817" i="1" s="1"/>
  <c r="N816" i="1"/>
  <c r="N114" i="4" s="1"/>
  <c r="J816" i="1"/>
  <c r="N815" i="1"/>
  <c r="J815" i="1"/>
  <c r="O815" i="1" s="1"/>
  <c r="N814" i="1"/>
  <c r="N292" i="5" s="1"/>
  <c r="J814" i="1"/>
  <c r="N813" i="1"/>
  <c r="J813" i="1"/>
  <c r="O813" i="1" s="1"/>
  <c r="N812" i="1"/>
  <c r="N291" i="5" s="1"/>
  <c r="J812" i="1"/>
  <c r="N811" i="1"/>
  <c r="N290" i="5" s="1"/>
  <c r="J811" i="1"/>
  <c r="N810" i="1"/>
  <c r="N289" i="5" s="1"/>
  <c r="J810" i="1"/>
  <c r="N809" i="1"/>
  <c r="J809" i="1"/>
  <c r="O809" i="1" s="1"/>
  <c r="N808" i="1"/>
  <c r="N288" i="5" s="1"/>
  <c r="J808" i="1"/>
  <c r="N807" i="1"/>
  <c r="N113" i="4" s="1"/>
  <c r="J807" i="1"/>
  <c r="N806" i="1"/>
  <c r="J806" i="1"/>
  <c r="O806" i="1" s="1"/>
  <c r="N805" i="1"/>
  <c r="N112" i="4" s="1"/>
  <c r="J805" i="1"/>
  <c r="N804" i="1"/>
  <c r="J804" i="1"/>
  <c r="O804" i="1" s="1"/>
  <c r="N803" i="1"/>
  <c r="N287" i="5" s="1"/>
  <c r="J803" i="1"/>
  <c r="N802" i="1"/>
  <c r="J802" i="1"/>
  <c r="O802" i="1" s="1"/>
  <c r="N801" i="1"/>
  <c r="N286" i="5" s="1"/>
  <c r="J801" i="1"/>
  <c r="N800" i="1"/>
  <c r="N285" i="5" s="1"/>
  <c r="J800" i="1"/>
  <c r="N799" i="1"/>
  <c r="J799" i="1"/>
  <c r="O799" i="1" s="1"/>
  <c r="N798" i="1"/>
  <c r="N284" i="5" s="1"/>
  <c r="J798" i="1"/>
  <c r="N797" i="1"/>
  <c r="J797" i="1"/>
  <c r="O797" i="1" s="1"/>
  <c r="N796" i="1"/>
  <c r="N283" i="5" s="1"/>
  <c r="J796" i="1"/>
  <c r="N795" i="1"/>
  <c r="N282" i="5" s="1"/>
  <c r="J795" i="1"/>
  <c r="N794" i="1"/>
  <c r="N111" i="4" s="1"/>
  <c r="J794" i="1"/>
  <c r="N793" i="1"/>
  <c r="J793" i="1"/>
  <c r="O793" i="1" s="1"/>
  <c r="N792" i="1"/>
  <c r="J792" i="1"/>
  <c r="O792" i="1" s="1"/>
  <c r="N791" i="1"/>
  <c r="N281" i="5" s="1"/>
  <c r="J791" i="1"/>
  <c r="N790" i="1"/>
  <c r="N280" i="5" s="1"/>
  <c r="J790" i="1"/>
  <c r="N789" i="1"/>
  <c r="J789" i="1"/>
  <c r="O789" i="1" s="1"/>
  <c r="N788" i="1"/>
  <c r="N279" i="5" s="1"/>
  <c r="J788" i="1"/>
  <c r="N787" i="1"/>
  <c r="J787" i="1"/>
  <c r="O787" i="1" s="1"/>
  <c r="N786" i="1"/>
  <c r="N278" i="5" s="1"/>
  <c r="J786" i="1"/>
  <c r="N785" i="1"/>
  <c r="N110" i="4" s="1"/>
  <c r="J785" i="1"/>
  <c r="O785" i="1" s="1"/>
  <c r="N784" i="1"/>
  <c r="N277" i="5" s="1"/>
  <c r="J784" i="1"/>
  <c r="N783" i="1"/>
  <c r="J783" i="1"/>
  <c r="O783" i="1" s="1"/>
  <c r="N782" i="1"/>
  <c r="N276" i="5" s="1"/>
  <c r="J782" i="1"/>
  <c r="N781" i="1"/>
  <c r="N275" i="5" s="1"/>
  <c r="J781" i="1"/>
  <c r="N780" i="1"/>
  <c r="J780" i="1"/>
  <c r="O780" i="1" s="1"/>
  <c r="N779" i="1"/>
  <c r="J779" i="1"/>
  <c r="O779" i="1" s="1"/>
  <c r="N778" i="1"/>
  <c r="N274" i="5" s="1"/>
  <c r="J778" i="1"/>
  <c r="N777" i="1"/>
  <c r="N273" i="5" s="1"/>
  <c r="J777" i="1"/>
  <c r="N776" i="1"/>
  <c r="N272" i="5" s="1"/>
  <c r="J776" i="1"/>
  <c r="N775" i="1"/>
  <c r="J775" i="1"/>
  <c r="O775" i="1" s="1"/>
  <c r="N774" i="1"/>
  <c r="N271" i="5" s="1"/>
  <c r="J774" i="1"/>
  <c r="N773" i="1"/>
  <c r="J773" i="1"/>
  <c r="O773" i="1" s="1"/>
  <c r="N772" i="1"/>
  <c r="J772" i="1"/>
  <c r="O772" i="1" s="1"/>
  <c r="N771" i="1"/>
  <c r="N270" i="5" s="1"/>
  <c r="J771" i="1"/>
  <c r="N770" i="1"/>
  <c r="J770" i="1"/>
  <c r="O770" i="1" s="1"/>
  <c r="N769" i="1"/>
  <c r="N269" i="5" s="1"/>
  <c r="J769" i="1"/>
  <c r="N768" i="1"/>
  <c r="N268" i="5" s="1"/>
  <c r="J768" i="1"/>
  <c r="N767" i="1"/>
  <c r="J767" i="1"/>
  <c r="O767" i="1" s="1"/>
  <c r="N766" i="1"/>
  <c r="N267" i="5" s="1"/>
  <c r="J766" i="1"/>
  <c r="N765" i="1"/>
  <c r="J765" i="1"/>
  <c r="O765" i="1" s="1"/>
  <c r="N764" i="1"/>
  <c r="N266" i="5" s="1"/>
  <c r="J764" i="1"/>
  <c r="N763" i="1"/>
  <c r="N265" i="5" s="1"/>
  <c r="J763" i="1"/>
  <c r="N762" i="1"/>
  <c r="J762" i="1"/>
  <c r="O762" i="1" s="1"/>
  <c r="N761" i="1"/>
  <c r="J761" i="1"/>
  <c r="O761" i="1" s="1"/>
  <c r="N760" i="1"/>
  <c r="N264" i="5" s="1"/>
  <c r="J760" i="1"/>
  <c r="N759" i="1"/>
  <c r="N263" i="5" s="1"/>
  <c r="J759" i="1"/>
  <c r="N758" i="1"/>
  <c r="J758" i="1"/>
  <c r="O758" i="1" s="1"/>
  <c r="N757" i="1"/>
  <c r="N262" i="5" s="1"/>
  <c r="J757" i="1"/>
  <c r="N756" i="1"/>
  <c r="J756" i="1"/>
  <c r="O756" i="1" s="1"/>
  <c r="N755" i="1"/>
  <c r="J755" i="1"/>
  <c r="O755" i="1" s="1"/>
  <c r="N754" i="1"/>
  <c r="J754" i="1"/>
  <c r="O754" i="1" s="1"/>
  <c r="N753" i="1"/>
  <c r="J753" i="1"/>
  <c r="O753" i="1" s="1"/>
  <c r="N752" i="1"/>
  <c r="N261" i="5" s="1"/>
  <c r="J752" i="1"/>
  <c r="N751" i="1"/>
  <c r="J751" i="1"/>
  <c r="O751" i="1" s="1"/>
  <c r="N750" i="1"/>
  <c r="N260" i="5" s="1"/>
  <c r="J750" i="1"/>
  <c r="N749" i="1"/>
  <c r="N259" i="5" s="1"/>
  <c r="J749" i="1"/>
  <c r="N748" i="1"/>
  <c r="N258" i="5" s="1"/>
  <c r="J748" i="1"/>
  <c r="N747" i="1"/>
  <c r="N257" i="5" s="1"/>
  <c r="J747" i="1"/>
  <c r="N746" i="1"/>
  <c r="N256" i="5" s="1"/>
  <c r="J746" i="1"/>
  <c r="N745" i="1"/>
  <c r="J745" i="1"/>
  <c r="O745" i="1" s="1"/>
  <c r="N744" i="1"/>
  <c r="J744" i="1"/>
  <c r="O744" i="1" s="1"/>
  <c r="N743" i="1"/>
  <c r="J743" i="1"/>
  <c r="O743" i="1" s="1"/>
  <c r="N742" i="1"/>
  <c r="N255" i="5" s="1"/>
  <c r="J742" i="1"/>
  <c r="N741" i="1"/>
  <c r="J741" i="1"/>
  <c r="O741" i="1" s="1"/>
  <c r="N740" i="1"/>
  <c r="N254" i="5" s="1"/>
  <c r="J740" i="1"/>
  <c r="N739" i="1"/>
  <c r="N253" i="5" s="1"/>
  <c r="J739" i="1"/>
  <c r="N738" i="1"/>
  <c r="J738" i="1"/>
  <c r="O738" i="1" s="1"/>
  <c r="N737" i="1"/>
  <c r="J737" i="1"/>
  <c r="O737" i="1" s="1"/>
  <c r="N736" i="1"/>
  <c r="N252" i="5" s="1"/>
  <c r="J736" i="1"/>
  <c r="N735" i="1"/>
  <c r="N251" i="5" s="1"/>
  <c r="J735" i="1"/>
  <c r="N734" i="1"/>
  <c r="J734" i="1"/>
  <c r="O734" i="1" s="1"/>
  <c r="N733" i="1"/>
  <c r="N250" i="5" s="1"/>
  <c r="J733" i="1"/>
  <c r="N732" i="1"/>
  <c r="N249" i="5" s="1"/>
  <c r="J732" i="1"/>
  <c r="N731" i="1"/>
  <c r="N248" i="5" s="1"/>
  <c r="J731" i="1"/>
  <c r="N730" i="1"/>
  <c r="J730" i="1"/>
  <c r="O730" i="1" s="1"/>
  <c r="N729" i="1"/>
  <c r="J729" i="1"/>
  <c r="O729" i="1" s="1"/>
  <c r="N728" i="1"/>
  <c r="N247" i="5" s="1"/>
  <c r="J728" i="1"/>
  <c r="N727" i="1"/>
  <c r="N246" i="5" s="1"/>
  <c r="J727" i="1"/>
  <c r="N726" i="1"/>
  <c r="J726" i="1"/>
  <c r="O726" i="1" s="1"/>
  <c r="N725" i="1"/>
  <c r="N245" i="5" s="1"/>
  <c r="J725" i="1"/>
  <c r="N724" i="1"/>
  <c r="J724" i="1"/>
  <c r="O724" i="1" s="1"/>
  <c r="N723" i="1"/>
  <c r="J723" i="1"/>
  <c r="O723" i="1" s="1"/>
  <c r="N722" i="1"/>
  <c r="J722" i="1"/>
  <c r="O722" i="1" s="1"/>
  <c r="N721" i="1"/>
  <c r="J721" i="1"/>
  <c r="O721" i="1" s="1"/>
  <c r="N720" i="1"/>
  <c r="N244" i="5" s="1"/>
  <c r="J720" i="1"/>
  <c r="N719" i="1"/>
  <c r="J719" i="1"/>
  <c r="O719" i="1" s="1"/>
  <c r="N718" i="1"/>
  <c r="N243" i="5" s="1"/>
  <c r="J718" i="1"/>
  <c r="N717" i="1"/>
  <c r="J717" i="1"/>
  <c r="O717" i="1" s="1"/>
  <c r="N716" i="1"/>
  <c r="J716" i="1"/>
  <c r="O716" i="1" s="1"/>
  <c r="N715" i="1"/>
  <c r="J715" i="1"/>
  <c r="O715" i="1" s="1"/>
  <c r="N714" i="1"/>
  <c r="N242" i="5" s="1"/>
  <c r="J714" i="1"/>
  <c r="N713" i="1"/>
  <c r="J713" i="1"/>
  <c r="O713" i="1" s="1"/>
  <c r="N712" i="1"/>
  <c r="J712" i="1"/>
  <c r="O712" i="1" s="1"/>
  <c r="N711" i="1"/>
  <c r="J711" i="1"/>
  <c r="O711" i="1" s="1"/>
  <c r="N710" i="1"/>
  <c r="J710" i="1"/>
  <c r="O710" i="1" s="1"/>
  <c r="N709" i="1"/>
  <c r="N241" i="5" s="1"/>
  <c r="J709" i="1"/>
  <c r="N708" i="1"/>
  <c r="J708" i="1"/>
  <c r="O708" i="1" s="1"/>
  <c r="N707" i="1"/>
  <c r="J707" i="1"/>
  <c r="O707" i="1" s="1"/>
  <c r="N706" i="1"/>
  <c r="N240" i="5" s="1"/>
  <c r="J706" i="1"/>
  <c r="N705" i="1"/>
  <c r="N239" i="5" s="1"/>
  <c r="J705" i="1"/>
  <c r="N704" i="1"/>
  <c r="N238" i="5" s="1"/>
  <c r="J704" i="1"/>
  <c r="N703" i="1"/>
  <c r="J703" i="1"/>
  <c r="O703" i="1" s="1"/>
  <c r="N702" i="1"/>
  <c r="N237" i="5" s="1"/>
  <c r="J702" i="1"/>
  <c r="N701" i="1"/>
  <c r="N236" i="5" s="1"/>
  <c r="J701" i="1"/>
  <c r="N700" i="1"/>
  <c r="N235" i="5" s="1"/>
  <c r="J700" i="1"/>
  <c r="N699" i="1"/>
  <c r="J699" i="1"/>
  <c r="O699" i="1" s="1"/>
  <c r="N698" i="1"/>
  <c r="N234" i="5" s="1"/>
  <c r="J698" i="1"/>
  <c r="N697" i="1"/>
  <c r="N233" i="5" s="1"/>
  <c r="J697" i="1"/>
  <c r="N696" i="1"/>
  <c r="N232" i="5" s="1"/>
  <c r="J696" i="1"/>
  <c r="N695" i="1"/>
  <c r="J695" i="1"/>
  <c r="O695" i="1" s="1"/>
  <c r="N694" i="1"/>
  <c r="J694" i="1"/>
  <c r="O694" i="1" s="1"/>
  <c r="N693" i="1"/>
  <c r="J693" i="1"/>
  <c r="O693" i="1" s="1"/>
  <c r="N692" i="1"/>
  <c r="N231" i="5" s="1"/>
  <c r="J692" i="1"/>
  <c r="N691" i="1"/>
  <c r="J691" i="1"/>
  <c r="O691" i="1" s="1"/>
  <c r="N690" i="1"/>
  <c r="J690" i="1"/>
  <c r="O690" i="1" s="1"/>
  <c r="N689" i="1"/>
  <c r="J689" i="1"/>
  <c r="O689" i="1" s="1"/>
  <c r="N688" i="1"/>
  <c r="J688" i="1"/>
  <c r="O688" i="1" s="1"/>
  <c r="N687" i="1"/>
  <c r="J687" i="1"/>
  <c r="O687" i="1" s="1"/>
  <c r="N686" i="1"/>
  <c r="J686" i="1"/>
  <c r="O686" i="1" s="1"/>
  <c r="N685" i="1"/>
  <c r="J685" i="1"/>
  <c r="O685" i="1" s="1"/>
  <c r="N684" i="1"/>
  <c r="J684" i="1"/>
  <c r="O684" i="1" s="1"/>
  <c r="N683" i="1"/>
  <c r="J683" i="1"/>
  <c r="O683" i="1" s="1"/>
  <c r="N682" i="1"/>
  <c r="J682" i="1"/>
  <c r="O682" i="1" s="1"/>
  <c r="N681" i="1"/>
  <c r="J681" i="1"/>
  <c r="O681" i="1" s="1"/>
  <c r="N680" i="1"/>
  <c r="J680" i="1"/>
  <c r="O680" i="1" s="1"/>
  <c r="N679" i="1"/>
  <c r="N230" i="5" s="1"/>
  <c r="J679" i="1"/>
  <c r="N678" i="1"/>
  <c r="J678" i="1"/>
  <c r="O678" i="1" s="1"/>
  <c r="N677" i="1"/>
  <c r="J677" i="1"/>
  <c r="O677" i="1" s="1"/>
  <c r="N676" i="1"/>
  <c r="J676" i="1"/>
  <c r="O676" i="1" s="1"/>
  <c r="N675" i="1"/>
  <c r="J675" i="1"/>
  <c r="O675" i="1" s="1"/>
  <c r="N674" i="1"/>
  <c r="N229" i="5" s="1"/>
  <c r="J674" i="1"/>
  <c r="N673" i="1"/>
  <c r="J673" i="1"/>
  <c r="O673" i="1" s="1"/>
  <c r="N672" i="1"/>
  <c r="J672" i="1"/>
  <c r="O672" i="1" s="1"/>
  <c r="N671" i="1"/>
  <c r="J671" i="1"/>
  <c r="O671" i="1" s="1"/>
  <c r="N670" i="1"/>
  <c r="J670" i="1"/>
  <c r="O670" i="1" s="1"/>
  <c r="N669" i="1"/>
  <c r="N228" i="5" s="1"/>
  <c r="J669" i="1"/>
  <c r="N668" i="1"/>
  <c r="J668" i="1"/>
  <c r="O668" i="1" s="1"/>
  <c r="N667" i="1"/>
  <c r="N227" i="5" s="1"/>
  <c r="J667" i="1"/>
  <c r="N666" i="1"/>
  <c r="N226" i="5" s="1"/>
  <c r="J666" i="1"/>
  <c r="N665" i="1"/>
  <c r="N225" i="5" s="1"/>
  <c r="J665" i="1"/>
  <c r="N664" i="1"/>
  <c r="N224" i="5" s="1"/>
  <c r="J664" i="1"/>
  <c r="N663" i="1"/>
  <c r="N223" i="5" s="1"/>
  <c r="J663" i="1"/>
  <c r="N662" i="1"/>
  <c r="J662" i="1"/>
  <c r="O662" i="1" s="1"/>
  <c r="N661" i="1"/>
  <c r="J661" i="1"/>
  <c r="O661" i="1" s="1"/>
  <c r="N660" i="1"/>
  <c r="N222" i="5" s="1"/>
  <c r="J660" i="1"/>
  <c r="N659" i="1"/>
  <c r="J659" i="1"/>
  <c r="O659" i="1" s="1"/>
  <c r="N658" i="1"/>
  <c r="J658" i="1"/>
  <c r="O658" i="1" s="1"/>
  <c r="N657" i="1"/>
  <c r="J657" i="1"/>
  <c r="O657" i="1" s="1"/>
  <c r="N656" i="1"/>
  <c r="J656" i="1"/>
  <c r="O656" i="1" s="1"/>
  <c r="N655" i="1"/>
  <c r="N221" i="5" s="1"/>
  <c r="J655" i="1"/>
  <c r="N654" i="1"/>
  <c r="N220" i="5" s="1"/>
  <c r="J654" i="1"/>
  <c r="N653" i="1"/>
  <c r="N219" i="5" s="1"/>
  <c r="J653" i="1"/>
  <c r="N652" i="1"/>
  <c r="J652" i="1"/>
  <c r="O652" i="1" s="1"/>
  <c r="N651" i="1"/>
  <c r="J651" i="1"/>
  <c r="O651" i="1" s="1"/>
  <c r="N650" i="1"/>
  <c r="J650" i="1"/>
  <c r="O650" i="1" s="1"/>
  <c r="N649" i="1"/>
  <c r="J649" i="1"/>
  <c r="O649" i="1" s="1"/>
  <c r="N648" i="1"/>
  <c r="J648" i="1"/>
  <c r="O648" i="1" s="1"/>
  <c r="N647" i="1"/>
  <c r="N218" i="5" s="1"/>
  <c r="J647" i="1"/>
  <c r="N646" i="1"/>
  <c r="J646" i="1"/>
  <c r="O646" i="1" s="1"/>
  <c r="N645" i="1"/>
  <c r="J645" i="1"/>
  <c r="O645" i="1" s="1"/>
  <c r="N644" i="1"/>
  <c r="J644" i="1"/>
  <c r="O644" i="1" s="1"/>
  <c r="N643" i="1"/>
  <c r="J643" i="1"/>
  <c r="O643" i="1" s="1"/>
  <c r="N642" i="1"/>
  <c r="N217" i="5" s="1"/>
  <c r="J642" i="1"/>
  <c r="N641" i="1"/>
  <c r="J641" i="1"/>
  <c r="O641" i="1" s="1"/>
  <c r="N640" i="1"/>
  <c r="N216" i="5" s="1"/>
  <c r="J640" i="1"/>
  <c r="N639" i="1"/>
  <c r="N215" i="5" s="1"/>
  <c r="J639" i="1"/>
  <c r="N638" i="1"/>
  <c r="J638" i="1"/>
  <c r="O638" i="1" s="1"/>
  <c r="N637" i="1"/>
  <c r="N214" i="5" s="1"/>
  <c r="J637" i="1"/>
  <c r="N636" i="1"/>
  <c r="J636" i="1"/>
  <c r="O636" i="1" s="1"/>
  <c r="N635" i="1"/>
  <c r="J635" i="1"/>
  <c r="O635" i="1" s="1"/>
  <c r="N634" i="1"/>
  <c r="N213" i="5" s="1"/>
  <c r="J634" i="1"/>
  <c r="N633" i="1"/>
  <c r="J633" i="1"/>
  <c r="O633" i="1" s="1"/>
  <c r="N632" i="1"/>
  <c r="N212" i="5" s="1"/>
  <c r="J632" i="1"/>
  <c r="N631" i="1"/>
  <c r="J631" i="1"/>
  <c r="O631" i="1" s="1"/>
  <c r="N630" i="1"/>
  <c r="J630" i="1"/>
  <c r="O630" i="1" s="1"/>
  <c r="N629" i="1"/>
  <c r="N211" i="5" s="1"/>
  <c r="J629" i="1"/>
  <c r="N628" i="1"/>
  <c r="J628" i="1"/>
  <c r="O628" i="1" s="1"/>
  <c r="N627" i="1"/>
  <c r="J627" i="1"/>
  <c r="O627" i="1" s="1"/>
  <c r="N626" i="1"/>
  <c r="N210" i="5" s="1"/>
  <c r="J626" i="1"/>
  <c r="N625" i="1"/>
  <c r="N209" i="5" s="1"/>
  <c r="J625" i="1"/>
  <c r="N624" i="1"/>
  <c r="N208" i="5" s="1"/>
  <c r="J624" i="1"/>
  <c r="N623" i="1"/>
  <c r="J623" i="1"/>
  <c r="O623" i="1" s="1"/>
  <c r="N622" i="1"/>
  <c r="J622" i="1"/>
  <c r="O622" i="1" s="1"/>
  <c r="N621" i="1"/>
  <c r="N207" i="5" s="1"/>
  <c r="J621" i="1"/>
  <c r="N620" i="1"/>
  <c r="J620" i="1"/>
  <c r="O620" i="1" s="1"/>
  <c r="N619" i="1"/>
  <c r="N213" i="3" s="1"/>
  <c r="J619" i="1"/>
  <c r="N618" i="1"/>
  <c r="N212" i="3" s="1"/>
  <c r="J618" i="1"/>
  <c r="N617" i="1"/>
  <c r="N206" i="5" s="1"/>
  <c r="J617" i="1"/>
  <c r="N616" i="1"/>
  <c r="J616" i="1"/>
  <c r="O616" i="1" s="1"/>
  <c r="N615" i="1"/>
  <c r="N211" i="3" s="1"/>
  <c r="J615" i="1"/>
  <c r="N614" i="1"/>
  <c r="N205" i="5" s="1"/>
  <c r="J614" i="1"/>
  <c r="N613" i="1"/>
  <c r="N204" i="5" s="1"/>
  <c r="J613" i="1"/>
  <c r="N612" i="1"/>
  <c r="J612" i="1"/>
  <c r="O612" i="1" s="1"/>
  <c r="N611" i="1"/>
  <c r="N203" i="5" s="1"/>
  <c r="J611" i="1"/>
  <c r="N610" i="1"/>
  <c r="N202" i="5" s="1"/>
  <c r="J610" i="1"/>
  <c r="N609" i="1"/>
  <c r="N210" i="3" s="1"/>
  <c r="J609" i="1"/>
  <c r="N608" i="1"/>
  <c r="J608" i="1"/>
  <c r="O608" i="1" s="1"/>
  <c r="N607" i="1"/>
  <c r="N201" i="5" s="1"/>
  <c r="J607" i="1"/>
  <c r="N606" i="1"/>
  <c r="J606" i="1"/>
  <c r="O606" i="1" s="1"/>
  <c r="N605" i="1"/>
  <c r="N209" i="3" s="1"/>
  <c r="J605" i="1"/>
  <c r="N604" i="1"/>
  <c r="J604" i="1"/>
  <c r="O604" i="1" s="1"/>
  <c r="N603" i="1"/>
  <c r="N208" i="3" s="1"/>
  <c r="J603" i="1"/>
  <c r="N602" i="1"/>
  <c r="N200" i="5" s="1"/>
  <c r="J602" i="1"/>
  <c r="N601" i="1"/>
  <c r="N199" i="5" s="1"/>
  <c r="J601" i="1"/>
  <c r="N600" i="1"/>
  <c r="N207" i="3" s="1"/>
  <c r="J600" i="1"/>
  <c r="N599" i="1"/>
  <c r="N198" i="5" s="1"/>
  <c r="J599" i="1"/>
  <c r="N598" i="1"/>
  <c r="N206" i="3" s="1"/>
  <c r="J598" i="1"/>
  <c r="N597" i="1"/>
  <c r="N205" i="3" s="1"/>
  <c r="J597" i="1"/>
  <c r="N596" i="1"/>
  <c r="N204" i="3" s="1"/>
  <c r="J596" i="1"/>
  <c r="N595" i="1"/>
  <c r="J595" i="1"/>
  <c r="O595" i="1" s="1"/>
  <c r="N594" i="1"/>
  <c r="N203" i="3" s="1"/>
  <c r="J594" i="1"/>
  <c r="N593" i="1"/>
  <c r="J593" i="1"/>
  <c r="O593" i="1" s="1"/>
  <c r="N592" i="1"/>
  <c r="N197" i="5" s="1"/>
  <c r="J592" i="1"/>
  <c r="N591" i="1"/>
  <c r="N202" i="3" s="1"/>
  <c r="J591" i="1"/>
  <c r="N590" i="1"/>
  <c r="N196" i="5" s="1"/>
  <c r="J590" i="1"/>
  <c r="N589" i="1"/>
  <c r="J589" i="1"/>
  <c r="O589" i="1" s="1"/>
  <c r="N588" i="1"/>
  <c r="N201" i="3" s="1"/>
  <c r="J588" i="1"/>
  <c r="N587" i="1"/>
  <c r="J587" i="1"/>
  <c r="O587" i="1" s="1"/>
  <c r="N586" i="1"/>
  <c r="N200" i="3" s="1"/>
  <c r="J586" i="1"/>
  <c r="N585" i="1"/>
  <c r="N195" i="5" s="1"/>
  <c r="J585" i="1"/>
  <c r="N584" i="1"/>
  <c r="N194" i="5" s="1"/>
  <c r="J584" i="1"/>
  <c r="N583" i="1"/>
  <c r="N199" i="3" s="1"/>
  <c r="J583" i="1"/>
  <c r="N582" i="1"/>
  <c r="N198" i="3" s="1"/>
  <c r="J582" i="1"/>
  <c r="N581" i="1"/>
  <c r="N193" i="5" s="1"/>
  <c r="J581" i="1"/>
  <c r="N580" i="1"/>
  <c r="J580" i="1"/>
  <c r="O580" i="1" s="1"/>
  <c r="N579" i="1"/>
  <c r="N197" i="3" s="1"/>
  <c r="J579" i="1"/>
  <c r="N578" i="1"/>
  <c r="N196" i="3" s="1"/>
  <c r="J578" i="1"/>
  <c r="N577" i="1"/>
  <c r="N195" i="3" s="1"/>
  <c r="J577" i="1"/>
  <c r="N576" i="1"/>
  <c r="J576" i="1"/>
  <c r="O576" i="1" s="1"/>
  <c r="N575" i="1"/>
  <c r="N192" i="5" s="1"/>
  <c r="J575" i="1"/>
  <c r="N574" i="1"/>
  <c r="J574" i="1"/>
  <c r="O574" i="1" s="1"/>
  <c r="N573" i="1"/>
  <c r="J573" i="1"/>
  <c r="O573" i="1" s="1"/>
  <c r="N572" i="1"/>
  <c r="N191" i="5" s="1"/>
  <c r="J572" i="1"/>
  <c r="N571" i="1"/>
  <c r="N194" i="3" s="1"/>
  <c r="J571" i="1"/>
  <c r="N570" i="1"/>
  <c r="N190" i="5" s="1"/>
  <c r="J570" i="1"/>
  <c r="N569" i="1"/>
  <c r="N193" i="3" s="1"/>
  <c r="J569" i="1"/>
  <c r="N568" i="1"/>
  <c r="N189" i="5" s="1"/>
  <c r="J568" i="1"/>
  <c r="N567" i="1"/>
  <c r="J567" i="1"/>
  <c r="O567" i="1" s="1"/>
  <c r="N566" i="1"/>
  <c r="N192" i="3" s="1"/>
  <c r="J566" i="1"/>
  <c r="N565" i="1"/>
  <c r="N188" i="5" s="1"/>
  <c r="J565" i="1"/>
  <c r="N564" i="1"/>
  <c r="N187" i="5" s="1"/>
  <c r="J564" i="1"/>
  <c r="N563" i="1"/>
  <c r="N191" i="3" s="1"/>
  <c r="J563" i="1"/>
  <c r="N562" i="1"/>
  <c r="J562" i="1"/>
  <c r="O562" i="1" s="1"/>
  <c r="N561" i="1"/>
  <c r="N190" i="3" s="1"/>
  <c r="J561" i="1"/>
  <c r="N560" i="1"/>
  <c r="N186" i="5" s="1"/>
  <c r="J560" i="1"/>
  <c r="N559" i="1"/>
  <c r="J559" i="1"/>
  <c r="O559" i="1" s="1"/>
  <c r="N558" i="1"/>
  <c r="N185" i="5" s="1"/>
  <c r="J558" i="1"/>
  <c r="N557" i="1"/>
  <c r="N184" i="5" s="1"/>
  <c r="J557" i="1"/>
  <c r="N556" i="1"/>
  <c r="N183" i="5" s="1"/>
  <c r="J556" i="1"/>
  <c r="N555" i="1"/>
  <c r="N182" i="5" s="1"/>
  <c r="J555" i="1"/>
  <c r="N554" i="1"/>
  <c r="N181" i="5" s="1"/>
  <c r="J554" i="1"/>
  <c r="N553" i="1"/>
  <c r="J553" i="1"/>
  <c r="O553" i="1" s="1"/>
  <c r="N552" i="1"/>
  <c r="N189" i="3" s="1"/>
  <c r="J552" i="1"/>
  <c r="N551" i="1"/>
  <c r="N180" i="5" s="1"/>
  <c r="J551" i="1"/>
  <c r="N550" i="1"/>
  <c r="N188" i="3" s="1"/>
  <c r="J550" i="1"/>
  <c r="N549" i="1"/>
  <c r="N179" i="5" s="1"/>
  <c r="J549" i="1"/>
  <c r="N548" i="1"/>
  <c r="J548" i="1"/>
  <c r="O548" i="1" s="1"/>
  <c r="N547" i="1"/>
  <c r="J547" i="1"/>
  <c r="O547" i="1" s="1"/>
  <c r="N546" i="1"/>
  <c r="N187" i="3" s="1"/>
  <c r="J546" i="1"/>
  <c r="N545" i="1"/>
  <c r="J545" i="1"/>
  <c r="O545" i="1" s="1"/>
  <c r="N544" i="1"/>
  <c r="J544" i="1"/>
  <c r="O544" i="1" s="1"/>
  <c r="N543" i="1"/>
  <c r="N178" i="5" s="1"/>
  <c r="J543" i="1"/>
  <c r="N542" i="1"/>
  <c r="J542" i="1"/>
  <c r="O542" i="1" s="1"/>
  <c r="N541" i="1"/>
  <c r="N186" i="3" s="1"/>
  <c r="J541" i="1"/>
  <c r="N540" i="1"/>
  <c r="N177" i="5" s="1"/>
  <c r="J540" i="1"/>
  <c r="N539" i="1"/>
  <c r="J539" i="1"/>
  <c r="O539" i="1" s="1"/>
  <c r="N538" i="1"/>
  <c r="J538" i="1"/>
  <c r="O538" i="1" s="1"/>
  <c r="N537" i="1"/>
  <c r="N176" i="5" s="1"/>
  <c r="J537" i="1"/>
  <c r="N536" i="1"/>
  <c r="J536" i="1"/>
  <c r="O536" i="1" s="1"/>
  <c r="N535" i="1"/>
  <c r="N185" i="3" s="1"/>
  <c r="J535" i="1"/>
  <c r="N534" i="1"/>
  <c r="J534" i="1"/>
  <c r="O534" i="1" s="1"/>
  <c r="N533" i="1"/>
  <c r="N175" i="5" s="1"/>
  <c r="J533" i="1"/>
  <c r="N532" i="1"/>
  <c r="N174" i="5" s="1"/>
  <c r="J532" i="1"/>
  <c r="N531" i="1"/>
  <c r="J531" i="1"/>
  <c r="O531" i="1" s="1"/>
  <c r="N530" i="1"/>
  <c r="N173" i="5" s="1"/>
  <c r="J530" i="1"/>
  <c r="N529" i="1"/>
  <c r="J529" i="1"/>
  <c r="O529" i="1" s="1"/>
  <c r="N528" i="1"/>
  <c r="N184" i="3" s="1"/>
  <c r="J528" i="1"/>
  <c r="N527" i="1"/>
  <c r="N172" i="5" s="1"/>
  <c r="J527" i="1"/>
  <c r="N526" i="1"/>
  <c r="N183" i="3" s="1"/>
  <c r="J526" i="1"/>
  <c r="N525" i="1"/>
  <c r="N182" i="3" s="1"/>
  <c r="J525" i="1"/>
  <c r="N524" i="1"/>
  <c r="J524" i="1"/>
  <c r="O524" i="1" s="1"/>
  <c r="N523" i="1"/>
  <c r="J523" i="1"/>
  <c r="O523" i="1" s="1"/>
  <c r="N522" i="1"/>
  <c r="N171" i="5" s="1"/>
  <c r="J522" i="1"/>
  <c r="N521" i="1"/>
  <c r="N170" i="5" s="1"/>
  <c r="J521" i="1"/>
  <c r="N520" i="1"/>
  <c r="N181" i="3" s="1"/>
  <c r="J520" i="1"/>
  <c r="N519" i="1"/>
  <c r="N169" i="5" s="1"/>
  <c r="J519" i="1"/>
  <c r="N518" i="1"/>
  <c r="J518" i="1"/>
  <c r="O518" i="1" s="1"/>
  <c r="N517" i="1"/>
  <c r="N168" i="5" s="1"/>
  <c r="J517" i="1"/>
  <c r="N516" i="1"/>
  <c r="N167" i="5" s="1"/>
  <c r="J516" i="1"/>
  <c r="N515" i="1"/>
  <c r="N166" i="5" s="1"/>
  <c r="J515" i="1"/>
  <c r="N514" i="1"/>
  <c r="N180" i="3" s="1"/>
  <c r="J514" i="1"/>
  <c r="N513" i="1"/>
  <c r="N165" i="5" s="1"/>
  <c r="J513" i="1"/>
  <c r="N512" i="1"/>
  <c r="N179" i="3" s="1"/>
  <c r="J512" i="1"/>
  <c r="N511" i="1"/>
  <c r="N178" i="3" s="1"/>
  <c r="J511" i="1"/>
  <c r="N510" i="1"/>
  <c r="N177" i="3" s="1"/>
  <c r="J510" i="1"/>
  <c r="N509" i="1"/>
  <c r="N176" i="3" s="1"/>
  <c r="J509" i="1"/>
  <c r="N508" i="1"/>
  <c r="N175" i="3" s="1"/>
  <c r="J508" i="1"/>
  <c r="N507" i="1"/>
  <c r="N164" i="5" s="1"/>
  <c r="J507" i="1"/>
  <c r="N506" i="1"/>
  <c r="N163" i="5" s="1"/>
  <c r="J506" i="1"/>
  <c r="N505" i="1"/>
  <c r="N174" i="3" s="1"/>
  <c r="J505" i="1"/>
  <c r="N504" i="1"/>
  <c r="N173" i="3" s="1"/>
  <c r="J504" i="1"/>
  <c r="N503" i="1"/>
  <c r="J503" i="1"/>
  <c r="O503" i="1" s="1"/>
  <c r="N502" i="1"/>
  <c r="J502" i="1"/>
  <c r="O502" i="1" s="1"/>
  <c r="N501" i="1"/>
  <c r="J501" i="1"/>
  <c r="O501" i="1" s="1"/>
  <c r="N500" i="1"/>
  <c r="N172" i="3" s="1"/>
  <c r="J500" i="1"/>
  <c r="N499" i="1"/>
  <c r="N162" i="5" s="1"/>
  <c r="J499" i="1"/>
  <c r="N498" i="1"/>
  <c r="N171" i="3" s="1"/>
  <c r="J498" i="1"/>
  <c r="N497" i="1"/>
  <c r="N161" i="5" s="1"/>
  <c r="J497" i="1"/>
  <c r="N496" i="1"/>
  <c r="N160" i="5" s="1"/>
  <c r="J496" i="1"/>
  <c r="N495" i="1"/>
  <c r="N159" i="5" s="1"/>
  <c r="J495" i="1"/>
  <c r="N494" i="1"/>
  <c r="N158" i="5" s="1"/>
  <c r="J494" i="1"/>
  <c r="N493" i="1"/>
  <c r="N170" i="3" s="1"/>
  <c r="J493" i="1"/>
  <c r="N492" i="1"/>
  <c r="N157" i="5" s="1"/>
  <c r="J492" i="1"/>
  <c r="N491" i="1"/>
  <c r="J491" i="1"/>
  <c r="O491" i="1" s="1"/>
  <c r="N490" i="1"/>
  <c r="N169" i="3" s="1"/>
  <c r="J490" i="1"/>
  <c r="N489" i="1"/>
  <c r="N156" i="5" s="1"/>
  <c r="J489" i="1"/>
  <c r="N488" i="1"/>
  <c r="N155" i="5" s="1"/>
  <c r="J488" i="1"/>
  <c r="N487" i="1"/>
  <c r="N154" i="5" s="1"/>
  <c r="J487" i="1"/>
  <c r="N486" i="1"/>
  <c r="N168" i="3" s="1"/>
  <c r="J486" i="1"/>
  <c r="N485" i="1"/>
  <c r="J485" i="1"/>
  <c r="O485" i="1" s="1"/>
  <c r="N484" i="1"/>
  <c r="N153" i="5" s="1"/>
  <c r="J484" i="1"/>
  <c r="N483" i="1"/>
  <c r="N152" i="5" s="1"/>
  <c r="J483" i="1"/>
  <c r="N482" i="1"/>
  <c r="N167" i="3" s="1"/>
  <c r="J482" i="1"/>
  <c r="N481" i="1"/>
  <c r="N166" i="3" s="1"/>
  <c r="J481" i="1"/>
  <c r="N480" i="1"/>
  <c r="N151" i="5" s="1"/>
  <c r="J480" i="1"/>
  <c r="N479" i="1"/>
  <c r="J479" i="1"/>
  <c r="O479" i="1" s="1"/>
  <c r="N478" i="1"/>
  <c r="N165" i="3" s="1"/>
  <c r="J478" i="1"/>
  <c r="N477" i="1"/>
  <c r="N164" i="3" s="1"/>
  <c r="J477" i="1"/>
  <c r="N476" i="1"/>
  <c r="N163" i="3" s="1"/>
  <c r="J476" i="1"/>
  <c r="N475" i="1"/>
  <c r="N150" i="5" s="1"/>
  <c r="J475" i="1"/>
  <c r="N474" i="1"/>
  <c r="J474" i="1"/>
  <c r="O474" i="1" s="1"/>
  <c r="N473" i="1"/>
  <c r="N149" i="5" s="1"/>
  <c r="J473" i="1"/>
  <c r="N472" i="1"/>
  <c r="N148" i="5" s="1"/>
  <c r="J472" i="1"/>
  <c r="N471" i="1"/>
  <c r="J471" i="1"/>
  <c r="O471" i="1" s="1"/>
  <c r="N470" i="1"/>
  <c r="N147" i="5" s="1"/>
  <c r="J470" i="1"/>
  <c r="N469" i="1"/>
  <c r="N146" i="5" s="1"/>
  <c r="J469" i="1"/>
  <c r="N468" i="1"/>
  <c r="J468" i="1"/>
  <c r="O468" i="1" s="1"/>
  <c r="N467" i="1"/>
  <c r="N162" i="3" s="1"/>
  <c r="J467" i="1"/>
  <c r="N466" i="1"/>
  <c r="J466" i="1"/>
  <c r="O466" i="1" s="1"/>
  <c r="N465" i="1"/>
  <c r="N145" i="5" s="1"/>
  <c r="J465" i="1"/>
  <c r="N464" i="1"/>
  <c r="J464" i="1"/>
  <c r="O464" i="1" s="1"/>
  <c r="N463" i="1"/>
  <c r="N144" i="5" s="1"/>
  <c r="J463" i="1"/>
  <c r="N462" i="1"/>
  <c r="N143" i="5" s="1"/>
  <c r="J462" i="1"/>
  <c r="N461" i="1"/>
  <c r="J461" i="1"/>
  <c r="O461" i="1" s="1"/>
  <c r="N460" i="1"/>
  <c r="N161" i="3" s="1"/>
  <c r="J460" i="1"/>
  <c r="N459" i="1"/>
  <c r="N160" i="3" s="1"/>
  <c r="J459" i="1"/>
  <c r="N458" i="1"/>
  <c r="J458" i="1"/>
  <c r="O458" i="1" s="1"/>
  <c r="N457" i="1"/>
  <c r="N159" i="3" s="1"/>
  <c r="J457" i="1"/>
  <c r="N456" i="1"/>
  <c r="N158" i="3" s="1"/>
  <c r="J456" i="1"/>
  <c r="N455" i="1"/>
  <c r="N157" i="3" s="1"/>
  <c r="J455" i="1"/>
  <c r="N454" i="1"/>
  <c r="N142" i="5" s="1"/>
  <c r="J454" i="1"/>
  <c r="N453" i="1"/>
  <c r="J453" i="1"/>
  <c r="O453" i="1" s="1"/>
  <c r="N452" i="1"/>
  <c r="N141" i="5" s="1"/>
  <c r="J452" i="1"/>
  <c r="N451" i="1"/>
  <c r="N140" i="5" s="1"/>
  <c r="J451" i="1"/>
  <c r="N450" i="1"/>
  <c r="N156" i="3" s="1"/>
  <c r="J450" i="1"/>
  <c r="N449" i="1"/>
  <c r="N139" i="5" s="1"/>
  <c r="J449" i="1"/>
  <c r="N448" i="1"/>
  <c r="N155" i="3" s="1"/>
  <c r="J448" i="1"/>
  <c r="N447" i="1"/>
  <c r="N154" i="3" s="1"/>
  <c r="J447" i="1"/>
  <c r="N446" i="1"/>
  <c r="N153" i="3" s="1"/>
  <c r="J446" i="1"/>
  <c r="N445" i="1"/>
  <c r="N138" i="5" s="1"/>
  <c r="J445" i="1"/>
  <c r="N444" i="1"/>
  <c r="N152" i="3" s="1"/>
  <c r="J444" i="1"/>
  <c r="N443" i="1"/>
  <c r="N137" i="5" s="1"/>
  <c r="J443" i="1"/>
  <c r="N442" i="1"/>
  <c r="J442" i="1"/>
  <c r="O442" i="1" s="1"/>
  <c r="N441" i="1"/>
  <c r="N151" i="3" s="1"/>
  <c r="J441" i="1"/>
  <c r="N440" i="1"/>
  <c r="N150" i="3" s="1"/>
  <c r="J440" i="1"/>
  <c r="N439" i="1"/>
  <c r="N136" i="5" s="1"/>
  <c r="J439" i="1"/>
  <c r="N438" i="1"/>
  <c r="N135" i="5" s="1"/>
  <c r="J438" i="1"/>
  <c r="N437" i="1"/>
  <c r="N149" i="3" s="1"/>
  <c r="J437" i="1"/>
  <c r="N436" i="1"/>
  <c r="N134" i="5" s="1"/>
  <c r="J436" i="1"/>
  <c r="N435" i="1"/>
  <c r="N148" i="3" s="1"/>
  <c r="J435" i="1"/>
  <c r="O435" i="1" s="1"/>
  <c r="N434" i="1"/>
  <c r="N133" i="5" s="1"/>
  <c r="J434" i="1"/>
  <c r="N433" i="1"/>
  <c r="N132" i="5" s="1"/>
  <c r="J433" i="1"/>
  <c r="N432" i="1"/>
  <c r="J432" i="1"/>
  <c r="O432" i="1" s="1"/>
  <c r="N431" i="1"/>
  <c r="J431" i="1"/>
  <c r="O431" i="1" s="1"/>
  <c r="N430" i="1"/>
  <c r="J430" i="1"/>
  <c r="O430" i="1" s="1"/>
  <c r="N429" i="1"/>
  <c r="J429" i="1"/>
  <c r="O429" i="1" s="1"/>
  <c r="N428" i="1"/>
  <c r="N131" i="5" s="1"/>
  <c r="J428" i="1"/>
  <c r="N427" i="1"/>
  <c r="N130" i="5" s="1"/>
  <c r="J427" i="1"/>
  <c r="N426" i="1"/>
  <c r="J426" i="1"/>
  <c r="O426" i="1" s="1"/>
  <c r="N425" i="1"/>
  <c r="J425" i="1"/>
  <c r="O425" i="1" s="1"/>
  <c r="N424" i="1"/>
  <c r="N129" i="5" s="1"/>
  <c r="J424" i="1"/>
  <c r="N423" i="1"/>
  <c r="N128" i="5" s="1"/>
  <c r="J423" i="1"/>
  <c r="N422" i="1"/>
  <c r="J422" i="1"/>
  <c r="O422" i="1" s="1"/>
  <c r="N421" i="1"/>
  <c r="J421" i="1"/>
  <c r="O421" i="1" s="1"/>
  <c r="N420" i="1"/>
  <c r="J420" i="1"/>
  <c r="O420" i="1" s="1"/>
  <c r="N419" i="1"/>
  <c r="N127" i="5" s="1"/>
  <c r="J419" i="1"/>
  <c r="N418" i="1"/>
  <c r="J418" i="1"/>
  <c r="O418" i="1" s="1"/>
  <c r="N417" i="1"/>
  <c r="J417" i="1"/>
  <c r="O417" i="1" s="1"/>
  <c r="N416" i="1"/>
  <c r="J416" i="1"/>
  <c r="O416" i="1" s="1"/>
  <c r="N415" i="1"/>
  <c r="J415" i="1"/>
  <c r="O415" i="1" s="1"/>
  <c r="N414" i="1"/>
  <c r="N126" i="5" s="1"/>
  <c r="J414" i="1"/>
  <c r="N413" i="1"/>
  <c r="N125" i="5" s="1"/>
  <c r="J413" i="1"/>
  <c r="N412" i="1"/>
  <c r="J412" i="1"/>
  <c r="O412" i="1" s="1"/>
  <c r="N411" i="1"/>
  <c r="N124" i="5" s="1"/>
  <c r="J411" i="1"/>
  <c r="N410" i="1"/>
  <c r="N123" i="5" s="1"/>
  <c r="J410" i="1"/>
  <c r="N409" i="1"/>
  <c r="J409" i="1"/>
  <c r="O409" i="1" s="1"/>
  <c r="N408" i="1"/>
  <c r="N122" i="5" s="1"/>
  <c r="J408" i="1"/>
  <c r="N407" i="1"/>
  <c r="J407" i="1"/>
  <c r="O407" i="1" s="1"/>
  <c r="N406" i="1"/>
  <c r="J406" i="1"/>
  <c r="O406" i="1" s="1"/>
  <c r="N405" i="1"/>
  <c r="N121" i="5" s="1"/>
  <c r="J405" i="1"/>
  <c r="N404" i="1"/>
  <c r="J404" i="1"/>
  <c r="O404" i="1" s="1"/>
  <c r="N403" i="1"/>
  <c r="N120" i="5" s="1"/>
  <c r="J403" i="1"/>
  <c r="N402" i="1"/>
  <c r="J402" i="1"/>
  <c r="O402" i="1" s="1"/>
  <c r="N401" i="1"/>
  <c r="J401" i="1"/>
  <c r="O401" i="1" s="1"/>
  <c r="N400" i="1"/>
  <c r="N119" i="5" s="1"/>
  <c r="J400" i="1"/>
  <c r="N399" i="1"/>
  <c r="J399" i="1"/>
  <c r="O399" i="1" s="1"/>
  <c r="N398" i="1"/>
  <c r="J398" i="1"/>
  <c r="O398" i="1" s="1"/>
  <c r="N397" i="1"/>
  <c r="J397" i="1"/>
  <c r="O397" i="1" s="1"/>
  <c r="N396" i="1"/>
  <c r="J396" i="1"/>
  <c r="O396" i="1" s="1"/>
  <c r="N395" i="1"/>
  <c r="J395" i="1"/>
  <c r="O395" i="1" s="1"/>
  <c r="N394" i="1"/>
  <c r="N118" i="5" s="1"/>
  <c r="J394" i="1"/>
  <c r="N393" i="1"/>
  <c r="J393" i="1"/>
  <c r="O393" i="1" s="1"/>
  <c r="N392" i="1"/>
  <c r="J392" i="1"/>
  <c r="O392" i="1" s="1"/>
  <c r="N391" i="1"/>
  <c r="N117" i="5" s="1"/>
  <c r="J391" i="1"/>
  <c r="N390" i="1"/>
  <c r="J390" i="1"/>
  <c r="O390" i="1" s="1"/>
  <c r="N389" i="1"/>
  <c r="N116" i="5" s="1"/>
  <c r="J389" i="1"/>
  <c r="N388" i="1"/>
  <c r="J388" i="1"/>
  <c r="O388" i="1" s="1"/>
  <c r="N387" i="1"/>
  <c r="N115" i="5" s="1"/>
  <c r="J387" i="1"/>
  <c r="N386" i="1"/>
  <c r="J386" i="1"/>
  <c r="O386" i="1" s="1"/>
  <c r="N385" i="1"/>
  <c r="N114" i="5" s="1"/>
  <c r="J385" i="1"/>
  <c r="N384" i="1"/>
  <c r="J384" i="1"/>
  <c r="O384" i="1" s="1"/>
  <c r="N383" i="1"/>
  <c r="N113" i="5" s="1"/>
  <c r="J383" i="1"/>
  <c r="N382" i="1"/>
  <c r="J382" i="1"/>
  <c r="O382" i="1" s="1"/>
  <c r="N381" i="1"/>
  <c r="J381" i="1"/>
  <c r="O381" i="1" s="1"/>
  <c r="N380" i="1"/>
  <c r="J380" i="1"/>
  <c r="O380" i="1" s="1"/>
  <c r="N379" i="1"/>
  <c r="J379" i="1"/>
  <c r="O379" i="1" s="1"/>
  <c r="N378" i="1"/>
  <c r="N85" i="2" s="1"/>
  <c r="J378" i="1"/>
  <c r="N377" i="1"/>
  <c r="J377" i="1"/>
  <c r="O377" i="1" s="1"/>
  <c r="N376" i="1"/>
  <c r="N112" i="5" s="1"/>
  <c r="J376" i="1"/>
  <c r="N375" i="1"/>
  <c r="N111" i="5" s="1"/>
  <c r="J375" i="1"/>
  <c r="N374" i="1"/>
  <c r="N110" i="5" s="1"/>
  <c r="J374" i="1"/>
  <c r="N373" i="1"/>
  <c r="N109" i="5" s="1"/>
  <c r="J373" i="1"/>
  <c r="N372" i="1"/>
  <c r="N84" i="2" s="1"/>
  <c r="J372" i="1"/>
  <c r="N371" i="1"/>
  <c r="N83" i="2" s="1"/>
  <c r="J371" i="1"/>
  <c r="N370" i="1"/>
  <c r="J370" i="1"/>
  <c r="O370" i="1" s="1"/>
  <c r="N369" i="1"/>
  <c r="N108" i="5" s="1"/>
  <c r="J369" i="1"/>
  <c r="N368" i="1"/>
  <c r="N107" i="5" s="1"/>
  <c r="J368" i="1"/>
  <c r="N367" i="1"/>
  <c r="J367" i="1"/>
  <c r="O367" i="1" s="1"/>
  <c r="N366" i="1"/>
  <c r="J366" i="1"/>
  <c r="O366" i="1" s="1"/>
  <c r="N365" i="1"/>
  <c r="N106" i="5" s="1"/>
  <c r="J365" i="1"/>
  <c r="N364" i="1"/>
  <c r="J364" i="1"/>
  <c r="O364" i="1" s="1"/>
  <c r="N363" i="1"/>
  <c r="N105" i="5" s="1"/>
  <c r="J363" i="1"/>
  <c r="N362" i="1"/>
  <c r="J362" i="1"/>
  <c r="O362" i="1" s="1"/>
  <c r="N361" i="1"/>
  <c r="N82" i="2" s="1"/>
  <c r="J361" i="1"/>
  <c r="N360" i="1"/>
  <c r="N104" i="5" s="1"/>
  <c r="J360" i="1"/>
  <c r="N359" i="1"/>
  <c r="N81" i="2" s="1"/>
  <c r="J359" i="1"/>
  <c r="N358" i="1"/>
  <c r="N103" i="5" s="1"/>
  <c r="J358" i="1"/>
  <c r="N357" i="1"/>
  <c r="N80" i="2" s="1"/>
  <c r="J357" i="1"/>
  <c r="N356" i="1"/>
  <c r="N79" i="2" s="1"/>
  <c r="J356" i="1"/>
  <c r="N355" i="1"/>
  <c r="N102" i="5" s="1"/>
  <c r="J355" i="1"/>
  <c r="N354" i="1"/>
  <c r="N101" i="5" s="1"/>
  <c r="J354" i="1"/>
  <c r="N353" i="1"/>
  <c r="N78" i="2" s="1"/>
  <c r="J353" i="1"/>
  <c r="N352" i="1"/>
  <c r="N77" i="2" s="1"/>
  <c r="J352" i="1"/>
  <c r="N351" i="1"/>
  <c r="J351" i="1"/>
  <c r="O351" i="1" s="1"/>
  <c r="N350" i="1"/>
  <c r="J350" i="1"/>
  <c r="O350" i="1" s="1"/>
  <c r="N349" i="1"/>
  <c r="N100" i="5" s="1"/>
  <c r="J349" i="1"/>
  <c r="N348" i="1"/>
  <c r="J348" i="1"/>
  <c r="O348" i="1" s="1"/>
  <c r="N347" i="1"/>
  <c r="J347" i="1"/>
  <c r="O347" i="1" s="1"/>
  <c r="N346" i="1"/>
  <c r="N99" i="5" s="1"/>
  <c r="J346" i="1"/>
  <c r="N345" i="1"/>
  <c r="J345" i="1"/>
  <c r="O345" i="1" s="1"/>
  <c r="N344" i="1"/>
  <c r="J344" i="1"/>
  <c r="O344" i="1" s="1"/>
  <c r="N343" i="1"/>
  <c r="J343" i="1"/>
  <c r="O343" i="1" s="1"/>
  <c r="N342" i="1"/>
  <c r="N98" i="5" s="1"/>
  <c r="J342" i="1"/>
  <c r="N341" i="1"/>
  <c r="J341" i="1"/>
  <c r="O341" i="1" s="1"/>
  <c r="N340" i="1"/>
  <c r="J340" i="1"/>
  <c r="O340" i="1" s="1"/>
  <c r="N339" i="1"/>
  <c r="N97" i="5" s="1"/>
  <c r="J339" i="1"/>
  <c r="N338" i="1"/>
  <c r="N96" i="5" s="1"/>
  <c r="J338" i="1"/>
  <c r="N337" i="1"/>
  <c r="N95" i="5" s="1"/>
  <c r="J337" i="1"/>
  <c r="N336" i="1"/>
  <c r="N76" i="2" s="1"/>
  <c r="J336" i="1"/>
  <c r="N335" i="1"/>
  <c r="J335" i="1"/>
  <c r="O335" i="1" s="1"/>
  <c r="N334" i="1"/>
  <c r="N75" i="2" s="1"/>
  <c r="J334" i="1"/>
  <c r="N333" i="1"/>
  <c r="J333" i="1"/>
  <c r="O333" i="1" s="1"/>
  <c r="N332" i="1"/>
  <c r="N74" i="2" s="1"/>
  <c r="J332" i="1"/>
  <c r="N331" i="1"/>
  <c r="N73" i="2" s="1"/>
  <c r="J331" i="1"/>
  <c r="N330" i="1"/>
  <c r="N72" i="2" s="1"/>
  <c r="J330" i="1"/>
  <c r="N329" i="1"/>
  <c r="J329" i="1"/>
  <c r="O329" i="1" s="1"/>
  <c r="N328" i="1"/>
  <c r="N94" i="5" s="1"/>
  <c r="J328" i="1"/>
  <c r="N327" i="1"/>
  <c r="J327" i="1"/>
  <c r="O327" i="1" s="1"/>
  <c r="N326" i="1"/>
  <c r="N71" i="2" s="1"/>
  <c r="J326" i="1"/>
  <c r="N325" i="1"/>
  <c r="J325" i="1"/>
  <c r="O325" i="1" s="1"/>
  <c r="N324" i="1"/>
  <c r="N93" i="5" s="1"/>
  <c r="J324" i="1"/>
  <c r="N323" i="1"/>
  <c r="J323" i="1"/>
  <c r="O323" i="1" s="1"/>
  <c r="N322" i="1"/>
  <c r="N70" i="2" s="1"/>
  <c r="J322" i="1"/>
  <c r="N321" i="1"/>
  <c r="N92" i="5" s="1"/>
  <c r="J321" i="1"/>
  <c r="N320" i="1"/>
  <c r="N91" i="5" s="1"/>
  <c r="J320" i="1"/>
  <c r="N319" i="1"/>
  <c r="N90" i="5" s="1"/>
  <c r="J319" i="1"/>
  <c r="N318" i="1"/>
  <c r="N89" i="5" s="1"/>
  <c r="J318" i="1"/>
  <c r="N317" i="1"/>
  <c r="N69" i="2" s="1"/>
  <c r="J317" i="1"/>
  <c r="N316" i="1"/>
  <c r="J316" i="1"/>
  <c r="O316" i="1" s="1"/>
  <c r="N315" i="1"/>
  <c r="N88" i="5" s="1"/>
  <c r="J315" i="1"/>
  <c r="N314" i="1"/>
  <c r="J314" i="1"/>
  <c r="O314" i="1" s="1"/>
  <c r="N313" i="1"/>
  <c r="N87" i="5" s="1"/>
  <c r="J313" i="1"/>
  <c r="N312" i="1"/>
  <c r="J312" i="1"/>
  <c r="O312" i="1" s="1"/>
  <c r="N311" i="1"/>
  <c r="J311" i="1"/>
  <c r="O311" i="1" s="1"/>
  <c r="N310" i="1"/>
  <c r="J310" i="1"/>
  <c r="O310" i="1" s="1"/>
  <c r="N309" i="1"/>
  <c r="J309" i="1"/>
  <c r="O309" i="1" s="1"/>
  <c r="N308" i="1"/>
  <c r="J308" i="1"/>
  <c r="O308" i="1" s="1"/>
  <c r="N307" i="1"/>
  <c r="J307" i="1"/>
  <c r="O307" i="1" s="1"/>
  <c r="N306" i="1"/>
  <c r="J306" i="1"/>
  <c r="O306" i="1" s="1"/>
  <c r="N305" i="1"/>
  <c r="N86" i="5" s="1"/>
  <c r="J305" i="1"/>
  <c r="N304" i="1"/>
  <c r="N85" i="5" s="1"/>
  <c r="J304" i="1"/>
  <c r="N303" i="1"/>
  <c r="J303" i="1"/>
  <c r="O303" i="1" s="1"/>
  <c r="N302" i="1"/>
  <c r="N84" i="5" s="1"/>
  <c r="J302" i="1"/>
  <c r="N301" i="1"/>
  <c r="N83" i="5" s="1"/>
  <c r="J301" i="1"/>
  <c r="N300" i="1"/>
  <c r="J300" i="1"/>
  <c r="O300" i="1" s="1"/>
  <c r="N299" i="1"/>
  <c r="J299" i="1"/>
  <c r="O299" i="1" s="1"/>
  <c r="N298" i="1"/>
  <c r="N82" i="5" s="1"/>
  <c r="J298" i="1"/>
  <c r="N297" i="1"/>
  <c r="N68" i="2" s="1"/>
  <c r="J297" i="1"/>
  <c r="N296" i="1"/>
  <c r="N81" i="5" s="1"/>
  <c r="J296" i="1"/>
  <c r="N295" i="1"/>
  <c r="N80" i="5" s="1"/>
  <c r="J295" i="1"/>
  <c r="N294" i="1"/>
  <c r="N79" i="5" s="1"/>
  <c r="J294" i="1"/>
  <c r="N293" i="1"/>
  <c r="J293" i="1"/>
  <c r="O293" i="1" s="1"/>
  <c r="N292" i="1"/>
  <c r="N78" i="5" s="1"/>
  <c r="J292" i="1"/>
  <c r="N291" i="1"/>
  <c r="N77" i="5" s="1"/>
  <c r="J291" i="1"/>
  <c r="N290" i="1"/>
  <c r="J290" i="1"/>
  <c r="O290" i="1" s="1"/>
  <c r="N289" i="1"/>
  <c r="N76" i="5" s="1"/>
  <c r="J289" i="1"/>
  <c r="N288" i="1"/>
  <c r="J288" i="1"/>
  <c r="O288" i="1" s="1"/>
  <c r="N287" i="1"/>
  <c r="J287" i="1"/>
  <c r="O287" i="1" s="1"/>
  <c r="N286" i="1"/>
  <c r="J286" i="1"/>
  <c r="O286" i="1" s="1"/>
  <c r="N285" i="1"/>
  <c r="N75" i="5" s="1"/>
  <c r="J285" i="1"/>
  <c r="N284" i="1"/>
  <c r="N74" i="5" s="1"/>
  <c r="J284" i="1"/>
  <c r="N283" i="1"/>
  <c r="N73" i="5" s="1"/>
  <c r="J283" i="1"/>
  <c r="N282" i="1"/>
  <c r="J282" i="1"/>
  <c r="O282" i="1" s="1"/>
  <c r="N281" i="1"/>
  <c r="J281" i="1"/>
  <c r="O281" i="1" s="1"/>
  <c r="N280" i="1"/>
  <c r="N72" i="5" s="1"/>
  <c r="J280" i="1"/>
  <c r="N279" i="1"/>
  <c r="J279" i="1"/>
  <c r="O279" i="1" s="1"/>
  <c r="N278" i="1"/>
  <c r="J278" i="1"/>
  <c r="O278" i="1" s="1"/>
  <c r="N277" i="1"/>
  <c r="N71" i="5" s="1"/>
  <c r="J277" i="1"/>
  <c r="N276" i="1"/>
  <c r="J276" i="1"/>
  <c r="O276" i="1" s="1"/>
  <c r="N275" i="1"/>
  <c r="J275" i="1"/>
  <c r="O275" i="1" s="1"/>
  <c r="N274" i="1"/>
  <c r="J274" i="1"/>
  <c r="O274" i="1" s="1"/>
  <c r="N273" i="1"/>
  <c r="N70" i="5" s="1"/>
  <c r="J273" i="1"/>
  <c r="N272" i="1"/>
  <c r="N69" i="5" s="1"/>
  <c r="J272" i="1"/>
  <c r="N271" i="1"/>
  <c r="N68" i="5" s="1"/>
  <c r="J271" i="1"/>
  <c r="N270" i="1"/>
  <c r="J270" i="1"/>
  <c r="O270" i="1" s="1"/>
  <c r="N269" i="1"/>
  <c r="N67" i="5" s="1"/>
  <c r="J269" i="1"/>
  <c r="N268" i="1"/>
  <c r="N66" i="5" s="1"/>
  <c r="J268" i="1"/>
  <c r="N267" i="1"/>
  <c r="J267" i="1"/>
  <c r="O267" i="1" s="1"/>
  <c r="N266" i="1"/>
  <c r="J266" i="1"/>
  <c r="O266" i="1" s="1"/>
  <c r="N265" i="1"/>
  <c r="J265" i="1"/>
  <c r="O265" i="1" s="1"/>
  <c r="N264" i="1"/>
  <c r="J264" i="1"/>
  <c r="O264" i="1" s="1"/>
  <c r="N263" i="1"/>
  <c r="J263" i="1"/>
  <c r="O263" i="1" s="1"/>
  <c r="N262" i="1"/>
  <c r="N65" i="5" s="1"/>
  <c r="J262" i="1"/>
  <c r="N261" i="1"/>
  <c r="J261" i="1"/>
  <c r="O261" i="1" s="1"/>
  <c r="N260" i="1"/>
  <c r="J260" i="1"/>
  <c r="O260" i="1" s="1"/>
  <c r="N259" i="1"/>
  <c r="J259" i="1"/>
  <c r="O259" i="1" s="1"/>
  <c r="N258" i="1"/>
  <c r="J258" i="1"/>
  <c r="O258" i="1" s="1"/>
  <c r="N257" i="1"/>
  <c r="J257" i="1"/>
  <c r="O257" i="1" s="1"/>
  <c r="N256" i="1"/>
  <c r="J256" i="1"/>
  <c r="O256" i="1" s="1"/>
  <c r="N255" i="1"/>
  <c r="J255" i="1"/>
  <c r="O255" i="1" s="1"/>
  <c r="N254" i="1"/>
  <c r="N64" i="5" s="1"/>
  <c r="J254" i="1"/>
  <c r="N253" i="1"/>
  <c r="N63" i="5" s="1"/>
  <c r="J253" i="1"/>
  <c r="N252" i="1"/>
  <c r="J252" i="1"/>
  <c r="O252" i="1" s="1"/>
  <c r="N251" i="1"/>
  <c r="J251" i="1"/>
  <c r="O251" i="1" s="1"/>
  <c r="N250" i="1"/>
  <c r="N62" i="5" s="1"/>
  <c r="J250" i="1"/>
  <c r="N249" i="1"/>
  <c r="J249" i="1"/>
  <c r="O249" i="1" s="1"/>
  <c r="N248" i="1"/>
  <c r="J248" i="1"/>
  <c r="O248" i="1" s="1"/>
  <c r="N247" i="1"/>
  <c r="J247" i="1"/>
  <c r="O247" i="1" s="1"/>
  <c r="N246" i="1"/>
  <c r="J246" i="1"/>
  <c r="O246" i="1" s="1"/>
  <c r="N245" i="1"/>
  <c r="J245" i="1"/>
  <c r="O245" i="1" s="1"/>
  <c r="N244" i="1"/>
  <c r="J244" i="1"/>
  <c r="O244" i="1" s="1"/>
  <c r="N243" i="1"/>
  <c r="N61" i="5" s="1"/>
  <c r="J243" i="1"/>
  <c r="N242" i="1"/>
  <c r="J242" i="1"/>
  <c r="O242" i="1" s="1"/>
  <c r="N241" i="1"/>
  <c r="J241" i="1"/>
  <c r="O241" i="1" s="1"/>
  <c r="N240" i="1"/>
  <c r="N60" i="5" s="1"/>
  <c r="J240" i="1"/>
  <c r="N239" i="1"/>
  <c r="N59" i="5" s="1"/>
  <c r="J239" i="1"/>
  <c r="N238" i="1"/>
  <c r="J238" i="1"/>
  <c r="O238" i="1" s="1"/>
  <c r="N237" i="1"/>
  <c r="J237" i="1"/>
  <c r="O237" i="1" s="1"/>
  <c r="N236" i="1"/>
  <c r="J236" i="1"/>
  <c r="O236" i="1" s="1"/>
  <c r="N235" i="1"/>
  <c r="N58" i="5" s="1"/>
  <c r="J235" i="1"/>
  <c r="N234" i="1"/>
  <c r="J234" i="1"/>
  <c r="O234" i="1" s="1"/>
  <c r="N233" i="1"/>
  <c r="J233" i="1"/>
  <c r="O233" i="1" s="1"/>
  <c r="N232" i="1"/>
  <c r="J232" i="1"/>
  <c r="O232" i="1" s="1"/>
  <c r="N231" i="1"/>
  <c r="J231" i="1"/>
  <c r="O231" i="1" s="1"/>
  <c r="N230" i="1"/>
  <c r="J230" i="1"/>
  <c r="O230" i="1" s="1"/>
  <c r="N229" i="1"/>
  <c r="J229" i="1"/>
  <c r="O229" i="1" s="1"/>
  <c r="N228" i="1"/>
  <c r="J228" i="1"/>
  <c r="O228" i="1" s="1"/>
  <c r="N227" i="1"/>
  <c r="J227" i="1"/>
  <c r="O227" i="1" s="1"/>
  <c r="N226" i="1"/>
  <c r="J226" i="1"/>
  <c r="O226" i="1" s="1"/>
  <c r="N225" i="1"/>
  <c r="J225" i="1"/>
  <c r="O225" i="1" s="1"/>
  <c r="N224" i="1"/>
  <c r="N57" i="5" s="1"/>
  <c r="J224" i="1"/>
  <c r="N223" i="1"/>
  <c r="J223" i="1"/>
  <c r="O223" i="1" s="1"/>
  <c r="N222" i="1"/>
  <c r="N56" i="5" s="1"/>
  <c r="J222" i="1"/>
  <c r="N221" i="1"/>
  <c r="J221" i="1"/>
  <c r="O221" i="1" s="1"/>
  <c r="N220" i="1"/>
  <c r="J220" i="1"/>
  <c r="O220" i="1" s="1"/>
  <c r="N219" i="1"/>
  <c r="J219" i="1"/>
  <c r="O219" i="1" s="1"/>
  <c r="N218" i="1"/>
  <c r="J218" i="1"/>
  <c r="O218" i="1" s="1"/>
  <c r="N217" i="1"/>
  <c r="N55" i="5" s="1"/>
  <c r="J217" i="1"/>
  <c r="N216" i="1"/>
  <c r="J216" i="1"/>
  <c r="O216" i="1" s="1"/>
  <c r="N215" i="1"/>
  <c r="J215" i="1"/>
  <c r="O215" i="1" s="1"/>
  <c r="N214" i="1"/>
  <c r="N54" i="5" s="1"/>
  <c r="J214" i="1"/>
  <c r="N213" i="1"/>
  <c r="N53" i="5" s="1"/>
  <c r="J213" i="1"/>
  <c r="N212" i="1"/>
  <c r="J212" i="1"/>
  <c r="O212" i="1" s="1"/>
  <c r="N211" i="1"/>
  <c r="J211" i="1"/>
  <c r="O211" i="1" s="1"/>
  <c r="N210" i="1"/>
  <c r="N52" i="5" s="1"/>
  <c r="J210" i="1"/>
  <c r="N209" i="1"/>
  <c r="J209" i="1"/>
  <c r="O209" i="1" s="1"/>
  <c r="N208" i="1"/>
  <c r="J208" i="1"/>
  <c r="O208" i="1" s="1"/>
  <c r="N207" i="1"/>
  <c r="J207" i="1"/>
  <c r="O207" i="1" s="1"/>
  <c r="N206" i="1"/>
  <c r="J206" i="1"/>
  <c r="O206" i="1" s="1"/>
  <c r="N205" i="1"/>
  <c r="J205" i="1"/>
  <c r="O205" i="1" s="1"/>
  <c r="N204" i="1"/>
  <c r="J204" i="1"/>
  <c r="O204" i="1" s="1"/>
  <c r="N203" i="1"/>
  <c r="N79" i="3" s="1"/>
  <c r="J203" i="1"/>
  <c r="N202" i="1"/>
  <c r="J202" i="1"/>
  <c r="O202" i="1" s="1"/>
  <c r="N201" i="1"/>
  <c r="N78" i="3" s="1"/>
  <c r="J201" i="1"/>
  <c r="N200" i="1"/>
  <c r="J200" i="1"/>
  <c r="O200" i="1" s="1"/>
  <c r="N199" i="1"/>
  <c r="N77" i="3" s="1"/>
  <c r="J199" i="1"/>
  <c r="N198" i="1"/>
  <c r="J198" i="1"/>
  <c r="O198" i="1" s="1"/>
  <c r="N197" i="1"/>
  <c r="J197" i="1"/>
  <c r="O197" i="1" s="1"/>
  <c r="N196" i="1"/>
  <c r="N76" i="3" s="1"/>
  <c r="J196" i="1"/>
  <c r="N195" i="1"/>
  <c r="N75" i="3" s="1"/>
  <c r="J195" i="1"/>
  <c r="N194" i="1"/>
  <c r="J194" i="1"/>
  <c r="O194" i="1" s="1"/>
  <c r="N193" i="1"/>
  <c r="J193" i="1"/>
  <c r="O193" i="1" s="1"/>
  <c r="N192" i="1"/>
  <c r="J192" i="1"/>
  <c r="O192" i="1" s="1"/>
  <c r="N191" i="1"/>
  <c r="N51" i="5" s="1"/>
  <c r="J191" i="1"/>
  <c r="N190" i="1"/>
  <c r="N50" i="5" s="1"/>
  <c r="J190" i="1"/>
  <c r="N189" i="1"/>
  <c r="J189" i="1"/>
  <c r="O189" i="1" s="1"/>
  <c r="N188" i="1"/>
  <c r="N49" i="5" s="1"/>
  <c r="J188" i="1"/>
  <c r="N187" i="1"/>
  <c r="N74" i="3" s="1"/>
  <c r="J187" i="1"/>
  <c r="N186" i="1"/>
  <c r="N73" i="3" s="1"/>
  <c r="J186" i="1"/>
  <c r="N185" i="1"/>
  <c r="J185" i="1"/>
  <c r="O185" i="1" s="1"/>
  <c r="N184" i="1"/>
  <c r="N48" i="5" s="1"/>
  <c r="J184" i="1"/>
  <c r="N183" i="1"/>
  <c r="J183" i="1"/>
  <c r="O183" i="1" s="1"/>
  <c r="N182" i="1"/>
  <c r="N72" i="3" s="1"/>
  <c r="J182" i="1"/>
  <c r="N181" i="1"/>
  <c r="N47" i="5" s="1"/>
  <c r="J181" i="1"/>
  <c r="N180" i="1"/>
  <c r="J180" i="1"/>
  <c r="O180" i="1" s="1"/>
  <c r="N179" i="1"/>
  <c r="N71" i="3" s="1"/>
  <c r="J179" i="1"/>
  <c r="N178" i="1"/>
  <c r="N70" i="3" s="1"/>
  <c r="J178" i="1"/>
  <c r="N177" i="1"/>
  <c r="N46" i="5" s="1"/>
  <c r="J177" i="1"/>
  <c r="N176" i="1"/>
  <c r="J176" i="1"/>
  <c r="O176" i="1" s="1"/>
  <c r="N175" i="1"/>
  <c r="N45" i="5" s="1"/>
  <c r="J175" i="1"/>
  <c r="N174" i="1"/>
  <c r="J174" i="1"/>
  <c r="O174" i="1" s="1"/>
  <c r="N173" i="1"/>
  <c r="J173" i="1"/>
  <c r="O173" i="1" s="1"/>
  <c r="N172" i="1"/>
  <c r="N69" i="3" s="1"/>
  <c r="J172" i="1"/>
  <c r="N171" i="1"/>
  <c r="N44" i="5" s="1"/>
  <c r="J171" i="1"/>
  <c r="N170" i="1"/>
  <c r="N68" i="3" s="1"/>
  <c r="J170" i="1"/>
  <c r="N169" i="1"/>
  <c r="N43" i="5" s="1"/>
  <c r="J169" i="1"/>
  <c r="N168" i="1"/>
  <c r="J168" i="1"/>
  <c r="O168" i="1" s="1"/>
  <c r="N167" i="1"/>
  <c r="J167" i="1"/>
  <c r="O167" i="1" s="1"/>
  <c r="N166" i="1"/>
  <c r="N42" i="5" s="1"/>
  <c r="J166" i="1"/>
  <c r="N165" i="1"/>
  <c r="N67" i="3" s="1"/>
  <c r="J165" i="1"/>
  <c r="N164" i="1"/>
  <c r="J164" i="1"/>
  <c r="O164" i="1" s="1"/>
  <c r="N163" i="1"/>
  <c r="N66" i="3" s="1"/>
  <c r="J163" i="1"/>
  <c r="N162" i="1"/>
  <c r="J162" i="1"/>
  <c r="O162" i="1" s="1"/>
  <c r="N161" i="1"/>
  <c r="J161" i="1"/>
  <c r="O161" i="1" s="1"/>
  <c r="N160" i="1"/>
  <c r="J160" i="1"/>
  <c r="O160" i="1" s="1"/>
  <c r="N159" i="1"/>
  <c r="N41" i="5" s="1"/>
  <c r="J159" i="1"/>
  <c r="N158" i="1"/>
  <c r="N40" i="5" s="1"/>
  <c r="J158" i="1"/>
  <c r="N157" i="1"/>
  <c r="N65" i="3" s="1"/>
  <c r="J157" i="1"/>
  <c r="N156" i="1"/>
  <c r="N64" i="3" s="1"/>
  <c r="J156" i="1"/>
  <c r="N155" i="1"/>
  <c r="N63" i="3" s="1"/>
  <c r="J155" i="1"/>
  <c r="N154" i="1"/>
  <c r="N62" i="3" s="1"/>
  <c r="J154" i="1"/>
  <c r="N153" i="1"/>
  <c r="J153" i="1"/>
  <c r="O153" i="1" s="1"/>
  <c r="N152" i="1"/>
  <c r="N61" i="3" s="1"/>
  <c r="J152" i="1"/>
  <c r="N151" i="1"/>
  <c r="J151" i="1"/>
  <c r="O151" i="1" s="1"/>
  <c r="N150" i="1"/>
  <c r="N39" i="5" s="1"/>
  <c r="J150" i="1"/>
  <c r="N149" i="1"/>
  <c r="N38" i="5" s="1"/>
  <c r="J149" i="1"/>
  <c r="N148" i="1"/>
  <c r="J148" i="1"/>
  <c r="O148" i="1" s="1"/>
  <c r="N147" i="1"/>
  <c r="J147" i="1"/>
  <c r="O147" i="1" s="1"/>
  <c r="N146" i="1"/>
  <c r="N37" i="5" s="1"/>
  <c r="J146" i="1"/>
  <c r="N145" i="1"/>
  <c r="J145" i="1"/>
  <c r="O145" i="1" s="1"/>
  <c r="N144" i="1"/>
  <c r="J144" i="1"/>
  <c r="O144" i="1" s="1"/>
  <c r="N143" i="1"/>
  <c r="J143" i="1"/>
  <c r="O143" i="1" s="1"/>
  <c r="N142" i="1"/>
  <c r="N36" i="5" s="1"/>
  <c r="J142" i="1"/>
  <c r="N141" i="1"/>
  <c r="J141" i="1"/>
  <c r="O141" i="1" s="1"/>
  <c r="N140" i="1"/>
  <c r="N35" i="5" s="1"/>
  <c r="J140" i="1"/>
  <c r="N139" i="1"/>
  <c r="J139" i="1"/>
  <c r="O139" i="1" s="1"/>
  <c r="N138" i="1"/>
  <c r="N34" i="5" s="1"/>
  <c r="J138" i="1"/>
  <c r="N137" i="1"/>
  <c r="J137" i="1"/>
  <c r="O137" i="1" s="1"/>
  <c r="N136" i="1"/>
  <c r="J136" i="1"/>
  <c r="O136" i="1" s="1"/>
  <c r="N135" i="1"/>
  <c r="J135" i="1"/>
  <c r="O135" i="1" s="1"/>
  <c r="N134" i="1"/>
  <c r="J134" i="1"/>
  <c r="O134" i="1" s="1"/>
  <c r="N133" i="1"/>
  <c r="J133" i="1"/>
  <c r="O133" i="1" s="1"/>
  <c r="N132" i="1"/>
  <c r="J132" i="1"/>
  <c r="O132" i="1" s="1"/>
  <c r="N131" i="1"/>
  <c r="J131" i="1"/>
  <c r="O131" i="1" s="1"/>
  <c r="N130" i="1"/>
  <c r="N33" i="5" s="1"/>
  <c r="J130" i="1"/>
  <c r="N129" i="1"/>
  <c r="N32" i="5" s="1"/>
  <c r="J129" i="1"/>
  <c r="N128" i="1"/>
  <c r="J128" i="1"/>
  <c r="O128" i="1" s="1"/>
  <c r="N127" i="1"/>
  <c r="J127" i="1"/>
  <c r="O127" i="1" s="1"/>
  <c r="N126" i="1"/>
  <c r="N31" i="5" s="1"/>
  <c r="J126" i="1"/>
  <c r="N125" i="1"/>
  <c r="N30" i="5" s="1"/>
  <c r="J125" i="1"/>
  <c r="N124" i="1"/>
  <c r="N29" i="5" s="1"/>
  <c r="J124" i="1"/>
  <c r="N123" i="1"/>
  <c r="J123" i="1"/>
  <c r="O123" i="1" s="1"/>
  <c r="N122" i="1"/>
  <c r="J122" i="1"/>
  <c r="O122" i="1" s="1"/>
  <c r="N121" i="1"/>
  <c r="J121" i="1"/>
  <c r="O121" i="1" s="1"/>
  <c r="N120" i="1"/>
  <c r="J120" i="1"/>
  <c r="O120" i="1" s="1"/>
  <c r="N119" i="1"/>
  <c r="J119" i="1"/>
  <c r="O119" i="1" s="1"/>
  <c r="N118" i="1"/>
  <c r="J118" i="1"/>
  <c r="O118" i="1" s="1"/>
  <c r="N117" i="1"/>
  <c r="J117" i="1"/>
  <c r="O117" i="1" s="1"/>
  <c r="N116" i="1"/>
  <c r="J116" i="1"/>
  <c r="O116" i="1" s="1"/>
  <c r="N115" i="1"/>
  <c r="J115" i="1"/>
  <c r="O115" i="1" s="1"/>
  <c r="N114" i="1"/>
  <c r="J114" i="1"/>
  <c r="O114" i="1" s="1"/>
  <c r="N113" i="1"/>
  <c r="J113" i="1"/>
  <c r="O113" i="1" s="1"/>
  <c r="N112" i="1"/>
  <c r="J112" i="1"/>
  <c r="O112" i="1" s="1"/>
  <c r="N111" i="1"/>
  <c r="J111" i="1"/>
  <c r="O111" i="1" s="1"/>
  <c r="N110" i="1"/>
  <c r="J110" i="1"/>
  <c r="O110" i="1" s="1"/>
  <c r="N109" i="1"/>
  <c r="N28" i="5" s="1"/>
  <c r="J109" i="1"/>
  <c r="N108" i="1"/>
  <c r="N27" i="5" s="1"/>
  <c r="J108" i="1"/>
  <c r="N107" i="1"/>
  <c r="J107" i="1"/>
  <c r="O107" i="1" s="1"/>
  <c r="N106" i="1"/>
  <c r="J106" i="1"/>
  <c r="O106" i="1" s="1"/>
  <c r="N105" i="1"/>
  <c r="J105" i="1"/>
  <c r="O105" i="1" s="1"/>
  <c r="N104" i="1"/>
  <c r="J104" i="1"/>
  <c r="O104" i="1" s="1"/>
  <c r="N103" i="1"/>
  <c r="J103" i="1"/>
  <c r="O103" i="1" s="1"/>
  <c r="N102" i="1"/>
  <c r="N26" i="5" s="1"/>
  <c r="J102" i="1"/>
  <c r="N101" i="1"/>
  <c r="J101" i="1"/>
  <c r="O101" i="1" s="1"/>
  <c r="N100" i="1"/>
  <c r="J100" i="1"/>
  <c r="O100" i="1" s="1"/>
  <c r="N99" i="1"/>
  <c r="N25" i="5" s="1"/>
  <c r="J99" i="1"/>
  <c r="N98" i="1"/>
  <c r="J98" i="1"/>
  <c r="O98" i="1" s="1"/>
  <c r="N97" i="1"/>
  <c r="J97" i="1"/>
  <c r="O97" i="1" s="1"/>
  <c r="N96" i="1"/>
  <c r="J96" i="1"/>
  <c r="O96" i="1" s="1"/>
  <c r="N95" i="1"/>
  <c r="J95" i="1"/>
  <c r="O95" i="1" s="1"/>
  <c r="N94" i="1"/>
  <c r="J94" i="1"/>
  <c r="O94" i="1" s="1"/>
  <c r="N93" i="1"/>
  <c r="J93" i="1"/>
  <c r="O93" i="1" s="1"/>
  <c r="N92" i="1"/>
  <c r="N24" i="5" s="1"/>
  <c r="J92" i="1"/>
  <c r="N91" i="1"/>
  <c r="J91" i="1"/>
  <c r="O91" i="1" s="1"/>
  <c r="N90" i="1"/>
  <c r="J90" i="1"/>
  <c r="O90" i="1" s="1"/>
  <c r="N89" i="1"/>
  <c r="J89" i="1"/>
  <c r="O89" i="1" s="1"/>
  <c r="N88" i="1"/>
  <c r="J88" i="1"/>
  <c r="O88" i="1" s="1"/>
  <c r="N87" i="1"/>
  <c r="N23" i="5" s="1"/>
  <c r="J87" i="1"/>
  <c r="N86" i="1"/>
  <c r="J86" i="1"/>
  <c r="O86" i="1" s="1"/>
  <c r="N85" i="1"/>
  <c r="J85" i="1"/>
  <c r="O85" i="1" s="1"/>
  <c r="N84" i="1"/>
  <c r="J84" i="1"/>
  <c r="O84" i="1" s="1"/>
  <c r="N83" i="1"/>
  <c r="J83" i="1"/>
  <c r="O83" i="1" s="1"/>
  <c r="N82" i="1"/>
  <c r="J82" i="1"/>
  <c r="O82" i="1" s="1"/>
  <c r="N81" i="1"/>
  <c r="N22" i="5" s="1"/>
  <c r="J81" i="1"/>
  <c r="N80" i="1"/>
  <c r="J80" i="1"/>
  <c r="O80" i="1" s="1"/>
  <c r="N79" i="1"/>
  <c r="J79" i="1"/>
  <c r="O79" i="1" s="1"/>
  <c r="N78" i="1"/>
  <c r="J78" i="1"/>
  <c r="O78" i="1" s="1"/>
  <c r="N77" i="1"/>
  <c r="N21" i="5" s="1"/>
  <c r="J77" i="1"/>
  <c r="N76" i="1"/>
  <c r="J76" i="1"/>
  <c r="O76" i="1" s="1"/>
  <c r="N75" i="1"/>
  <c r="N20" i="5" s="1"/>
  <c r="J75" i="1"/>
  <c r="N74" i="1"/>
  <c r="J74" i="1"/>
  <c r="O74" i="1" s="1"/>
  <c r="N73" i="1"/>
  <c r="J73" i="1"/>
  <c r="O73" i="1" s="1"/>
  <c r="N72" i="1"/>
  <c r="J72" i="1"/>
  <c r="O72" i="1" s="1"/>
  <c r="N71" i="1"/>
  <c r="J71" i="1"/>
  <c r="O71" i="1" s="1"/>
  <c r="N70" i="1"/>
  <c r="J70" i="1"/>
  <c r="O70" i="1" s="1"/>
  <c r="N69" i="1"/>
  <c r="J69" i="1"/>
  <c r="O69" i="1" s="1"/>
  <c r="N68" i="1"/>
  <c r="N19" i="5" s="1"/>
  <c r="J68" i="1"/>
  <c r="N67" i="1"/>
  <c r="J67" i="1"/>
  <c r="O67" i="1" s="1"/>
  <c r="N66" i="1"/>
  <c r="J66" i="1"/>
  <c r="O66" i="1" s="1"/>
  <c r="N65" i="1"/>
  <c r="J65" i="1"/>
  <c r="O65" i="1" s="1"/>
  <c r="N64" i="1"/>
  <c r="J64" i="1"/>
  <c r="O64" i="1" s="1"/>
  <c r="N63" i="1"/>
  <c r="J63" i="1"/>
  <c r="O63" i="1" s="1"/>
  <c r="N62" i="1"/>
  <c r="J62" i="1"/>
  <c r="O62" i="1" s="1"/>
  <c r="N61" i="1"/>
  <c r="J61" i="1"/>
  <c r="O61" i="1" s="1"/>
  <c r="N60" i="1"/>
  <c r="J60" i="1"/>
  <c r="O60" i="1" s="1"/>
  <c r="N59" i="1"/>
  <c r="N18" i="5" s="1"/>
  <c r="J59" i="1"/>
  <c r="N58" i="1"/>
  <c r="J58" i="1"/>
  <c r="O58" i="1" s="1"/>
  <c r="N57" i="1"/>
  <c r="J57" i="1"/>
  <c r="O57" i="1" s="1"/>
  <c r="N56" i="1"/>
  <c r="N17" i="5" s="1"/>
  <c r="J56" i="1"/>
  <c r="N55" i="1"/>
  <c r="N16" i="5" s="1"/>
  <c r="J55" i="1"/>
  <c r="N54" i="1"/>
  <c r="J54" i="1"/>
  <c r="O54" i="1" s="1"/>
  <c r="N53" i="1"/>
  <c r="N15" i="5" s="1"/>
  <c r="J53" i="1"/>
  <c r="N52" i="1"/>
  <c r="J52" i="1"/>
  <c r="O52" i="1" s="1"/>
  <c r="N51" i="1"/>
  <c r="J51" i="1"/>
  <c r="O51" i="1" s="1"/>
  <c r="N50" i="1"/>
  <c r="J50" i="1"/>
  <c r="O50" i="1" s="1"/>
  <c r="N49" i="1"/>
  <c r="J49" i="1"/>
  <c r="O49" i="1" s="1"/>
  <c r="N48" i="1"/>
  <c r="J48" i="1"/>
  <c r="O48" i="1" s="1"/>
  <c r="N47" i="1"/>
  <c r="J47" i="1"/>
  <c r="O47" i="1" s="1"/>
  <c r="N46" i="1"/>
  <c r="J46" i="1"/>
  <c r="O46" i="1" s="1"/>
  <c r="N45" i="1"/>
  <c r="J45" i="1"/>
  <c r="O45" i="1" s="1"/>
  <c r="N44" i="1"/>
  <c r="J44" i="1"/>
  <c r="O44" i="1" s="1"/>
  <c r="N43" i="1"/>
  <c r="J43" i="1"/>
  <c r="O43" i="1" s="1"/>
  <c r="N42" i="1"/>
  <c r="N14" i="5" s="1"/>
  <c r="J42" i="1"/>
  <c r="N41" i="1"/>
  <c r="N13" i="5" s="1"/>
  <c r="J41" i="1"/>
  <c r="N40" i="1"/>
  <c r="N12" i="5" s="1"/>
  <c r="J40" i="1"/>
  <c r="N39" i="1"/>
  <c r="J39" i="1"/>
  <c r="O39" i="1" s="1"/>
  <c r="N38" i="1"/>
  <c r="N11" i="5" s="1"/>
  <c r="J38" i="1"/>
  <c r="N37" i="1"/>
  <c r="J37" i="1"/>
  <c r="O37" i="1" s="1"/>
  <c r="N36" i="1"/>
  <c r="N10" i="5" s="1"/>
  <c r="J36" i="1"/>
  <c r="N35" i="1"/>
  <c r="J35" i="1"/>
  <c r="O35" i="1" s="1"/>
  <c r="N34" i="1"/>
  <c r="J34" i="1"/>
  <c r="O34" i="1" s="1"/>
  <c r="N33" i="1"/>
  <c r="N9" i="5" s="1"/>
  <c r="J33" i="1"/>
  <c r="N32" i="1"/>
  <c r="J32" i="1"/>
  <c r="O32" i="1" s="1"/>
  <c r="N31" i="1"/>
  <c r="J31" i="1"/>
  <c r="O31" i="1" s="1"/>
  <c r="N30" i="1"/>
  <c r="N8" i="5" s="1"/>
  <c r="J30" i="1"/>
  <c r="N29" i="1"/>
  <c r="J29" i="1"/>
  <c r="O29" i="1" s="1"/>
  <c r="N28" i="1"/>
  <c r="J28" i="1"/>
  <c r="O28" i="1" s="1"/>
  <c r="N27" i="1"/>
  <c r="N7" i="5" s="1"/>
  <c r="J27" i="1"/>
  <c r="N26" i="1"/>
  <c r="J26" i="1"/>
  <c r="O26" i="1" s="1"/>
  <c r="N25" i="1"/>
  <c r="J25" i="1"/>
  <c r="O25" i="1" s="1"/>
  <c r="N24" i="1"/>
  <c r="J24" i="1"/>
  <c r="O24" i="1" s="1"/>
  <c r="N23" i="1"/>
  <c r="J23" i="1"/>
  <c r="O23" i="1" s="1"/>
  <c r="N22" i="1"/>
  <c r="J22" i="1"/>
  <c r="O22" i="1" s="1"/>
  <c r="N21" i="1"/>
  <c r="N6" i="5" s="1"/>
  <c r="J21" i="1"/>
  <c r="N20" i="1"/>
  <c r="J20" i="1"/>
  <c r="O20" i="1" s="1"/>
  <c r="N19" i="1"/>
  <c r="J19" i="1"/>
  <c r="O19" i="1" s="1"/>
  <c r="N18" i="1"/>
  <c r="J18" i="1"/>
  <c r="O18" i="1" s="1"/>
  <c r="N17" i="1"/>
  <c r="J17" i="1"/>
  <c r="O17" i="1" s="1"/>
  <c r="N16" i="1"/>
  <c r="N5" i="5" s="1"/>
  <c r="J16" i="1"/>
  <c r="N15" i="1"/>
  <c r="J15" i="1"/>
  <c r="O15" i="1" s="1"/>
  <c r="N14" i="1"/>
  <c r="N4" i="5" s="1"/>
  <c r="J14" i="1"/>
  <c r="N13" i="1"/>
  <c r="J13" i="1"/>
  <c r="O13" i="1" s="1"/>
  <c r="N12" i="1"/>
  <c r="J12" i="1"/>
  <c r="O12" i="1" s="1"/>
  <c r="N11" i="1"/>
  <c r="N3" i="5" s="1"/>
  <c r="J11" i="1"/>
  <c r="N10" i="1"/>
  <c r="J10" i="1"/>
  <c r="O10" i="1" s="1"/>
  <c r="N9" i="1"/>
  <c r="J9" i="1"/>
  <c r="O9" i="1" s="1"/>
  <c r="N8" i="1"/>
  <c r="J8" i="1"/>
  <c r="O8" i="1" s="1"/>
  <c r="N7" i="1"/>
  <c r="J7" i="1"/>
  <c r="O7" i="1" s="1"/>
  <c r="N6" i="1"/>
  <c r="J6" i="1"/>
  <c r="O6" i="1" s="1"/>
  <c r="N5" i="1"/>
  <c r="J5" i="1"/>
  <c r="O5" i="1" s="1"/>
  <c r="N4" i="1"/>
  <c r="J4" i="1"/>
  <c r="O4" i="1" s="1"/>
  <c r="N3" i="1"/>
  <c r="J3" i="1"/>
  <c r="O3" i="1" s="1"/>
  <c r="J32" i="6" l="1"/>
  <c r="O1025" i="1"/>
  <c r="J31" i="6"/>
  <c r="O1024" i="1"/>
  <c r="O1023" i="1"/>
  <c r="N30" i="6"/>
  <c r="J29" i="6"/>
  <c r="O1022" i="1"/>
  <c r="O1021" i="1"/>
  <c r="J28" i="6"/>
  <c r="O1020" i="1"/>
  <c r="J27" i="6"/>
  <c r="J26" i="6"/>
  <c r="O1019" i="1"/>
  <c r="J25" i="6"/>
  <c r="O1018" i="1"/>
  <c r="J24" i="6"/>
  <c r="O1017" i="1"/>
  <c r="J23" i="6"/>
  <c r="O1016" i="1"/>
  <c r="J22" i="6"/>
  <c r="O1015" i="1"/>
  <c r="O1014" i="1"/>
  <c r="J21" i="6"/>
  <c r="O20" i="6"/>
  <c r="O1012" i="1"/>
  <c r="J19" i="6"/>
  <c r="J18" i="6"/>
  <c r="O1011" i="1"/>
  <c r="J17" i="6"/>
  <c r="O1010" i="1"/>
  <c r="J16" i="6"/>
  <c r="O1009" i="1"/>
  <c r="O1008" i="1"/>
  <c r="J15" i="6"/>
  <c r="O1007" i="1"/>
  <c r="J14" i="6"/>
  <c r="O1006" i="1"/>
  <c r="J13" i="6"/>
  <c r="O1005" i="1"/>
  <c r="J12" i="6"/>
  <c r="O1004" i="1"/>
  <c r="J11" i="6"/>
  <c r="J10" i="6"/>
  <c r="O1003" i="1"/>
  <c r="J9" i="6"/>
  <c r="O1002" i="1"/>
  <c r="O1001" i="1"/>
  <c r="J8" i="6"/>
  <c r="O1000" i="1"/>
  <c r="J7" i="6"/>
  <c r="O999" i="1"/>
  <c r="J6" i="6"/>
  <c r="J5" i="6"/>
  <c r="O998" i="1"/>
  <c r="J4" i="6"/>
  <c r="O997" i="1"/>
  <c r="J3" i="6"/>
  <c r="O996" i="1"/>
  <c r="B1013" i="1" s="1"/>
  <c r="N142" i="2"/>
  <c r="O994" i="1"/>
  <c r="O993" i="1"/>
  <c r="N142" i="4"/>
  <c r="O992" i="1"/>
  <c r="J358" i="3"/>
  <c r="N357" i="3"/>
  <c r="O991" i="1"/>
  <c r="J358" i="5"/>
  <c r="O990" i="1"/>
  <c r="O989" i="1"/>
  <c r="J141" i="4"/>
  <c r="O988" i="1"/>
  <c r="J357" i="5"/>
  <c r="J356" i="5"/>
  <c r="O987" i="1"/>
  <c r="J356" i="3"/>
  <c r="O986" i="1"/>
  <c r="O985" i="1"/>
  <c r="J355" i="3"/>
  <c r="J354" i="3"/>
  <c r="O984" i="1"/>
  <c r="O983" i="1"/>
  <c r="N140" i="4"/>
  <c r="J353" i="3"/>
  <c r="O982" i="1"/>
  <c r="O981" i="1"/>
  <c r="J355" i="5"/>
  <c r="O980" i="1"/>
  <c r="J354" i="5"/>
  <c r="J352" i="3"/>
  <c r="O979" i="1"/>
  <c r="J351" i="3"/>
  <c r="O978" i="1"/>
  <c r="J350" i="3"/>
  <c r="O977" i="1"/>
  <c r="J139" i="4"/>
  <c r="O976" i="1"/>
  <c r="J349" i="3"/>
  <c r="O975" i="1"/>
  <c r="O974" i="1"/>
  <c r="J348" i="3"/>
  <c r="J347" i="3"/>
  <c r="O973" i="1"/>
  <c r="J353" i="5"/>
  <c r="O972" i="1"/>
  <c r="O971" i="1"/>
  <c r="J346" i="3"/>
  <c r="O970" i="1"/>
  <c r="J345" i="3"/>
  <c r="J344" i="3"/>
  <c r="O969" i="1"/>
  <c r="J352" i="5"/>
  <c r="O968" i="1"/>
  <c r="J351" i="5"/>
  <c r="O967" i="1"/>
  <c r="J141" i="2"/>
  <c r="O966" i="1"/>
  <c r="J138" i="4"/>
  <c r="O965" i="1"/>
  <c r="J350" i="5"/>
  <c r="O964" i="1"/>
  <c r="J343" i="3"/>
  <c r="O963" i="1"/>
  <c r="O962" i="1"/>
  <c r="J342" i="3"/>
  <c r="J137" i="4"/>
  <c r="O961" i="1"/>
  <c r="J349" i="5"/>
  <c r="O960" i="1"/>
  <c r="O959" i="1"/>
  <c r="J341" i="3"/>
  <c r="O958" i="1"/>
  <c r="J136" i="4"/>
  <c r="O957" i="1"/>
  <c r="J135" i="4"/>
  <c r="J134" i="4"/>
  <c r="O956" i="1"/>
  <c r="J340" i="3"/>
  <c r="O955" i="1"/>
  <c r="O954" i="1"/>
  <c r="J133" i="4"/>
  <c r="J339" i="3"/>
  <c r="O953" i="1"/>
  <c r="J338" i="3"/>
  <c r="O952" i="1"/>
  <c r="J337" i="3"/>
  <c r="O951" i="1"/>
  <c r="J348" i="5"/>
  <c r="O950" i="1"/>
  <c r="O949" i="1"/>
  <c r="J132" i="4"/>
  <c r="O948" i="1"/>
  <c r="J336" i="3"/>
  <c r="J347" i="5"/>
  <c r="O947" i="1"/>
  <c r="O946" i="1"/>
  <c r="J346" i="5"/>
  <c r="O945" i="1"/>
  <c r="J345" i="5"/>
  <c r="J344" i="5"/>
  <c r="O944" i="1"/>
  <c r="O943" i="1"/>
  <c r="J335" i="3"/>
  <c r="O942" i="1"/>
  <c r="J343" i="5"/>
  <c r="J342" i="5"/>
  <c r="O941" i="1"/>
  <c r="J341" i="5"/>
  <c r="O940" i="1"/>
  <c r="J334" i="3"/>
  <c r="O939" i="1"/>
  <c r="J140" i="2"/>
  <c r="O938" i="1"/>
  <c r="J333" i="3"/>
  <c r="O937" i="1"/>
  <c r="O936" i="1"/>
  <c r="J332" i="3"/>
  <c r="O935" i="1"/>
  <c r="J331" i="3"/>
  <c r="J330" i="3"/>
  <c r="O934" i="1"/>
  <c r="O933" i="1"/>
  <c r="J340" i="5"/>
  <c r="J339" i="5"/>
  <c r="O932" i="1"/>
  <c r="J338" i="5"/>
  <c r="O931" i="1"/>
  <c r="O930" i="1"/>
  <c r="J337" i="5"/>
  <c r="J336" i="5"/>
  <c r="O929" i="1"/>
  <c r="O928" i="1"/>
  <c r="J131" i="4"/>
  <c r="J130" i="4"/>
  <c r="O927" i="1"/>
  <c r="O926" i="1"/>
  <c r="J139" i="2"/>
  <c r="J129" i="4"/>
  <c r="O925" i="1"/>
  <c r="O924" i="1"/>
  <c r="J138" i="2"/>
  <c r="J329" i="3"/>
  <c r="O923" i="1"/>
  <c r="O328" i="3"/>
  <c r="J327" i="3"/>
  <c r="O921" i="1"/>
  <c r="J326" i="3"/>
  <c r="O920" i="1"/>
  <c r="O919" i="1"/>
  <c r="J325" i="3"/>
  <c r="J324" i="3"/>
  <c r="O918" i="1"/>
  <c r="O917" i="1"/>
  <c r="J128" i="4"/>
  <c r="J323" i="3"/>
  <c r="O916" i="1"/>
  <c r="O915" i="1"/>
  <c r="J335" i="5"/>
  <c r="O914" i="1"/>
  <c r="J322" i="3"/>
  <c r="J334" i="5"/>
  <c r="O913" i="1"/>
  <c r="J321" i="3"/>
  <c r="O912" i="1"/>
  <c r="J320" i="3"/>
  <c r="O911" i="1"/>
  <c r="J137" i="2"/>
  <c r="O910" i="1"/>
  <c r="J319" i="3"/>
  <c r="O909" i="1"/>
  <c r="O908" i="1"/>
  <c r="J318" i="3"/>
  <c r="O907" i="1"/>
  <c r="J333" i="5"/>
  <c r="O906" i="1"/>
  <c r="J317" i="3"/>
  <c r="O905" i="1"/>
  <c r="J316" i="3"/>
  <c r="O904" i="1"/>
  <c r="J332" i="5"/>
  <c r="J315" i="3"/>
  <c r="O903" i="1"/>
  <c r="O902" i="1"/>
  <c r="J331" i="5"/>
  <c r="O901" i="1"/>
  <c r="J330" i="5"/>
  <c r="O900" i="1"/>
  <c r="J329" i="5"/>
  <c r="J314" i="3"/>
  <c r="O899" i="1"/>
  <c r="O898" i="1"/>
  <c r="J328" i="5"/>
  <c r="O897" i="1"/>
  <c r="J313" i="3"/>
  <c r="J127" i="4"/>
  <c r="O896" i="1"/>
  <c r="O895" i="1"/>
  <c r="J327" i="5"/>
  <c r="J326" i="5"/>
  <c r="O894" i="1"/>
  <c r="J325" i="5"/>
  <c r="O893" i="1"/>
  <c r="O892" i="1"/>
  <c r="J312" i="3"/>
  <c r="J311" i="3"/>
  <c r="O891" i="1"/>
  <c r="O890" i="1"/>
  <c r="J310" i="3"/>
  <c r="J309" i="3"/>
  <c r="O889" i="1"/>
  <c r="O308" i="3"/>
  <c r="O887" i="1"/>
  <c r="J324" i="5"/>
  <c r="J126" i="4"/>
  <c r="O886" i="1"/>
  <c r="J323" i="5"/>
  <c r="O885" i="1"/>
  <c r="J307" i="3"/>
  <c r="O884" i="1"/>
  <c r="O883" i="1"/>
  <c r="J125" i="4"/>
  <c r="O882" i="1"/>
  <c r="J322" i="5"/>
  <c r="J124" i="4"/>
  <c r="O881" i="1"/>
  <c r="O880" i="1"/>
  <c r="J321" i="5"/>
  <c r="O879" i="1"/>
  <c r="J306" i="3"/>
  <c r="O878" i="1"/>
  <c r="J320" i="5"/>
  <c r="O877" i="1"/>
  <c r="J305" i="3"/>
  <c r="O876" i="1"/>
  <c r="J319" i="5"/>
  <c r="J304" i="3"/>
  <c r="O875" i="1"/>
  <c r="O874" i="1"/>
  <c r="J123" i="4"/>
  <c r="O873" i="1"/>
  <c r="J122" i="4"/>
  <c r="O872" i="1"/>
  <c r="J318" i="5"/>
  <c r="J303" i="3"/>
  <c r="O871" i="1"/>
  <c r="J317" i="5"/>
  <c r="O870" i="1"/>
  <c r="J121" i="4"/>
  <c r="O869" i="1"/>
  <c r="B60" i="1" s="1"/>
  <c r="B9" i="4" s="1"/>
  <c r="O868" i="1"/>
  <c r="J316" i="5"/>
  <c r="O867" i="1"/>
  <c r="J302" i="3"/>
  <c r="O866" i="1"/>
  <c r="J301" i="3"/>
  <c r="O865" i="1"/>
  <c r="J315" i="5"/>
  <c r="O864" i="1"/>
  <c r="J314" i="5"/>
  <c r="J300" i="3"/>
  <c r="O863" i="1"/>
  <c r="O862" i="1"/>
  <c r="J299" i="3"/>
  <c r="J298" i="3"/>
  <c r="O861" i="1"/>
  <c r="O297" i="3"/>
  <c r="O296" i="3"/>
  <c r="O295" i="3"/>
  <c r="J313" i="5"/>
  <c r="O857" i="1"/>
  <c r="O294" i="3"/>
  <c r="O855" i="1"/>
  <c r="J312" i="5"/>
  <c r="O293" i="3"/>
  <c r="J311" i="5"/>
  <c r="O853" i="1"/>
  <c r="O852" i="1"/>
  <c r="J310" i="5"/>
  <c r="O851" i="1"/>
  <c r="J309" i="5"/>
  <c r="O136" i="2"/>
  <c r="O292" i="3"/>
  <c r="O848" i="1"/>
  <c r="J120" i="4"/>
  <c r="O847" i="1"/>
  <c r="J308" i="5"/>
  <c r="O846" i="1"/>
  <c r="J307" i="5"/>
  <c r="O845" i="1"/>
  <c r="J306" i="5"/>
  <c r="O844" i="1"/>
  <c r="J305" i="5"/>
  <c r="O291" i="3"/>
  <c r="O290" i="3"/>
  <c r="O841" i="1"/>
  <c r="J119" i="4"/>
  <c r="O840" i="1"/>
  <c r="J304" i="5"/>
  <c r="O289" i="3"/>
  <c r="O838" i="1"/>
  <c r="J118" i="4"/>
  <c r="J303" i="5"/>
  <c r="O837" i="1"/>
  <c r="O836" i="1"/>
  <c r="J302" i="5"/>
  <c r="J117" i="4"/>
  <c r="O835" i="1"/>
  <c r="O834" i="1"/>
  <c r="J301" i="5"/>
  <c r="J300" i="5"/>
  <c r="O833" i="1"/>
  <c r="O288" i="3"/>
  <c r="O831" i="1"/>
  <c r="J116" i="4"/>
  <c r="O830" i="1"/>
  <c r="J299" i="5"/>
  <c r="O287" i="3"/>
  <c r="J298" i="5"/>
  <c r="O828" i="1"/>
  <c r="J297" i="5"/>
  <c r="O827" i="1"/>
  <c r="O826" i="1"/>
  <c r="J296" i="5"/>
  <c r="O286" i="3"/>
  <c r="O285" i="3"/>
  <c r="O284" i="3"/>
  <c r="J295" i="5"/>
  <c r="O822" i="1"/>
  <c r="J294" i="5"/>
  <c r="O821" i="1"/>
  <c r="J115" i="4"/>
  <c r="O820" i="1"/>
  <c r="O283" i="3"/>
  <c r="O818" i="1"/>
  <c r="J293" i="5"/>
  <c r="O282" i="3"/>
  <c r="J114" i="4"/>
  <c r="O816" i="1"/>
  <c r="O281" i="3"/>
  <c r="J292" i="5"/>
  <c r="O814" i="1"/>
  <c r="O280" i="3"/>
  <c r="O812" i="1"/>
  <c r="J291" i="5"/>
  <c r="J290" i="5"/>
  <c r="O811" i="1"/>
  <c r="O810" i="1"/>
  <c r="J289" i="5"/>
  <c r="O279" i="3"/>
  <c r="J288" i="5"/>
  <c r="O808" i="1"/>
  <c r="O807" i="1"/>
  <c r="J113" i="4"/>
  <c r="O278" i="3"/>
  <c r="J112" i="4"/>
  <c r="O805" i="1"/>
  <c r="O277" i="3"/>
  <c r="O803" i="1"/>
  <c r="J287" i="5"/>
  <c r="O276" i="3"/>
  <c r="O801" i="1"/>
  <c r="J286" i="5"/>
  <c r="O800" i="1"/>
  <c r="J285" i="5"/>
  <c r="O275" i="3"/>
  <c r="O798" i="1"/>
  <c r="J284" i="5"/>
  <c r="O135" i="2"/>
  <c r="J283" i="5"/>
  <c r="O796" i="1"/>
  <c r="O795" i="1"/>
  <c r="J282" i="5"/>
  <c r="J111" i="4"/>
  <c r="O794" i="1"/>
  <c r="O274" i="3"/>
  <c r="O273" i="3"/>
  <c r="J281" i="5"/>
  <c r="O791" i="1"/>
  <c r="O790" i="1"/>
  <c r="J280" i="5"/>
  <c r="O272" i="3"/>
  <c r="J279" i="5"/>
  <c r="O788" i="1"/>
  <c r="O271" i="3"/>
  <c r="J278" i="5"/>
  <c r="O786" i="1"/>
  <c r="O110" i="4"/>
  <c r="B785" i="1"/>
  <c r="B110" i="4" s="1"/>
  <c r="J277" i="5"/>
  <c r="O784" i="1"/>
  <c r="O109" i="4"/>
  <c r="B783" i="1"/>
  <c r="B109" i="4" s="1"/>
  <c r="J276" i="5"/>
  <c r="O782" i="1"/>
  <c r="O781" i="1"/>
  <c r="J275" i="5"/>
  <c r="O270" i="3"/>
  <c r="O108" i="4"/>
  <c r="B779" i="1"/>
  <c r="B108" i="4" s="1"/>
  <c r="O778" i="1"/>
  <c r="J274" i="5"/>
  <c r="O777" i="1"/>
  <c r="J273" i="5"/>
  <c r="J272" i="5"/>
  <c r="O776" i="1"/>
  <c r="O107" i="4"/>
  <c r="B775" i="1"/>
  <c r="B107" i="4" s="1"/>
  <c r="J271" i="5"/>
  <c r="O774" i="1"/>
  <c r="O134" i="2"/>
  <c r="O269" i="3"/>
  <c r="J270" i="5"/>
  <c r="O771" i="1"/>
  <c r="O268" i="3"/>
  <c r="J269" i="5"/>
  <c r="O769" i="1"/>
  <c r="J268" i="5"/>
  <c r="O768" i="1"/>
  <c r="O267" i="3"/>
  <c r="O766" i="1"/>
  <c r="J267" i="5"/>
  <c r="O266" i="3"/>
  <c r="O764" i="1"/>
  <c r="J266" i="5"/>
  <c r="O763" i="1"/>
  <c r="J265" i="5"/>
  <c r="O265" i="3"/>
  <c r="O264" i="3"/>
  <c r="O760" i="1"/>
  <c r="J264" i="5"/>
  <c r="O759" i="1"/>
  <c r="J263" i="5"/>
  <c r="O263" i="3"/>
  <c r="O757" i="1"/>
  <c r="J262" i="5"/>
  <c r="O262" i="3"/>
  <c r="O261" i="3"/>
  <c r="O133" i="2"/>
  <c r="O132" i="2"/>
  <c r="J261" i="5"/>
  <c r="O752" i="1"/>
  <c r="O260" i="3"/>
  <c r="O750" i="1"/>
  <c r="J260" i="5"/>
  <c r="O749" i="1"/>
  <c r="J259" i="5"/>
  <c r="O748" i="1"/>
  <c r="J258" i="5"/>
  <c r="O747" i="1"/>
  <c r="J257" i="5"/>
  <c r="O746" i="1"/>
  <c r="J256" i="5"/>
  <c r="O131" i="2"/>
  <c r="O130" i="2"/>
  <c r="O106" i="4"/>
  <c r="B743" i="1"/>
  <c r="B106" i="4" s="1"/>
  <c r="J255" i="5"/>
  <c r="O742" i="1"/>
  <c r="O259" i="3"/>
  <c r="J254" i="5"/>
  <c r="O740" i="1"/>
  <c r="J253" i="5"/>
  <c r="O739" i="1"/>
  <c r="O105" i="4"/>
  <c r="B738" i="1"/>
  <c r="B105" i="4" s="1"/>
  <c r="O258" i="3"/>
  <c r="O736" i="1"/>
  <c r="J252" i="5"/>
  <c r="O735" i="1"/>
  <c r="J251" i="5"/>
  <c r="O104" i="4"/>
  <c r="B734" i="1"/>
  <c r="B104" i="4" s="1"/>
  <c r="O733" i="1"/>
  <c r="J250" i="5"/>
  <c r="O732" i="1"/>
  <c r="J249" i="5"/>
  <c r="J248" i="5"/>
  <c r="O731" i="1"/>
  <c r="O103" i="4"/>
  <c r="B730" i="1"/>
  <c r="B103" i="4" s="1"/>
  <c r="O257" i="3"/>
  <c r="J247" i="5"/>
  <c r="O728" i="1"/>
  <c r="J246" i="5"/>
  <c r="O727" i="1"/>
  <c r="O256" i="3"/>
  <c r="O725" i="1"/>
  <c r="J245" i="5"/>
  <c r="O102" i="4"/>
  <c r="B724" i="1"/>
  <c r="B102" i="4" s="1"/>
  <c r="O255" i="3"/>
  <c r="O254" i="3"/>
  <c r="O253" i="3"/>
  <c r="J244" i="5"/>
  <c r="O720" i="1"/>
  <c r="O252" i="3"/>
  <c r="O718" i="1"/>
  <c r="J243" i="5"/>
  <c r="O251" i="3"/>
  <c r="O250" i="3"/>
  <c r="O101" i="4"/>
  <c r="B715" i="1"/>
  <c r="B101" i="4" s="1"/>
  <c r="O714" i="1"/>
  <c r="J242" i="5"/>
  <c r="O249" i="3"/>
  <c r="O129" i="2"/>
  <c r="O128" i="2"/>
  <c r="O248" i="3"/>
  <c r="O709" i="1"/>
  <c r="J241" i="5"/>
  <c r="O247" i="3"/>
  <c r="O100" i="4"/>
  <c r="B707" i="1"/>
  <c r="B100" i="4" s="1"/>
  <c r="O706" i="1"/>
  <c r="J240" i="5"/>
  <c r="O705" i="1"/>
  <c r="J239" i="5"/>
  <c r="O704" i="1"/>
  <c r="J238" i="5"/>
  <c r="O99" i="4"/>
  <c r="B703" i="1"/>
  <c r="B99" i="4" s="1"/>
  <c r="J237" i="5"/>
  <c r="O702" i="1"/>
  <c r="O701" i="1"/>
  <c r="J236" i="5"/>
  <c r="O700" i="1"/>
  <c r="J235" i="5"/>
  <c r="O246" i="3"/>
  <c r="O698" i="1"/>
  <c r="J234" i="5"/>
  <c r="O697" i="1"/>
  <c r="J233" i="5"/>
  <c r="O696" i="1"/>
  <c r="J232" i="5"/>
  <c r="O127" i="2"/>
  <c r="O245" i="3"/>
  <c r="O244" i="3"/>
  <c r="O692" i="1"/>
  <c r="J231" i="5"/>
  <c r="O243" i="3"/>
  <c r="O242" i="3"/>
  <c r="O241" i="3"/>
  <c r="O240" i="3"/>
  <c r="O239" i="3"/>
  <c r="O98" i="4"/>
  <c r="B686" i="1"/>
  <c r="B98" i="4" s="1"/>
  <c r="O126" i="2"/>
  <c r="O238" i="3"/>
  <c r="O97" i="4"/>
  <c r="B683" i="1"/>
  <c r="B97" i="4" s="1"/>
  <c r="O125" i="2"/>
  <c r="O237" i="3"/>
  <c r="O236" i="3"/>
  <c r="O679" i="1"/>
  <c r="J230" i="5"/>
  <c r="O235" i="3"/>
  <c r="O234" i="3"/>
  <c r="O233" i="3"/>
  <c r="O96" i="4"/>
  <c r="B675" i="1"/>
  <c r="B96" i="4" s="1"/>
  <c r="O674" i="1"/>
  <c r="J229" i="5"/>
  <c r="O124" i="2"/>
  <c r="O95" i="4"/>
  <c r="B672" i="1"/>
  <c r="B95" i="4" s="1"/>
  <c r="O94" i="4"/>
  <c r="B671" i="1"/>
  <c r="B94" i="4" s="1"/>
  <c r="O232" i="3"/>
  <c r="O669" i="1"/>
  <c r="J228" i="5"/>
  <c r="O231" i="3"/>
  <c r="O667" i="1"/>
  <c r="J227" i="5"/>
  <c r="J226" i="5"/>
  <c r="O666" i="1"/>
  <c r="J225" i="5"/>
  <c r="O665" i="1"/>
  <c r="J224" i="5"/>
  <c r="O664" i="1"/>
  <c r="O663" i="1"/>
  <c r="J223" i="5"/>
  <c r="O230" i="3"/>
  <c r="O229" i="3"/>
  <c r="O660" i="1"/>
  <c r="J222" i="5"/>
  <c r="O123" i="2"/>
  <c r="O228" i="3"/>
  <c r="O227" i="3"/>
  <c r="O226" i="3"/>
  <c r="J221" i="5"/>
  <c r="O655" i="1"/>
  <c r="J220" i="5"/>
  <c r="O654" i="1"/>
  <c r="O653" i="1"/>
  <c r="J219" i="5"/>
  <c r="O93" i="4"/>
  <c r="O92" i="4"/>
  <c r="O225" i="3"/>
  <c r="O224" i="3"/>
  <c r="O223" i="3"/>
  <c r="O647" i="1"/>
  <c r="J218" i="5"/>
  <c r="O222" i="3"/>
  <c r="O122" i="2"/>
  <c r="O121" i="2"/>
  <c r="O221" i="3"/>
  <c r="O642" i="1"/>
  <c r="J217" i="5"/>
  <c r="O220" i="3"/>
  <c r="J216" i="5"/>
  <c r="O640" i="1"/>
  <c r="J215" i="5"/>
  <c r="O639" i="1"/>
  <c r="O219" i="3"/>
  <c r="J214" i="5"/>
  <c r="O637" i="1"/>
  <c r="O91" i="4"/>
  <c r="B636" i="1"/>
  <c r="B91" i="4" s="1"/>
  <c r="O218" i="3"/>
  <c r="J213" i="5"/>
  <c r="O634" i="1"/>
  <c r="O90" i="4"/>
  <c r="B633" i="1"/>
  <c r="B90" i="4" s="1"/>
  <c r="J212" i="5"/>
  <c r="O632" i="1"/>
  <c r="O89" i="4"/>
  <c r="B631" i="1"/>
  <c r="B89" i="4" s="1"/>
  <c r="O217" i="3"/>
  <c r="O629" i="1"/>
  <c r="J211" i="5"/>
  <c r="O216" i="3"/>
  <c r="O120" i="2"/>
  <c r="O626" i="1"/>
  <c r="J210" i="5"/>
  <c r="O625" i="1"/>
  <c r="J209" i="5"/>
  <c r="O624" i="1"/>
  <c r="J208" i="5"/>
  <c r="O119" i="2"/>
  <c r="O215" i="3"/>
  <c r="J207" i="5"/>
  <c r="O621" i="1"/>
  <c r="O214" i="3"/>
  <c r="J213" i="3"/>
  <c r="O619" i="1"/>
  <c r="J212" i="3"/>
  <c r="O618" i="1"/>
  <c r="J206" i="5"/>
  <c r="O617" i="1"/>
  <c r="O88" i="4"/>
  <c r="B616" i="1"/>
  <c r="B88" i="4" s="1"/>
  <c r="O615" i="1"/>
  <c r="J211" i="3"/>
  <c r="O614" i="1"/>
  <c r="J205" i="5"/>
  <c r="J204" i="5"/>
  <c r="O613" i="1"/>
  <c r="O87" i="4"/>
  <c r="B612" i="1"/>
  <c r="B87" i="4" s="1"/>
  <c r="O611" i="1"/>
  <c r="J203" i="5"/>
  <c r="O610" i="1"/>
  <c r="J202" i="5"/>
  <c r="O609" i="1"/>
  <c r="J210" i="3"/>
  <c r="O86" i="4"/>
  <c r="B608" i="1"/>
  <c r="B86" i="4" s="1"/>
  <c r="J201" i="5"/>
  <c r="O607" i="1"/>
  <c r="O118" i="2"/>
  <c r="J209" i="3"/>
  <c r="O605" i="1"/>
  <c r="O117" i="2"/>
  <c r="O603" i="1"/>
  <c r="J208" i="3"/>
  <c r="O602" i="1"/>
  <c r="J200" i="5"/>
  <c r="J199" i="5"/>
  <c r="O601" i="1"/>
  <c r="O600" i="1"/>
  <c r="J207" i="3"/>
  <c r="O599" i="1"/>
  <c r="J198" i="5"/>
  <c r="O598" i="1"/>
  <c r="J206" i="3"/>
  <c r="J205" i="3"/>
  <c r="O597" i="1"/>
  <c r="J204" i="3"/>
  <c r="O596" i="1"/>
  <c r="O85" i="4"/>
  <c r="B595" i="1"/>
  <c r="B85" i="4" s="1"/>
  <c r="J203" i="3"/>
  <c r="O594" i="1"/>
  <c r="O84" i="4"/>
  <c r="B593" i="1"/>
  <c r="B84" i="4" s="1"/>
  <c r="J197" i="5"/>
  <c r="O592" i="1"/>
  <c r="O591" i="1"/>
  <c r="J202" i="3"/>
  <c r="O590" i="1"/>
  <c r="J196" i="5"/>
  <c r="O83" i="4"/>
  <c r="B589" i="1"/>
  <c r="B83" i="4" s="1"/>
  <c r="O588" i="1"/>
  <c r="J201" i="3"/>
  <c r="O82" i="4"/>
  <c r="B587" i="1"/>
  <c r="B82" i="4" s="1"/>
  <c r="O586" i="1"/>
  <c r="J200" i="3"/>
  <c r="O585" i="1"/>
  <c r="J195" i="5"/>
  <c r="O584" i="1"/>
  <c r="J194" i="5"/>
  <c r="J199" i="3"/>
  <c r="O583" i="1"/>
  <c r="J198" i="3"/>
  <c r="O582" i="1"/>
  <c r="J193" i="5"/>
  <c r="O581" i="1"/>
  <c r="O81" i="4"/>
  <c r="B580" i="1"/>
  <c r="B81" i="4" s="1"/>
  <c r="J197" i="3"/>
  <c r="O579" i="1"/>
  <c r="J196" i="3"/>
  <c r="O578" i="1"/>
  <c r="O577" i="1"/>
  <c r="J195" i="3"/>
  <c r="O80" i="4"/>
  <c r="B576" i="1"/>
  <c r="B80" i="4" s="1"/>
  <c r="O575" i="1"/>
  <c r="J192" i="5"/>
  <c r="O116" i="2"/>
  <c r="O79" i="4"/>
  <c r="B573" i="1"/>
  <c r="B79" i="4" s="1"/>
  <c r="O572" i="1"/>
  <c r="J191" i="5"/>
  <c r="O571" i="1"/>
  <c r="J194" i="3"/>
  <c r="J190" i="5"/>
  <c r="O570" i="1"/>
  <c r="J193" i="3"/>
  <c r="O569" i="1"/>
  <c r="J189" i="5"/>
  <c r="O568" i="1"/>
  <c r="O115" i="2"/>
  <c r="O566" i="1"/>
  <c r="J192" i="3"/>
  <c r="O565" i="1"/>
  <c r="J188" i="5"/>
  <c r="J187" i="5"/>
  <c r="O564" i="1"/>
  <c r="O563" i="1"/>
  <c r="J191" i="3"/>
  <c r="O114" i="2"/>
  <c r="O561" i="1"/>
  <c r="J190" i="3"/>
  <c r="O560" i="1"/>
  <c r="J186" i="5"/>
  <c r="O78" i="4"/>
  <c r="B559" i="1"/>
  <c r="B78" i="4" s="1"/>
  <c r="J185" i="5"/>
  <c r="O558" i="1"/>
  <c r="O557" i="1"/>
  <c r="J184" i="5"/>
  <c r="O556" i="1"/>
  <c r="J183" i="5"/>
  <c r="O555" i="1"/>
  <c r="J182" i="5"/>
  <c r="O554" i="1"/>
  <c r="J181" i="5"/>
  <c r="O77" i="4"/>
  <c r="B553" i="1"/>
  <c r="B77" i="4" s="1"/>
  <c r="O552" i="1"/>
  <c r="J189" i="3"/>
  <c r="O551" i="1"/>
  <c r="J180" i="5"/>
  <c r="O550" i="1"/>
  <c r="J188" i="3"/>
  <c r="O549" i="1"/>
  <c r="J179" i="5"/>
  <c r="O76" i="4"/>
  <c r="B548" i="1"/>
  <c r="B76" i="4" s="1"/>
  <c r="O75" i="4"/>
  <c r="B547" i="1"/>
  <c r="B75" i="4" s="1"/>
  <c r="J187" i="3"/>
  <c r="O546" i="1"/>
  <c r="O113" i="2"/>
  <c r="O112" i="2"/>
  <c r="J178" i="5"/>
  <c r="O543" i="1"/>
  <c r="O74" i="4"/>
  <c r="B542" i="1"/>
  <c r="B74" i="4" s="1"/>
  <c r="O541" i="1"/>
  <c r="J186" i="3"/>
  <c r="O540" i="1"/>
  <c r="J177" i="5"/>
  <c r="O111" i="2"/>
  <c r="O110" i="2"/>
  <c r="O537" i="1"/>
  <c r="J176" i="5"/>
  <c r="O109" i="2"/>
  <c r="J185" i="3"/>
  <c r="O535" i="1"/>
  <c r="O73" i="4"/>
  <c r="B534" i="1"/>
  <c r="B73" i="4" s="1"/>
  <c r="O533" i="1"/>
  <c r="J175" i="5"/>
  <c r="O532" i="1"/>
  <c r="J174" i="5"/>
  <c r="O108" i="2"/>
  <c r="O530" i="1"/>
  <c r="J173" i="5"/>
  <c r="O72" i="4"/>
  <c r="B529" i="1"/>
  <c r="B72" i="4" s="1"/>
  <c r="O528" i="1"/>
  <c r="J184" i="3"/>
  <c r="J172" i="5"/>
  <c r="O527" i="1"/>
  <c r="J183" i="3"/>
  <c r="O526" i="1"/>
  <c r="J182" i="3"/>
  <c r="O525" i="1"/>
  <c r="O71" i="4"/>
  <c r="B524" i="1"/>
  <c r="B71" i="4" s="1"/>
  <c r="O70" i="4"/>
  <c r="B523" i="1"/>
  <c r="B70" i="4" s="1"/>
  <c r="J171" i="5"/>
  <c r="O522" i="1"/>
  <c r="J170" i="5"/>
  <c r="O521" i="1"/>
  <c r="O520" i="1"/>
  <c r="J181" i="3"/>
  <c r="O519" i="1"/>
  <c r="J169" i="5"/>
  <c r="O107" i="2"/>
  <c r="O517" i="1"/>
  <c r="J168" i="5"/>
  <c r="O516" i="1"/>
  <c r="J167" i="5"/>
  <c r="O515" i="1"/>
  <c r="J166" i="5"/>
  <c r="O514" i="1"/>
  <c r="J180" i="3"/>
  <c r="O513" i="1"/>
  <c r="J165" i="5"/>
  <c r="O512" i="1"/>
  <c r="J179" i="3"/>
  <c r="O511" i="1"/>
  <c r="J178" i="3"/>
  <c r="O510" i="1"/>
  <c r="J177" i="3"/>
  <c r="O509" i="1"/>
  <c r="J176" i="3"/>
  <c r="J175" i="3"/>
  <c r="O508" i="1"/>
  <c r="O507" i="1"/>
  <c r="J164" i="5"/>
  <c r="O506" i="1"/>
  <c r="J163" i="5"/>
  <c r="J174" i="3"/>
  <c r="O505" i="1"/>
  <c r="J173" i="3"/>
  <c r="O504" i="1"/>
  <c r="O69" i="4"/>
  <c r="B503" i="1"/>
  <c r="B69" i="4" s="1"/>
  <c r="O68" i="4"/>
  <c r="B502" i="1"/>
  <c r="B68" i="4" s="1"/>
  <c r="O67" i="4"/>
  <c r="B501" i="1"/>
  <c r="B67" i="4" s="1"/>
  <c r="J172" i="3"/>
  <c r="O500" i="1"/>
  <c r="O499" i="1"/>
  <c r="J162" i="5"/>
  <c r="O498" i="1"/>
  <c r="J171" i="3"/>
  <c r="O497" i="1"/>
  <c r="J161" i="5"/>
  <c r="J160" i="5"/>
  <c r="O496" i="1"/>
  <c r="O495" i="1"/>
  <c r="J159" i="5"/>
  <c r="O494" i="1"/>
  <c r="J158" i="5"/>
  <c r="J170" i="3"/>
  <c r="O493" i="1"/>
  <c r="O492" i="1"/>
  <c r="J157" i="5"/>
  <c r="O106" i="2"/>
  <c r="J169" i="3"/>
  <c r="O490" i="1"/>
  <c r="O489" i="1"/>
  <c r="J156" i="5"/>
  <c r="J155" i="5"/>
  <c r="O488" i="1"/>
  <c r="J154" i="5"/>
  <c r="O487" i="1"/>
  <c r="O486" i="1"/>
  <c r="J168" i="3"/>
  <c r="O105" i="2"/>
  <c r="O484" i="1"/>
  <c r="J153" i="5"/>
  <c r="O483" i="1"/>
  <c r="J152" i="5"/>
  <c r="J167" i="3"/>
  <c r="O482" i="1"/>
  <c r="J166" i="3"/>
  <c r="O481" i="1"/>
  <c r="J151" i="5"/>
  <c r="O480" i="1"/>
  <c r="O66" i="4"/>
  <c r="B479" i="1"/>
  <c r="B66" i="4" s="1"/>
  <c r="J165" i="3"/>
  <c r="O478" i="1"/>
  <c r="J164" i="3"/>
  <c r="O477" i="1"/>
  <c r="J163" i="3"/>
  <c r="O476" i="1"/>
  <c r="O475" i="1"/>
  <c r="J150" i="5"/>
  <c r="O104" i="2"/>
  <c r="O473" i="1"/>
  <c r="J149" i="5"/>
  <c r="O472" i="1"/>
  <c r="J148" i="5"/>
  <c r="O103" i="2"/>
  <c r="J147" i="5"/>
  <c r="O470" i="1"/>
  <c r="J146" i="5"/>
  <c r="O469" i="1"/>
  <c r="O65" i="4"/>
  <c r="B468" i="1"/>
  <c r="B65" i="4" s="1"/>
  <c r="J162" i="3"/>
  <c r="O467" i="1"/>
  <c r="O102" i="2"/>
  <c r="O465" i="1"/>
  <c r="J145" i="5"/>
  <c r="O64" i="4"/>
  <c r="B464" i="1"/>
  <c r="B64" i="4" s="1"/>
  <c r="O463" i="1"/>
  <c r="J144" i="5"/>
  <c r="O462" i="1"/>
  <c r="J143" i="5"/>
  <c r="O101" i="2"/>
  <c r="O460" i="1"/>
  <c r="J161" i="3"/>
  <c r="J160" i="3"/>
  <c r="O459" i="1"/>
  <c r="O100" i="2"/>
  <c r="O457" i="1"/>
  <c r="J159" i="3"/>
  <c r="J158" i="3"/>
  <c r="O456" i="1"/>
  <c r="O455" i="1"/>
  <c r="J157" i="3"/>
  <c r="J142" i="5"/>
  <c r="O454" i="1"/>
  <c r="O63" i="4"/>
  <c r="B453" i="1"/>
  <c r="B63" i="4" s="1"/>
  <c r="J141" i="5"/>
  <c r="O452" i="1"/>
  <c r="J140" i="5"/>
  <c r="O451" i="1"/>
  <c r="J156" i="3"/>
  <c r="O450" i="1"/>
  <c r="J139" i="5"/>
  <c r="O449" i="1"/>
  <c r="J155" i="3"/>
  <c r="O448" i="1"/>
  <c r="O447" i="1"/>
  <c r="J154" i="3"/>
  <c r="J153" i="3"/>
  <c r="O446" i="1"/>
  <c r="J138" i="5"/>
  <c r="O445" i="1"/>
  <c r="J152" i="3"/>
  <c r="O444" i="1"/>
  <c r="J137" i="5"/>
  <c r="O443" i="1"/>
  <c r="O62" i="4"/>
  <c r="J151" i="3"/>
  <c r="O441" i="1"/>
  <c r="J150" i="3"/>
  <c r="O440" i="1"/>
  <c r="J136" i="5"/>
  <c r="O439" i="1"/>
  <c r="J135" i="5"/>
  <c r="O438" i="1"/>
  <c r="O437" i="1"/>
  <c r="J149" i="3"/>
  <c r="O436" i="1"/>
  <c r="J134" i="5"/>
  <c r="O148" i="3"/>
  <c r="O434" i="1"/>
  <c r="J133" i="5"/>
  <c r="O433" i="1"/>
  <c r="J132" i="5"/>
  <c r="O147" i="3"/>
  <c r="O61" i="4"/>
  <c r="O99" i="2"/>
  <c r="O98" i="2"/>
  <c r="O428" i="1"/>
  <c r="J131" i="5"/>
  <c r="O427" i="1"/>
  <c r="J130" i="5"/>
  <c r="O97" i="2"/>
  <c r="O60" i="4"/>
  <c r="B425" i="1"/>
  <c r="B60" i="4" s="1"/>
  <c r="O424" i="1"/>
  <c r="J129" i="5"/>
  <c r="J128" i="5"/>
  <c r="O423" i="1"/>
  <c r="O146" i="3"/>
  <c r="O145" i="3"/>
  <c r="O96" i="2"/>
  <c r="O419" i="1"/>
  <c r="J127" i="5"/>
  <c r="O95" i="2"/>
  <c r="O144" i="3"/>
  <c r="O143" i="3"/>
  <c r="O59" i="4"/>
  <c r="B415" i="1"/>
  <c r="B59" i="4" s="1"/>
  <c r="O414" i="1"/>
  <c r="J126" i="5"/>
  <c r="O413" i="1"/>
  <c r="J125" i="5"/>
  <c r="O58" i="4"/>
  <c r="B412" i="1"/>
  <c r="B58" i="4" s="1"/>
  <c r="O411" i="1"/>
  <c r="J124" i="5"/>
  <c r="J123" i="5"/>
  <c r="O410" i="1"/>
  <c r="O142" i="3"/>
  <c r="J122" i="5"/>
  <c r="O408" i="1"/>
  <c r="O141" i="3"/>
  <c r="O140" i="3"/>
  <c r="J121" i="5"/>
  <c r="O405" i="1"/>
  <c r="O139" i="3"/>
  <c r="O403" i="1"/>
  <c r="J120" i="5"/>
  <c r="O94" i="2"/>
  <c r="O138" i="3"/>
  <c r="J119" i="5"/>
  <c r="O400" i="1"/>
  <c r="O57" i="4"/>
  <c r="B399" i="1"/>
  <c r="B57" i="4" s="1"/>
  <c r="O93" i="2"/>
  <c r="O56" i="4"/>
  <c r="B397" i="1"/>
  <c r="B56" i="4" s="1"/>
  <c r="O92" i="2"/>
  <c r="O91" i="2"/>
  <c r="O394" i="1"/>
  <c r="J118" i="5"/>
  <c r="O137" i="3"/>
  <c r="B393" i="1"/>
  <c r="B137" i="3" s="1"/>
  <c r="O55" i="4"/>
  <c r="B392" i="1"/>
  <c r="B55" i="4" s="1"/>
  <c r="J117" i="5"/>
  <c r="O391" i="1"/>
  <c r="O136" i="3"/>
  <c r="B390" i="1"/>
  <c r="B136" i="3" s="1"/>
  <c r="J116" i="5"/>
  <c r="O389" i="1"/>
  <c r="O90" i="2"/>
  <c r="J115" i="5"/>
  <c r="O387" i="1"/>
  <c r="O89" i="2"/>
  <c r="J114" i="5"/>
  <c r="O385" i="1"/>
  <c r="O88" i="2"/>
  <c r="J113" i="5"/>
  <c r="O383" i="1"/>
  <c r="O87" i="2"/>
  <c r="O86" i="2"/>
  <c r="O135" i="3"/>
  <c r="B380" i="1"/>
  <c r="B135" i="3" s="1"/>
  <c r="O54" i="4"/>
  <c r="B379" i="1"/>
  <c r="B54" i="4" s="1"/>
  <c r="O378" i="1"/>
  <c r="J85" i="2"/>
  <c r="O134" i="3"/>
  <c r="B377" i="1"/>
  <c r="B134" i="3" s="1"/>
  <c r="J112" i="5"/>
  <c r="O376" i="1"/>
  <c r="J111" i="5"/>
  <c r="O375" i="1"/>
  <c r="J110" i="5"/>
  <c r="O374" i="1"/>
  <c r="J109" i="5"/>
  <c r="O373" i="1"/>
  <c r="J84" i="2"/>
  <c r="O372" i="1"/>
  <c r="O371" i="1"/>
  <c r="J83" i="2"/>
  <c r="O133" i="3"/>
  <c r="B370" i="1"/>
  <c r="B133" i="3" s="1"/>
  <c r="O369" i="1"/>
  <c r="J108" i="5"/>
  <c r="J107" i="5"/>
  <c r="O368" i="1"/>
  <c r="O132" i="3"/>
  <c r="B367" i="1"/>
  <c r="B132" i="3" s="1"/>
  <c r="O131" i="3"/>
  <c r="B366" i="1"/>
  <c r="B131" i="3" s="1"/>
  <c r="O365" i="1"/>
  <c r="J106" i="5"/>
  <c r="O130" i="3"/>
  <c r="B364" i="1"/>
  <c r="B130" i="3" s="1"/>
  <c r="J105" i="5"/>
  <c r="O363" i="1"/>
  <c r="O129" i="3"/>
  <c r="B362" i="1"/>
  <c r="B129" i="3" s="1"/>
  <c r="J82" i="2"/>
  <c r="O361" i="1"/>
  <c r="O360" i="1"/>
  <c r="J104" i="5"/>
  <c r="J81" i="2"/>
  <c r="O359" i="1"/>
  <c r="O358" i="1"/>
  <c r="J103" i="5"/>
  <c r="J80" i="2"/>
  <c r="O357" i="1"/>
  <c r="O356" i="1"/>
  <c r="J79" i="2"/>
  <c r="J102" i="5"/>
  <c r="O355" i="1"/>
  <c r="J101" i="5"/>
  <c r="O354" i="1"/>
  <c r="O353" i="1"/>
  <c r="J78" i="2"/>
  <c r="O352" i="1"/>
  <c r="J77" i="2"/>
  <c r="O128" i="3"/>
  <c r="B351" i="1"/>
  <c r="B128" i="3" s="1"/>
  <c r="O53" i="4"/>
  <c r="B350" i="1"/>
  <c r="B53" i="4" s="1"/>
  <c r="J100" i="5"/>
  <c r="O349" i="1"/>
  <c r="O127" i="3"/>
  <c r="B348" i="1"/>
  <c r="B127" i="3" s="1"/>
  <c r="O52" i="4"/>
  <c r="B347" i="1"/>
  <c r="B52" i="4" s="1"/>
  <c r="J99" i="5"/>
  <c r="O346" i="1"/>
  <c r="O51" i="4"/>
  <c r="O126" i="3"/>
  <c r="O125" i="3"/>
  <c r="J98" i="5"/>
  <c r="O342" i="1"/>
  <c r="O50" i="4"/>
  <c r="O124" i="3"/>
  <c r="O339" i="1"/>
  <c r="J97" i="5"/>
  <c r="J96" i="5"/>
  <c r="O338" i="1"/>
  <c r="J95" i="5"/>
  <c r="O337" i="1"/>
  <c r="J76" i="2"/>
  <c r="O336" i="1"/>
  <c r="O123" i="3"/>
  <c r="O334" i="1"/>
  <c r="J75" i="2"/>
  <c r="O49" i="4"/>
  <c r="B333" i="1"/>
  <c r="B49" i="4" s="1"/>
  <c r="O332" i="1"/>
  <c r="J74" i="2"/>
  <c r="O331" i="1"/>
  <c r="J73" i="2"/>
  <c r="J72" i="2"/>
  <c r="O330" i="1"/>
  <c r="O122" i="3"/>
  <c r="J94" i="5"/>
  <c r="O328" i="1"/>
  <c r="O121" i="3"/>
  <c r="J71" i="2"/>
  <c r="O326" i="1"/>
  <c r="O120" i="3"/>
  <c r="J93" i="5"/>
  <c r="O324" i="1"/>
  <c r="O48" i="4"/>
  <c r="B323" i="1"/>
  <c r="B48" i="4" s="1"/>
  <c r="J70" i="2"/>
  <c r="O322" i="1"/>
  <c r="O321" i="1"/>
  <c r="J92" i="5"/>
  <c r="O320" i="1"/>
  <c r="J91" i="5"/>
  <c r="O319" i="1"/>
  <c r="J90" i="5"/>
  <c r="O318" i="1"/>
  <c r="J89" i="5"/>
  <c r="J69" i="2"/>
  <c r="O317" i="1"/>
  <c r="O119" i="3"/>
  <c r="O315" i="1"/>
  <c r="J88" i="5"/>
  <c r="O118" i="3"/>
  <c r="O313" i="1"/>
  <c r="J87" i="5"/>
  <c r="O47" i="4"/>
  <c r="B312" i="1"/>
  <c r="B47" i="4" s="1"/>
  <c r="O117" i="3"/>
  <c r="O46" i="4"/>
  <c r="B310" i="1"/>
  <c r="B46" i="4" s="1"/>
  <c r="O45" i="4"/>
  <c r="B309" i="1"/>
  <c r="B45" i="4" s="1"/>
  <c r="O116" i="3"/>
  <c r="O115" i="3"/>
  <c r="O44" i="4"/>
  <c r="B306" i="1"/>
  <c r="B44" i="4" s="1"/>
  <c r="J86" i="5"/>
  <c r="O305" i="1"/>
  <c r="J85" i="5"/>
  <c r="O304" i="1"/>
  <c r="O43" i="4"/>
  <c r="B303" i="1"/>
  <c r="B43" i="4" s="1"/>
  <c r="J84" i="5"/>
  <c r="O302" i="1"/>
  <c r="J83" i="5"/>
  <c r="O301" i="1"/>
  <c r="O114" i="3"/>
  <c r="O113" i="3"/>
  <c r="O298" i="1"/>
  <c r="J82" i="5"/>
  <c r="J68" i="2"/>
  <c r="O297" i="1"/>
  <c r="J81" i="5"/>
  <c r="O296" i="1"/>
  <c r="O295" i="1"/>
  <c r="J80" i="5"/>
  <c r="J79" i="5"/>
  <c r="O294" i="1"/>
  <c r="O67" i="2"/>
  <c r="O292" i="1"/>
  <c r="J78" i="5"/>
  <c r="O291" i="1"/>
  <c r="J77" i="5"/>
  <c r="O112" i="3"/>
  <c r="J76" i="5"/>
  <c r="O289" i="1"/>
  <c r="O111" i="3"/>
  <c r="O110" i="3"/>
  <c r="O42" i="4"/>
  <c r="B286" i="1"/>
  <c r="B42" i="4" s="1"/>
  <c r="O285" i="1"/>
  <c r="J75" i="5"/>
  <c r="O284" i="1"/>
  <c r="J74" i="5"/>
  <c r="J73" i="5"/>
  <c r="O283" i="1"/>
  <c r="O66" i="2"/>
  <c r="O109" i="3"/>
  <c r="B281" i="1"/>
  <c r="B109" i="3" s="1"/>
  <c r="O280" i="1"/>
  <c r="J72" i="5"/>
  <c r="O65" i="2"/>
  <c r="B279" i="1"/>
  <c r="B65" i="2" s="1"/>
  <c r="O64" i="2"/>
  <c r="B278" i="1"/>
  <c r="B64" i="2" s="1"/>
  <c r="O277" i="1"/>
  <c r="J71" i="5"/>
  <c r="O63" i="2"/>
  <c r="B276" i="1"/>
  <c r="B63" i="2" s="1"/>
  <c r="O108" i="3"/>
  <c r="B275" i="1"/>
  <c r="B108" i="3" s="1"/>
  <c r="O107" i="3"/>
  <c r="B274" i="1"/>
  <c r="B107" i="3" s="1"/>
  <c r="O273" i="1"/>
  <c r="J70" i="5"/>
  <c r="J69" i="5"/>
  <c r="O272" i="1"/>
  <c r="J68" i="5"/>
  <c r="O271" i="1"/>
  <c r="O106" i="3"/>
  <c r="B270" i="1"/>
  <c r="B106" i="3" s="1"/>
  <c r="J67" i="5"/>
  <c r="O269" i="1"/>
  <c r="J66" i="5"/>
  <c r="O268" i="1"/>
  <c r="O62" i="2"/>
  <c r="B267" i="1"/>
  <c r="B62" i="2" s="1"/>
  <c r="O41" i="4"/>
  <c r="B266" i="1"/>
  <c r="B41" i="4" s="1"/>
  <c r="O105" i="3"/>
  <c r="B265" i="1"/>
  <c r="B105" i="3" s="1"/>
  <c r="O61" i="2"/>
  <c r="B264" i="1"/>
  <c r="B61" i="2" s="1"/>
  <c r="O40" i="4"/>
  <c r="B263" i="1"/>
  <c r="B40" i="4" s="1"/>
  <c r="O262" i="1"/>
  <c r="J65" i="5"/>
  <c r="O104" i="3"/>
  <c r="B261" i="1"/>
  <c r="B104" i="3" s="1"/>
  <c r="O103" i="3"/>
  <c r="B260" i="1"/>
  <c r="B103" i="3" s="1"/>
  <c r="O102" i="3"/>
  <c r="B259" i="1"/>
  <c r="B102" i="3" s="1"/>
  <c r="O39" i="4"/>
  <c r="A258" i="1"/>
  <c r="A39" i="4" s="1"/>
  <c r="B258" i="1"/>
  <c r="B39" i="4" s="1"/>
  <c r="O60" i="2"/>
  <c r="A257" i="1"/>
  <c r="A60" i="2" s="1"/>
  <c r="B257" i="1"/>
  <c r="B60" i="2" s="1"/>
  <c r="O38" i="4"/>
  <c r="B256" i="1"/>
  <c r="B38" i="4" s="1"/>
  <c r="O59" i="2"/>
  <c r="A255" i="1"/>
  <c r="A59" i="2" s="1"/>
  <c r="B255" i="1"/>
  <c r="B59" i="2" s="1"/>
  <c r="O254" i="1"/>
  <c r="J64" i="5"/>
  <c r="O253" i="1"/>
  <c r="J63" i="5"/>
  <c r="O101" i="3"/>
  <c r="A252" i="1"/>
  <c r="A101" i="3" s="1"/>
  <c r="B252" i="1"/>
  <c r="B101" i="3" s="1"/>
  <c r="O100" i="3"/>
  <c r="J62" i="5"/>
  <c r="O250" i="1"/>
  <c r="O99" i="3"/>
  <c r="O98" i="3"/>
  <c r="O97" i="3"/>
  <c r="O96" i="3"/>
  <c r="O37" i="4"/>
  <c r="O95" i="3"/>
  <c r="O243" i="1"/>
  <c r="J61" i="5"/>
  <c r="O94" i="3"/>
  <c r="O58" i="2"/>
  <c r="O240" i="1"/>
  <c r="J60" i="5"/>
  <c r="O239" i="1"/>
  <c r="J59" i="5"/>
  <c r="O93" i="3"/>
  <c r="O92" i="3"/>
  <c r="O91" i="3"/>
  <c r="J58" i="5"/>
  <c r="O235" i="1"/>
  <c r="O90" i="3"/>
  <c r="O57" i="2"/>
  <c r="O89" i="3"/>
  <c r="O36" i="4"/>
  <c r="B231" i="1"/>
  <c r="B36" i="4" s="1"/>
  <c r="O88" i="3"/>
  <c r="O56" i="2"/>
  <c r="O87" i="3"/>
  <c r="O55" i="2"/>
  <c r="O54" i="2"/>
  <c r="O53" i="2"/>
  <c r="J57" i="5"/>
  <c r="O224" i="1"/>
  <c r="O86" i="3"/>
  <c r="J56" i="5"/>
  <c r="O222" i="1"/>
  <c r="O85" i="3"/>
  <c r="O35" i="4"/>
  <c r="B220" i="1"/>
  <c r="B35" i="4" s="1"/>
  <c r="O52" i="2"/>
  <c r="O51" i="2"/>
  <c r="J55" i="5"/>
  <c r="O217" i="1"/>
  <c r="O50" i="2"/>
  <c r="O49" i="2"/>
  <c r="J54" i="5"/>
  <c r="O214" i="1"/>
  <c r="J53" i="5"/>
  <c r="O213" i="1"/>
  <c r="O84" i="3"/>
  <c r="O83" i="3"/>
  <c r="O210" i="1"/>
  <c r="J52" i="5"/>
  <c r="O82" i="3"/>
  <c r="O48" i="2"/>
  <c r="O81" i="3"/>
  <c r="O80" i="3"/>
  <c r="O47" i="2"/>
  <c r="O34" i="4"/>
  <c r="B204" i="1"/>
  <c r="B34" i="4" s="1"/>
  <c r="O203" i="1"/>
  <c r="J79" i="3"/>
  <c r="O33" i="4"/>
  <c r="B202" i="1"/>
  <c r="B33" i="4" s="1"/>
  <c r="O201" i="1"/>
  <c r="J78" i="3"/>
  <c r="O32" i="4"/>
  <c r="B200" i="1"/>
  <c r="B32" i="4" s="1"/>
  <c r="J77" i="3"/>
  <c r="O199" i="1"/>
  <c r="O46" i="2"/>
  <c r="O31" i="4"/>
  <c r="B197" i="1"/>
  <c r="B31" i="4" s="1"/>
  <c r="O196" i="1"/>
  <c r="J76" i="3"/>
  <c r="J75" i="3"/>
  <c r="O195" i="1"/>
  <c r="O45" i="2"/>
  <c r="O44" i="2"/>
  <c r="O30" i="4"/>
  <c r="B192" i="1"/>
  <c r="B30" i="4" s="1"/>
  <c r="J51" i="5"/>
  <c r="O191" i="1"/>
  <c r="O190" i="1"/>
  <c r="J50" i="5"/>
  <c r="O29" i="4"/>
  <c r="B189" i="1"/>
  <c r="B29" i="4" s="1"/>
  <c r="O188" i="1"/>
  <c r="J49" i="5"/>
  <c r="O187" i="1"/>
  <c r="J74" i="3"/>
  <c r="O186" i="1"/>
  <c r="J73" i="3"/>
  <c r="O43" i="2"/>
  <c r="J48" i="5"/>
  <c r="O184" i="1"/>
  <c r="O42" i="2"/>
  <c r="J72" i="3"/>
  <c r="O182" i="1"/>
  <c r="O181" i="1"/>
  <c r="J47" i="5"/>
  <c r="O28" i="4"/>
  <c r="B180" i="1"/>
  <c r="B28" i="4" s="1"/>
  <c r="J71" i="3"/>
  <c r="O179" i="1"/>
  <c r="O178" i="1"/>
  <c r="J70" i="3"/>
  <c r="O177" i="1"/>
  <c r="J46" i="5"/>
  <c r="O41" i="2"/>
  <c r="O175" i="1"/>
  <c r="J45" i="5"/>
  <c r="O40" i="2"/>
  <c r="O27" i="4"/>
  <c r="B173" i="1"/>
  <c r="B27" i="4" s="1"/>
  <c r="O172" i="1"/>
  <c r="J69" i="3"/>
  <c r="O171" i="1"/>
  <c r="J44" i="5"/>
  <c r="O170" i="1"/>
  <c r="J68" i="3"/>
  <c r="O169" i="1"/>
  <c r="J43" i="5"/>
  <c r="O26" i="4"/>
  <c r="B168" i="1"/>
  <c r="B26" i="4" s="1"/>
  <c r="O25" i="4"/>
  <c r="B167" i="1"/>
  <c r="B25" i="4" s="1"/>
  <c r="J42" i="5"/>
  <c r="O166" i="1"/>
  <c r="J67" i="3"/>
  <c r="O165" i="1"/>
  <c r="O24" i="4"/>
  <c r="B164" i="1"/>
  <c r="B24" i="4" s="1"/>
  <c r="O163" i="1"/>
  <c r="J66" i="3"/>
  <c r="O39" i="2"/>
  <c r="O23" i="4"/>
  <c r="O22" i="4"/>
  <c r="J41" i="5"/>
  <c r="O159" i="1"/>
  <c r="J40" i="5"/>
  <c r="O158" i="1"/>
  <c r="O157" i="1"/>
  <c r="J65" i="3"/>
  <c r="O156" i="1"/>
  <c r="J64" i="3"/>
  <c r="O155" i="1"/>
  <c r="J63" i="3"/>
  <c r="O154" i="1"/>
  <c r="J62" i="3"/>
  <c r="O38" i="2"/>
  <c r="O152" i="1"/>
  <c r="J61" i="3"/>
  <c r="O37" i="2"/>
  <c r="J39" i="5"/>
  <c r="O150" i="1"/>
  <c r="J38" i="5"/>
  <c r="O149" i="1"/>
  <c r="O21" i="4"/>
  <c r="B148" i="1"/>
  <c r="B21" i="4" s="1"/>
  <c r="O36" i="2"/>
  <c r="O146" i="1"/>
  <c r="J37" i="5"/>
  <c r="O60" i="3"/>
  <c r="O20" i="4"/>
  <c r="B144" i="1"/>
  <c r="B20" i="4" s="1"/>
  <c r="O59" i="3"/>
  <c r="J36" i="5"/>
  <c r="O142" i="1"/>
  <c r="O58" i="3"/>
  <c r="J35" i="5"/>
  <c r="O140" i="1"/>
  <c r="O19" i="4"/>
  <c r="B139" i="1"/>
  <c r="B19" i="4" s="1"/>
  <c r="O138" i="1"/>
  <c r="J34" i="5"/>
  <c r="O57" i="3"/>
  <c r="O35" i="2"/>
  <c r="O56" i="3"/>
  <c r="O55" i="3"/>
  <c r="O54" i="3"/>
  <c r="O53" i="3"/>
  <c r="O18" i="4"/>
  <c r="B131" i="1"/>
  <c r="B18" i="4" s="1"/>
  <c r="O130" i="1"/>
  <c r="J33" i="5"/>
  <c r="O129" i="1"/>
  <c r="J32" i="5"/>
  <c r="O17" i="4"/>
  <c r="B128" i="1"/>
  <c r="B17" i="4" s="1"/>
  <c r="O52" i="3"/>
  <c r="J31" i="5"/>
  <c r="O126" i="1"/>
  <c r="O125" i="1"/>
  <c r="J30" i="5"/>
  <c r="O124" i="1"/>
  <c r="J29" i="5"/>
  <c r="O51" i="3"/>
  <c r="O34" i="2"/>
  <c r="O50" i="3"/>
  <c r="O49" i="3"/>
  <c r="O48" i="3"/>
  <c r="O33" i="2"/>
  <c r="O47" i="3"/>
  <c r="O32" i="2"/>
  <c r="O46" i="3"/>
  <c r="O31" i="2"/>
  <c r="O16" i="4"/>
  <c r="B113" i="1"/>
  <c r="B16" i="4" s="1"/>
  <c r="O30" i="2"/>
  <c r="O15" i="4"/>
  <c r="B111" i="1"/>
  <c r="B15" i="4" s="1"/>
  <c r="O29" i="2"/>
  <c r="J28" i="5"/>
  <c r="O109" i="1"/>
  <c r="O108" i="1"/>
  <c r="J27" i="5"/>
  <c r="O45" i="3"/>
  <c r="O44" i="3"/>
  <c r="O14" i="4"/>
  <c r="B105" i="1"/>
  <c r="B14" i="4" s="1"/>
  <c r="O13" i="4"/>
  <c r="B104" i="1"/>
  <c r="B13" i="4" s="1"/>
  <c r="O43" i="3"/>
  <c r="B103" i="1"/>
  <c r="B43" i="3" s="1"/>
  <c r="J26" i="5"/>
  <c r="O102" i="1"/>
  <c r="O28" i="2"/>
  <c r="O27" i="2"/>
  <c r="O99" i="1"/>
  <c r="J25" i="5"/>
  <c r="O42" i="3"/>
  <c r="B98" i="1"/>
  <c r="B42" i="3" s="1"/>
  <c r="O41" i="3"/>
  <c r="B97" i="1"/>
  <c r="B41" i="3" s="1"/>
  <c r="O40" i="3"/>
  <c r="B96" i="1"/>
  <c r="B40" i="3" s="1"/>
  <c r="O39" i="3"/>
  <c r="B95" i="1"/>
  <c r="B39" i="3" s="1"/>
  <c r="O26" i="2"/>
  <c r="B94" i="1"/>
  <c r="B26" i="2" s="1"/>
  <c r="O25" i="2"/>
  <c r="B93" i="1"/>
  <c r="B25" i="2" s="1"/>
  <c r="O92" i="1"/>
  <c r="J24" i="5"/>
  <c r="O38" i="3"/>
  <c r="B91" i="1"/>
  <c r="B38" i="3" s="1"/>
  <c r="O37" i="3"/>
  <c r="B90" i="1"/>
  <c r="B37" i="3" s="1"/>
  <c r="O36" i="3"/>
  <c r="B89" i="1"/>
  <c r="B36" i="3" s="1"/>
  <c r="O24" i="2"/>
  <c r="B88" i="1"/>
  <c r="B24" i="2" s="1"/>
  <c r="J23" i="5"/>
  <c r="O87" i="1"/>
  <c r="O23" i="2"/>
  <c r="B86" i="1"/>
  <c r="B23" i="2" s="1"/>
  <c r="O35" i="3"/>
  <c r="B85" i="1"/>
  <c r="B35" i="3" s="1"/>
  <c r="O34" i="3"/>
  <c r="B84" i="1"/>
  <c r="B34" i="3" s="1"/>
  <c r="O22" i="2"/>
  <c r="A83" i="1"/>
  <c r="A22" i="2" s="1"/>
  <c r="B83" i="1"/>
  <c r="B22" i="2" s="1"/>
  <c r="O33" i="3"/>
  <c r="A82" i="1"/>
  <c r="A33" i="3" s="1"/>
  <c r="B82" i="1"/>
  <c r="B33" i="3" s="1"/>
  <c r="O81" i="1"/>
  <c r="J22" i="5"/>
  <c r="O32" i="3"/>
  <c r="O21" i="2"/>
  <c r="O31" i="3"/>
  <c r="J21" i="5"/>
  <c r="O77" i="1"/>
  <c r="O12" i="4"/>
  <c r="O75" i="1"/>
  <c r="J20" i="5"/>
  <c r="O30" i="3"/>
  <c r="O29" i="3"/>
  <c r="O28" i="3"/>
  <c r="O20" i="2"/>
  <c r="O19" i="2"/>
  <c r="O11" i="4"/>
  <c r="J19" i="5"/>
  <c r="O68" i="1"/>
  <c r="O27" i="3"/>
  <c r="O26" i="3"/>
  <c r="O25" i="3"/>
  <c r="O18" i="2"/>
  <c r="O17" i="2"/>
  <c r="O10" i="4"/>
  <c r="O24" i="3"/>
  <c r="O9" i="4"/>
  <c r="O59" i="1"/>
  <c r="J18" i="5"/>
  <c r="O8" i="4"/>
  <c r="B58" i="1"/>
  <c r="B8" i="4" s="1"/>
  <c r="O16" i="2"/>
  <c r="J17" i="5"/>
  <c r="O56" i="1"/>
  <c r="O55" i="1"/>
  <c r="J16" i="5"/>
  <c r="O23" i="3"/>
  <c r="O53" i="1"/>
  <c r="J15" i="5"/>
  <c r="O22" i="3"/>
  <c r="O15" i="2"/>
  <c r="O21" i="3"/>
  <c r="O20" i="3"/>
  <c r="O14" i="2"/>
  <c r="O13" i="2"/>
  <c r="O19" i="3"/>
  <c r="O18" i="3"/>
  <c r="O12" i="2"/>
  <c r="O11" i="2"/>
  <c r="J14" i="5"/>
  <c r="O42" i="1"/>
  <c r="J13" i="5"/>
  <c r="O41" i="1"/>
  <c r="J12" i="5"/>
  <c r="O40" i="1"/>
  <c r="O17" i="3"/>
  <c r="J11" i="5"/>
  <c r="O38" i="1"/>
  <c r="O7" i="4"/>
  <c r="B37" i="1"/>
  <c r="B7" i="4" s="1"/>
  <c r="J10" i="5"/>
  <c r="O36" i="1"/>
  <c r="O16" i="3"/>
  <c r="O10" i="2"/>
  <c r="O33" i="1"/>
  <c r="J9" i="5"/>
  <c r="O9" i="2"/>
  <c r="O15" i="3"/>
  <c r="J8" i="5"/>
  <c r="O30" i="1"/>
  <c r="O14" i="3"/>
  <c r="O8" i="2"/>
  <c r="J7" i="5"/>
  <c r="O27" i="1"/>
  <c r="O13" i="3"/>
  <c r="O12" i="3"/>
  <c r="O11" i="3"/>
  <c r="O6" i="4"/>
  <c r="B23" i="1"/>
  <c r="B6" i="4" s="1"/>
  <c r="O7" i="2"/>
  <c r="J6" i="5"/>
  <c r="O21" i="1"/>
  <c r="O5" i="4"/>
  <c r="B20" i="1"/>
  <c r="B5" i="4" s="1"/>
  <c r="O10" i="3"/>
  <c r="O9" i="3"/>
  <c r="O8" i="3"/>
  <c r="J5" i="5"/>
  <c r="O16" i="1"/>
  <c r="O6" i="2"/>
  <c r="J4" i="5"/>
  <c r="O14" i="1"/>
  <c r="O5" i="2"/>
  <c r="O4" i="2"/>
  <c r="J3" i="5"/>
  <c r="O11" i="1"/>
  <c r="O7" i="3"/>
  <c r="O4" i="4"/>
  <c r="B9" i="1"/>
  <c r="B4" i="4" s="1"/>
  <c r="O6" i="3"/>
  <c r="O5" i="3"/>
  <c r="O4" i="3"/>
  <c r="O3" i="2"/>
  <c r="O3" i="3"/>
  <c r="O3" i="4"/>
  <c r="B3" i="1"/>
  <c r="B3" i="4" s="1"/>
  <c r="O32" i="6" l="1"/>
  <c r="B1025" i="1"/>
  <c r="B1024" i="1"/>
  <c r="O31" i="6"/>
  <c r="O30" i="6"/>
  <c r="B1023" i="1"/>
  <c r="O29" i="6"/>
  <c r="B1022" i="1"/>
  <c r="O28" i="6"/>
  <c r="B1021" i="1"/>
  <c r="O27" i="6"/>
  <c r="B1020" i="1"/>
  <c r="O26" i="6"/>
  <c r="B1019" i="1"/>
  <c r="O25" i="6"/>
  <c r="B1018" i="1"/>
  <c r="O24" i="6"/>
  <c r="B1017" i="1"/>
  <c r="O23" i="6"/>
  <c r="B1016" i="1"/>
  <c r="O22" i="6"/>
  <c r="B1015" i="1"/>
  <c r="O21" i="6"/>
  <c r="B1014" i="1"/>
  <c r="B20" i="6"/>
  <c r="A1013" i="1"/>
  <c r="A20" i="6" s="1"/>
  <c r="O19" i="6"/>
  <c r="B1012" i="1"/>
  <c r="O18" i="6"/>
  <c r="B1011" i="1"/>
  <c r="B1010" i="1"/>
  <c r="O17" i="6"/>
  <c r="O16" i="6"/>
  <c r="B1009" i="1"/>
  <c r="B1008" i="1"/>
  <c r="O15" i="6"/>
  <c r="O14" i="6"/>
  <c r="B1007" i="1"/>
  <c r="B1006" i="1"/>
  <c r="O13" i="6"/>
  <c r="B1005" i="1"/>
  <c r="O12" i="6"/>
  <c r="B1004" i="1"/>
  <c r="O11" i="6"/>
  <c r="O10" i="6"/>
  <c r="B1003" i="1"/>
  <c r="B1002" i="1"/>
  <c r="O9" i="6"/>
  <c r="O8" i="6"/>
  <c r="B1001" i="1"/>
  <c r="O7" i="6"/>
  <c r="B1000" i="1"/>
  <c r="B999" i="1"/>
  <c r="O6" i="6"/>
  <c r="B998" i="1"/>
  <c r="O5" i="6"/>
  <c r="B997" i="1"/>
  <c r="O4" i="6"/>
  <c r="B996" i="1"/>
  <c r="O3" i="6"/>
  <c r="B994" i="1"/>
  <c r="B142" i="2" s="1"/>
  <c r="O142" i="2"/>
  <c r="A994" i="1"/>
  <c r="A142" i="2" s="1"/>
  <c r="O142" i="4"/>
  <c r="B993" i="1"/>
  <c r="B142" i="4" s="1"/>
  <c r="A993" i="1"/>
  <c r="A142" i="4" s="1"/>
  <c r="O358" i="3"/>
  <c r="A992" i="1"/>
  <c r="A358" i="3" s="1"/>
  <c r="B992" i="1"/>
  <c r="B358" i="3" s="1"/>
  <c r="B991" i="1"/>
  <c r="B357" i="3" s="1"/>
  <c r="A991" i="1"/>
  <c r="A357" i="3" s="1"/>
  <c r="O357" i="3"/>
  <c r="A990" i="1"/>
  <c r="A358" i="5" s="1"/>
  <c r="B990" i="1"/>
  <c r="B358" i="5" s="1"/>
  <c r="O358" i="5"/>
  <c r="O141" i="4"/>
  <c r="A989" i="1"/>
  <c r="A141" i="4" s="1"/>
  <c r="B989" i="1"/>
  <c r="B141" i="4" s="1"/>
  <c r="O357" i="5"/>
  <c r="A988" i="1"/>
  <c r="A357" i="5" s="1"/>
  <c r="B988" i="1"/>
  <c r="B357" i="5" s="1"/>
  <c r="B987" i="1"/>
  <c r="B356" i="5" s="1"/>
  <c r="O356" i="5"/>
  <c r="A987" i="1"/>
  <c r="A356" i="5" s="1"/>
  <c r="A986" i="1"/>
  <c r="A356" i="3" s="1"/>
  <c r="O356" i="3"/>
  <c r="B986" i="1"/>
  <c r="B356" i="3" s="1"/>
  <c r="O355" i="3"/>
  <c r="B985" i="1"/>
  <c r="B355" i="3" s="1"/>
  <c r="A985" i="1"/>
  <c r="A355" i="3" s="1"/>
  <c r="O354" i="3"/>
  <c r="A984" i="1"/>
  <c r="A354" i="3" s="1"/>
  <c r="B984" i="1"/>
  <c r="B354" i="3" s="1"/>
  <c r="B983" i="1"/>
  <c r="B140" i="4" s="1"/>
  <c r="O140" i="4"/>
  <c r="A983" i="1"/>
  <c r="A140" i="4" s="1"/>
  <c r="A982" i="1"/>
  <c r="A353" i="3" s="1"/>
  <c r="O353" i="3"/>
  <c r="B982" i="1"/>
  <c r="B353" i="3" s="1"/>
  <c r="B981" i="1"/>
  <c r="B355" i="5" s="1"/>
  <c r="O355" i="5"/>
  <c r="A981" i="1"/>
  <c r="A355" i="5" s="1"/>
  <c r="A980" i="1"/>
  <c r="A354" i="5" s="1"/>
  <c r="B980" i="1"/>
  <c r="B354" i="5" s="1"/>
  <c r="O354" i="5"/>
  <c r="O352" i="3"/>
  <c r="A979" i="1"/>
  <c r="A352" i="3" s="1"/>
  <c r="B979" i="1"/>
  <c r="B352" i="3" s="1"/>
  <c r="B978" i="1"/>
  <c r="B351" i="3" s="1"/>
  <c r="O351" i="3"/>
  <c r="A978" i="1"/>
  <c r="A351" i="3" s="1"/>
  <c r="B977" i="1"/>
  <c r="B350" i="3" s="1"/>
  <c r="O350" i="3"/>
  <c r="A977" i="1"/>
  <c r="A350" i="3" s="1"/>
  <c r="O139" i="4"/>
  <c r="A976" i="1"/>
  <c r="A139" i="4" s="1"/>
  <c r="B976" i="1"/>
  <c r="B139" i="4" s="1"/>
  <c r="A975" i="1"/>
  <c r="A349" i="3" s="1"/>
  <c r="B975" i="1"/>
  <c r="B349" i="3" s="1"/>
  <c r="O349" i="3"/>
  <c r="O348" i="3"/>
  <c r="B974" i="1"/>
  <c r="B348" i="3" s="1"/>
  <c r="A974" i="1"/>
  <c r="A348" i="3" s="1"/>
  <c r="B973" i="1"/>
  <c r="B347" i="3" s="1"/>
  <c r="A973" i="1"/>
  <c r="A347" i="3" s="1"/>
  <c r="O347" i="3"/>
  <c r="B972" i="1"/>
  <c r="B353" i="5" s="1"/>
  <c r="O353" i="5"/>
  <c r="A972" i="1"/>
  <c r="A353" i="5" s="1"/>
  <c r="O346" i="3"/>
  <c r="A971" i="1"/>
  <c r="A346" i="3" s="1"/>
  <c r="B971" i="1"/>
  <c r="B346" i="3" s="1"/>
  <c r="O345" i="3"/>
  <c r="A970" i="1"/>
  <c r="A345" i="3" s="1"/>
  <c r="B970" i="1"/>
  <c r="B345" i="3" s="1"/>
  <c r="A969" i="1"/>
  <c r="A344" i="3" s="1"/>
  <c r="B969" i="1"/>
  <c r="B344" i="3" s="1"/>
  <c r="O344" i="3"/>
  <c r="B968" i="1"/>
  <c r="B352" i="5" s="1"/>
  <c r="O352" i="5"/>
  <c r="A968" i="1"/>
  <c r="A352" i="5" s="1"/>
  <c r="A967" i="1"/>
  <c r="A351" i="5" s="1"/>
  <c r="O351" i="5"/>
  <c r="B967" i="1"/>
  <c r="B351" i="5" s="1"/>
  <c r="A966" i="1"/>
  <c r="A141" i="2" s="1"/>
  <c r="O141" i="2"/>
  <c r="B966" i="1"/>
  <c r="B141" i="2" s="1"/>
  <c r="O138" i="4"/>
  <c r="A965" i="1"/>
  <c r="A138" i="4" s="1"/>
  <c r="B965" i="1"/>
  <c r="B138" i="4" s="1"/>
  <c r="B964" i="1"/>
  <c r="B350" i="5" s="1"/>
  <c r="O350" i="5"/>
  <c r="A964" i="1"/>
  <c r="A350" i="5" s="1"/>
  <c r="A963" i="1"/>
  <c r="A343" i="3" s="1"/>
  <c r="O343" i="3"/>
  <c r="B963" i="1"/>
  <c r="B343" i="3" s="1"/>
  <c r="O342" i="3"/>
  <c r="A962" i="1"/>
  <c r="A342" i="3" s="1"/>
  <c r="B962" i="1"/>
  <c r="B342" i="3" s="1"/>
  <c r="O137" i="4"/>
  <c r="B961" i="1"/>
  <c r="B137" i="4" s="1"/>
  <c r="A961" i="1"/>
  <c r="A137" i="4" s="1"/>
  <c r="A960" i="1"/>
  <c r="A349" i="5" s="1"/>
  <c r="B960" i="1"/>
  <c r="B349" i="5" s="1"/>
  <c r="O349" i="5"/>
  <c r="O341" i="3"/>
  <c r="B959" i="1"/>
  <c r="B341" i="3" s="1"/>
  <c r="A959" i="1"/>
  <c r="A341" i="3" s="1"/>
  <c r="O136" i="4"/>
  <c r="B958" i="1"/>
  <c r="B136" i="4" s="1"/>
  <c r="A958" i="1"/>
  <c r="A136" i="4" s="1"/>
  <c r="B957" i="1"/>
  <c r="B135" i="4" s="1"/>
  <c r="O135" i="4"/>
  <c r="A957" i="1"/>
  <c r="A135" i="4" s="1"/>
  <c r="O134" i="4"/>
  <c r="A956" i="1"/>
  <c r="A134" i="4" s="1"/>
  <c r="B956" i="1"/>
  <c r="B134" i="4" s="1"/>
  <c r="O340" i="3"/>
  <c r="B955" i="1"/>
  <c r="B340" i="3" s="1"/>
  <c r="A955" i="1"/>
  <c r="A340" i="3" s="1"/>
  <c r="A954" i="1"/>
  <c r="A133" i="4" s="1"/>
  <c r="O133" i="4"/>
  <c r="B954" i="1"/>
  <c r="B133" i="4" s="1"/>
  <c r="B953" i="1"/>
  <c r="B339" i="3" s="1"/>
  <c r="O339" i="3"/>
  <c r="A953" i="1"/>
  <c r="A339" i="3" s="1"/>
  <c r="O338" i="3"/>
  <c r="A952" i="1"/>
  <c r="A338" i="3" s="1"/>
  <c r="B952" i="1"/>
  <c r="B338" i="3" s="1"/>
  <c r="B951" i="1"/>
  <c r="B337" i="3" s="1"/>
  <c r="O337" i="3"/>
  <c r="A951" i="1"/>
  <c r="A337" i="3" s="1"/>
  <c r="A950" i="1"/>
  <c r="A348" i="5" s="1"/>
  <c r="B950" i="1"/>
  <c r="B348" i="5" s="1"/>
  <c r="O348" i="5"/>
  <c r="A949" i="1"/>
  <c r="A132" i="4" s="1"/>
  <c r="O132" i="4"/>
  <c r="B949" i="1"/>
  <c r="B132" i="4" s="1"/>
  <c r="A948" i="1"/>
  <c r="A336" i="3" s="1"/>
  <c r="B948" i="1"/>
  <c r="B336" i="3" s="1"/>
  <c r="O336" i="3"/>
  <c r="O347" i="5"/>
  <c r="A947" i="1"/>
  <c r="A347" i="5" s="1"/>
  <c r="B947" i="1"/>
  <c r="B347" i="5" s="1"/>
  <c r="B946" i="1"/>
  <c r="B346" i="5" s="1"/>
  <c r="O346" i="5"/>
  <c r="A946" i="1"/>
  <c r="A346" i="5" s="1"/>
  <c r="O345" i="5"/>
  <c r="B945" i="1"/>
  <c r="B345" i="5" s="1"/>
  <c r="A945" i="1"/>
  <c r="A345" i="5" s="1"/>
  <c r="O344" i="5"/>
  <c r="A944" i="1"/>
  <c r="A344" i="5" s="1"/>
  <c r="B944" i="1"/>
  <c r="B344" i="5" s="1"/>
  <c r="A943" i="1"/>
  <c r="A335" i="3" s="1"/>
  <c r="B943" i="1"/>
  <c r="B335" i="3" s="1"/>
  <c r="O335" i="3"/>
  <c r="O343" i="5"/>
  <c r="A942" i="1"/>
  <c r="A343" i="5" s="1"/>
  <c r="B942" i="1"/>
  <c r="B343" i="5" s="1"/>
  <c r="O342" i="5"/>
  <c r="A941" i="1"/>
  <c r="A342" i="5" s="1"/>
  <c r="B941" i="1"/>
  <c r="B342" i="5" s="1"/>
  <c r="A940" i="1"/>
  <c r="A341" i="5" s="1"/>
  <c r="B940" i="1"/>
  <c r="B341" i="5" s="1"/>
  <c r="O341" i="5"/>
  <c r="A939" i="1"/>
  <c r="A334" i="3" s="1"/>
  <c r="O334" i="3"/>
  <c r="B939" i="1"/>
  <c r="B334" i="3" s="1"/>
  <c r="O140" i="2"/>
  <c r="A938" i="1"/>
  <c r="A140" i="2" s="1"/>
  <c r="B938" i="1"/>
  <c r="B140" i="2" s="1"/>
  <c r="A937" i="1"/>
  <c r="A333" i="3" s="1"/>
  <c r="O333" i="3"/>
  <c r="B937" i="1"/>
  <c r="B333" i="3" s="1"/>
  <c r="A936" i="1"/>
  <c r="A332" i="3" s="1"/>
  <c r="O332" i="3"/>
  <c r="B936" i="1"/>
  <c r="B332" i="3" s="1"/>
  <c r="A935" i="1"/>
  <c r="A331" i="3" s="1"/>
  <c r="O331" i="3"/>
  <c r="B935" i="1"/>
  <c r="B331" i="3" s="1"/>
  <c r="O330" i="3"/>
  <c r="A934" i="1"/>
  <c r="A330" i="3" s="1"/>
  <c r="B934" i="1"/>
  <c r="B330" i="3" s="1"/>
  <c r="O340" i="5"/>
  <c r="B933" i="1"/>
  <c r="B340" i="5" s="1"/>
  <c r="A933" i="1"/>
  <c r="A340" i="5" s="1"/>
  <c r="O339" i="5"/>
  <c r="A932" i="1"/>
  <c r="A339" i="5" s="1"/>
  <c r="B932" i="1"/>
  <c r="B339" i="5" s="1"/>
  <c r="A931" i="1"/>
  <c r="A338" i="5" s="1"/>
  <c r="O338" i="5"/>
  <c r="B931" i="1"/>
  <c r="B338" i="5" s="1"/>
  <c r="B930" i="1"/>
  <c r="B337" i="5" s="1"/>
  <c r="O337" i="5"/>
  <c r="A930" i="1"/>
  <c r="A337" i="5" s="1"/>
  <c r="O336" i="5"/>
  <c r="A929" i="1"/>
  <c r="A336" i="5" s="1"/>
  <c r="B929" i="1"/>
  <c r="B336" i="5" s="1"/>
  <c r="O131" i="4"/>
  <c r="A928" i="1"/>
  <c r="A131" i="4" s="1"/>
  <c r="B928" i="1"/>
  <c r="B131" i="4" s="1"/>
  <c r="O130" i="4"/>
  <c r="A927" i="1"/>
  <c r="A130" i="4" s="1"/>
  <c r="B927" i="1"/>
  <c r="B130" i="4" s="1"/>
  <c r="O139" i="2"/>
  <c r="A926" i="1"/>
  <c r="A139" i="2" s="1"/>
  <c r="B926" i="1"/>
  <c r="B139" i="2" s="1"/>
  <c r="O129" i="4"/>
  <c r="A925" i="1"/>
  <c r="A129" i="4" s="1"/>
  <c r="B925" i="1"/>
  <c r="B129" i="4" s="1"/>
  <c r="O138" i="2"/>
  <c r="B924" i="1"/>
  <c r="B138" i="2" s="1"/>
  <c r="A924" i="1"/>
  <c r="A138" i="2" s="1"/>
  <c r="O329" i="3"/>
  <c r="B923" i="1"/>
  <c r="B329" i="3" s="1"/>
  <c r="A923" i="1"/>
  <c r="A329" i="3" s="1"/>
  <c r="B921" i="1"/>
  <c r="B327" i="3" s="1"/>
  <c r="O327" i="3"/>
  <c r="A921" i="1"/>
  <c r="A327" i="3" s="1"/>
  <c r="O326" i="3"/>
  <c r="B920" i="1"/>
  <c r="B326" i="3" s="1"/>
  <c r="A920" i="1"/>
  <c r="A326" i="3" s="1"/>
  <c r="A919" i="1"/>
  <c r="A325" i="3" s="1"/>
  <c r="O325" i="3"/>
  <c r="B919" i="1"/>
  <c r="B325" i="3" s="1"/>
  <c r="A918" i="1"/>
  <c r="A324" i="3" s="1"/>
  <c r="O324" i="3"/>
  <c r="B918" i="1"/>
  <c r="B324" i="3" s="1"/>
  <c r="B917" i="1"/>
  <c r="B128" i="4" s="1"/>
  <c r="O128" i="4"/>
  <c r="A917" i="1"/>
  <c r="A128" i="4" s="1"/>
  <c r="O323" i="3"/>
  <c r="B916" i="1"/>
  <c r="B323" i="3" s="1"/>
  <c r="A916" i="1"/>
  <c r="A323" i="3" s="1"/>
  <c r="O335" i="5"/>
  <c r="A915" i="1"/>
  <c r="A335" i="5" s="1"/>
  <c r="B915" i="1"/>
  <c r="B335" i="5" s="1"/>
  <c r="O322" i="3"/>
  <c r="B914" i="1"/>
  <c r="B322" i="3" s="1"/>
  <c r="A914" i="1"/>
  <c r="A322" i="3" s="1"/>
  <c r="O334" i="5"/>
  <c r="A913" i="1"/>
  <c r="A334" i="5" s="1"/>
  <c r="B913" i="1"/>
  <c r="B334" i="5" s="1"/>
  <c r="O321" i="3"/>
  <c r="A912" i="1"/>
  <c r="A321" i="3" s="1"/>
  <c r="B912" i="1"/>
  <c r="B321" i="3" s="1"/>
  <c r="O320" i="3"/>
  <c r="A911" i="1"/>
  <c r="A320" i="3" s="1"/>
  <c r="B911" i="1"/>
  <c r="B320" i="3" s="1"/>
  <c r="A910" i="1"/>
  <c r="A137" i="2" s="1"/>
  <c r="O137" i="2"/>
  <c r="B910" i="1"/>
  <c r="B137" i="2" s="1"/>
  <c r="O319" i="3"/>
  <c r="A909" i="1"/>
  <c r="A319" i="3" s="1"/>
  <c r="B909" i="1"/>
  <c r="B319" i="3" s="1"/>
  <c r="B908" i="1"/>
  <c r="B318" i="3" s="1"/>
  <c r="O318" i="3"/>
  <c r="A908" i="1"/>
  <c r="A318" i="3" s="1"/>
  <c r="A907" i="1"/>
  <c r="A333" i="5" s="1"/>
  <c r="B907" i="1"/>
  <c r="B333" i="5" s="1"/>
  <c r="O333" i="5"/>
  <c r="O317" i="3"/>
  <c r="A906" i="1"/>
  <c r="A317" i="3" s="1"/>
  <c r="B906" i="1"/>
  <c r="B317" i="3" s="1"/>
  <c r="B905" i="1"/>
  <c r="B316" i="3" s="1"/>
  <c r="O316" i="3"/>
  <c r="A905" i="1"/>
  <c r="A316" i="3" s="1"/>
  <c r="O332" i="5"/>
  <c r="A904" i="1"/>
  <c r="A332" i="5" s="1"/>
  <c r="B904" i="1"/>
  <c r="B332" i="5" s="1"/>
  <c r="O315" i="3"/>
  <c r="A903" i="1"/>
  <c r="A315" i="3" s="1"/>
  <c r="B903" i="1"/>
  <c r="B315" i="3" s="1"/>
  <c r="A902" i="1"/>
  <c r="A331" i="5" s="1"/>
  <c r="B902" i="1"/>
  <c r="B331" i="5" s="1"/>
  <c r="O331" i="5"/>
  <c r="O330" i="5"/>
  <c r="B901" i="1"/>
  <c r="B330" i="5" s="1"/>
  <c r="A901" i="1"/>
  <c r="A330" i="5" s="1"/>
  <c r="A900" i="1"/>
  <c r="A329" i="5" s="1"/>
  <c r="B900" i="1"/>
  <c r="B329" i="5" s="1"/>
  <c r="O329" i="5"/>
  <c r="A899" i="1"/>
  <c r="A314" i="3" s="1"/>
  <c r="O314" i="3"/>
  <c r="B899" i="1"/>
  <c r="B314" i="3" s="1"/>
  <c r="O328" i="5"/>
  <c r="B898" i="1"/>
  <c r="B328" i="5" s="1"/>
  <c r="A898" i="1"/>
  <c r="A328" i="5" s="1"/>
  <c r="B897" i="1"/>
  <c r="B313" i="3" s="1"/>
  <c r="O313" i="3"/>
  <c r="A897" i="1"/>
  <c r="A313" i="3" s="1"/>
  <c r="O127" i="4"/>
  <c r="B896" i="1"/>
  <c r="B127" i="4" s="1"/>
  <c r="A896" i="1"/>
  <c r="A127" i="4" s="1"/>
  <c r="A895" i="1"/>
  <c r="A327" i="5" s="1"/>
  <c r="B895" i="1"/>
  <c r="B327" i="5" s="1"/>
  <c r="O327" i="5"/>
  <c r="O326" i="5"/>
  <c r="A894" i="1"/>
  <c r="A326" i="5" s="1"/>
  <c r="B894" i="1"/>
  <c r="B326" i="5" s="1"/>
  <c r="B893" i="1"/>
  <c r="B325" i="5" s="1"/>
  <c r="O325" i="5"/>
  <c r="A893" i="1"/>
  <c r="A325" i="5" s="1"/>
  <c r="O312" i="3"/>
  <c r="A892" i="1"/>
  <c r="A312" i="3" s="1"/>
  <c r="B892" i="1"/>
  <c r="B312" i="3" s="1"/>
  <c r="O311" i="3"/>
  <c r="A891" i="1"/>
  <c r="A311" i="3" s="1"/>
  <c r="B891" i="1"/>
  <c r="B311" i="3" s="1"/>
  <c r="A890" i="1"/>
  <c r="A310" i="3" s="1"/>
  <c r="O310" i="3"/>
  <c r="B890" i="1"/>
  <c r="B310" i="3" s="1"/>
  <c r="B889" i="1"/>
  <c r="B309" i="3" s="1"/>
  <c r="A889" i="1"/>
  <c r="A309" i="3" s="1"/>
  <c r="O309" i="3"/>
  <c r="O324" i="5"/>
  <c r="A887" i="1"/>
  <c r="A324" i="5" s="1"/>
  <c r="B887" i="1"/>
  <c r="B324" i="5" s="1"/>
  <c r="O126" i="4"/>
  <c r="A886" i="1"/>
  <c r="A126" i="4" s="1"/>
  <c r="B886" i="1"/>
  <c r="B126" i="4" s="1"/>
  <c r="O323" i="5"/>
  <c r="B885" i="1"/>
  <c r="B323" i="5" s="1"/>
  <c r="A885" i="1"/>
  <c r="A323" i="5" s="1"/>
  <c r="B884" i="1"/>
  <c r="B307" i="3" s="1"/>
  <c r="O307" i="3"/>
  <c r="A884" i="1"/>
  <c r="A307" i="3" s="1"/>
  <c r="O125" i="4"/>
  <c r="A883" i="1"/>
  <c r="A125" i="4" s="1"/>
  <c r="B883" i="1"/>
  <c r="B125" i="4" s="1"/>
  <c r="B882" i="1"/>
  <c r="B322" i="5" s="1"/>
  <c r="O322" i="5"/>
  <c r="A882" i="1"/>
  <c r="A322" i="5" s="1"/>
  <c r="A881" i="1"/>
  <c r="A124" i="4" s="1"/>
  <c r="O124" i="4"/>
  <c r="B881" i="1"/>
  <c r="B124" i="4" s="1"/>
  <c r="O321" i="5"/>
  <c r="A880" i="1"/>
  <c r="A321" i="5" s="1"/>
  <c r="B880" i="1"/>
  <c r="B321" i="5" s="1"/>
  <c r="O306" i="3"/>
  <c r="A879" i="1"/>
  <c r="A306" i="3" s="1"/>
  <c r="B879" i="1"/>
  <c r="B306" i="3" s="1"/>
  <c r="O320" i="5"/>
  <c r="A878" i="1"/>
  <c r="A320" i="5" s="1"/>
  <c r="B878" i="1"/>
  <c r="B320" i="5" s="1"/>
  <c r="B877" i="1"/>
  <c r="B305" i="3" s="1"/>
  <c r="O305" i="3"/>
  <c r="A877" i="1"/>
  <c r="A305" i="3" s="1"/>
  <c r="O319" i="5"/>
  <c r="A876" i="1"/>
  <c r="A319" i="5" s="1"/>
  <c r="B876" i="1"/>
  <c r="B319" i="5" s="1"/>
  <c r="O304" i="3"/>
  <c r="A875" i="1"/>
  <c r="A304" i="3" s="1"/>
  <c r="B875" i="1"/>
  <c r="B304" i="3" s="1"/>
  <c r="A874" i="1"/>
  <c r="A123" i="4" s="1"/>
  <c r="O123" i="4"/>
  <c r="B874" i="1"/>
  <c r="B123" i="4" s="1"/>
  <c r="O122" i="4"/>
  <c r="A873" i="1"/>
  <c r="A122" i="4" s="1"/>
  <c r="B873" i="1"/>
  <c r="B122" i="4" s="1"/>
  <c r="B872" i="1"/>
  <c r="B318" i="5" s="1"/>
  <c r="A872" i="1"/>
  <c r="A318" i="5" s="1"/>
  <c r="O318" i="5"/>
  <c r="O303" i="3"/>
  <c r="A871" i="1"/>
  <c r="A303" i="3" s="1"/>
  <c r="B871" i="1"/>
  <c r="B303" i="3" s="1"/>
  <c r="A870" i="1"/>
  <c r="A317" i="5" s="1"/>
  <c r="O317" i="5"/>
  <c r="B870" i="1"/>
  <c r="B317" i="5" s="1"/>
  <c r="A869" i="1"/>
  <c r="A121" i="4" s="1"/>
  <c r="O121" i="4"/>
  <c r="B869" i="1"/>
  <c r="B121" i="4" s="1"/>
  <c r="O316" i="5"/>
  <c r="A868" i="1"/>
  <c r="A316" i="5" s="1"/>
  <c r="B868" i="1"/>
  <c r="B316" i="5" s="1"/>
  <c r="B867" i="1"/>
  <c r="B302" i="3" s="1"/>
  <c r="O302" i="3"/>
  <c r="A867" i="1"/>
  <c r="A302" i="3" s="1"/>
  <c r="O301" i="3"/>
  <c r="B866" i="1"/>
  <c r="B301" i="3" s="1"/>
  <c r="A866" i="1"/>
  <c r="A301" i="3" s="1"/>
  <c r="A865" i="1"/>
  <c r="A315" i="5" s="1"/>
  <c r="O315" i="5"/>
  <c r="B865" i="1"/>
  <c r="B315" i="5" s="1"/>
  <c r="A864" i="1"/>
  <c r="A314" i="5" s="1"/>
  <c r="O314" i="5"/>
  <c r="B864" i="1"/>
  <c r="B314" i="5" s="1"/>
  <c r="B863" i="1"/>
  <c r="B300" i="3" s="1"/>
  <c r="A863" i="1"/>
  <c r="A300" i="3" s="1"/>
  <c r="O300" i="3"/>
  <c r="O299" i="3"/>
  <c r="A862" i="1"/>
  <c r="A299" i="3" s="1"/>
  <c r="B862" i="1"/>
  <c r="B299" i="3" s="1"/>
  <c r="A861" i="1"/>
  <c r="A298" i="3" s="1"/>
  <c r="B861" i="1"/>
  <c r="B298" i="3" s="1"/>
  <c r="O298" i="3"/>
  <c r="O313" i="5"/>
  <c r="A857" i="1"/>
  <c r="A313" i="5" s="1"/>
  <c r="B857" i="1"/>
  <c r="B313" i="5" s="1"/>
  <c r="O312" i="5"/>
  <c r="A855" i="1"/>
  <c r="A312" i="5" s="1"/>
  <c r="B855" i="1"/>
  <c r="B312" i="5" s="1"/>
  <c r="O311" i="5"/>
  <c r="A853" i="1"/>
  <c r="A311" i="5" s="1"/>
  <c r="B853" i="1"/>
  <c r="B311" i="5" s="1"/>
  <c r="O310" i="5"/>
  <c r="A852" i="1"/>
  <c r="A310" i="5" s="1"/>
  <c r="B852" i="1"/>
  <c r="B310" i="5" s="1"/>
  <c r="O309" i="5"/>
  <c r="A851" i="1"/>
  <c r="A309" i="5" s="1"/>
  <c r="B851" i="1"/>
  <c r="B309" i="5" s="1"/>
  <c r="O120" i="4"/>
  <c r="A848" i="1"/>
  <c r="A120" i="4" s="1"/>
  <c r="B848" i="1"/>
  <c r="B120" i="4" s="1"/>
  <c r="O308" i="5"/>
  <c r="A847" i="1"/>
  <c r="A308" i="5" s="1"/>
  <c r="B847" i="1"/>
  <c r="B308" i="5" s="1"/>
  <c r="O307" i="5"/>
  <c r="A846" i="1"/>
  <c r="A307" i="5" s="1"/>
  <c r="B846" i="1"/>
  <c r="B307" i="5" s="1"/>
  <c r="O306" i="5"/>
  <c r="A845" i="1"/>
  <c r="A306" i="5" s="1"/>
  <c r="B845" i="1"/>
  <c r="B306" i="5" s="1"/>
  <c r="O305" i="5"/>
  <c r="A844" i="1"/>
  <c r="A305" i="5" s="1"/>
  <c r="B844" i="1"/>
  <c r="B305" i="5" s="1"/>
  <c r="O119" i="4"/>
  <c r="A841" i="1"/>
  <c r="A119" i="4" s="1"/>
  <c r="B841" i="1"/>
  <c r="B119" i="4" s="1"/>
  <c r="O304" i="5"/>
  <c r="A840" i="1"/>
  <c r="A304" i="5" s="1"/>
  <c r="B840" i="1"/>
  <c r="B304" i="5" s="1"/>
  <c r="O118" i="4"/>
  <c r="A838" i="1"/>
  <c r="A118" i="4" s="1"/>
  <c r="B838" i="1"/>
  <c r="B118" i="4" s="1"/>
  <c r="O303" i="5"/>
  <c r="A837" i="1"/>
  <c r="A303" i="5" s="1"/>
  <c r="B837" i="1"/>
  <c r="B303" i="5" s="1"/>
  <c r="O302" i="5"/>
  <c r="A836" i="1"/>
  <c r="A302" i="5" s="1"/>
  <c r="B836" i="1"/>
  <c r="B302" i="5" s="1"/>
  <c r="O117" i="4"/>
  <c r="A835" i="1"/>
  <c r="A117" i="4" s="1"/>
  <c r="B835" i="1"/>
  <c r="B117" i="4" s="1"/>
  <c r="O301" i="5"/>
  <c r="A834" i="1"/>
  <c r="A301" i="5" s="1"/>
  <c r="B834" i="1"/>
  <c r="B301" i="5" s="1"/>
  <c r="O300" i="5"/>
  <c r="A833" i="1"/>
  <c r="A300" i="5" s="1"/>
  <c r="B833" i="1"/>
  <c r="B300" i="5" s="1"/>
  <c r="O116" i="4"/>
  <c r="A831" i="1"/>
  <c r="A116" i="4" s="1"/>
  <c r="B831" i="1"/>
  <c r="B116" i="4" s="1"/>
  <c r="O299" i="5"/>
  <c r="A830" i="1"/>
  <c r="A299" i="5" s="1"/>
  <c r="B830" i="1"/>
  <c r="B299" i="5" s="1"/>
  <c r="O298" i="5"/>
  <c r="A828" i="1"/>
  <c r="A298" i="5" s="1"/>
  <c r="B828" i="1"/>
  <c r="B298" i="5" s="1"/>
  <c r="O297" i="5"/>
  <c r="A827" i="1"/>
  <c r="A297" i="5" s="1"/>
  <c r="B827" i="1"/>
  <c r="B297" i="5" s="1"/>
  <c r="O296" i="5"/>
  <c r="A826" i="1"/>
  <c r="A296" i="5" s="1"/>
  <c r="B826" i="1"/>
  <c r="B296" i="5" s="1"/>
  <c r="O295" i="5"/>
  <c r="A822" i="1"/>
  <c r="A295" i="5" s="1"/>
  <c r="B822" i="1"/>
  <c r="B295" i="5" s="1"/>
  <c r="O294" i="5"/>
  <c r="A821" i="1"/>
  <c r="A294" i="5" s="1"/>
  <c r="B821" i="1"/>
  <c r="B294" i="5" s="1"/>
  <c r="O115" i="4"/>
  <c r="A820" i="1"/>
  <c r="A115" i="4" s="1"/>
  <c r="B820" i="1"/>
  <c r="B115" i="4" s="1"/>
  <c r="O293" i="5"/>
  <c r="A818" i="1"/>
  <c r="A293" i="5" s="1"/>
  <c r="B818" i="1"/>
  <c r="B293" i="5" s="1"/>
  <c r="O114" i="4"/>
  <c r="A816" i="1"/>
  <c r="A114" i="4" s="1"/>
  <c r="B816" i="1"/>
  <c r="B114" i="4" s="1"/>
  <c r="O292" i="5"/>
  <c r="A814" i="1"/>
  <c r="A292" i="5" s="1"/>
  <c r="B814" i="1"/>
  <c r="B292" i="5" s="1"/>
  <c r="O291" i="5"/>
  <c r="A812" i="1"/>
  <c r="A291" i="5" s="1"/>
  <c r="B812" i="1"/>
  <c r="B291" i="5" s="1"/>
  <c r="O290" i="5"/>
  <c r="A811" i="1"/>
  <c r="A290" i="5" s="1"/>
  <c r="B811" i="1"/>
  <c r="B290" i="5" s="1"/>
  <c r="O289" i="5"/>
  <c r="A810" i="1"/>
  <c r="A289" i="5" s="1"/>
  <c r="B810" i="1"/>
  <c r="B289" i="5" s="1"/>
  <c r="O288" i="5"/>
  <c r="A808" i="1"/>
  <c r="A288" i="5" s="1"/>
  <c r="B808" i="1"/>
  <c r="B288" i="5" s="1"/>
  <c r="O113" i="4"/>
  <c r="A807" i="1"/>
  <c r="A113" i="4" s="1"/>
  <c r="B807" i="1"/>
  <c r="B113" i="4" s="1"/>
  <c r="O112" i="4"/>
  <c r="A805" i="1"/>
  <c r="A112" i="4" s="1"/>
  <c r="B805" i="1"/>
  <c r="B112" i="4" s="1"/>
  <c r="O287" i="5"/>
  <c r="A803" i="1"/>
  <c r="A287" i="5" s="1"/>
  <c r="B803" i="1"/>
  <c r="B287" i="5" s="1"/>
  <c r="O286" i="5"/>
  <c r="A801" i="1"/>
  <c r="A286" i="5" s="1"/>
  <c r="B801" i="1"/>
  <c r="B286" i="5" s="1"/>
  <c r="O285" i="5"/>
  <c r="A800" i="1"/>
  <c r="A285" i="5" s="1"/>
  <c r="B800" i="1"/>
  <c r="B285" i="5" s="1"/>
  <c r="O284" i="5"/>
  <c r="A798" i="1"/>
  <c r="A284" i="5" s="1"/>
  <c r="B798" i="1"/>
  <c r="B284" i="5" s="1"/>
  <c r="O283" i="5"/>
  <c r="A796" i="1"/>
  <c r="A283" i="5" s="1"/>
  <c r="B796" i="1"/>
  <c r="B283" i="5" s="1"/>
  <c r="O282" i="5"/>
  <c r="A795" i="1"/>
  <c r="A282" i="5" s="1"/>
  <c r="B795" i="1"/>
  <c r="B282" i="5" s="1"/>
  <c r="O111" i="4"/>
  <c r="A794" i="1"/>
  <c r="A111" i="4" s="1"/>
  <c r="B794" i="1"/>
  <c r="B111" i="4" s="1"/>
  <c r="O281" i="5"/>
  <c r="A791" i="1"/>
  <c r="A281" i="5" s="1"/>
  <c r="B791" i="1"/>
  <c r="B281" i="5" s="1"/>
  <c r="O280" i="5"/>
  <c r="A790" i="1"/>
  <c r="A280" i="5" s="1"/>
  <c r="B790" i="1"/>
  <c r="B280" i="5" s="1"/>
  <c r="O279" i="5"/>
  <c r="A788" i="1"/>
  <c r="A279" i="5" s="1"/>
  <c r="B788" i="1"/>
  <c r="B279" i="5" s="1"/>
  <c r="O278" i="5"/>
  <c r="A786" i="1"/>
  <c r="A278" i="5" s="1"/>
  <c r="B786" i="1"/>
  <c r="B278" i="5" s="1"/>
  <c r="O277" i="5"/>
  <c r="A784" i="1"/>
  <c r="A277" i="5" s="1"/>
  <c r="B784" i="1"/>
  <c r="B277" i="5" s="1"/>
  <c r="O276" i="5"/>
  <c r="A782" i="1"/>
  <c r="A276" i="5" s="1"/>
  <c r="B782" i="1"/>
  <c r="B276" i="5" s="1"/>
  <c r="O275" i="5"/>
  <c r="A781" i="1"/>
  <c r="A275" i="5" s="1"/>
  <c r="B781" i="1"/>
  <c r="B275" i="5" s="1"/>
  <c r="O274" i="5"/>
  <c r="A778" i="1"/>
  <c r="A274" i="5" s="1"/>
  <c r="B778" i="1"/>
  <c r="B274" i="5" s="1"/>
  <c r="O273" i="5"/>
  <c r="A777" i="1"/>
  <c r="A273" i="5" s="1"/>
  <c r="B777" i="1"/>
  <c r="B273" i="5" s="1"/>
  <c r="O272" i="5"/>
  <c r="A776" i="1"/>
  <c r="A272" i="5" s="1"/>
  <c r="B776" i="1"/>
  <c r="B272" i="5" s="1"/>
  <c r="O271" i="5"/>
  <c r="A774" i="1"/>
  <c r="A271" i="5" s="1"/>
  <c r="B774" i="1"/>
  <c r="B271" i="5" s="1"/>
  <c r="O270" i="5"/>
  <c r="A771" i="1"/>
  <c r="A270" i="5" s="1"/>
  <c r="B771" i="1"/>
  <c r="B270" i="5" s="1"/>
  <c r="O269" i="5"/>
  <c r="A769" i="1"/>
  <c r="A269" i="5" s="1"/>
  <c r="B769" i="1"/>
  <c r="B269" i="5" s="1"/>
  <c r="O268" i="5"/>
  <c r="A768" i="1"/>
  <c r="A268" i="5" s="1"/>
  <c r="B768" i="1"/>
  <c r="B268" i="5" s="1"/>
  <c r="O267" i="5"/>
  <c r="A766" i="1"/>
  <c r="A267" i="5" s="1"/>
  <c r="B766" i="1"/>
  <c r="B267" i="5" s="1"/>
  <c r="O266" i="5"/>
  <c r="A764" i="1"/>
  <c r="A266" i="5" s="1"/>
  <c r="B764" i="1"/>
  <c r="B266" i="5" s="1"/>
  <c r="O265" i="5"/>
  <c r="A763" i="1"/>
  <c r="A265" i="5" s="1"/>
  <c r="B763" i="1"/>
  <c r="B265" i="5" s="1"/>
  <c r="O264" i="5"/>
  <c r="A760" i="1"/>
  <c r="A264" i="5" s="1"/>
  <c r="B760" i="1"/>
  <c r="B264" i="5" s="1"/>
  <c r="O263" i="5"/>
  <c r="A759" i="1"/>
  <c r="A263" i="5" s="1"/>
  <c r="B759" i="1"/>
  <c r="B263" i="5" s="1"/>
  <c r="O262" i="5"/>
  <c r="A757" i="1"/>
  <c r="A262" i="5" s="1"/>
  <c r="B757" i="1"/>
  <c r="B262" i="5" s="1"/>
  <c r="O261" i="5"/>
  <c r="A752" i="1"/>
  <c r="A261" i="5" s="1"/>
  <c r="B752" i="1"/>
  <c r="B261" i="5" s="1"/>
  <c r="O260" i="5"/>
  <c r="A750" i="1"/>
  <c r="A260" i="5" s="1"/>
  <c r="B750" i="1"/>
  <c r="B260" i="5" s="1"/>
  <c r="O259" i="5"/>
  <c r="A749" i="1"/>
  <c r="A259" i="5" s="1"/>
  <c r="B749" i="1"/>
  <c r="B259" i="5" s="1"/>
  <c r="O258" i="5"/>
  <c r="A748" i="1"/>
  <c r="A258" i="5" s="1"/>
  <c r="B748" i="1"/>
  <c r="B258" i="5" s="1"/>
  <c r="O257" i="5"/>
  <c r="A747" i="1"/>
  <c r="A257" i="5" s="1"/>
  <c r="B747" i="1"/>
  <c r="B257" i="5" s="1"/>
  <c r="O256" i="5"/>
  <c r="A746" i="1"/>
  <c r="A256" i="5" s="1"/>
  <c r="B746" i="1"/>
  <c r="B256" i="5" s="1"/>
  <c r="O255" i="5"/>
  <c r="A742" i="1"/>
  <c r="A255" i="5" s="1"/>
  <c r="B742" i="1"/>
  <c r="B255" i="5" s="1"/>
  <c r="O254" i="5"/>
  <c r="A740" i="1"/>
  <c r="A254" i="5" s="1"/>
  <c r="B740" i="1"/>
  <c r="B254" i="5" s="1"/>
  <c r="O253" i="5"/>
  <c r="A739" i="1"/>
  <c r="A253" i="5" s="1"/>
  <c r="B739" i="1"/>
  <c r="B253" i="5" s="1"/>
  <c r="O252" i="5"/>
  <c r="A736" i="1"/>
  <c r="A252" i="5" s="1"/>
  <c r="B736" i="1"/>
  <c r="B252" i="5" s="1"/>
  <c r="O251" i="5"/>
  <c r="A735" i="1"/>
  <c r="A251" i="5" s="1"/>
  <c r="B735" i="1"/>
  <c r="B251" i="5" s="1"/>
  <c r="O250" i="5"/>
  <c r="A733" i="1"/>
  <c r="A250" i="5" s="1"/>
  <c r="B733" i="1"/>
  <c r="B250" i="5" s="1"/>
  <c r="O249" i="5"/>
  <c r="A732" i="1"/>
  <c r="A249" i="5" s="1"/>
  <c r="B732" i="1"/>
  <c r="B249" i="5" s="1"/>
  <c r="O248" i="5"/>
  <c r="A731" i="1"/>
  <c r="A248" i="5" s="1"/>
  <c r="B731" i="1"/>
  <c r="B248" i="5" s="1"/>
  <c r="O247" i="5"/>
  <c r="A728" i="1"/>
  <c r="A247" i="5" s="1"/>
  <c r="B728" i="1"/>
  <c r="B247" i="5" s="1"/>
  <c r="O246" i="5"/>
  <c r="A727" i="1"/>
  <c r="A246" i="5" s="1"/>
  <c r="B727" i="1"/>
  <c r="B246" i="5" s="1"/>
  <c r="O245" i="5"/>
  <c r="A725" i="1"/>
  <c r="A245" i="5" s="1"/>
  <c r="B725" i="1"/>
  <c r="B245" i="5" s="1"/>
  <c r="O244" i="5"/>
  <c r="A720" i="1"/>
  <c r="A244" i="5" s="1"/>
  <c r="B720" i="1"/>
  <c r="B244" i="5" s="1"/>
  <c r="O243" i="5"/>
  <c r="A718" i="1"/>
  <c r="A243" i="5" s="1"/>
  <c r="B718" i="1"/>
  <c r="B243" i="5" s="1"/>
  <c r="O242" i="5"/>
  <c r="A714" i="1"/>
  <c r="A242" i="5" s="1"/>
  <c r="B714" i="1"/>
  <c r="B242" i="5" s="1"/>
  <c r="O241" i="5"/>
  <c r="A709" i="1"/>
  <c r="A241" i="5" s="1"/>
  <c r="B709" i="1"/>
  <c r="B241" i="5" s="1"/>
  <c r="O240" i="5"/>
  <c r="A706" i="1"/>
  <c r="A240" i="5" s="1"/>
  <c r="B706" i="1"/>
  <c r="B240" i="5" s="1"/>
  <c r="O239" i="5"/>
  <c r="A705" i="1"/>
  <c r="A239" i="5" s="1"/>
  <c r="B705" i="1"/>
  <c r="B239" i="5" s="1"/>
  <c r="O238" i="5"/>
  <c r="A704" i="1"/>
  <c r="A238" i="5" s="1"/>
  <c r="B704" i="1"/>
  <c r="B238" i="5" s="1"/>
  <c r="O237" i="5"/>
  <c r="A702" i="1"/>
  <c r="A237" i="5" s="1"/>
  <c r="B702" i="1"/>
  <c r="B237" i="5" s="1"/>
  <c r="O236" i="5"/>
  <c r="A701" i="1"/>
  <c r="A236" i="5" s="1"/>
  <c r="B701" i="1"/>
  <c r="B236" i="5" s="1"/>
  <c r="O235" i="5"/>
  <c r="A700" i="1"/>
  <c r="A235" i="5" s="1"/>
  <c r="B700" i="1"/>
  <c r="B235" i="5" s="1"/>
  <c r="O234" i="5"/>
  <c r="A698" i="1"/>
  <c r="A234" i="5" s="1"/>
  <c r="B698" i="1"/>
  <c r="B234" i="5" s="1"/>
  <c r="O233" i="5"/>
  <c r="A697" i="1"/>
  <c r="A233" i="5" s="1"/>
  <c r="B697" i="1"/>
  <c r="B233" i="5" s="1"/>
  <c r="O232" i="5"/>
  <c r="A696" i="1"/>
  <c r="A232" i="5" s="1"/>
  <c r="B696" i="1"/>
  <c r="B232" i="5" s="1"/>
  <c r="O231" i="5"/>
  <c r="A692" i="1"/>
  <c r="A231" i="5" s="1"/>
  <c r="B692" i="1"/>
  <c r="B231" i="5" s="1"/>
  <c r="O230" i="5"/>
  <c r="A679" i="1"/>
  <c r="A230" i="5" s="1"/>
  <c r="B679" i="1"/>
  <c r="B230" i="5" s="1"/>
  <c r="O229" i="5"/>
  <c r="A674" i="1"/>
  <c r="A229" i="5" s="1"/>
  <c r="B674" i="1"/>
  <c r="B229" i="5" s="1"/>
  <c r="O228" i="5"/>
  <c r="A669" i="1"/>
  <c r="A228" i="5" s="1"/>
  <c r="B669" i="1"/>
  <c r="B228" i="5" s="1"/>
  <c r="O227" i="5"/>
  <c r="A667" i="1"/>
  <c r="A227" i="5" s="1"/>
  <c r="B667" i="1"/>
  <c r="B227" i="5" s="1"/>
  <c r="O226" i="5"/>
  <c r="A666" i="1"/>
  <c r="A226" i="5" s="1"/>
  <c r="B666" i="1"/>
  <c r="B226" i="5" s="1"/>
  <c r="O225" i="5"/>
  <c r="A665" i="1"/>
  <c r="A225" i="5" s="1"/>
  <c r="B665" i="1"/>
  <c r="B225" i="5" s="1"/>
  <c r="O224" i="5"/>
  <c r="A664" i="1"/>
  <c r="A224" i="5" s="1"/>
  <c r="B664" i="1"/>
  <c r="B224" i="5" s="1"/>
  <c r="O223" i="5"/>
  <c r="A663" i="1"/>
  <c r="A223" i="5" s="1"/>
  <c r="B663" i="1"/>
  <c r="B223" i="5" s="1"/>
  <c r="O222" i="5"/>
  <c r="A660" i="1"/>
  <c r="A222" i="5" s="1"/>
  <c r="B660" i="1"/>
  <c r="B222" i="5" s="1"/>
  <c r="O221" i="5"/>
  <c r="A655" i="1"/>
  <c r="A221" i="5" s="1"/>
  <c r="B655" i="1"/>
  <c r="B221" i="5" s="1"/>
  <c r="O220" i="5"/>
  <c r="A654" i="1"/>
  <c r="A220" i="5" s="1"/>
  <c r="B654" i="1"/>
  <c r="B220" i="5" s="1"/>
  <c r="O219" i="5"/>
  <c r="A653" i="1"/>
  <c r="A219" i="5" s="1"/>
  <c r="B653" i="1"/>
  <c r="B219" i="5" s="1"/>
  <c r="O218" i="5"/>
  <c r="A647" i="1"/>
  <c r="A218" i="5" s="1"/>
  <c r="B647" i="1"/>
  <c r="B218" i="5" s="1"/>
  <c r="O217" i="5"/>
  <c r="A642" i="1"/>
  <c r="A217" i="5" s="1"/>
  <c r="B642" i="1"/>
  <c r="B217" i="5" s="1"/>
  <c r="O216" i="5"/>
  <c r="A640" i="1"/>
  <c r="A216" i="5" s="1"/>
  <c r="B640" i="1"/>
  <c r="B216" i="5" s="1"/>
  <c r="O215" i="5"/>
  <c r="A639" i="1"/>
  <c r="A215" i="5" s="1"/>
  <c r="B639" i="1"/>
  <c r="B215" i="5" s="1"/>
  <c r="O214" i="5"/>
  <c r="A637" i="1"/>
  <c r="A214" i="5" s="1"/>
  <c r="B637" i="1"/>
  <c r="B214" i="5" s="1"/>
  <c r="O213" i="5"/>
  <c r="A634" i="1"/>
  <c r="A213" i="5" s="1"/>
  <c r="B634" i="1"/>
  <c r="B213" i="5" s="1"/>
  <c r="O212" i="5"/>
  <c r="A632" i="1"/>
  <c r="A212" i="5" s="1"/>
  <c r="B632" i="1"/>
  <c r="B212" i="5" s="1"/>
  <c r="O211" i="5"/>
  <c r="A629" i="1"/>
  <c r="A211" i="5" s="1"/>
  <c r="B629" i="1"/>
  <c r="B211" i="5" s="1"/>
  <c r="O210" i="5"/>
  <c r="A626" i="1"/>
  <c r="A210" i="5" s="1"/>
  <c r="B626" i="1"/>
  <c r="B210" i="5" s="1"/>
  <c r="O209" i="5"/>
  <c r="A625" i="1"/>
  <c r="A209" i="5" s="1"/>
  <c r="B625" i="1"/>
  <c r="B209" i="5" s="1"/>
  <c r="O208" i="5"/>
  <c r="A624" i="1"/>
  <c r="A208" i="5" s="1"/>
  <c r="B624" i="1"/>
  <c r="B208" i="5" s="1"/>
  <c r="O207" i="5"/>
  <c r="A621" i="1"/>
  <c r="A207" i="5" s="1"/>
  <c r="B621" i="1"/>
  <c r="B207" i="5" s="1"/>
  <c r="O213" i="3"/>
  <c r="A619" i="1"/>
  <c r="A213" i="3" s="1"/>
  <c r="B619" i="1"/>
  <c r="B213" i="3" s="1"/>
  <c r="O212" i="3"/>
  <c r="A618" i="1"/>
  <c r="A212" i="3" s="1"/>
  <c r="B618" i="1"/>
  <c r="B212" i="3" s="1"/>
  <c r="O206" i="5"/>
  <c r="A617" i="1"/>
  <c r="A206" i="5" s="1"/>
  <c r="B617" i="1"/>
  <c r="B206" i="5" s="1"/>
  <c r="O211" i="3"/>
  <c r="A615" i="1"/>
  <c r="A211" i="3" s="1"/>
  <c r="B615" i="1"/>
  <c r="B211" i="3" s="1"/>
  <c r="O205" i="5"/>
  <c r="A614" i="1"/>
  <c r="A205" i="5" s="1"/>
  <c r="B614" i="1"/>
  <c r="B205" i="5" s="1"/>
  <c r="O204" i="5"/>
  <c r="A613" i="1"/>
  <c r="A204" i="5" s="1"/>
  <c r="B613" i="1"/>
  <c r="B204" i="5" s="1"/>
  <c r="O203" i="5"/>
  <c r="A611" i="1"/>
  <c r="A203" i="5" s="1"/>
  <c r="B611" i="1"/>
  <c r="B203" i="5" s="1"/>
  <c r="O202" i="5"/>
  <c r="A610" i="1"/>
  <c r="A202" i="5" s="1"/>
  <c r="B610" i="1"/>
  <c r="B202" i="5" s="1"/>
  <c r="O210" i="3"/>
  <c r="A609" i="1"/>
  <c r="A210" i="3" s="1"/>
  <c r="B609" i="1"/>
  <c r="B210" i="3" s="1"/>
  <c r="O201" i="5"/>
  <c r="A607" i="1"/>
  <c r="A201" i="5" s="1"/>
  <c r="B607" i="1"/>
  <c r="B201" i="5" s="1"/>
  <c r="O209" i="3"/>
  <c r="A605" i="1"/>
  <c r="A209" i="3" s="1"/>
  <c r="B605" i="1"/>
  <c r="B209" i="3" s="1"/>
  <c r="O208" i="3"/>
  <c r="A603" i="1"/>
  <c r="A208" i="3" s="1"/>
  <c r="B603" i="1"/>
  <c r="B208" i="3" s="1"/>
  <c r="O200" i="5"/>
  <c r="A602" i="1"/>
  <c r="A200" i="5" s="1"/>
  <c r="B602" i="1"/>
  <c r="B200" i="5" s="1"/>
  <c r="O199" i="5"/>
  <c r="A601" i="1"/>
  <c r="A199" i="5" s="1"/>
  <c r="B601" i="1"/>
  <c r="B199" i="5" s="1"/>
  <c r="O207" i="3"/>
  <c r="A600" i="1"/>
  <c r="A207" i="3" s="1"/>
  <c r="B600" i="1"/>
  <c r="B207" i="3" s="1"/>
  <c r="O198" i="5"/>
  <c r="A599" i="1"/>
  <c r="A198" i="5" s="1"/>
  <c r="B599" i="1"/>
  <c r="B198" i="5" s="1"/>
  <c r="O206" i="3"/>
  <c r="A598" i="1"/>
  <c r="A206" i="3" s="1"/>
  <c r="B598" i="1"/>
  <c r="B206" i="3" s="1"/>
  <c r="O205" i="3"/>
  <c r="A597" i="1"/>
  <c r="A205" i="3" s="1"/>
  <c r="B597" i="1"/>
  <c r="B205" i="3" s="1"/>
  <c r="O204" i="3"/>
  <c r="A596" i="1"/>
  <c r="A204" i="3" s="1"/>
  <c r="B596" i="1"/>
  <c r="B204" i="3" s="1"/>
  <c r="O203" i="3"/>
  <c r="A594" i="1"/>
  <c r="A203" i="3" s="1"/>
  <c r="B594" i="1"/>
  <c r="B203" i="3" s="1"/>
  <c r="O197" i="5"/>
  <c r="A592" i="1"/>
  <c r="A197" i="5" s="1"/>
  <c r="B592" i="1"/>
  <c r="B197" i="5" s="1"/>
  <c r="O202" i="3"/>
  <c r="A591" i="1"/>
  <c r="A202" i="3" s="1"/>
  <c r="B591" i="1"/>
  <c r="B202" i="3" s="1"/>
  <c r="O196" i="5"/>
  <c r="A590" i="1"/>
  <c r="A196" i="5" s="1"/>
  <c r="B590" i="1"/>
  <c r="B196" i="5" s="1"/>
  <c r="O201" i="3"/>
  <c r="A588" i="1"/>
  <c r="A201" i="3" s="1"/>
  <c r="B588" i="1"/>
  <c r="B201" i="3" s="1"/>
  <c r="O200" i="3"/>
  <c r="A586" i="1"/>
  <c r="A200" i="3" s="1"/>
  <c r="B586" i="1"/>
  <c r="B200" i="3" s="1"/>
  <c r="O195" i="5"/>
  <c r="A585" i="1"/>
  <c r="A195" i="5" s="1"/>
  <c r="B585" i="1"/>
  <c r="B195" i="5" s="1"/>
  <c r="O194" i="5"/>
  <c r="A584" i="1"/>
  <c r="A194" i="5" s="1"/>
  <c r="B584" i="1"/>
  <c r="B194" i="5" s="1"/>
  <c r="O199" i="3"/>
  <c r="A583" i="1"/>
  <c r="A199" i="3" s="1"/>
  <c r="B583" i="1"/>
  <c r="B199" i="3" s="1"/>
  <c r="O198" i="3"/>
  <c r="A582" i="1"/>
  <c r="A198" i="3" s="1"/>
  <c r="B582" i="1"/>
  <c r="B198" i="3" s="1"/>
  <c r="O193" i="5"/>
  <c r="A581" i="1"/>
  <c r="A193" i="5" s="1"/>
  <c r="B581" i="1"/>
  <c r="B193" i="5" s="1"/>
  <c r="O197" i="3"/>
  <c r="A579" i="1"/>
  <c r="A197" i="3" s="1"/>
  <c r="B579" i="1"/>
  <c r="B197" i="3" s="1"/>
  <c r="O196" i="3"/>
  <c r="A578" i="1"/>
  <c r="A196" i="3" s="1"/>
  <c r="B578" i="1"/>
  <c r="B196" i="3" s="1"/>
  <c r="O195" i="3"/>
  <c r="A577" i="1"/>
  <c r="A195" i="3" s="1"/>
  <c r="B577" i="1"/>
  <c r="B195" i="3" s="1"/>
  <c r="O192" i="5"/>
  <c r="A575" i="1"/>
  <c r="A192" i="5" s="1"/>
  <c r="B575" i="1"/>
  <c r="B192" i="5" s="1"/>
  <c r="O191" i="5"/>
  <c r="A572" i="1"/>
  <c r="A191" i="5" s="1"/>
  <c r="B572" i="1"/>
  <c r="B191" i="5" s="1"/>
  <c r="O194" i="3"/>
  <c r="A571" i="1"/>
  <c r="A194" i="3" s="1"/>
  <c r="B571" i="1"/>
  <c r="B194" i="3" s="1"/>
  <c r="O190" i="5"/>
  <c r="A570" i="1"/>
  <c r="A190" i="5" s="1"/>
  <c r="B570" i="1"/>
  <c r="B190" i="5" s="1"/>
  <c r="O193" i="3"/>
  <c r="A569" i="1"/>
  <c r="A193" i="3" s="1"/>
  <c r="B569" i="1"/>
  <c r="B193" i="3" s="1"/>
  <c r="O189" i="5"/>
  <c r="A568" i="1"/>
  <c r="A189" i="5" s="1"/>
  <c r="B568" i="1"/>
  <c r="B189" i="5" s="1"/>
  <c r="O192" i="3"/>
  <c r="A566" i="1"/>
  <c r="A192" i="3" s="1"/>
  <c r="B566" i="1"/>
  <c r="B192" i="3" s="1"/>
  <c r="O188" i="5"/>
  <c r="A565" i="1"/>
  <c r="A188" i="5" s="1"/>
  <c r="B565" i="1"/>
  <c r="B188" i="5" s="1"/>
  <c r="O187" i="5"/>
  <c r="A564" i="1"/>
  <c r="A187" i="5" s="1"/>
  <c r="B564" i="1"/>
  <c r="B187" i="5" s="1"/>
  <c r="O191" i="3"/>
  <c r="A563" i="1"/>
  <c r="A191" i="3" s="1"/>
  <c r="B563" i="1"/>
  <c r="B191" i="3" s="1"/>
  <c r="O190" i="3"/>
  <c r="A561" i="1"/>
  <c r="A190" i="3" s="1"/>
  <c r="B561" i="1"/>
  <c r="B190" i="3" s="1"/>
  <c r="O186" i="5"/>
  <c r="A560" i="1"/>
  <c r="A186" i="5" s="1"/>
  <c r="B560" i="1"/>
  <c r="B186" i="5" s="1"/>
  <c r="O185" i="5"/>
  <c r="A558" i="1"/>
  <c r="A185" i="5" s="1"/>
  <c r="B558" i="1"/>
  <c r="B185" i="5" s="1"/>
  <c r="O184" i="5"/>
  <c r="A557" i="1"/>
  <c r="A184" i="5" s="1"/>
  <c r="B557" i="1"/>
  <c r="B184" i="5" s="1"/>
  <c r="O183" i="5"/>
  <c r="A556" i="1"/>
  <c r="A183" i="5" s="1"/>
  <c r="B556" i="1"/>
  <c r="B183" i="5" s="1"/>
  <c r="O182" i="5"/>
  <c r="A555" i="1"/>
  <c r="A182" i="5" s="1"/>
  <c r="B555" i="1"/>
  <c r="B182" i="5" s="1"/>
  <c r="O181" i="5"/>
  <c r="A554" i="1"/>
  <c r="A181" i="5" s="1"/>
  <c r="B554" i="1"/>
  <c r="B181" i="5" s="1"/>
  <c r="O189" i="3"/>
  <c r="A552" i="1"/>
  <c r="A189" i="3" s="1"/>
  <c r="B552" i="1"/>
  <c r="B189" i="3" s="1"/>
  <c r="O180" i="5"/>
  <c r="A551" i="1"/>
  <c r="A180" i="5" s="1"/>
  <c r="B551" i="1"/>
  <c r="B180" i="5" s="1"/>
  <c r="O188" i="3"/>
  <c r="A550" i="1"/>
  <c r="A188" i="3" s="1"/>
  <c r="B550" i="1"/>
  <c r="B188" i="3" s="1"/>
  <c r="O179" i="5"/>
  <c r="A549" i="1"/>
  <c r="A179" i="5" s="1"/>
  <c r="B549" i="1"/>
  <c r="B179" i="5" s="1"/>
  <c r="O187" i="3"/>
  <c r="A546" i="1"/>
  <c r="A187" i="3" s="1"/>
  <c r="B546" i="1"/>
  <c r="B187" i="3" s="1"/>
  <c r="O178" i="5"/>
  <c r="A543" i="1"/>
  <c r="A178" i="5" s="1"/>
  <c r="B543" i="1"/>
  <c r="B178" i="5" s="1"/>
  <c r="O186" i="3"/>
  <c r="A541" i="1"/>
  <c r="A186" i="3" s="1"/>
  <c r="B541" i="1"/>
  <c r="B186" i="3" s="1"/>
  <c r="O177" i="5"/>
  <c r="A540" i="1"/>
  <c r="A177" i="5" s="1"/>
  <c r="B540" i="1"/>
  <c r="B177" i="5" s="1"/>
  <c r="O176" i="5"/>
  <c r="A537" i="1"/>
  <c r="A176" i="5" s="1"/>
  <c r="B537" i="1"/>
  <c r="B176" i="5" s="1"/>
  <c r="O185" i="3"/>
  <c r="A535" i="1"/>
  <c r="A185" i="3" s="1"/>
  <c r="B535" i="1"/>
  <c r="B185" i="3" s="1"/>
  <c r="O175" i="5"/>
  <c r="A533" i="1"/>
  <c r="A175" i="5" s="1"/>
  <c r="B533" i="1"/>
  <c r="B175" i="5" s="1"/>
  <c r="O174" i="5"/>
  <c r="A532" i="1"/>
  <c r="A174" i="5" s="1"/>
  <c r="B532" i="1"/>
  <c r="B174" i="5" s="1"/>
  <c r="O173" i="5"/>
  <c r="A530" i="1"/>
  <c r="A173" i="5" s="1"/>
  <c r="B530" i="1"/>
  <c r="B173" i="5" s="1"/>
  <c r="O184" i="3"/>
  <c r="A528" i="1"/>
  <c r="A184" i="3" s="1"/>
  <c r="B528" i="1"/>
  <c r="B184" i="3" s="1"/>
  <c r="O172" i="5"/>
  <c r="A527" i="1"/>
  <c r="A172" i="5" s="1"/>
  <c r="B527" i="1"/>
  <c r="B172" i="5" s="1"/>
  <c r="O183" i="3"/>
  <c r="A526" i="1"/>
  <c r="A183" i="3" s="1"/>
  <c r="B526" i="1"/>
  <c r="B183" i="3" s="1"/>
  <c r="O182" i="3"/>
  <c r="A525" i="1"/>
  <c r="A182" i="3" s="1"/>
  <c r="B525" i="1"/>
  <c r="B182" i="3" s="1"/>
  <c r="O171" i="5"/>
  <c r="A522" i="1"/>
  <c r="A171" i="5" s="1"/>
  <c r="B522" i="1"/>
  <c r="B171" i="5" s="1"/>
  <c r="O170" i="5"/>
  <c r="A521" i="1"/>
  <c r="A170" i="5" s="1"/>
  <c r="B521" i="1"/>
  <c r="B170" i="5" s="1"/>
  <c r="O181" i="3"/>
  <c r="A520" i="1"/>
  <c r="A181" i="3" s="1"/>
  <c r="B520" i="1"/>
  <c r="B181" i="3" s="1"/>
  <c r="O169" i="5"/>
  <c r="A519" i="1"/>
  <c r="A169" i="5" s="1"/>
  <c r="B519" i="1"/>
  <c r="B169" i="5" s="1"/>
  <c r="O168" i="5"/>
  <c r="A517" i="1"/>
  <c r="A168" i="5" s="1"/>
  <c r="B517" i="1"/>
  <c r="B168" i="5" s="1"/>
  <c r="O167" i="5"/>
  <c r="A516" i="1"/>
  <c r="A167" i="5" s="1"/>
  <c r="B516" i="1"/>
  <c r="B167" i="5" s="1"/>
  <c r="O166" i="5"/>
  <c r="A515" i="1"/>
  <c r="A166" i="5" s="1"/>
  <c r="B515" i="1"/>
  <c r="B166" i="5" s="1"/>
  <c r="O180" i="3"/>
  <c r="A514" i="1"/>
  <c r="A180" i="3" s="1"/>
  <c r="B514" i="1"/>
  <c r="B180" i="3" s="1"/>
  <c r="O165" i="5"/>
  <c r="A513" i="1"/>
  <c r="A165" i="5" s="1"/>
  <c r="B513" i="1"/>
  <c r="B165" i="5" s="1"/>
  <c r="O179" i="3"/>
  <c r="A512" i="1"/>
  <c r="A179" i="3" s="1"/>
  <c r="B512" i="1"/>
  <c r="B179" i="3" s="1"/>
  <c r="O178" i="3"/>
  <c r="A511" i="1"/>
  <c r="A178" i="3" s="1"/>
  <c r="B511" i="1"/>
  <c r="B178" i="3" s="1"/>
  <c r="O177" i="3"/>
  <c r="A510" i="1"/>
  <c r="A177" i="3" s="1"/>
  <c r="B510" i="1"/>
  <c r="B177" i="3" s="1"/>
  <c r="O176" i="3"/>
  <c r="A509" i="1"/>
  <c r="A176" i="3" s="1"/>
  <c r="B509" i="1"/>
  <c r="B176" i="3" s="1"/>
  <c r="O175" i="3"/>
  <c r="A508" i="1"/>
  <c r="A175" i="3" s="1"/>
  <c r="B508" i="1"/>
  <c r="B175" i="3" s="1"/>
  <c r="O164" i="5"/>
  <c r="A507" i="1"/>
  <c r="A164" i="5" s="1"/>
  <c r="B507" i="1"/>
  <c r="B164" i="5" s="1"/>
  <c r="O163" i="5"/>
  <c r="A506" i="1"/>
  <c r="A163" i="5" s="1"/>
  <c r="B506" i="1"/>
  <c r="B163" i="5" s="1"/>
  <c r="O174" i="3"/>
  <c r="A505" i="1"/>
  <c r="A174" i="3" s="1"/>
  <c r="B505" i="1"/>
  <c r="B174" i="3" s="1"/>
  <c r="O173" i="3"/>
  <c r="A504" i="1"/>
  <c r="A173" i="3" s="1"/>
  <c r="B504" i="1"/>
  <c r="B173" i="3" s="1"/>
  <c r="O172" i="3"/>
  <c r="A500" i="1"/>
  <c r="A172" i="3" s="1"/>
  <c r="B500" i="1"/>
  <c r="B172" i="3" s="1"/>
  <c r="O162" i="5"/>
  <c r="A499" i="1"/>
  <c r="A162" i="5" s="1"/>
  <c r="B499" i="1"/>
  <c r="B162" i="5" s="1"/>
  <c r="O171" i="3"/>
  <c r="A498" i="1"/>
  <c r="A171" i="3" s="1"/>
  <c r="B498" i="1"/>
  <c r="B171" i="3" s="1"/>
  <c r="O161" i="5"/>
  <c r="A497" i="1"/>
  <c r="A161" i="5" s="1"/>
  <c r="B497" i="1"/>
  <c r="B161" i="5" s="1"/>
  <c r="O160" i="5"/>
  <c r="A496" i="1"/>
  <c r="A160" i="5" s="1"/>
  <c r="B496" i="1"/>
  <c r="B160" i="5" s="1"/>
  <c r="O159" i="5"/>
  <c r="A495" i="1"/>
  <c r="A159" i="5" s="1"/>
  <c r="B495" i="1"/>
  <c r="B159" i="5" s="1"/>
  <c r="O158" i="5"/>
  <c r="A494" i="1"/>
  <c r="A158" i="5" s="1"/>
  <c r="B494" i="1"/>
  <c r="B158" i="5" s="1"/>
  <c r="O170" i="3"/>
  <c r="A493" i="1"/>
  <c r="A170" i="3" s="1"/>
  <c r="B493" i="1"/>
  <c r="B170" i="3" s="1"/>
  <c r="O157" i="5"/>
  <c r="A492" i="1"/>
  <c r="A157" i="5" s="1"/>
  <c r="B492" i="1"/>
  <c r="B157" i="5" s="1"/>
  <c r="O169" i="3"/>
  <c r="A490" i="1"/>
  <c r="A169" i="3" s="1"/>
  <c r="B490" i="1"/>
  <c r="B169" i="3" s="1"/>
  <c r="O156" i="5"/>
  <c r="A489" i="1"/>
  <c r="A156" i="5" s="1"/>
  <c r="B489" i="1"/>
  <c r="B156" i="5" s="1"/>
  <c r="O155" i="5"/>
  <c r="A488" i="1"/>
  <c r="A155" i="5" s="1"/>
  <c r="B488" i="1"/>
  <c r="B155" i="5" s="1"/>
  <c r="O154" i="5"/>
  <c r="A487" i="1"/>
  <c r="A154" i="5" s="1"/>
  <c r="B487" i="1"/>
  <c r="B154" i="5" s="1"/>
  <c r="O168" i="3"/>
  <c r="A486" i="1"/>
  <c r="A168" i="3" s="1"/>
  <c r="B486" i="1"/>
  <c r="B168" i="3" s="1"/>
  <c r="O153" i="5"/>
  <c r="A484" i="1"/>
  <c r="A153" i="5" s="1"/>
  <c r="B484" i="1"/>
  <c r="B153" i="5" s="1"/>
  <c r="O152" i="5"/>
  <c r="A483" i="1"/>
  <c r="A152" i="5" s="1"/>
  <c r="B483" i="1"/>
  <c r="B152" i="5" s="1"/>
  <c r="O167" i="3"/>
  <c r="A482" i="1"/>
  <c r="A167" i="3" s="1"/>
  <c r="B482" i="1"/>
  <c r="B167" i="3" s="1"/>
  <c r="O166" i="3"/>
  <c r="A481" i="1"/>
  <c r="A166" i="3" s="1"/>
  <c r="B481" i="1"/>
  <c r="B166" i="3" s="1"/>
  <c r="O151" i="5"/>
  <c r="A480" i="1"/>
  <c r="A151" i="5" s="1"/>
  <c r="B480" i="1"/>
  <c r="B151" i="5" s="1"/>
  <c r="O165" i="3"/>
  <c r="A478" i="1"/>
  <c r="A165" i="3" s="1"/>
  <c r="B478" i="1"/>
  <c r="B165" i="3" s="1"/>
  <c r="O164" i="3"/>
  <c r="A477" i="1"/>
  <c r="A164" i="3" s="1"/>
  <c r="B477" i="1"/>
  <c r="B164" i="3" s="1"/>
  <c r="O163" i="3"/>
  <c r="A476" i="1"/>
  <c r="A163" i="3" s="1"/>
  <c r="B476" i="1"/>
  <c r="B163" i="3" s="1"/>
  <c r="O150" i="5"/>
  <c r="A475" i="1"/>
  <c r="A150" i="5" s="1"/>
  <c r="B475" i="1"/>
  <c r="B150" i="5" s="1"/>
  <c r="O149" i="5"/>
  <c r="A473" i="1"/>
  <c r="A149" i="5" s="1"/>
  <c r="B473" i="1"/>
  <c r="B149" i="5" s="1"/>
  <c r="O148" i="5"/>
  <c r="A472" i="1"/>
  <c r="A148" i="5" s="1"/>
  <c r="B472" i="1"/>
  <c r="B148" i="5" s="1"/>
  <c r="O147" i="5"/>
  <c r="A470" i="1"/>
  <c r="A147" i="5" s="1"/>
  <c r="B470" i="1"/>
  <c r="B147" i="5" s="1"/>
  <c r="O146" i="5"/>
  <c r="A469" i="1"/>
  <c r="A146" i="5" s="1"/>
  <c r="B469" i="1"/>
  <c r="B146" i="5" s="1"/>
  <c r="O162" i="3"/>
  <c r="A467" i="1"/>
  <c r="A162" i="3" s="1"/>
  <c r="B467" i="1"/>
  <c r="B162" i="3" s="1"/>
  <c r="O145" i="5"/>
  <c r="A465" i="1"/>
  <c r="A145" i="5" s="1"/>
  <c r="B465" i="1"/>
  <c r="B145" i="5" s="1"/>
  <c r="O144" i="5"/>
  <c r="A463" i="1"/>
  <c r="A144" i="5" s="1"/>
  <c r="B463" i="1"/>
  <c r="B144" i="5" s="1"/>
  <c r="O143" i="5"/>
  <c r="A462" i="1"/>
  <c r="A143" i="5" s="1"/>
  <c r="B462" i="1"/>
  <c r="B143" i="5" s="1"/>
  <c r="O161" i="3"/>
  <c r="A460" i="1"/>
  <c r="A161" i="3" s="1"/>
  <c r="B460" i="1"/>
  <c r="B161" i="3" s="1"/>
  <c r="O160" i="3"/>
  <c r="A459" i="1"/>
  <c r="A160" i="3" s="1"/>
  <c r="B459" i="1"/>
  <c r="B160" i="3" s="1"/>
  <c r="O159" i="3"/>
  <c r="A457" i="1"/>
  <c r="A159" i="3" s="1"/>
  <c r="B457" i="1"/>
  <c r="B159" i="3" s="1"/>
  <c r="O158" i="3"/>
  <c r="A456" i="1"/>
  <c r="A158" i="3" s="1"/>
  <c r="B456" i="1"/>
  <c r="B158" i="3" s="1"/>
  <c r="O157" i="3"/>
  <c r="A455" i="1"/>
  <c r="A157" i="3" s="1"/>
  <c r="B455" i="1"/>
  <c r="B157" i="3" s="1"/>
  <c r="O142" i="5"/>
  <c r="A454" i="1"/>
  <c r="A142" i="5" s="1"/>
  <c r="B454" i="1"/>
  <c r="B142" i="5" s="1"/>
  <c r="O141" i="5"/>
  <c r="A452" i="1"/>
  <c r="A141" i="5" s="1"/>
  <c r="B452" i="1"/>
  <c r="B141" i="5" s="1"/>
  <c r="O140" i="5"/>
  <c r="A451" i="1"/>
  <c r="A140" i="5" s="1"/>
  <c r="B451" i="1"/>
  <c r="B140" i="5" s="1"/>
  <c r="O156" i="3"/>
  <c r="A450" i="1"/>
  <c r="A156" i="3" s="1"/>
  <c r="B450" i="1"/>
  <c r="B156" i="3" s="1"/>
  <c r="O139" i="5"/>
  <c r="A449" i="1"/>
  <c r="A139" i="5" s="1"/>
  <c r="B449" i="1"/>
  <c r="B139" i="5" s="1"/>
  <c r="O155" i="3"/>
  <c r="A448" i="1"/>
  <c r="A155" i="3" s="1"/>
  <c r="B448" i="1"/>
  <c r="B155" i="3" s="1"/>
  <c r="O154" i="3"/>
  <c r="A447" i="1"/>
  <c r="A154" i="3" s="1"/>
  <c r="B447" i="1"/>
  <c r="B154" i="3" s="1"/>
  <c r="O153" i="3"/>
  <c r="A446" i="1"/>
  <c r="A153" i="3" s="1"/>
  <c r="B446" i="1"/>
  <c r="B153" i="3" s="1"/>
  <c r="O138" i="5"/>
  <c r="A445" i="1"/>
  <c r="A138" i="5" s="1"/>
  <c r="B445" i="1"/>
  <c r="B138" i="5" s="1"/>
  <c r="O152" i="3"/>
  <c r="A444" i="1"/>
  <c r="A152" i="3" s="1"/>
  <c r="B444" i="1"/>
  <c r="B152" i="3" s="1"/>
  <c r="O137" i="5"/>
  <c r="A443" i="1"/>
  <c r="A137" i="5" s="1"/>
  <c r="B443" i="1"/>
  <c r="B137" i="5" s="1"/>
  <c r="O151" i="3"/>
  <c r="A441" i="1"/>
  <c r="A151" i="3" s="1"/>
  <c r="B441" i="1"/>
  <c r="B151" i="3" s="1"/>
  <c r="O150" i="3"/>
  <c r="A440" i="1"/>
  <c r="A150" i="3" s="1"/>
  <c r="B440" i="1"/>
  <c r="B150" i="3" s="1"/>
  <c r="O136" i="5"/>
  <c r="A439" i="1"/>
  <c r="A136" i="5" s="1"/>
  <c r="B439" i="1"/>
  <c r="B136" i="5" s="1"/>
  <c r="O135" i="5"/>
  <c r="A438" i="1"/>
  <c r="A135" i="5" s="1"/>
  <c r="B438" i="1"/>
  <c r="B135" i="5" s="1"/>
  <c r="O149" i="3"/>
  <c r="A437" i="1"/>
  <c r="A149" i="3" s="1"/>
  <c r="B437" i="1"/>
  <c r="B149" i="3" s="1"/>
  <c r="O134" i="5"/>
  <c r="A436" i="1"/>
  <c r="A134" i="5" s="1"/>
  <c r="B436" i="1"/>
  <c r="B134" i="5" s="1"/>
  <c r="O133" i="5"/>
  <c r="A434" i="1"/>
  <c r="A133" i="5" s="1"/>
  <c r="B434" i="1"/>
  <c r="B133" i="5" s="1"/>
  <c r="O132" i="5"/>
  <c r="A433" i="1"/>
  <c r="A132" i="5" s="1"/>
  <c r="B433" i="1"/>
  <c r="B132" i="5" s="1"/>
  <c r="O131" i="5"/>
  <c r="A428" i="1"/>
  <c r="A131" i="5" s="1"/>
  <c r="B428" i="1"/>
  <c r="B131" i="5" s="1"/>
  <c r="O130" i="5"/>
  <c r="A427" i="1"/>
  <c r="A130" i="5" s="1"/>
  <c r="B427" i="1"/>
  <c r="B130" i="5" s="1"/>
  <c r="O129" i="5"/>
  <c r="A424" i="1"/>
  <c r="A129" i="5" s="1"/>
  <c r="B424" i="1"/>
  <c r="B129" i="5" s="1"/>
  <c r="O128" i="5"/>
  <c r="A423" i="1"/>
  <c r="A128" i="5" s="1"/>
  <c r="B423" i="1"/>
  <c r="B128" i="5" s="1"/>
  <c r="O127" i="5"/>
  <c r="A419" i="1"/>
  <c r="A127" i="5" s="1"/>
  <c r="B419" i="1"/>
  <c r="B127" i="5" s="1"/>
  <c r="O126" i="5"/>
  <c r="A414" i="1"/>
  <c r="A126" i="5" s="1"/>
  <c r="B414" i="1"/>
  <c r="B126" i="5" s="1"/>
  <c r="O125" i="5"/>
  <c r="A413" i="1"/>
  <c r="A125" i="5" s="1"/>
  <c r="B413" i="1"/>
  <c r="B125" i="5" s="1"/>
  <c r="O124" i="5"/>
  <c r="A411" i="1"/>
  <c r="A124" i="5" s="1"/>
  <c r="B411" i="1"/>
  <c r="B124" i="5" s="1"/>
  <c r="O123" i="5"/>
  <c r="A410" i="1"/>
  <c r="A123" i="5" s="1"/>
  <c r="B410" i="1"/>
  <c r="B123" i="5" s="1"/>
  <c r="O122" i="5"/>
  <c r="A408" i="1"/>
  <c r="A122" i="5" s="1"/>
  <c r="B408" i="1"/>
  <c r="B122" i="5" s="1"/>
  <c r="O121" i="5"/>
  <c r="A405" i="1"/>
  <c r="A121" i="5" s="1"/>
  <c r="B405" i="1"/>
  <c r="B121" i="5" s="1"/>
  <c r="O120" i="5"/>
  <c r="A403" i="1"/>
  <c r="A120" i="5" s="1"/>
  <c r="B403" i="1"/>
  <c r="B120" i="5" s="1"/>
  <c r="O119" i="5"/>
  <c r="A400" i="1"/>
  <c r="A119" i="5" s="1"/>
  <c r="B400" i="1"/>
  <c r="B119" i="5" s="1"/>
  <c r="O118" i="5"/>
  <c r="A394" i="1"/>
  <c r="A118" i="5" s="1"/>
  <c r="B394" i="1"/>
  <c r="B118" i="5" s="1"/>
  <c r="O117" i="5"/>
  <c r="A391" i="1"/>
  <c r="A117" i="5" s="1"/>
  <c r="B391" i="1"/>
  <c r="B117" i="5" s="1"/>
  <c r="O116" i="5"/>
  <c r="A389" i="1"/>
  <c r="A116" i="5" s="1"/>
  <c r="B389" i="1"/>
  <c r="B116" i="5" s="1"/>
  <c r="O115" i="5"/>
  <c r="A387" i="1"/>
  <c r="A115" i="5" s="1"/>
  <c r="B387" i="1"/>
  <c r="B115" i="5" s="1"/>
  <c r="O114" i="5"/>
  <c r="A385" i="1"/>
  <c r="A114" i="5" s="1"/>
  <c r="B385" i="1"/>
  <c r="B114" i="5" s="1"/>
  <c r="O113" i="5"/>
  <c r="A383" i="1"/>
  <c r="A113" i="5" s="1"/>
  <c r="B383" i="1"/>
  <c r="B113" i="5" s="1"/>
  <c r="O85" i="2"/>
  <c r="A378" i="1"/>
  <c r="A85" i="2" s="1"/>
  <c r="B378" i="1"/>
  <c r="B85" i="2" s="1"/>
  <c r="O112" i="5"/>
  <c r="A376" i="1"/>
  <c r="A112" i="5" s="1"/>
  <c r="B376" i="1"/>
  <c r="B112" i="5" s="1"/>
  <c r="O111" i="5"/>
  <c r="A375" i="1"/>
  <c r="A111" i="5" s="1"/>
  <c r="B375" i="1"/>
  <c r="B111" i="5" s="1"/>
  <c r="O110" i="5"/>
  <c r="A374" i="1"/>
  <c r="A110" i="5" s="1"/>
  <c r="B374" i="1"/>
  <c r="B110" i="5" s="1"/>
  <c r="O109" i="5"/>
  <c r="A373" i="1"/>
  <c r="A109" i="5" s="1"/>
  <c r="B373" i="1"/>
  <c r="B109" i="5" s="1"/>
  <c r="O84" i="2"/>
  <c r="A372" i="1"/>
  <c r="A84" i="2" s="1"/>
  <c r="B372" i="1"/>
  <c r="B84" i="2" s="1"/>
  <c r="O83" i="2"/>
  <c r="A371" i="1"/>
  <c r="A83" i="2" s="1"/>
  <c r="B371" i="1"/>
  <c r="B83" i="2" s="1"/>
  <c r="O108" i="5"/>
  <c r="A369" i="1"/>
  <c r="A108" i="5" s="1"/>
  <c r="B369" i="1"/>
  <c r="B108" i="5" s="1"/>
  <c r="O107" i="5"/>
  <c r="A368" i="1"/>
  <c r="A107" i="5" s="1"/>
  <c r="B368" i="1"/>
  <c r="B107" i="5" s="1"/>
  <c r="O106" i="5"/>
  <c r="A365" i="1"/>
  <c r="A106" i="5" s="1"/>
  <c r="B365" i="1"/>
  <c r="B106" i="5" s="1"/>
  <c r="O105" i="5"/>
  <c r="A363" i="1"/>
  <c r="A105" i="5" s="1"/>
  <c r="B363" i="1"/>
  <c r="B105" i="5" s="1"/>
  <c r="O82" i="2"/>
  <c r="A361" i="1"/>
  <c r="A82" i="2" s="1"/>
  <c r="B361" i="1"/>
  <c r="B82" i="2" s="1"/>
  <c r="O104" i="5"/>
  <c r="A360" i="1"/>
  <c r="A104" i="5" s="1"/>
  <c r="B360" i="1"/>
  <c r="B104" i="5" s="1"/>
  <c r="O81" i="2"/>
  <c r="A359" i="1"/>
  <c r="A81" i="2" s="1"/>
  <c r="B359" i="1"/>
  <c r="B81" i="2" s="1"/>
  <c r="O103" i="5"/>
  <c r="A358" i="1"/>
  <c r="A103" i="5" s="1"/>
  <c r="B358" i="1"/>
  <c r="B103" i="5" s="1"/>
  <c r="O80" i="2"/>
  <c r="A357" i="1"/>
  <c r="A80" i="2" s="1"/>
  <c r="B357" i="1"/>
  <c r="B80" i="2" s="1"/>
  <c r="O79" i="2"/>
  <c r="A356" i="1"/>
  <c r="A79" i="2" s="1"/>
  <c r="B356" i="1"/>
  <c r="B79" i="2" s="1"/>
  <c r="O102" i="5"/>
  <c r="A355" i="1"/>
  <c r="A102" i="5" s="1"/>
  <c r="B355" i="1"/>
  <c r="B102" i="5" s="1"/>
  <c r="O101" i="5"/>
  <c r="A354" i="1"/>
  <c r="A101" i="5" s="1"/>
  <c r="B354" i="1"/>
  <c r="B101" i="5" s="1"/>
  <c r="O78" i="2"/>
  <c r="A353" i="1"/>
  <c r="A78" i="2" s="1"/>
  <c r="B353" i="1"/>
  <c r="B78" i="2" s="1"/>
  <c r="O77" i="2"/>
  <c r="A352" i="1"/>
  <c r="A77" i="2" s="1"/>
  <c r="B352" i="1"/>
  <c r="B77" i="2" s="1"/>
  <c r="O100" i="5"/>
  <c r="A349" i="1"/>
  <c r="A100" i="5" s="1"/>
  <c r="B349" i="1"/>
  <c r="B100" i="5" s="1"/>
  <c r="O99" i="5"/>
  <c r="A346" i="1"/>
  <c r="A99" i="5" s="1"/>
  <c r="B346" i="1"/>
  <c r="B99" i="5" s="1"/>
  <c r="O98" i="5"/>
  <c r="A342" i="1"/>
  <c r="A98" i="5" s="1"/>
  <c r="B342" i="1"/>
  <c r="B98" i="5" s="1"/>
  <c r="O97" i="5"/>
  <c r="A339" i="1"/>
  <c r="A97" i="5" s="1"/>
  <c r="B339" i="1"/>
  <c r="B97" i="5" s="1"/>
  <c r="O96" i="5"/>
  <c r="A338" i="1"/>
  <c r="A96" i="5" s="1"/>
  <c r="B338" i="1"/>
  <c r="B96" i="5" s="1"/>
  <c r="O95" i="5"/>
  <c r="A337" i="1"/>
  <c r="A95" i="5" s="1"/>
  <c r="B337" i="1"/>
  <c r="B95" i="5" s="1"/>
  <c r="O76" i="2"/>
  <c r="A336" i="1"/>
  <c r="A76" i="2" s="1"/>
  <c r="B336" i="1"/>
  <c r="B76" i="2" s="1"/>
  <c r="O75" i="2"/>
  <c r="A334" i="1"/>
  <c r="A75" i="2" s="1"/>
  <c r="B334" i="1"/>
  <c r="B75" i="2" s="1"/>
  <c r="O74" i="2"/>
  <c r="A332" i="1"/>
  <c r="A74" i="2" s="1"/>
  <c r="B332" i="1"/>
  <c r="B74" i="2" s="1"/>
  <c r="O73" i="2"/>
  <c r="A331" i="1"/>
  <c r="A73" i="2" s="1"/>
  <c r="B331" i="1"/>
  <c r="B73" i="2" s="1"/>
  <c r="O72" i="2"/>
  <c r="A330" i="1"/>
  <c r="A72" i="2" s="1"/>
  <c r="B330" i="1"/>
  <c r="B72" i="2" s="1"/>
  <c r="O94" i="5"/>
  <c r="A328" i="1"/>
  <c r="A94" i="5" s="1"/>
  <c r="B328" i="1"/>
  <c r="B94" i="5" s="1"/>
  <c r="O71" i="2"/>
  <c r="A326" i="1"/>
  <c r="A71" i="2" s="1"/>
  <c r="B326" i="1"/>
  <c r="B71" i="2" s="1"/>
  <c r="O93" i="5"/>
  <c r="A324" i="1"/>
  <c r="A93" i="5" s="1"/>
  <c r="B324" i="1"/>
  <c r="B93" i="5" s="1"/>
  <c r="O70" i="2"/>
  <c r="A322" i="1"/>
  <c r="A70" i="2" s="1"/>
  <c r="B322" i="1"/>
  <c r="B70" i="2" s="1"/>
  <c r="O92" i="5"/>
  <c r="A321" i="1"/>
  <c r="A92" i="5" s="1"/>
  <c r="B321" i="1"/>
  <c r="B92" i="5" s="1"/>
  <c r="O91" i="5"/>
  <c r="A320" i="1"/>
  <c r="A91" i="5" s="1"/>
  <c r="B320" i="1"/>
  <c r="B91" i="5" s="1"/>
  <c r="O90" i="5"/>
  <c r="A319" i="1"/>
  <c r="A90" i="5" s="1"/>
  <c r="B319" i="1"/>
  <c r="B90" i="5" s="1"/>
  <c r="O89" i="5"/>
  <c r="A318" i="1"/>
  <c r="A89" i="5" s="1"/>
  <c r="B318" i="1"/>
  <c r="B89" i="5" s="1"/>
  <c r="O69" i="2"/>
  <c r="A317" i="1"/>
  <c r="A69" i="2" s="1"/>
  <c r="B317" i="1"/>
  <c r="B69" i="2" s="1"/>
  <c r="O88" i="5"/>
  <c r="A315" i="1"/>
  <c r="A88" i="5" s="1"/>
  <c r="B315" i="1"/>
  <c r="B88" i="5" s="1"/>
  <c r="O87" i="5"/>
  <c r="A313" i="1"/>
  <c r="A87" i="5" s="1"/>
  <c r="B313" i="1"/>
  <c r="B87" i="5" s="1"/>
  <c r="O86" i="5"/>
  <c r="A305" i="1"/>
  <c r="A86" i="5" s="1"/>
  <c r="B305" i="1"/>
  <c r="B86" i="5" s="1"/>
  <c r="O85" i="5"/>
  <c r="A304" i="1"/>
  <c r="A85" i="5" s="1"/>
  <c r="B304" i="1"/>
  <c r="B85" i="5" s="1"/>
  <c r="O84" i="5"/>
  <c r="A302" i="1"/>
  <c r="A84" i="5" s="1"/>
  <c r="B302" i="1"/>
  <c r="B84" i="5" s="1"/>
  <c r="O83" i="5"/>
  <c r="A301" i="1"/>
  <c r="A83" i="5" s="1"/>
  <c r="B301" i="1"/>
  <c r="B83" i="5" s="1"/>
  <c r="O82" i="5"/>
  <c r="A298" i="1"/>
  <c r="A82" i="5" s="1"/>
  <c r="B298" i="1"/>
  <c r="B82" i="5" s="1"/>
  <c r="O68" i="2"/>
  <c r="A297" i="1"/>
  <c r="A68" i="2" s="1"/>
  <c r="B297" i="1"/>
  <c r="B68" i="2" s="1"/>
  <c r="O81" i="5"/>
  <c r="A296" i="1"/>
  <c r="A81" i="5" s="1"/>
  <c r="B296" i="1"/>
  <c r="B81" i="5" s="1"/>
  <c r="O80" i="5"/>
  <c r="A295" i="1"/>
  <c r="A80" i="5" s="1"/>
  <c r="B295" i="1"/>
  <c r="B80" i="5" s="1"/>
  <c r="O79" i="5"/>
  <c r="A294" i="1"/>
  <c r="A79" i="5" s="1"/>
  <c r="B294" i="1"/>
  <c r="B79" i="5" s="1"/>
  <c r="O78" i="5"/>
  <c r="A292" i="1"/>
  <c r="A78" i="5" s="1"/>
  <c r="B292" i="1"/>
  <c r="B78" i="5" s="1"/>
  <c r="O77" i="5"/>
  <c r="A291" i="1"/>
  <c r="A77" i="5" s="1"/>
  <c r="B291" i="1"/>
  <c r="B77" i="5" s="1"/>
  <c r="O76" i="5"/>
  <c r="A289" i="1"/>
  <c r="A76" i="5" s="1"/>
  <c r="B289" i="1"/>
  <c r="B76" i="5" s="1"/>
  <c r="O75" i="5"/>
  <c r="A285" i="1"/>
  <c r="A75" i="5" s="1"/>
  <c r="B285" i="1"/>
  <c r="B75" i="5" s="1"/>
  <c r="O74" i="5"/>
  <c r="A284" i="1"/>
  <c r="A74" i="5" s="1"/>
  <c r="B284" i="1"/>
  <c r="B74" i="5" s="1"/>
  <c r="O73" i="5"/>
  <c r="A283" i="1"/>
  <c r="A73" i="5" s="1"/>
  <c r="B283" i="1"/>
  <c r="B73" i="5" s="1"/>
  <c r="O72" i="5"/>
  <c r="A280" i="1"/>
  <c r="A72" i="5" s="1"/>
  <c r="B280" i="1"/>
  <c r="B72" i="5" s="1"/>
  <c r="O71" i="5"/>
  <c r="A277" i="1"/>
  <c r="A71" i="5" s="1"/>
  <c r="B277" i="1"/>
  <c r="B71" i="5" s="1"/>
  <c r="O70" i="5"/>
  <c r="A273" i="1"/>
  <c r="A70" i="5" s="1"/>
  <c r="B273" i="1"/>
  <c r="B70" i="5" s="1"/>
  <c r="O69" i="5"/>
  <c r="A272" i="1"/>
  <c r="A69" i="5" s="1"/>
  <c r="B272" i="1"/>
  <c r="B69" i="5" s="1"/>
  <c r="O68" i="5"/>
  <c r="A271" i="1"/>
  <c r="A68" i="5" s="1"/>
  <c r="B271" i="1"/>
  <c r="B68" i="5" s="1"/>
  <c r="O67" i="5"/>
  <c r="A269" i="1"/>
  <c r="A67" i="5" s="1"/>
  <c r="B269" i="1"/>
  <c r="B67" i="5" s="1"/>
  <c r="O66" i="5"/>
  <c r="A268" i="1"/>
  <c r="A66" i="5" s="1"/>
  <c r="B268" i="1"/>
  <c r="B66" i="5" s="1"/>
  <c r="O65" i="5"/>
  <c r="A262" i="1"/>
  <c r="A65" i="5" s="1"/>
  <c r="B262" i="1"/>
  <c r="B65" i="5" s="1"/>
  <c r="O64" i="5"/>
  <c r="A254" i="1"/>
  <c r="A64" i="5" s="1"/>
  <c r="B254" i="1"/>
  <c r="B64" i="5" s="1"/>
  <c r="O63" i="5"/>
  <c r="A253" i="1"/>
  <c r="A63" i="5" s="1"/>
  <c r="B253" i="1"/>
  <c r="B63" i="5" s="1"/>
  <c r="O62" i="5"/>
  <c r="A250" i="1"/>
  <c r="A62" i="5" s="1"/>
  <c r="B250" i="1"/>
  <c r="B62" i="5" s="1"/>
  <c r="O61" i="5"/>
  <c r="A243" i="1"/>
  <c r="A61" i="5" s="1"/>
  <c r="B243" i="1"/>
  <c r="B61" i="5" s="1"/>
  <c r="O60" i="5"/>
  <c r="A240" i="1"/>
  <c r="A60" i="5" s="1"/>
  <c r="B240" i="1"/>
  <c r="B60" i="5" s="1"/>
  <c r="O59" i="5"/>
  <c r="A239" i="1"/>
  <c r="A59" i="5" s="1"/>
  <c r="B239" i="1"/>
  <c r="B59" i="5" s="1"/>
  <c r="O58" i="5"/>
  <c r="A235" i="1"/>
  <c r="A58" i="5" s="1"/>
  <c r="B235" i="1"/>
  <c r="B58" i="5" s="1"/>
  <c r="O57" i="5"/>
  <c r="A224" i="1"/>
  <c r="A57" i="5" s="1"/>
  <c r="B224" i="1"/>
  <c r="B57" i="5" s="1"/>
  <c r="O56" i="5"/>
  <c r="A222" i="1"/>
  <c r="A56" i="5" s="1"/>
  <c r="B222" i="1"/>
  <c r="B56" i="5" s="1"/>
  <c r="O55" i="5"/>
  <c r="A217" i="1"/>
  <c r="A55" i="5" s="1"/>
  <c r="B217" i="1"/>
  <c r="B55" i="5" s="1"/>
  <c r="O54" i="5"/>
  <c r="A214" i="1"/>
  <c r="A54" i="5" s="1"/>
  <c r="B214" i="1"/>
  <c r="B54" i="5" s="1"/>
  <c r="O53" i="5"/>
  <c r="A213" i="1"/>
  <c r="A53" i="5" s="1"/>
  <c r="B213" i="1"/>
  <c r="B53" i="5" s="1"/>
  <c r="O52" i="5"/>
  <c r="A210" i="1"/>
  <c r="A52" i="5" s="1"/>
  <c r="B210" i="1"/>
  <c r="B52" i="5" s="1"/>
  <c r="O79" i="3"/>
  <c r="A203" i="1"/>
  <c r="A79" i="3" s="1"/>
  <c r="B203" i="1"/>
  <c r="B79" i="3" s="1"/>
  <c r="O78" i="3"/>
  <c r="A201" i="1"/>
  <c r="A78" i="3" s="1"/>
  <c r="B201" i="1"/>
  <c r="B78" i="3" s="1"/>
  <c r="O77" i="3"/>
  <c r="A199" i="1"/>
  <c r="A77" i="3" s="1"/>
  <c r="B199" i="1"/>
  <c r="B77" i="3" s="1"/>
  <c r="O76" i="3"/>
  <c r="A196" i="1"/>
  <c r="A76" i="3" s="1"/>
  <c r="B196" i="1"/>
  <c r="B76" i="3" s="1"/>
  <c r="O75" i="3"/>
  <c r="A195" i="1"/>
  <c r="A75" i="3" s="1"/>
  <c r="B195" i="1"/>
  <c r="B75" i="3" s="1"/>
  <c r="O51" i="5"/>
  <c r="A191" i="1"/>
  <c r="A51" i="5" s="1"/>
  <c r="B191" i="1"/>
  <c r="B51" i="5" s="1"/>
  <c r="O50" i="5"/>
  <c r="A190" i="1"/>
  <c r="A50" i="5" s="1"/>
  <c r="B190" i="1"/>
  <c r="B50" i="5" s="1"/>
  <c r="O49" i="5"/>
  <c r="A188" i="1"/>
  <c r="A49" i="5" s="1"/>
  <c r="B188" i="1"/>
  <c r="B49" i="5" s="1"/>
  <c r="O74" i="3"/>
  <c r="A187" i="1"/>
  <c r="A74" i="3" s="1"/>
  <c r="B187" i="1"/>
  <c r="B74" i="3" s="1"/>
  <c r="O73" i="3"/>
  <c r="A186" i="1"/>
  <c r="A73" i="3" s="1"/>
  <c r="B186" i="1"/>
  <c r="B73" i="3" s="1"/>
  <c r="O48" i="5"/>
  <c r="A184" i="1"/>
  <c r="A48" i="5" s="1"/>
  <c r="B184" i="1"/>
  <c r="B48" i="5" s="1"/>
  <c r="O72" i="3"/>
  <c r="A182" i="1"/>
  <c r="A72" i="3" s="1"/>
  <c r="B182" i="1"/>
  <c r="B72" i="3" s="1"/>
  <c r="O47" i="5"/>
  <c r="A181" i="1"/>
  <c r="A47" i="5" s="1"/>
  <c r="B181" i="1"/>
  <c r="B47" i="5" s="1"/>
  <c r="O71" i="3"/>
  <c r="A179" i="1"/>
  <c r="A71" i="3" s="1"/>
  <c r="B179" i="1"/>
  <c r="B71" i="3" s="1"/>
  <c r="O70" i="3"/>
  <c r="A178" i="1"/>
  <c r="A70" i="3" s="1"/>
  <c r="B178" i="1"/>
  <c r="B70" i="3" s="1"/>
  <c r="O46" i="5"/>
  <c r="A177" i="1"/>
  <c r="A46" i="5" s="1"/>
  <c r="B177" i="1"/>
  <c r="B46" i="5" s="1"/>
  <c r="O45" i="5"/>
  <c r="A175" i="1"/>
  <c r="A45" i="5" s="1"/>
  <c r="B175" i="1"/>
  <c r="B45" i="5" s="1"/>
  <c r="O69" i="3"/>
  <c r="A172" i="1"/>
  <c r="A69" i="3" s="1"/>
  <c r="B172" i="1"/>
  <c r="B69" i="3" s="1"/>
  <c r="O44" i="5"/>
  <c r="A171" i="1"/>
  <c r="A44" i="5" s="1"/>
  <c r="B171" i="1"/>
  <c r="B44" i="5" s="1"/>
  <c r="O68" i="3"/>
  <c r="A170" i="1"/>
  <c r="A68" i="3" s="1"/>
  <c r="B170" i="1"/>
  <c r="B68" i="3" s="1"/>
  <c r="O43" i="5"/>
  <c r="A169" i="1"/>
  <c r="A43" i="5" s="1"/>
  <c r="B169" i="1"/>
  <c r="B43" i="5" s="1"/>
  <c r="O42" i="5"/>
  <c r="A166" i="1"/>
  <c r="A42" i="5" s="1"/>
  <c r="B166" i="1"/>
  <c r="B42" i="5" s="1"/>
  <c r="O67" i="3"/>
  <c r="A165" i="1"/>
  <c r="A67" i="3" s="1"/>
  <c r="B165" i="1"/>
  <c r="B67" i="3" s="1"/>
  <c r="O66" i="3"/>
  <c r="A163" i="1"/>
  <c r="A66" i="3" s="1"/>
  <c r="B163" i="1"/>
  <c r="B66" i="3" s="1"/>
  <c r="O41" i="5"/>
  <c r="A159" i="1"/>
  <c r="A41" i="5" s="1"/>
  <c r="B159" i="1"/>
  <c r="B41" i="5" s="1"/>
  <c r="O40" i="5"/>
  <c r="A158" i="1"/>
  <c r="A40" i="5" s="1"/>
  <c r="B158" i="1"/>
  <c r="B40" i="5" s="1"/>
  <c r="O65" i="3"/>
  <c r="A157" i="1"/>
  <c r="A65" i="3" s="1"/>
  <c r="B157" i="1"/>
  <c r="B65" i="3" s="1"/>
  <c r="O64" i="3"/>
  <c r="A156" i="1"/>
  <c r="A64" i="3" s="1"/>
  <c r="B156" i="1"/>
  <c r="B64" i="3" s="1"/>
  <c r="O63" i="3"/>
  <c r="A155" i="1"/>
  <c r="A63" i="3" s="1"/>
  <c r="B155" i="1"/>
  <c r="B63" i="3" s="1"/>
  <c r="O62" i="3"/>
  <c r="A154" i="1"/>
  <c r="A62" i="3" s="1"/>
  <c r="B154" i="1"/>
  <c r="B62" i="3" s="1"/>
  <c r="O61" i="3"/>
  <c r="A152" i="1"/>
  <c r="A61" i="3" s="1"/>
  <c r="B152" i="1"/>
  <c r="B61" i="3" s="1"/>
  <c r="O39" i="5"/>
  <c r="A150" i="1"/>
  <c r="A39" i="5" s="1"/>
  <c r="B150" i="1"/>
  <c r="B39" i="5" s="1"/>
  <c r="O38" i="5"/>
  <c r="A149" i="1"/>
  <c r="A38" i="5" s="1"/>
  <c r="B149" i="1"/>
  <c r="B38" i="5" s="1"/>
  <c r="O37" i="5"/>
  <c r="A146" i="1"/>
  <c r="A37" i="5" s="1"/>
  <c r="B146" i="1"/>
  <c r="B37" i="5" s="1"/>
  <c r="O36" i="5"/>
  <c r="A142" i="1"/>
  <c r="A36" i="5" s="1"/>
  <c r="B142" i="1"/>
  <c r="B36" i="5" s="1"/>
  <c r="O35" i="5"/>
  <c r="A140" i="1"/>
  <c r="A35" i="5" s="1"/>
  <c r="B140" i="1"/>
  <c r="B35" i="5" s="1"/>
  <c r="O34" i="5"/>
  <c r="A138" i="1"/>
  <c r="A34" i="5" s="1"/>
  <c r="B138" i="1"/>
  <c r="B34" i="5" s="1"/>
  <c r="O33" i="5"/>
  <c r="A130" i="1"/>
  <c r="A33" i="5" s="1"/>
  <c r="B130" i="1"/>
  <c r="B33" i="5" s="1"/>
  <c r="O32" i="5"/>
  <c r="A129" i="1"/>
  <c r="A32" i="5" s="1"/>
  <c r="B129" i="1"/>
  <c r="B32" i="5" s="1"/>
  <c r="O31" i="5"/>
  <c r="A126" i="1"/>
  <c r="A31" i="5" s="1"/>
  <c r="B126" i="1"/>
  <c r="B31" i="5" s="1"/>
  <c r="O30" i="5"/>
  <c r="A125" i="1"/>
  <c r="A30" i="5" s="1"/>
  <c r="B125" i="1"/>
  <c r="B30" i="5" s="1"/>
  <c r="O29" i="5"/>
  <c r="A124" i="1"/>
  <c r="A29" i="5" s="1"/>
  <c r="B124" i="1"/>
  <c r="B29" i="5" s="1"/>
  <c r="O28" i="5"/>
  <c r="A109" i="1"/>
  <c r="A28" i="5" s="1"/>
  <c r="B109" i="1"/>
  <c r="B28" i="5" s="1"/>
  <c r="O27" i="5"/>
  <c r="A108" i="1"/>
  <c r="A27" i="5" s="1"/>
  <c r="B108" i="1"/>
  <c r="B27" i="5" s="1"/>
  <c r="O26" i="5"/>
  <c r="A102" i="1"/>
  <c r="A26" i="5" s="1"/>
  <c r="B102" i="1"/>
  <c r="B26" i="5" s="1"/>
  <c r="O25" i="5"/>
  <c r="A99" i="1"/>
  <c r="A25" i="5" s="1"/>
  <c r="B99" i="1"/>
  <c r="B25" i="5" s="1"/>
  <c r="O24" i="5"/>
  <c r="A92" i="1"/>
  <c r="A24" i="5" s="1"/>
  <c r="B92" i="1"/>
  <c r="B24" i="5" s="1"/>
  <c r="O23" i="5"/>
  <c r="A87" i="1"/>
  <c r="A23" i="5" s="1"/>
  <c r="B87" i="1"/>
  <c r="B23" i="5" s="1"/>
  <c r="O22" i="5"/>
  <c r="A81" i="1"/>
  <c r="A22" i="5" s="1"/>
  <c r="B81" i="1"/>
  <c r="B22" i="5" s="1"/>
  <c r="O21" i="5"/>
  <c r="A77" i="1"/>
  <c r="A21" i="5" s="1"/>
  <c r="B77" i="1"/>
  <c r="B21" i="5" s="1"/>
  <c r="O20" i="5"/>
  <c r="A75" i="1"/>
  <c r="A20" i="5" s="1"/>
  <c r="B75" i="1"/>
  <c r="B20" i="5" s="1"/>
  <c r="O19" i="5"/>
  <c r="A68" i="1"/>
  <c r="A19" i="5" s="1"/>
  <c r="B68" i="1"/>
  <c r="B19" i="5" s="1"/>
  <c r="O18" i="5"/>
  <c r="A59" i="1"/>
  <c r="A18" i="5" s="1"/>
  <c r="B59" i="1"/>
  <c r="B18" i="5" s="1"/>
  <c r="O17" i="5"/>
  <c r="A56" i="1"/>
  <c r="A17" i="5" s="1"/>
  <c r="B56" i="1"/>
  <c r="B17" i="5" s="1"/>
  <c r="O16" i="5"/>
  <c r="A55" i="1"/>
  <c r="A16" i="5" s="1"/>
  <c r="B55" i="1"/>
  <c r="B16" i="5" s="1"/>
  <c r="O15" i="5"/>
  <c r="A53" i="1"/>
  <c r="A15" i="5" s="1"/>
  <c r="B53" i="1"/>
  <c r="B15" i="5" s="1"/>
  <c r="O14" i="5"/>
  <c r="A42" i="1"/>
  <c r="A14" i="5" s="1"/>
  <c r="B42" i="1"/>
  <c r="B14" i="5" s="1"/>
  <c r="O13" i="5"/>
  <c r="A41" i="1"/>
  <c r="A13" i="5" s="1"/>
  <c r="B41" i="1"/>
  <c r="B13" i="5" s="1"/>
  <c r="O12" i="5"/>
  <c r="A40" i="1"/>
  <c r="A12" i="5" s="1"/>
  <c r="B40" i="1"/>
  <c r="B12" i="5" s="1"/>
  <c r="O11" i="5"/>
  <c r="A38" i="1"/>
  <c r="A11" i="5" s="1"/>
  <c r="B38" i="1"/>
  <c r="B11" i="5" s="1"/>
  <c r="O10" i="5"/>
  <c r="A36" i="1"/>
  <c r="A10" i="5" s="1"/>
  <c r="B36" i="1"/>
  <c r="B10" i="5" s="1"/>
  <c r="O9" i="5"/>
  <c r="A33" i="1"/>
  <c r="A9" i="5" s="1"/>
  <c r="B33" i="1"/>
  <c r="B9" i="5" s="1"/>
  <c r="O8" i="5"/>
  <c r="A30" i="1"/>
  <c r="A8" i="5" s="1"/>
  <c r="B30" i="1"/>
  <c r="B8" i="5" s="1"/>
  <c r="O7" i="5"/>
  <c r="A27" i="1"/>
  <c r="A7" i="5" s="1"/>
  <c r="B27" i="1"/>
  <c r="B7" i="5" s="1"/>
  <c r="O6" i="5"/>
  <c r="A21" i="1"/>
  <c r="A6" i="5" s="1"/>
  <c r="B21" i="1"/>
  <c r="B6" i="5" s="1"/>
  <c r="O5" i="5"/>
  <c r="A16" i="1"/>
  <c r="A5" i="5" s="1"/>
  <c r="B16" i="1"/>
  <c r="B5" i="5" s="1"/>
  <c r="O4" i="5"/>
  <c r="A14" i="1"/>
  <c r="A4" i="5" s="1"/>
  <c r="B14" i="1"/>
  <c r="B4" i="5" s="1"/>
  <c r="O3" i="5"/>
  <c r="A11" i="1"/>
  <c r="A3" i="5" s="1"/>
  <c r="B11" i="1"/>
  <c r="B3" i="5" s="1"/>
  <c r="B442" i="1"/>
  <c r="B62" i="4" s="1"/>
  <c r="B431" i="1"/>
  <c r="B61" i="4" s="1"/>
  <c r="B651" i="1"/>
  <c r="B92" i="4" s="1"/>
  <c r="B652" i="1"/>
  <c r="B93" i="4" s="1"/>
  <c r="B345" i="1"/>
  <c r="B51" i="4" s="1"/>
  <c r="B341" i="1"/>
  <c r="B50" i="4" s="1"/>
  <c r="B245" i="1"/>
  <c r="B37" i="4" s="1"/>
  <c r="B161" i="1"/>
  <c r="B23" i="4" s="1"/>
  <c r="B160" i="1"/>
  <c r="B22" i="4" s="1"/>
  <c r="B76" i="1"/>
  <c r="B12" i="4" s="1"/>
  <c r="B69" i="1"/>
  <c r="B11" i="4" s="1"/>
  <c r="B62" i="1"/>
  <c r="B10" i="4" s="1"/>
  <c r="B107" i="1"/>
  <c r="B45" i="3" s="1"/>
  <c r="B106" i="1"/>
  <c r="B44" i="3" s="1"/>
  <c r="B388" i="1"/>
  <c r="B90" i="2" s="1"/>
  <c r="B402" i="1"/>
  <c r="B94" i="2" s="1"/>
  <c r="B695" i="1"/>
  <c r="B127" i="2" s="1"/>
  <c r="B712" i="1"/>
  <c r="B129" i="2" s="1"/>
  <c r="B185" i="1"/>
  <c r="B43" i="2" s="1"/>
  <c r="B539" i="1"/>
  <c r="B111" i="2" s="1"/>
  <c r="B685" i="1"/>
  <c r="B126" i="2" s="1"/>
  <c r="B538" i="1"/>
  <c r="B110" i="2" s="1"/>
  <c r="B682" i="1"/>
  <c r="B125" i="2" s="1"/>
  <c r="B536" i="1"/>
  <c r="B109" i="2" s="1"/>
  <c r="B193" i="1"/>
  <c r="B44" i="2" s="1"/>
  <c r="B531" i="1"/>
  <c r="B108" i="2" s="1"/>
  <c r="B194" i="1"/>
  <c r="B45" i="2" s="1"/>
  <c r="B673" i="1"/>
  <c r="B124" i="2" s="1"/>
  <c r="B198" i="1"/>
  <c r="B46" i="2" s="1"/>
  <c r="B491" i="1"/>
  <c r="B106" i="2" s="1"/>
  <c r="B485" i="1"/>
  <c r="B105" i="2" s="1"/>
  <c r="B466" i="1"/>
  <c r="B102" i="2" s="1"/>
  <c r="B461" i="1"/>
  <c r="B101" i="2" s="1"/>
  <c r="B176" i="1"/>
  <c r="B41" i="2" s="1"/>
  <c r="B395" i="1"/>
  <c r="B91" i="2" s="1"/>
  <c r="B205" i="1"/>
  <c r="B47" i="2" s="1"/>
  <c r="B384" i="1"/>
  <c r="B88" i="2" s="1"/>
  <c r="B382" i="1"/>
  <c r="B87" i="2" s="1"/>
  <c r="B567" i="1"/>
  <c r="B115" i="2" s="1"/>
  <c r="B381" i="1"/>
  <c r="B86" i="2" s="1"/>
  <c r="B518" i="1"/>
  <c r="B107" i="2" s="1"/>
  <c r="B474" i="1"/>
  <c r="B104" i="2" s="1"/>
  <c r="B458" i="1"/>
  <c r="B100" i="2" s="1"/>
  <c r="B110" i="1"/>
  <c r="B29" i="2" s="1"/>
  <c r="B471" i="1"/>
  <c r="B103" i="2" s="1"/>
  <c r="B174" i="1"/>
  <c r="B40" i="2" s="1"/>
  <c r="B386" i="1"/>
  <c r="B89" i="2" s="1"/>
  <c r="B183" i="1"/>
  <c r="B42" i="2" s="1"/>
  <c r="B208" i="1"/>
  <c r="B48" i="2" s="1"/>
  <c r="B101" i="1"/>
  <c r="B28" i="2" s="1"/>
  <c r="B282" i="1"/>
  <c r="B66" i="2" s="1"/>
  <c r="B396" i="1"/>
  <c r="B92" i="2" s="1"/>
  <c r="B293" i="1"/>
  <c r="B67" i="2" s="1"/>
  <c r="B116" i="1"/>
  <c r="B32" i="2" s="1"/>
  <c r="B114" i="1"/>
  <c r="B31" i="2" s="1"/>
  <c r="B112" i="1"/>
  <c r="B30" i="2" s="1"/>
  <c r="B100" i="1"/>
  <c r="B27" i="2" s="1"/>
  <c r="B606" i="1"/>
  <c r="B118" i="2" s="1"/>
  <c r="B711" i="1"/>
  <c r="B128" i="2" s="1"/>
  <c r="B398" i="1"/>
  <c r="B93" i="2" s="1"/>
  <c r="B604" i="1"/>
  <c r="B117" i="2" s="1"/>
  <c r="B574" i="1"/>
  <c r="B116" i="2" s="1"/>
  <c r="B64" i="1"/>
  <c r="B18" i="2" s="1"/>
  <c r="B15" i="1"/>
  <c r="B6" i="2" s="1"/>
  <c r="B51" i="1"/>
  <c r="B15" i="2" s="1"/>
  <c r="B48" i="1"/>
  <c r="B14" i="2" s="1"/>
  <c r="B47" i="1"/>
  <c r="B13" i="2" s="1"/>
  <c r="B57" i="1"/>
  <c r="B16" i="2" s="1"/>
  <c r="B420" i="1"/>
  <c r="B96" i="2" s="1"/>
  <c r="B545" i="1"/>
  <c r="B113" i="2" s="1"/>
  <c r="B63" i="1"/>
  <c r="B17" i="2" s="1"/>
  <c r="B850" i="1"/>
  <c r="B136" i="2" s="1"/>
  <c r="B645" i="1"/>
  <c r="B122" i="2" s="1"/>
  <c r="B70" i="1"/>
  <c r="B19" i="2" s="1"/>
  <c r="B71" i="1"/>
  <c r="B20" i="2" s="1"/>
  <c r="B659" i="1"/>
  <c r="B123" i="2" s="1"/>
  <c r="B79" i="1"/>
  <c r="B21" i="2" s="1"/>
  <c r="B544" i="1"/>
  <c r="B112" i="2" s="1"/>
  <c r="B623" i="1"/>
  <c r="B119" i="2" s="1"/>
  <c r="B627" i="1"/>
  <c r="B120" i="2" s="1"/>
  <c r="B44" i="1"/>
  <c r="B12" i="2" s="1"/>
  <c r="B43" i="1"/>
  <c r="B11" i="2" s="1"/>
  <c r="B644" i="1"/>
  <c r="B121" i="2" s="1"/>
  <c r="B5" i="1"/>
  <c r="B3" i="2" s="1"/>
  <c r="B426" i="1"/>
  <c r="B97" i="2" s="1"/>
  <c r="B34" i="1"/>
  <c r="B10" i="2" s="1"/>
  <c r="B118" i="1"/>
  <c r="B33" i="2" s="1"/>
  <c r="B32" i="1"/>
  <c r="B9" i="2" s="1"/>
  <c r="B429" i="1"/>
  <c r="B98" i="2" s="1"/>
  <c r="B562" i="1"/>
  <c r="B114" i="2" s="1"/>
  <c r="B122" i="1"/>
  <c r="B34" i="2" s="1"/>
  <c r="B241" i="1"/>
  <c r="B58" i="2" s="1"/>
  <c r="B233" i="1"/>
  <c r="B57" i="2" s="1"/>
  <c r="B229" i="1"/>
  <c r="B56" i="2" s="1"/>
  <c r="B227" i="1"/>
  <c r="B55" i="2" s="1"/>
  <c r="B226" i="1"/>
  <c r="B54" i="2" s="1"/>
  <c r="B797" i="1"/>
  <c r="B135" i="2" s="1"/>
  <c r="B225" i="1"/>
  <c r="B53" i="2" s="1"/>
  <c r="B136" i="1"/>
  <c r="B35" i="2" s="1"/>
  <c r="B744" i="1"/>
  <c r="B130" i="2" s="1"/>
  <c r="B745" i="1"/>
  <c r="B131" i="2" s="1"/>
  <c r="B219" i="1"/>
  <c r="B52" i="2" s="1"/>
  <c r="B218" i="1"/>
  <c r="B51" i="2" s="1"/>
  <c r="B147" i="1"/>
  <c r="B36" i="2" s="1"/>
  <c r="B151" i="1"/>
  <c r="B37" i="2" s="1"/>
  <c r="B153" i="1"/>
  <c r="B38" i="2" s="1"/>
  <c r="B753" i="1"/>
  <c r="B132" i="2" s="1"/>
  <c r="B216" i="1"/>
  <c r="B50" i="2" s="1"/>
  <c r="B754" i="1"/>
  <c r="B133" i="2" s="1"/>
  <c r="B162" i="1"/>
  <c r="B39" i="2" s="1"/>
  <c r="B773" i="1"/>
  <c r="B134" i="2" s="1"/>
  <c r="B430" i="1"/>
  <c r="B99" i="2" s="1"/>
  <c r="B215" i="1"/>
  <c r="B49" i="2" s="1"/>
  <c r="B28" i="1"/>
  <c r="B8" i="2" s="1"/>
  <c r="B12" i="1"/>
  <c r="B4" i="2" s="1"/>
  <c r="B13" i="1"/>
  <c r="B5" i="2" s="1"/>
  <c r="B22" i="1"/>
  <c r="B7" i="2" s="1"/>
  <c r="B418" i="1"/>
  <c r="B95" i="2" s="1"/>
  <c r="A266" i="1"/>
  <c r="A41" i="4" s="1"/>
  <c r="A263" i="1"/>
  <c r="A40" i="4" s="1"/>
  <c r="A261" i="1"/>
  <c r="A104" i="3" s="1"/>
  <c r="A256" i="1"/>
  <c r="A38" i="4" s="1"/>
  <c r="A86" i="1"/>
  <c r="A23" i="2" s="1"/>
  <c r="A85" i="1"/>
  <c r="A35" i="3" s="1"/>
  <c r="A84" i="1"/>
  <c r="A34" i="3" s="1"/>
  <c r="A260" i="1"/>
  <c r="A103" i="3" s="1"/>
  <c r="A259" i="1"/>
  <c r="A102" i="3" s="1"/>
  <c r="B694" i="1"/>
  <c r="B245" i="3" s="1"/>
  <c r="B691" i="1"/>
  <c r="B243" i="3" s="1"/>
  <c r="B690" i="1"/>
  <c r="B242" i="3" s="1"/>
  <c r="B688" i="1"/>
  <c r="B240" i="3" s="1"/>
  <c r="B713" i="1"/>
  <c r="B249" i="3" s="1"/>
  <c r="B716" i="1"/>
  <c r="B250" i="3" s="1"/>
  <c r="B717" i="1"/>
  <c r="B251" i="3" s="1"/>
  <c r="B719" i="1"/>
  <c r="B252" i="3" s="1"/>
  <c r="B723" i="1"/>
  <c r="B255" i="3" s="1"/>
  <c r="B678" i="1"/>
  <c r="B235" i="3" s="1"/>
  <c r="B206" i="1"/>
  <c r="B80" i="3" s="1"/>
  <c r="B762" i="1"/>
  <c r="B265" i="3" s="1"/>
  <c r="B207" i="1"/>
  <c r="B81" i="3" s="1"/>
  <c r="B767" i="1"/>
  <c r="B267" i="3" s="1"/>
  <c r="B209" i="1"/>
  <c r="B82" i="3" s="1"/>
  <c r="B211" i="1"/>
  <c r="B83" i="3" s="1"/>
  <c r="B212" i="1"/>
  <c r="B84" i="3" s="1"/>
  <c r="B772" i="1"/>
  <c r="B269" i="3" s="1"/>
  <c r="B684" i="1"/>
  <c r="B238" i="3" s="1"/>
  <c r="B780" i="1"/>
  <c r="B270" i="3" s="1"/>
  <c r="B765" i="1"/>
  <c r="B266" i="3" s="1"/>
  <c r="B145" i="1"/>
  <c r="B60" i="3" s="1"/>
  <c r="B143" i="1"/>
  <c r="B59" i="3" s="1"/>
  <c r="B221" i="1"/>
  <c r="B85" i="3" s="1"/>
  <c r="B141" i="1"/>
  <c r="B58" i="3" s="1"/>
  <c r="B223" i="1"/>
  <c r="B86" i="3" s="1"/>
  <c r="B137" i="1"/>
  <c r="B57" i="3" s="1"/>
  <c r="B135" i="1"/>
  <c r="B56" i="3" s="1"/>
  <c r="B134" i="1"/>
  <c r="B55" i="3" s="1"/>
  <c r="B741" i="1"/>
  <c r="B259" i="3" s="1"/>
  <c r="B133" i="1"/>
  <c r="B54" i="3" s="1"/>
  <c r="B228" i="1"/>
  <c r="B87" i="3" s="1"/>
  <c r="B737" i="1"/>
  <c r="B258" i="3" s="1"/>
  <c r="B132" i="1"/>
  <c r="B53" i="3" s="1"/>
  <c r="B230" i="1"/>
  <c r="B88" i="3" s="1"/>
  <c r="B722" i="1"/>
  <c r="B254" i="3" s="1"/>
  <c r="B721" i="1"/>
  <c r="B253" i="3" s="1"/>
  <c r="B232" i="1"/>
  <c r="B89" i="3" s="1"/>
  <c r="B127" i="1"/>
  <c r="B52" i="3" s="1"/>
  <c r="B234" i="1"/>
  <c r="B90" i="3" s="1"/>
  <c r="B236" i="1"/>
  <c r="B91" i="3" s="1"/>
  <c r="B237" i="1"/>
  <c r="B92" i="3" s="1"/>
  <c r="B238" i="1"/>
  <c r="B93" i="3" s="1"/>
  <c r="B693" i="1"/>
  <c r="B244" i="3" s="1"/>
  <c r="B123" i="1"/>
  <c r="B51" i="3" s="1"/>
  <c r="B242" i="1"/>
  <c r="B94" i="3" s="1"/>
  <c r="B770" i="1"/>
  <c r="B268" i="3" s="1"/>
  <c r="B121" i="1"/>
  <c r="B50" i="3" s="1"/>
  <c r="B120" i="1"/>
  <c r="B49" i="3" s="1"/>
  <c r="B287" i="1"/>
  <c r="B110" i="3" s="1"/>
  <c r="B119" i="1"/>
  <c r="B48" i="3" s="1"/>
  <c r="B288" i="1"/>
  <c r="B111" i="3" s="1"/>
  <c r="B290" i="1"/>
  <c r="B112" i="3" s="1"/>
  <c r="B117" i="1"/>
  <c r="B47" i="3" s="1"/>
  <c r="B299" i="1"/>
  <c r="B113" i="3" s="1"/>
  <c r="B300" i="1"/>
  <c r="B114" i="3" s="1"/>
  <c r="B677" i="1"/>
  <c r="B234" i="3" s="1"/>
  <c r="B115" i="1"/>
  <c r="B46" i="3" s="1"/>
  <c r="B311" i="1"/>
  <c r="B117" i="3" s="1"/>
  <c r="B314" i="1"/>
  <c r="B118" i="3" s="1"/>
  <c r="B316" i="1"/>
  <c r="B119" i="3" s="1"/>
  <c r="B325" i="1"/>
  <c r="B120" i="3" s="1"/>
  <c r="B687" i="1"/>
  <c r="B239" i="3" s="1"/>
  <c r="B327" i="1"/>
  <c r="B121" i="3" s="1"/>
  <c r="B329" i="1"/>
  <c r="B122" i="3" s="1"/>
  <c r="B670" i="1"/>
  <c r="B232" i="3" s="1"/>
  <c r="B761" i="1"/>
  <c r="B264" i="3" s="1"/>
  <c r="B689" i="1"/>
  <c r="B241" i="3" s="1"/>
  <c r="B758" i="1"/>
  <c r="B263" i="3" s="1"/>
  <c r="B401" i="1"/>
  <c r="B138" i="3" s="1"/>
  <c r="B54" i="1"/>
  <c r="B23" i="3" s="1"/>
  <c r="B52" i="1"/>
  <c r="B22" i="3" s="1"/>
  <c r="B50" i="1"/>
  <c r="B21" i="3" s="1"/>
  <c r="B404" i="1"/>
  <c r="B139" i="3" s="1"/>
  <c r="B406" i="1"/>
  <c r="B140" i="3" s="1"/>
  <c r="B407" i="1"/>
  <c r="B141" i="3" s="1"/>
  <c r="B409" i="1"/>
  <c r="B142" i="3" s="1"/>
  <c r="B416" i="1"/>
  <c r="B143" i="3" s="1"/>
  <c r="B417" i="1"/>
  <c r="B144" i="3" s="1"/>
  <c r="B49" i="1"/>
  <c r="B20" i="3" s="1"/>
  <c r="B46" i="1"/>
  <c r="B19" i="3" s="1"/>
  <c r="B421" i="1"/>
  <c r="B145" i="3" s="1"/>
  <c r="B45" i="1"/>
  <c r="B18" i="3" s="1"/>
  <c r="B422" i="1"/>
  <c r="B146" i="3" s="1"/>
  <c r="B39" i="1"/>
  <c r="B17" i="3" s="1"/>
  <c r="B35" i="1"/>
  <c r="B16" i="3" s="1"/>
  <c r="B31" i="1"/>
  <c r="B15" i="3" s="1"/>
  <c r="B29" i="1"/>
  <c r="B14" i="3" s="1"/>
  <c r="B26" i="1"/>
  <c r="B13" i="3" s="1"/>
  <c r="B25" i="1"/>
  <c r="B12" i="3" s="1"/>
  <c r="B24" i="1"/>
  <c r="B11" i="3" s="1"/>
  <c r="B19" i="1"/>
  <c r="B10" i="3" s="1"/>
  <c r="B18" i="1"/>
  <c r="B9" i="3" s="1"/>
  <c r="B635" i="1"/>
  <c r="B218" i="3" s="1"/>
  <c r="B17" i="1"/>
  <c r="B8" i="3" s="1"/>
  <c r="B10" i="1"/>
  <c r="B7" i="3" s="1"/>
  <c r="B8" i="1"/>
  <c r="B6" i="3" s="1"/>
  <c r="B630" i="1"/>
  <c r="B217" i="3" s="1"/>
  <c r="B7" i="1"/>
  <c r="B5" i="3" s="1"/>
  <c r="B628" i="1"/>
  <c r="B216" i="3" s="1"/>
  <c r="B6" i="1"/>
  <c r="B4" i="3" s="1"/>
  <c r="B676" i="1"/>
  <c r="B233" i="3" s="1"/>
  <c r="B4" i="1"/>
  <c r="B3" i="3" s="1"/>
  <c r="B680" i="1"/>
  <c r="B236" i="3" s="1"/>
  <c r="B681" i="1"/>
  <c r="B237" i="3" s="1"/>
  <c r="B622" i="1"/>
  <c r="B215" i="3" s="1"/>
  <c r="B710" i="1"/>
  <c r="B248" i="3" s="1"/>
  <c r="B620" i="1"/>
  <c r="B214" i="3" s="1"/>
  <c r="B708" i="1"/>
  <c r="B247" i="3" s="1"/>
  <c r="B726" i="1"/>
  <c r="B256" i="3" s="1"/>
  <c r="B729" i="1"/>
  <c r="B257" i="3" s="1"/>
  <c r="B307" i="1"/>
  <c r="B115" i="3" s="1"/>
  <c r="B308" i="1"/>
  <c r="B116" i="3" s="1"/>
  <c r="B699" i="1"/>
  <c r="B246" i="3" s="1"/>
  <c r="B922" i="1"/>
  <c r="B328" i="3" s="1"/>
  <c r="B650" i="1"/>
  <c r="B225" i="3" s="1"/>
  <c r="B888" i="1"/>
  <c r="B308" i="3" s="1"/>
  <c r="B860" i="1"/>
  <c r="B297" i="3" s="1"/>
  <c r="B859" i="1"/>
  <c r="B296" i="3" s="1"/>
  <c r="B858" i="1"/>
  <c r="B295" i="3" s="1"/>
  <c r="B856" i="1"/>
  <c r="B294" i="3" s="1"/>
  <c r="B854" i="1"/>
  <c r="B293" i="3" s="1"/>
  <c r="B849" i="1"/>
  <c r="B292" i="3" s="1"/>
  <c r="B843" i="1"/>
  <c r="B291" i="3" s="1"/>
  <c r="B842" i="1"/>
  <c r="B290" i="3" s="1"/>
  <c r="B839" i="1"/>
  <c r="B289" i="3" s="1"/>
  <c r="B832" i="1"/>
  <c r="B288" i="3" s="1"/>
  <c r="B61" i="1"/>
  <c r="B24" i="3" s="1"/>
  <c r="B829" i="1"/>
  <c r="B287" i="3" s="1"/>
  <c r="B65" i="1"/>
  <c r="B25" i="3" s="1"/>
  <c r="B66" i="1"/>
  <c r="B26" i="3" s="1"/>
  <c r="B67" i="1"/>
  <c r="B27" i="3" s="1"/>
  <c r="B825" i="1"/>
  <c r="B286" i="3" s="1"/>
  <c r="B824" i="1"/>
  <c r="B285" i="3" s="1"/>
  <c r="B72" i="1"/>
  <c r="B28" i="3" s="1"/>
  <c r="B73" i="1"/>
  <c r="B29" i="3" s="1"/>
  <c r="B74" i="1"/>
  <c r="B30" i="3" s="1"/>
  <c r="B78" i="1"/>
  <c r="B31" i="3" s="1"/>
  <c r="B823" i="1"/>
  <c r="B284" i="3" s="1"/>
  <c r="B80" i="1"/>
  <c r="B32" i="3" s="1"/>
  <c r="B819" i="1"/>
  <c r="B283" i="3" s="1"/>
  <c r="B817" i="1"/>
  <c r="B282" i="3" s="1"/>
  <c r="B815" i="1"/>
  <c r="B281" i="3" s="1"/>
  <c r="B813" i="1"/>
  <c r="B280" i="3" s="1"/>
  <c r="B809" i="1"/>
  <c r="B279" i="3" s="1"/>
  <c r="B806" i="1"/>
  <c r="B278" i="3" s="1"/>
  <c r="B804" i="1"/>
  <c r="B277" i="3" s="1"/>
  <c r="B802" i="1"/>
  <c r="B276" i="3" s="1"/>
  <c r="B799" i="1"/>
  <c r="B275" i="3" s="1"/>
  <c r="B793" i="1"/>
  <c r="B274" i="3" s="1"/>
  <c r="B792" i="1"/>
  <c r="B273" i="3" s="1"/>
  <c r="B789" i="1"/>
  <c r="B272" i="3" s="1"/>
  <c r="B787" i="1"/>
  <c r="B271" i="3" s="1"/>
  <c r="B638" i="1"/>
  <c r="B219" i="3" s="1"/>
  <c r="B756" i="1"/>
  <c r="B262" i="3" s="1"/>
  <c r="B755" i="1"/>
  <c r="B261" i="3" s="1"/>
  <c r="B751" i="1"/>
  <c r="B260" i="3" s="1"/>
  <c r="B435" i="1"/>
  <c r="B148" i="3" s="1"/>
  <c r="B244" i="1"/>
  <c r="B95" i="3" s="1"/>
  <c r="B432" i="1"/>
  <c r="B147" i="3" s="1"/>
  <c r="B246" i="1"/>
  <c r="B96" i="3" s="1"/>
  <c r="B641" i="1"/>
  <c r="B220" i="3" s="1"/>
  <c r="B247" i="1"/>
  <c r="B97" i="3" s="1"/>
  <c r="B248" i="1"/>
  <c r="B98" i="3" s="1"/>
  <c r="B249" i="1"/>
  <c r="B99" i="3" s="1"/>
  <c r="B643" i="1"/>
  <c r="B221" i="3" s="1"/>
  <c r="B251" i="1"/>
  <c r="B100" i="3" s="1"/>
  <c r="B668" i="1"/>
  <c r="B231" i="3" s="1"/>
  <c r="B662" i="1"/>
  <c r="B230" i="3" s="1"/>
  <c r="B661" i="1"/>
  <c r="B229" i="3" s="1"/>
  <c r="B658" i="1"/>
  <c r="B228" i="3" s="1"/>
  <c r="B335" i="1"/>
  <c r="B123" i="3" s="1"/>
  <c r="B340" i="1"/>
  <c r="B124" i="3" s="1"/>
  <c r="B343" i="1"/>
  <c r="B125" i="3" s="1"/>
  <c r="B646" i="1"/>
  <c r="B222" i="3" s="1"/>
  <c r="B344" i="1"/>
  <c r="B126" i="3" s="1"/>
  <c r="B657" i="1"/>
  <c r="B227" i="3" s="1"/>
  <c r="B656" i="1"/>
  <c r="B226" i="3" s="1"/>
  <c r="B648" i="1"/>
  <c r="B223" i="3" s="1"/>
  <c r="B649" i="1"/>
  <c r="B224" i="3" s="1"/>
  <c r="A104" i="1"/>
  <c r="A13" i="4" s="1"/>
  <c r="A274" i="1"/>
  <c r="A107" i="3" s="1"/>
  <c r="A276" i="1"/>
  <c r="A63" i="2" s="1"/>
  <c r="A409" i="1"/>
  <c r="A142" i="3" s="1"/>
  <c r="A351" i="1"/>
  <c r="A128" i="3" s="1"/>
  <c r="A407" i="1"/>
  <c r="A141" i="3" s="1"/>
  <c r="A367" i="1"/>
  <c r="A132" i="3" s="1"/>
  <c r="A406" i="1"/>
  <c r="A140" i="3" s="1"/>
  <c r="A370" i="1"/>
  <c r="A133" i="3" s="1"/>
  <c r="A404" i="1"/>
  <c r="A139" i="3" s="1"/>
  <c r="A380" i="1"/>
  <c r="A135" i="3" s="1"/>
  <c r="A402" i="1"/>
  <c r="A94" i="2" s="1"/>
  <c r="A388" i="1"/>
  <c r="A90" i="2" s="1"/>
  <c r="A401" i="1"/>
  <c r="A138" i="3" s="1"/>
  <c r="A390" i="1"/>
  <c r="A136" i="3" s="1"/>
  <c r="A399" i="1"/>
  <c r="A57" i="4" s="1"/>
  <c r="A398" i="1"/>
  <c r="A93" i="2" s="1"/>
  <c r="A396" i="1"/>
  <c r="A92" i="2" s="1"/>
  <c r="A397" i="1"/>
  <c r="A56" i="4" s="1"/>
  <c r="A392" i="1"/>
  <c r="A55" i="4" s="1"/>
  <c r="A386" i="1"/>
  <c r="A89" i="2" s="1"/>
  <c r="A379" i="1"/>
  <c r="A54" i="4" s="1"/>
  <c r="A364" i="1"/>
  <c r="A130" i="3" s="1"/>
  <c r="A348" i="1"/>
  <c r="A127" i="3" s="1"/>
  <c r="A453" i="1"/>
  <c r="A63" i="4" s="1"/>
  <c r="A461" i="1"/>
  <c r="A101" i="2" s="1"/>
  <c r="A466" i="1"/>
  <c r="A102" i="2" s="1"/>
  <c r="A468" i="1"/>
  <c r="A65" i="4" s="1"/>
  <c r="A485" i="1"/>
  <c r="A105" i="2" s="1"/>
  <c r="A567" i="1"/>
  <c r="A115" i="2" s="1"/>
  <c r="A574" i="1"/>
  <c r="A116" i="2" s="1"/>
  <c r="A608" i="1"/>
  <c r="A86" i="4" s="1"/>
  <c r="A673" i="1"/>
  <c r="A124" i="2" s="1"/>
  <c r="A675" i="1"/>
  <c r="A96" i="4" s="1"/>
  <c r="A680" i="1"/>
  <c r="A236" i="3" s="1"/>
  <c r="A681" i="1"/>
  <c r="A237" i="3" s="1"/>
  <c r="A685" i="1"/>
  <c r="A126" i="2" s="1"/>
  <c r="A687" i="1"/>
  <c r="A239" i="3" s="1"/>
  <c r="A688" i="1"/>
  <c r="A240" i="3" s="1"/>
  <c r="A689" i="1"/>
  <c r="A241" i="3" s="1"/>
  <c r="A690" i="1"/>
  <c r="A242" i="3" s="1"/>
  <c r="A691" i="1"/>
  <c r="A243" i="3" s="1"/>
  <c r="A693" i="1"/>
  <c r="A244" i="3" s="1"/>
  <c r="A694" i="1"/>
  <c r="A245" i="3" s="1"/>
  <c r="A695" i="1"/>
  <c r="A127" i="2" s="1"/>
  <c r="A699" i="1"/>
  <c r="A246" i="3" s="1"/>
  <c r="A703" i="1"/>
  <c r="A99" i="4" s="1"/>
  <c r="A707" i="1"/>
  <c r="A100" i="4" s="1"/>
  <c r="A724" i="1"/>
  <c r="A102" i="4" s="1"/>
  <c r="A708" i="1"/>
  <c r="A247" i="3" s="1"/>
  <c r="A683" i="1"/>
  <c r="A97" i="4" s="1"/>
  <c r="A711" i="1"/>
  <c r="A128" i="2" s="1"/>
  <c r="A3" i="1"/>
  <c r="A3" i="4" s="1"/>
  <c r="A677" i="1"/>
  <c r="A234" i="3" s="1"/>
  <c r="A4" i="1"/>
  <c r="A3" i="3" s="1"/>
  <c r="A671" i="1"/>
  <c r="A94" i="4" s="1"/>
  <c r="A5" i="1"/>
  <c r="A3" i="2" s="1"/>
  <c r="A264" i="1"/>
  <c r="A61" i="2" s="1"/>
  <c r="A670" i="1"/>
  <c r="A232" i="3" s="1"/>
  <c r="A6" i="1"/>
  <c r="A4" i="3" s="1"/>
  <c r="A300" i="1"/>
  <c r="A114" i="3" s="1"/>
  <c r="A612" i="1"/>
  <c r="A87" i="4" s="1"/>
  <c r="A299" i="1"/>
  <c r="A113" i="3" s="1"/>
  <c r="A265" i="1"/>
  <c r="A105" i="3" s="1"/>
  <c r="A293" i="1"/>
  <c r="A67" i="2" s="1"/>
  <c r="A347" i="1"/>
  <c r="A52" i="4" s="1"/>
  <c r="A290" i="1"/>
  <c r="A112" i="3" s="1"/>
  <c r="A362" i="1"/>
  <c r="A129" i="3" s="1"/>
  <c r="A288" i="1"/>
  <c r="A111" i="3" s="1"/>
  <c r="A384" i="1"/>
  <c r="A88" i="2" s="1"/>
  <c r="A287" i="1"/>
  <c r="A110" i="3" s="1"/>
  <c r="A464" i="1"/>
  <c r="A64" i="4" s="1"/>
  <c r="A286" i="1"/>
  <c r="A42" i="4" s="1"/>
  <c r="A282" i="1"/>
  <c r="A66" i="2" s="1"/>
  <c r="A479" i="1"/>
  <c r="A66" i="4" s="1"/>
  <c r="A281" i="1"/>
  <c r="A109" i="3" s="1"/>
  <c r="A279" i="1"/>
  <c r="A65" i="2" s="1"/>
  <c r="A502" i="1"/>
  <c r="A68" i="4" s="1"/>
  <c r="A7" i="1"/>
  <c r="A5" i="3" s="1"/>
  <c r="A606" i="1"/>
  <c r="A118" i="2" s="1"/>
  <c r="A8" i="1"/>
  <c r="A6" i="3" s="1"/>
  <c r="A9" i="1"/>
  <c r="A4" i="4" s="1"/>
  <c r="A604" i="1"/>
  <c r="A117" i="2" s="1"/>
  <c r="A10" i="1"/>
  <c r="A7" i="3" s="1"/>
  <c r="A595" i="1"/>
  <c r="A85" i="4" s="1"/>
  <c r="A589" i="1"/>
  <c r="A83" i="4" s="1"/>
  <c r="A587" i="1"/>
  <c r="A82" i="4" s="1"/>
  <c r="A580" i="1"/>
  <c r="A81" i="4" s="1"/>
  <c r="A573" i="1"/>
  <c r="A79" i="4" s="1"/>
  <c r="A676" i="1"/>
  <c r="A233" i="3" s="1"/>
  <c r="A523" i="1"/>
  <c r="A70" i="4" s="1"/>
  <c r="A381" i="1"/>
  <c r="A86" i="2" s="1"/>
  <c r="A350" i="1"/>
  <c r="A53" i="4" s="1"/>
  <c r="A682" i="1"/>
  <c r="A125" i="2" s="1"/>
  <c r="A267" i="1"/>
  <c r="A62" i="2" s="1"/>
  <c r="A686" i="1"/>
  <c r="A98" i="4" s="1"/>
  <c r="A458" i="1"/>
  <c r="A100" i="2" s="1"/>
  <c r="A710" i="1"/>
  <c r="A248" i="3" s="1"/>
  <c r="A559" i="1"/>
  <c r="A78" i="4" s="1"/>
  <c r="A712" i="1"/>
  <c r="A129" i="2" s="1"/>
  <c r="A553" i="1"/>
  <c r="A77" i="4" s="1"/>
  <c r="A713" i="1"/>
  <c r="A249" i="3" s="1"/>
  <c r="A548" i="1"/>
  <c r="A76" i="4" s="1"/>
  <c r="A715" i="1"/>
  <c r="A101" i="4" s="1"/>
  <c r="A547" i="1"/>
  <c r="A75" i="4" s="1"/>
  <c r="A377" i="1"/>
  <c r="A134" i="3" s="1"/>
  <c r="A545" i="1"/>
  <c r="A113" i="2" s="1"/>
  <c r="A717" i="1"/>
  <c r="A251" i="3" s="1"/>
  <c r="A471" i="1"/>
  <c r="A103" i="2" s="1"/>
  <c r="A230" i="1"/>
  <c r="A88" i="3" s="1"/>
  <c r="A544" i="1"/>
  <c r="A112" i="2" s="1"/>
  <c r="A229" i="1"/>
  <c r="A56" i="2" s="1"/>
  <c r="A491" i="1"/>
  <c r="A106" i="2" s="1"/>
  <c r="A228" i="1"/>
  <c r="A87" i="3" s="1"/>
  <c r="A542" i="1"/>
  <c r="A74" i="4" s="1"/>
  <c r="A227" i="1"/>
  <c r="A55" i="2" s="1"/>
  <c r="A539" i="1"/>
  <c r="A111" i="2" s="1"/>
  <c r="A226" i="1"/>
  <c r="A54" i="2" s="1"/>
  <c r="A616" i="1"/>
  <c r="A88" i="4" s="1"/>
  <c r="A225" i="1"/>
  <c r="A53" i="2" s="1"/>
  <c r="A538" i="1"/>
  <c r="A110" i="2" s="1"/>
  <c r="A223" i="1"/>
  <c r="A86" i="3" s="1"/>
  <c r="A620" i="1"/>
  <c r="A214" i="3" s="1"/>
  <c r="A221" i="1"/>
  <c r="A85" i="3" s="1"/>
  <c r="A536" i="1"/>
  <c r="A109" i="2" s="1"/>
  <c r="A220" i="1"/>
  <c r="A35" i="4" s="1"/>
  <c r="A219" i="1"/>
  <c r="A52" i="2" s="1"/>
  <c r="A622" i="1"/>
  <c r="A215" i="3" s="1"/>
  <c r="A218" i="1"/>
  <c r="A51" i="2" s="1"/>
  <c r="A534" i="1"/>
  <c r="A73" i="4" s="1"/>
  <c r="A216" i="1"/>
  <c r="A50" i="2" s="1"/>
  <c r="A531" i="1"/>
  <c r="A108" i="2" s="1"/>
  <c r="A215" i="1"/>
  <c r="A49" i="2" s="1"/>
  <c r="A529" i="1"/>
  <c r="A72" i="4" s="1"/>
  <c r="A212" i="1"/>
  <c r="A84" i="3" s="1"/>
  <c r="A524" i="1"/>
  <c r="A71" i="4" s="1"/>
  <c r="A211" i="1"/>
  <c r="A83" i="3" s="1"/>
  <c r="A518" i="1"/>
  <c r="A107" i="2" s="1"/>
  <c r="A209" i="1"/>
  <c r="A82" i="3" s="1"/>
  <c r="A503" i="1"/>
  <c r="A69" i="4" s="1"/>
  <c r="A208" i="1"/>
  <c r="A48" i="2" s="1"/>
  <c r="A270" i="1"/>
  <c r="A106" i="3" s="1"/>
  <c r="A207" i="1"/>
  <c r="A81" i="3" s="1"/>
  <c r="A278" i="1"/>
  <c r="A64" i="2" s="1"/>
  <c r="A206" i="1"/>
  <c r="A80" i="3" s="1"/>
  <c r="A393" i="1"/>
  <c r="A137" i="3" s="1"/>
  <c r="A205" i="1"/>
  <c r="A47" i="2" s="1"/>
  <c r="A576" i="1"/>
  <c r="A80" i="4" s="1"/>
  <c r="A204" i="1"/>
  <c r="A34" i="4" s="1"/>
  <c r="A202" i="1"/>
  <c r="A33" i="4" s="1"/>
  <c r="A200" i="1"/>
  <c r="A32" i="4" s="1"/>
  <c r="A198" i="1"/>
  <c r="A46" i="2" s="1"/>
  <c r="A593" i="1"/>
  <c r="A84" i="4" s="1"/>
  <c r="A197" i="1"/>
  <c r="A31" i="4" s="1"/>
  <c r="A194" i="1"/>
  <c r="A45" i="2" s="1"/>
  <c r="A672" i="1"/>
  <c r="A95" i="4" s="1"/>
  <c r="A193" i="1"/>
  <c r="A44" i="2" s="1"/>
  <c r="A678" i="1"/>
  <c r="A235" i="3" s="1"/>
  <c r="A192" i="1"/>
  <c r="A30" i="4" s="1"/>
  <c r="A189" i="1"/>
  <c r="A29" i="4" s="1"/>
  <c r="A185" i="1"/>
  <c r="A43" i="2" s="1"/>
  <c r="A684" i="1"/>
  <c r="A238" i="3" s="1"/>
  <c r="A183" i="1"/>
  <c r="A42" i="2" s="1"/>
  <c r="A719" i="1"/>
  <c r="A252" i="3" s="1"/>
  <c r="A180" i="1"/>
  <c r="A28" i="4" s="1"/>
  <c r="A176" i="1"/>
  <c r="A41" i="2" s="1"/>
  <c r="A721" i="1"/>
  <c r="A253" i="3" s="1"/>
  <c r="A174" i="1"/>
  <c r="A40" i="2" s="1"/>
  <c r="A722" i="1"/>
  <c r="A254" i="3" s="1"/>
  <c r="A173" i="1"/>
  <c r="A27" i="4" s="1"/>
  <c r="A168" i="1"/>
  <c r="A26" i="4" s="1"/>
  <c r="A167" i="1"/>
  <c r="A25" i="4" s="1"/>
  <c r="A164" i="1"/>
  <c r="A24" i="4" s="1"/>
  <c r="A111" i="1"/>
  <c r="A15" i="4" s="1"/>
  <c r="A723" i="1"/>
  <c r="A255" i="3" s="1"/>
  <c r="A107" i="1"/>
  <c r="A45" i="3" s="1"/>
  <c r="A726" i="1"/>
  <c r="A256" i="3" s="1"/>
  <c r="A105" i="1"/>
  <c r="A14" i="4" s="1"/>
  <c r="A382" i="1"/>
  <c r="A87" i="2" s="1"/>
  <c r="A501" i="1"/>
  <c r="A67" i="4" s="1"/>
  <c r="A103" i="1"/>
  <c r="A43" i="3" s="1"/>
  <c r="A101" i="1"/>
  <c r="A28" i="2" s="1"/>
  <c r="A88" i="1"/>
  <c r="A24" i="2" s="1"/>
  <c r="A100" i="1"/>
  <c r="A27" i="2" s="1"/>
  <c r="A98" i="1"/>
  <c r="A42" i="3" s="1"/>
  <c r="A96" i="1"/>
  <c r="A40" i="3" s="1"/>
  <c r="A94" i="1"/>
  <c r="A26" i="2" s="1"/>
  <c r="A93" i="1"/>
  <c r="A25" i="2" s="1"/>
  <c r="A91" i="1"/>
  <c r="A38" i="3" s="1"/>
  <c r="A90" i="1"/>
  <c r="A37" i="3" s="1"/>
  <c r="A89" i="1"/>
  <c r="A36" i="3" s="1"/>
  <c r="A95" i="1"/>
  <c r="A39" i="3" s="1"/>
  <c r="A97" i="1"/>
  <c r="A41" i="3" s="1"/>
  <c r="A106" i="1"/>
  <c r="A44" i="3" s="1"/>
  <c r="A110" i="1"/>
  <c r="A29" i="2" s="1"/>
  <c r="A112" i="1"/>
  <c r="A30" i="2" s="1"/>
  <c r="A113" i="1"/>
  <c r="A16" i="4" s="1"/>
  <c r="A114" i="1"/>
  <c r="A31" i="2" s="1"/>
  <c r="A115" i="1"/>
  <c r="A46" i="3" s="1"/>
  <c r="A275" i="1"/>
  <c r="A108" i="3" s="1"/>
  <c r="A474" i="1"/>
  <c r="A104" i="2" s="1"/>
  <c r="A116" i="1"/>
  <c r="A32" i="2" s="1"/>
  <c r="A117" i="1"/>
  <c r="A47" i="3" s="1"/>
  <c r="A118" i="1"/>
  <c r="A33" i="2" s="1"/>
  <c r="A366" i="1"/>
  <c r="A131" i="3" s="1"/>
  <c r="A119" i="1"/>
  <c r="A48" i="3" s="1"/>
  <c r="A120" i="1"/>
  <c r="A49" i="3" s="1"/>
  <c r="A395" i="1"/>
  <c r="A91" i="2" s="1"/>
  <c r="A716" i="1"/>
  <c r="A250" i="3" s="1"/>
  <c r="A139" i="1"/>
  <c r="A19" i="4" s="1"/>
  <c r="A307" i="1"/>
  <c r="A115" i="3" s="1"/>
  <c r="A415" i="1"/>
  <c r="A59" i="4" s="1"/>
  <c r="A137" i="1"/>
  <c r="A57" i="3" s="1"/>
  <c r="A136" i="1"/>
  <c r="A35" i="2" s="1"/>
  <c r="A636" i="1"/>
  <c r="A91" i="4" s="1"/>
  <c r="A135" i="1"/>
  <c r="A56" i="3" s="1"/>
  <c r="A793" i="1"/>
  <c r="A274" i="3" s="1"/>
  <c r="A134" i="1"/>
  <c r="A55" i="3" s="1"/>
  <c r="A797" i="1"/>
  <c r="A135" i="2" s="1"/>
  <c r="A133" i="1"/>
  <c r="A54" i="3" s="1"/>
  <c r="A635" i="1"/>
  <c r="A218" i="3" s="1"/>
  <c r="A132" i="1"/>
  <c r="A53" i="3" s="1"/>
  <c r="A799" i="1"/>
  <c r="A275" i="3" s="1"/>
  <c r="A131" i="1"/>
  <c r="A18" i="4" s="1"/>
  <c r="A128" i="1"/>
  <c r="A17" i="4" s="1"/>
  <c r="A127" i="1"/>
  <c r="A52" i="3" s="1"/>
  <c r="A633" i="1"/>
  <c r="A90" i="4" s="1"/>
  <c r="A123" i="1"/>
  <c r="A51" i="3" s="1"/>
  <c r="A802" i="1"/>
  <c r="A276" i="3" s="1"/>
  <c r="A122" i="1"/>
  <c r="A34" i="2" s="1"/>
  <c r="A789" i="1"/>
  <c r="A272" i="3" s="1"/>
  <c r="A121" i="1"/>
  <c r="A50" i="3" s="1"/>
  <c r="A804" i="1"/>
  <c r="A277" i="3" s="1"/>
  <c r="A143" i="1"/>
  <c r="A59" i="3" s="1"/>
  <c r="A631" i="1"/>
  <c r="A89" i="4" s="1"/>
  <c r="A144" i="1"/>
  <c r="A20" i="4" s="1"/>
  <c r="A806" i="1"/>
  <c r="A278" i="3" s="1"/>
  <c r="A145" i="1"/>
  <c r="A60" i="3" s="1"/>
  <c r="A630" i="1"/>
  <c r="A217" i="3" s="1"/>
  <c r="A787" i="1"/>
  <c r="A271" i="3" s="1"/>
  <c r="A809" i="1"/>
  <c r="A279" i="3" s="1"/>
  <c r="A147" i="1"/>
  <c r="A36" i="2" s="1"/>
  <c r="A148" i="1"/>
  <c r="A21" i="4" s="1"/>
  <c r="A151" i="1"/>
  <c r="A37" i="2" s="1"/>
  <c r="A813" i="1"/>
  <c r="A280" i="3" s="1"/>
  <c r="A785" i="1"/>
  <c r="A110" i="4" s="1"/>
  <c r="A628" i="1"/>
  <c r="A216" i="3" s="1"/>
  <c r="A153" i="1"/>
  <c r="A38" i="2" s="1"/>
  <c r="A780" i="1"/>
  <c r="A270" i="3" s="1"/>
  <c r="A815" i="1"/>
  <c r="A281" i="3" s="1"/>
  <c r="A160" i="1"/>
  <c r="A22" i="4" s="1"/>
  <c r="A779" i="1"/>
  <c r="A108" i="4" s="1"/>
  <c r="A627" i="1"/>
  <c r="A120" i="2" s="1"/>
  <c r="A161" i="1"/>
  <c r="A23" i="4" s="1"/>
  <c r="A773" i="1"/>
  <c r="A134" i="2" s="1"/>
  <c r="A162" i="1"/>
  <c r="A39" i="2" s="1"/>
  <c r="A772" i="1"/>
  <c r="A269" i="3" s="1"/>
  <c r="A817" i="1"/>
  <c r="A282" i="3" s="1"/>
  <c r="A762" i="1"/>
  <c r="A265" i="3" s="1"/>
  <c r="A819" i="1"/>
  <c r="A283" i="3" s="1"/>
  <c r="A80" i="1"/>
  <c r="A32" i="3" s="1"/>
  <c r="A442" i="1"/>
  <c r="A62" i="4" s="1"/>
  <c r="A79" i="1"/>
  <c r="A21" i="2" s="1"/>
  <c r="A755" i="1"/>
  <c r="A261" i="3" s="1"/>
  <c r="A78" i="1"/>
  <c r="A31" i="3" s="1"/>
  <c r="A638" i="1"/>
  <c r="A219" i="3" s="1"/>
  <c r="A76" i="1"/>
  <c r="A12" i="4" s="1"/>
  <c r="A823" i="1"/>
  <c r="A284" i="3" s="1"/>
  <c r="A74" i="1"/>
  <c r="A30" i="3" s="1"/>
  <c r="A754" i="1"/>
  <c r="A133" i="2" s="1"/>
  <c r="A73" i="1"/>
  <c r="A29" i="3" s="1"/>
  <c r="A623" i="1"/>
  <c r="A119" i="2" s="1"/>
  <c r="A72" i="1"/>
  <c r="A28" i="3" s="1"/>
  <c r="A753" i="1"/>
  <c r="A132" i="2" s="1"/>
  <c r="A71" i="1"/>
  <c r="A20" i="2" s="1"/>
  <c r="A751" i="1"/>
  <c r="A260" i="3" s="1"/>
  <c r="A70" i="1"/>
  <c r="A19" i="2" s="1"/>
  <c r="A824" i="1"/>
  <c r="A285" i="3" s="1"/>
  <c r="A69" i="1"/>
  <c r="A11" i="4" s="1"/>
  <c r="A435" i="1"/>
  <c r="A148" i="3" s="1"/>
  <c r="A67" i="1"/>
  <c r="A27" i="3" s="1"/>
  <c r="A745" i="1"/>
  <c r="A131" i="2" s="1"/>
  <c r="A66" i="1"/>
  <c r="A26" i="3" s="1"/>
  <c r="A744" i="1"/>
  <c r="A130" i="2" s="1"/>
  <c r="A65" i="1"/>
  <c r="A25" i="3" s="1"/>
  <c r="A743" i="1"/>
  <c r="A106" i="4" s="1"/>
  <c r="A64" i="1"/>
  <c r="A18" i="2" s="1"/>
  <c r="A825" i="1"/>
  <c r="A286" i="3" s="1"/>
  <c r="A63" i="1"/>
  <c r="A17" i="2" s="1"/>
  <c r="A741" i="1"/>
  <c r="A259" i="3" s="1"/>
  <c r="A62" i="1"/>
  <c r="A10" i="4" s="1"/>
  <c r="A829" i="1"/>
  <c r="A287" i="3" s="1"/>
  <c r="A61" i="1"/>
  <c r="A24" i="3" s="1"/>
  <c r="A738" i="1"/>
  <c r="A105" i="4" s="1"/>
  <c r="A60" i="1"/>
  <c r="A9" i="4" s="1"/>
  <c r="A737" i="1"/>
  <c r="A258" i="3" s="1"/>
  <c r="A58" i="1"/>
  <c r="A8" i="4" s="1"/>
  <c r="A57" i="1"/>
  <c r="A16" i="2" s="1"/>
  <c r="A832" i="1"/>
  <c r="A288" i="3" s="1"/>
  <c r="A54" i="1"/>
  <c r="A23" i="3" s="1"/>
  <c r="A734" i="1"/>
  <c r="A104" i="4" s="1"/>
  <c r="A52" i="1"/>
  <c r="A22" i="3" s="1"/>
  <c r="A839" i="1"/>
  <c r="A289" i="3" s="1"/>
  <c r="A51" i="1"/>
  <c r="A15" i="2" s="1"/>
  <c r="A730" i="1"/>
  <c r="A103" i="4" s="1"/>
  <c r="A50" i="1"/>
  <c r="A21" i="3" s="1"/>
  <c r="A842" i="1"/>
  <c r="A290" i="3" s="1"/>
  <c r="A49" i="1"/>
  <c r="A20" i="3" s="1"/>
  <c r="A231" i="1"/>
  <c r="A36" i="4" s="1"/>
  <c r="A48" i="1"/>
  <c r="A14" i="2" s="1"/>
  <c r="A843" i="1"/>
  <c r="A291" i="3" s="1"/>
  <c r="A47" i="1"/>
  <c r="A13" i="2" s="1"/>
  <c r="A232" i="1"/>
  <c r="A89" i="3" s="1"/>
  <c r="A46" i="1"/>
  <c r="A19" i="3" s="1"/>
  <c r="A849" i="1"/>
  <c r="A292" i="3" s="1"/>
  <c r="A45" i="1"/>
  <c r="A18" i="3" s="1"/>
  <c r="A141" i="1"/>
  <c r="A58" i="3" s="1"/>
  <c r="A44" i="1"/>
  <c r="A12" i="2" s="1"/>
  <c r="A233" i="1"/>
  <c r="A57" i="2" s="1"/>
  <c r="A43" i="1"/>
  <c r="A11" i="2" s="1"/>
  <c r="A854" i="1"/>
  <c r="A293" i="3" s="1"/>
  <c r="A39" i="1"/>
  <c r="A17" i="3" s="1"/>
  <c r="A234" i="1"/>
  <c r="A90" i="3" s="1"/>
  <c r="A37" i="1"/>
  <c r="A7" i="4" s="1"/>
  <c r="A35" i="1"/>
  <c r="A16" i="3" s="1"/>
  <c r="A856" i="1"/>
  <c r="A294" i="3" s="1"/>
  <c r="A34" i="1"/>
  <c r="A10" i="2" s="1"/>
  <c r="A236" i="1"/>
  <c r="A91" i="3" s="1"/>
  <c r="A32" i="1"/>
  <c r="A9" i="2" s="1"/>
  <c r="A858" i="1"/>
  <c r="A295" i="3" s="1"/>
  <c r="A31" i="1"/>
  <c r="A15" i="3" s="1"/>
  <c r="A237" i="1"/>
  <c r="A92" i="3" s="1"/>
  <c r="A29" i="1"/>
  <c r="A14" i="3" s="1"/>
  <c r="A859" i="1"/>
  <c r="A296" i="3" s="1"/>
  <c r="A28" i="1"/>
  <c r="A8" i="2" s="1"/>
  <c r="A238" i="1"/>
  <c r="A93" i="3" s="1"/>
  <c r="A26" i="1"/>
  <c r="A13" i="3" s="1"/>
  <c r="A860" i="1"/>
  <c r="A297" i="3" s="1"/>
  <c r="A25" i="1"/>
  <c r="A12" i="3" s="1"/>
  <c r="A241" i="1"/>
  <c r="A58" i="2" s="1"/>
  <c r="A24" i="1"/>
  <c r="A11" i="3" s="1"/>
  <c r="A242" i="1"/>
  <c r="A94" i="3" s="1"/>
  <c r="A23" i="1"/>
  <c r="A6" i="4" s="1"/>
  <c r="A22" i="1"/>
  <c r="A7" i="2" s="1"/>
  <c r="A432" i="1"/>
  <c r="A147" i="3" s="1"/>
  <c r="A20" i="1"/>
  <c r="A5" i="4" s="1"/>
  <c r="A19" i="1"/>
  <c r="A10" i="3" s="1"/>
  <c r="A244" i="1"/>
  <c r="A95" i="3" s="1"/>
  <c r="A18" i="1"/>
  <c r="A9" i="3" s="1"/>
  <c r="A245" i="1"/>
  <c r="A37" i="4" s="1"/>
  <c r="A17" i="1"/>
  <c r="A8" i="3" s="1"/>
  <c r="A431" i="1"/>
  <c r="A61" i="4" s="1"/>
  <c r="A15" i="1"/>
  <c r="A6" i="2" s="1"/>
  <c r="A246" i="1"/>
  <c r="A96" i="3" s="1"/>
  <c r="A13" i="1"/>
  <c r="A5" i="2" s="1"/>
  <c r="A430" i="1"/>
  <c r="A99" i="2" s="1"/>
  <c r="A12" i="1"/>
  <c r="A4" i="2" s="1"/>
  <c r="A247" i="1"/>
  <c r="A97" i="3" s="1"/>
  <c r="A641" i="1"/>
  <c r="A220" i="3" s="1"/>
  <c r="A248" i="1"/>
  <c r="A98" i="3" s="1"/>
  <c r="A429" i="1"/>
  <c r="A98" i="2" s="1"/>
  <c r="A249" i="1"/>
  <c r="A99" i="3" s="1"/>
  <c r="A426" i="1"/>
  <c r="A97" i="2" s="1"/>
  <c r="A251" i="1"/>
  <c r="A100" i="3" s="1"/>
  <c r="A668" i="1"/>
  <c r="A231" i="3" s="1"/>
  <c r="A303" i="1"/>
  <c r="A43" i="4" s="1"/>
  <c r="A306" i="1"/>
  <c r="A44" i="4" s="1"/>
  <c r="A643" i="1"/>
  <c r="A221" i="3" s="1"/>
  <c r="A662" i="1"/>
  <c r="A230" i="3" s="1"/>
  <c r="A308" i="1"/>
  <c r="A116" i="3" s="1"/>
  <c r="A309" i="1"/>
  <c r="A45" i="4" s="1"/>
  <c r="A310" i="1"/>
  <c r="A46" i="4" s="1"/>
  <c r="A425" i="1"/>
  <c r="A60" i="4" s="1"/>
  <c r="A311" i="1"/>
  <c r="A117" i="3" s="1"/>
  <c r="A312" i="1"/>
  <c r="A47" i="4" s="1"/>
  <c r="A661" i="1"/>
  <c r="A229" i="3" s="1"/>
  <c r="A314" i="1"/>
  <c r="A118" i="3" s="1"/>
  <c r="A422" i="1"/>
  <c r="A146" i="3" s="1"/>
  <c r="A316" i="1"/>
  <c r="A119" i="3" s="1"/>
  <c r="A729" i="1"/>
  <c r="A257" i="3" s="1"/>
  <c r="A323" i="1"/>
  <c r="A48" i="4" s="1"/>
  <c r="A659" i="1"/>
  <c r="A123" i="2" s="1"/>
  <c r="A756" i="1"/>
  <c r="A262" i="3" s="1"/>
  <c r="A325" i="1"/>
  <c r="A120" i="3" s="1"/>
  <c r="A658" i="1"/>
  <c r="A228" i="3" s="1"/>
  <c r="A327" i="1"/>
  <c r="A121" i="3" s="1"/>
  <c r="A644" i="1"/>
  <c r="A121" i="2" s="1"/>
  <c r="A758" i="1"/>
  <c r="A263" i="3" s="1"/>
  <c r="A329" i="1"/>
  <c r="A122" i="3" s="1"/>
  <c r="A333" i="1"/>
  <c r="A49" i="4" s="1"/>
  <c r="A761" i="1"/>
  <c r="A264" i="3" s="1"/>
  <c r="A421" i="1"/>
  <c r="A145" i="3" s="1"/>
  <c r="A765" i="1"/>
  <c r="A266" i="3" s="1"/>
  <c r="A335" i="1"/>
  <c r="A123" i="3" s="1"/>
  <c r="A645" i="1"/>
  <c r="A122" i="2" s="1"/>
  <c r="A767" i="1"/>
  <c r="A267" i="3" s="1"/>
  <c r="A770" i="1"/>
  <c r="A268" i="3" s="1"/>
  <c r="A340" i="1"/>
  <c r="A124" i="3" s="1"/>
  <c r="A657" i="1"/>
  <c r="A227" i="3" s="1"/>
  <c r="A775" i="1"/>
  <c r="A107" i="4" s="1"/>
  <c r="A341" i="1"/>
  <c r="A50" i="4" s="1"/>
  <c r="A783" i="1"/>
  <c r="A109" i="4" s="1"/>
  <c r="A562" i="1"/>
  <c r="A114" i="2" s="1"/>
  <c r="A420" i="1"/>
  <c r="A96" i="2" s="1"/>
  <c r="A888" i="1"/>
  <c r="A308" i="3" s="1"/>
  <c r="A343" i="1"/>
  <c r="A125" i="3" s="1"/>
  <c r="A418" i="1"/>
  <c r="A95" i="2" s="1"/>
  <c r="A344" i="1"/>
  <c r="A126" i="3" s="1"/>
  <c r="A646" i="1"/>
  <c r="A222" i="3" s="1"/>
  <c r="A345" i="1"/>
  <c r="A51" i="4" s="1"/>
  <c r="A656" i="1"/>
  <c r="A226" i="3" s="1"/>
  <c r="A417" i="1"/>
  <c r="A144" i="3" s="1"/>
  <c r="A652" i="1"/>
  <c r="A93" i="4" s="1"/>
  <c r="A651" i="1"/>
  <c r="A92" i="4" s="1"/>
  <c r="A650" i="1"/>
  <c r="A225" i="3" s="1"/>
  <c r="A416" i="1"/>
  <c r="A143" i="3" s="1"/>
  <c r="A649" i="1"/>
  <c r="A224" i="3" s="1"/>
  <c r="A648" i="1"/>
  <c r="A223" i="3" s="1"/>
  <c r="A412" i="1"/>
  <c r="A58" i="4" s="1"/>
  <c r="A792" i="1"/>
  <c r="A273" i="3" s="1"/>
  <c r="A922" i="1"/>
  <c r="A328" i="3" s="1"/>
  <c r="A850" i="1"/>
  <c r="A136" i="2" s="1"/>
  <c r="A1025" i="1" l="1"/>
  <c r="A32" i="6" s="1"/>
  <c r="B32" i="6"/>
  <c r="B31" i="6"/>
  <c r="A1024" i="1"/>
  <c r="A31" i="6" s="1"/>
  <c r="A1023" i="1"/>
  <c r="A30" i="6" s="1"/>
  <c r="B30" i="6"/>
  <c r="A1022" i="1"/>
  <c r="A29" i="6" s="1"/>
  <c r="B29" i="6"/>
  <c r="A1021" i="1"/>
  <c r="A28" i="6" s="1"/>
  <c r="B28" i="6"/>
  <c r="A1020" i="1"/>
  <c r="A27" i="6" s="1"/>
  <c r="B27" i="6"/>
  <c r="A1019" i="1"/>
  <c r="A26" i="6" s="1"/>
  <c r="B26" i="6"/>
  <c r="A1018" i="1"/>
  <c r="A25" i="6" s="1"/>
  <c r="B25" i="6"/>
  <c r="A1017" i="1"/>
  <c r="A24" i="6" s="1"/>
  <c r="B24" i="6"/>
  <c r="B23" i="6"/>
  <c r="A1016" i="1"/>
  <c r="A23" i="6" s="1"/>
  <c r="B22" i="6"/>
  <c r="A1015" i="1"/>
  <c r="A22" i="6" s="1"/>
  <c r="B21" i="6"/>
  <c r="A1014" i="1"/>
  <c r="A21" i="6" s="1"/>
  <c r="B19" i="6"/>
  <c r="A1012" i="1"/>
  <c r="A19" i="6" s="1"/>
  <c r="A1011" i="1"/>
  <c r="A18" i="6" s="1"/>
  <c r="B18" i="6"/>
  <c r="B17" i="6"/>
  <c r="A1010" i="1"/>
  <c r="A17" i="6" s="1"/>
  <c r="B16" i="6"/>
  <c r="A1009" i="1"/>
  <c r="A16" i="6" s="1"/>
  <c r="A1008" i="1"/>
  <c r="A15" i="6" s="1"/>
  <c r="B15" i="6"/>
  <c r="A1007" i="1"/>
  <c r="A14" i="6" s="1"/>
  <c r="B14" i="6"/>
  <c r="A1006" i="1"/>
  <c r="A13" i="6" s="1"/>
  <c r="B13" i="6"/>
  <c r="A1005" i="1"/>
  <c r="A12" i="6" s="1"/>
  <c r="B12" i="6"/>
  <c r="B11" i="6"/>
  <c r="A1004" i="1"/>
  <c r="A11" i="6" s="1"/>
  <c r="A1003" i="1"/>
  <c r="A10" i="6" s="1"/>
  <c r="B10" i="6"/>
  <c r="B9" i="6"/>
  <c r="A1002" i="1"/>
  <c r="A9" i="6" s="1"/>
  <c r="A1001" i="1"/>
  <c r="A8" i="6" s="1"/>
  <c r="B8" i="6"/>
  <c r="A1000" i="1"/>
  <c r="A7" i="6" s="1"/>
  <c r="B7" i="6"/>
  <c r="B6" i="6"/>
  <c r="A999" i="1"/>
  <c r="A6" i="6" s="1"/>
  <c r="B5" i="6"/>
  <c r="A998" i="1"/>
  <c r="A5" i="6" s="1"/>
  <c r="B4" i="6"/>
  <c r="A997" i="1"/>
  <c r="A4" i="6" s="1"/>
  <c r="B3" i="6"/>
  <c r="A996" i="1"/>
  <c r="A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综测</author>
  </authors>
  <commentList>
    <comment ref="I99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原表文体总分为 5.9，按分项合计应为 5.4，已更正</t>
        </r>
      </text>
    </comment>
  </commentList>
</comments>
</file>

<file path=xl/sharedStrings.xml><?xml version="1.0" encoding="utf-8"?>
<sst xmlns="http://schemas.openxmlformats.org/spreadsheetml/2006/main" count="5427" uniqueCount="2113">
  <si>
    <t>年级排名</t>
  </si>
  <si>
    <t>专业排名</t>
  </si>
  <si>
    <t>专业</t>
  </si>
  <si>
    <t>班级</t>
  </si>
  <si>
    <t>学号</t>
  </si>
  <si>
    <t>姓名</t>
  </si>
  <si>
    <t>大一上</t>
  </si>
  <si>
    <t>大一下</t>
  </si>
  <si>
    <t>学年总分</t>
  </si>
  <si>
    <t>奖学金</t>
  </si>
  <si>
    <t>备注</t>
  </si>
  <si>
    <t>品德总分</t>
  </si>
  <si>
    <t>学业总分</t>
  </si>
  <si>
    <t>文体总分</t>
  </si>
  <si>
    <t>综测总分</t>
  </si>
  <si>
    <t>网工</t>
  </si>
  <si>
    <t>网工15班</t>
  </si>
  <si>
    <t>250451518</t>
  </si>
  <si>
    <t>单禹霖</t>
  </si>
  <si>
    <t>国奖</t>
  </si>
  <si>
    <t>软工</t>
  </si>
  <si>
    <t>软工14班</t>
  </si>
  <si>
    <t>250451433</t>
  </si>
  <si>
    <t>王奕茗</t>
  </si>
  <si>
    <t>计科</t>
  </si>
  <si>
    <t>计科二班</t>
  </si>
  <si>
    <t>250450215</t>
  </si>
  <si>
    <t>薛继来</t>
  </si>
  <si>
    <t>省奖</t>
  </si>
  <si>
    <t>软工12班</t>
  </si>
  <si>
    <t>250451226</t>
  </si>
  <si>
    <t>刘航绮</t>
  </si>
  <si>
    <t>软工9班</t>
  </si>
  <si>
    <t>250450916</t>
  </si>
  <si>
    <t>夏艺洋</t>
  </si>
  <si>
    <t>校一等</t>
  </si>
  <si>
    <t>软工13班</t>
  </si>
  <si>
    <t>250451316</t>
  </si>
  <si>
    <t>孙远骐</t>
  </si>
  <si>
    <t>网工16班</t>
  </si>
  <si>
    <t>250451631</t>
  </si>
  <si>
    <t>李辰析</t>
  </si>
  <si>
    <t>软工6班</t>
  </si>
  <si>
    <t>250450614</t>
  </si>
  <si>
    <t>陈韵竹</t>
  </si>
  <si>
    <t>信管</t>
  </si>
  <si>
    <t>信管26班</t>
  </si>
  <si>
    <t>250452618</t>
  </si>
  <si>
    <t>刘嘉雯</t>
  </si>
  <si>
    <t>计科一班</t>
  </si>
  <si>
    <t>250450119</t>
  </si>
  <si>
    <t>胡天淼</t>
  </si>
  <si>
    <t>250450123</t>
  </si>
  <si>
    <t>佟奕辰</t>
  </si>
  <si>
    <t>信管25班</t>
  </si>
  <si>
    <t>250452517</t>
  </si>
  <si>
    <t>赵春乔</t>
  </si>
  <si>
    <t>转入商学院 财管</t>
  </si>
  <si>
    <t>计科四班</t>
  </si>
  <si>
    <t>250450414</t>
  </si>
  <si>
    <t>迟钰莹</t>
  </si>
  <si>
    <t>250452627</t>
  </si>
  <si>
    <t>张舒涵</t>
  </si>
  <si>
    <t>250451405</t>
  </si>
  <si>
    <t>周梓锐</t>
  </si>
  <si>
    <t>软工7班</t>
  </si>
  <si>
    <t>250450721</t>
  </si>
  <si>
    <t>吴悠</t>
  </si>
  <si>
    <t>250450708</t>
  </si>
  <si>
    <t>尹彦茜</t>
  </si>
  <si>
    <t>250451615</t>
  </si>
  <si>
    <t>吕静怡</t>
  </si>
  <si>
    <t>国励</t>
  </si>
  <si>
    <t>信管22班</t>
  </si>
  <si>
    <t>250452220</t>
  </si>
  <si>
    <t>贺中泽</t>
  </si>
  <si>
    <t>计科三班</t>
  </si>
  <si>
    <t>250450315</t>
  </si>
  <si>
    <t>程俊杰</t>
  </si>
  <si>
    <t>校二等</t>
  </si>
  <si>
    <t>250451527</t>
  </si>
  <si>
    <t>沈乃鑫</t>
  </si>
  <si>
    <t>软工8班</t>
  </si>
  <si>
    <t>250450825</t>
  </si>
  <si>
    <t>万雨</t>
  </si>
  <si>
    <t>250451401</t>
  </si>
  <si>
    <t>马艺方</t>
  </si>
  <si>
    <t>250451324</t>
  </si>
  <si>
    <t>赵君昇</t>
  </si>
  <si>
    <t>信管24班</t>
  </si>
  <si>
    <t>250452429</t>
  </si>
  <si>
    <t>孙鑫颜</t>
  </si>
  <si>
    <t>250450219</t>
  </si>
  <si>
    <t>郭子萌</t>
  </si>
  <si>
    <t>250451411</t>
  </si>
  <si>
    <t>郭岩博</t>
  </si>
  <si>
    <t>信管28班</t>
  </si>
  <si>
    <t>250452816</t>
  </si>
  <si>
    <t>牟彦铷</t>
  </si>
  <si>
    <t>250451331</t>
  </si>
  <si>
    <t>刘思琪</t>
  </si>
  <si>
    <t>250450312</t>
  </si>
  <si>
    <t>赵紫仪</t>
  </si>
  <si>
    <t>250452426</t>
  </si>
  <si>
    <t>陈尔其</t>
  </si>
  <si>
    <t>250450122</t>
  </si>
  <si>
    <t>张淅傲</t>
  </si>
  <si>
    <t>250451212</t>
  </si>
  <si>
    <t>朱泓蓉</t>
  </si>
  <si>
    <t>信管27班</t>
  </si>
  <si>
    <t>250452733</t>
  </si>
  <si>
    <t>杨众然</t>
  </si>
  <si>
    <t>250451533</t>
  </si>
  <si>
    <t>赵一婷</t>
  </si>
  <si>
    <t>信管21班</t>
  </si>
  <si>
    <t>250452124</t>
  </si>
  <si>
    <t>李瑞洋</t>
  </si>
  <si>
    <t>软工11班</t>
  </si>
  <si>
    <t>250451103</t>
  </si>
  <si>
    <t>李沛庭</t>
  </si>
  <si>
    <t>250452419</t>
  </si>
  <si>
    <t>刘一鸣</t>
  </si>
  <si>
    <t>250452813</t>
  </si>
  <si>
    <t>高乃姬</t>
  </si>
  <si>
    <t>250452531</t>
  </si>
  <si>
    <t>刘书语</t>
  </si>
  <si>
    <t>250450124</t>
  </si>
  <si>
    <t>刘奕含</t>
  </si>
  <si>
    <t>250450323</t>
  </si>
  <si>
    <t>吕佳妮</t>
  </si>
  <si>
    <t>校三等</t>
  </si>
  <si>
    <t>250450625</t>
  </si>
  <si>
    <t>佟欣恬</t>
  </si>
  <si>
    <t>250451302</t>
  </si>
  <si>
    <t>闻宣淇</t>
  </si>
  <si>
    <t>转英语</t>
  </si>
  <si>
    <t>250450232</t>
  </si>
  <si>
    <t>聂煜翀</t>
  </si>
  <si>
    <t>250450322</t>
  </si>
  <si>
    <t>袁世博</t>
  </si>
  <si>
    <t>250450915</t>
  </si>
  <si>
    <t>姜珊多娇</t>
  </si>
  <si>
    <t>250451326</t>
  </si>
  <si>
    <t>孙嘉悦</t>
  </si>
  <si>
    <t>250450222</t>
  </si>
  <si>
    <t>王梓丞</t>
  </si>
  <si>
    <t>250451124</t>
  </si>
  <si>
    <t>谢可鑫</t>
  </si>
  <si>
    <t>250452801</t>
  </si>
  <si>
    <t>吴欣恬</t>
  </si>
  <si>
    <t>250451403</t>
  </si>
  <si>
    <t>莫耀钧</t>
  </si>
  <si>
    <t>250452215</t>
  </si>
  <si>
    <t>王言如</t>
  </si>
  <si>
    <t>250452509</t>
  </si>
  <si>
    <t>杨际菲</t>
  </si>
  <si>
    <t>250450108</t>
  </si>
  <si>
    <t>石佳怡</t>
  </si>
  <si>
    <t>250451629</t>
  </si>
  <si>
    <t>夏舶航</t>
  </si>
  <si>
    <t>250452224</t>
  </si>
  <si>
    <t>孙小游</t>
  </si>
  <si>
    <t>250451520</t>
  </si>
  <si>
    <t>李依蔓</t>
  </si>
  <si>
    <t>软工10班</t>
  </si>
  <si>
    <t>250451013</t>
  </si>
  <si>
    <t>黄楚瑶</t>
  </si>
  <si>
    <t>250451511</t>
  </si>
  <si>
    <t>管奕暄</t>
  </si>
  <si>
    <t>250450129</t>
  </si>
  <si>
    <t>肖家宜</t>
  </si>
  <si>
    <t>250450418</t>
  </si>
  <si>
    <t>刘育辰</t>
  </si>
  <si>
    <t>250450814</t>
  </si>
  <si>
    <t>王芷涵</t>
  </si>
  <si>
    <t>250451425</t>
  </si>
  <si>
    <t>范超迪</t>
  </si>
  <si>
    <t>250451003</t>
  </si>
  <si>
    <t>陈佳琪</t>
  </si>
  <si>
    <t>250452626</t>
  </si>
  <si>
    <t>张艺</t>
  </si>
  <si>
    <t>网工18班</t>
  </si>
  <si>
    <t>250451809</t>
  </si>
  <si>
    <t>姜皓元</t>
  </si>
  <si>
    <t>250450435</t>
  </si>
  <si>
    <t>蔡柯丞</t>
  </si>
  <si>
    <t>250450405</t>
  </si>
  <si>
    <t>肖遥</t>
  </si>
  <si>
    <t>250451217</t>
  </si>
  <si>
    <t>徐子淳</t>
  </si>
  <si>
    <t>250450831</t>
  </si>
  <si>
    <t>李思辰</t>
  </si>
  <si>
    <t>250451417</t>
  </si>
  <si>
    <t>韩沛霖</t>
  </si>
  <si>
    <t>校三等、文体奖学金</t>
  </si>
  <si>
    <t>250452803</t>
  </si>
  <si>
    <t>王可欣</t>
  </si>
  <si>
    <t>250451635</t>
  </si>
  <si>
    <t>孙铭晗</t>
  </si>
  <si>
    <t>250452222</t>
  </si>
  <si>
    <t>宋虹儒</t>
  </si>
  <si>
    <t>250450723</t>
  </si>
  <si>
    <t>周子奕</t>
  </si>
  <si>
    <t>校三等、优秀学生教官</t>
  </si>
  <si>
    <t>250450333</t>
  </si>
  <si>
    <t>孙畅研</t>
  </si>
  <si>
    <t>250451015</t>
  </si>
  <si>
    <t>王梓桐</t>
  </si>
  <si>
    <t>250452628</t>
  </si>
  <si>
    <t>宋诺言</t>
  </si>
  <si>
    <t>250450603</t>
  </si>
  <si>
    <t>李昱含</t>
  </si>
  <si>
    <t>250450221</t>
  </si>
  <si>
    <t>董家贝</t>
  </si>
  <si>
    <t>250451133</t>
  </si>
  <si>
    <t>刘美彤</t>
  </si>
  <si>
    <t>250450629</t>
  </si>
  <si>
    <t>刘可畅</t>
  </si>
  <si>
    <t>250450135</t>
  </si>
  <si>
    <t>严钦</t>
  </si>
  <si>
    <t>信管20班</t>
  </si>
  <si>
    <t>250452007</t>
  </si>
  <si>
    <t>邬昇震</t>
  </si>
  <si>
    <t>250450216</t>
  </si>
  <si>
    <t>杨瑞</t>
  </si>
  <si>
    <t>250451230</t>
  </si>
  <si>
    <t>郑惠元</t>
  </si>
  <si>
    <t>250451205</t>
  </si>
  <si>
    <t>张雨晨</t>
  </si>
  <si>
    <t>软工5班</t>
  </si>
  <si>
    <t>250450518</t>
  </si>
  <si>
    <t>王奕婷</t>
  </si>
  <si>
    <t>信管19班</t>
  </si>
  <si>
    <t>250451922</t>
  </si>
  <si>
    <t>艾天放</t>
  </si>
  <si>
    <t>250450202</t>
  </si>
  <si>
    <t>张讯歌</t>
  </si>
  <si>
    <t>250450204</t>
  </si>
  <si>
    <t>周小雅</t>
  </si>
  <si>
    <t>250451304</t>
  </si>
  <si>
    <t>范盈希</t>
  </si>
  <si>
    <t>250451125</t>
  </si>
  <si>
    <t>张福嘉</t>
  </si>
  <si>
    <t>250450628</t>
  </si>
  <si>
    <t>王楚睿</t>
  </si>
  <si>
    <t>250451129</t>
  </si>
  <si>
    <t>张景钧</t>
  </si>
  <si>
    <t>250452714</t>
  </si>
  <si>
    <t>王嘉慧</t>
  </si>
  <si>
    <t>250450132</t>
  </si>
  <si>
    <t>孟珈惠</t>
  </si>
  <si>
    <t>250450317</t>
  </si>
  <si>
    <t>蒋析睿</t>
  </si>
  <si>
    <t>250452528</t>
  </si>
  <si>
    <t>刘蔓</t>
  </si>
  <si>
    <t>250450734</t>
  </si>
  <si>
    <t>程偌然</t>
  </si>
  <si>
    <t>网工17班</t>
  </si>
  <si>
    <t>250451717</t>
  </si>
  <si>
    <t>孟欣</t>
  </si>
  <si>
    <t>250451504</t>
  </si>
  <si>
    <t>陈佳慧</t>
  </si>
  <si>
    <t>250451218</t>
  </si>
  <si>
    <t>辛佳芮</t>
  </si>
  <si>
    <t>250450726</t>
  </si>
  <si>
    <t>张宬博</t>
  </si>
  <si>
    <t>信管23班</t>
  </si>
  <si>
    <t>250452323</t>
  </si>
  <si>
    <t>杨淼</t>
  </si>
  <si>
    <t>250451916</t>
  </si>
  <si>
    <t>曹嘉格</t>
  </si>
  <si>
    <t>250450408</t>
  </si>
  <si>
    <t>王思媛</t>
  </si>
  <si>
    <t>250451832</t>
  </si>
  <si>
    <t>宋蕾</t>
  </si>
  <si>
    <t>250450117</t>
  </si>
  <si>
    <t>芮嘉</t>
  </si>
  <si>
    <t>250451814</t>
  </si>
  <si>
    <t>解明子昂</t>
  </si>
  <si>
    <t>250450128</t>
  </si>
  <si>
    <t>史佳睿</t>
  </si>
  <si>
    <t>250450931</t>
  </si>
  <si>
    <t>杨蕙熙</t>
  </si>
  <si>
    <t>250450225</t>
  </si>
  <si>
    <t>王思博</t>
  </si>
  <si>
    <t>250450529</t>
  </si>
  <si>
    <t>周歆越</t>
  </si>
  <si>
    <t>250450206</t>
  </si>
  <si>
    <t>崔嘉垚</t>
  </si>
  <si>
    <t>250450905</t>
  </si>
  <si>
    <t>陈莹莹</t>
  </si>
  <si>
    <t>250451427</t>
  </si>
  <si>
    <t>陈昱陶</t>
  </si>
  <si>
    <t>250450503</t>
  </si>
  <si>
    <t>刘诗博</t>
  </si>
  <si>
    <t>250450127</t>
  </si>
  <si>
    <t>常家豪</t>
  </si>
  <si>
    <t>250450811</t>
  </si>
  <si>
    <t>徐子翔</t>
  </si>
  <si>
    <t>250452034</t>
  </si>
  <si>
    <t>白云荻</t>
  </si>
  <si>
    <t>250451935</t>
  </si>
  <si>
    <t>刘芷伊</t>
  </si>
  <si>
    <t>250452415</t>
  </si>
  <si>
    <t>纪周升</t>
  </si>
  <si>
    <t>250451428</t>
  </si>
  <si>
    <t>王一茗</t>
  </si>
  <si>
    <t>250451712</t>
  </si>
  <si>
    <t>张宸瑞</t>
  </si>
  <si>
    <t>250452236</t>
  </si>
  <si>
    <t>乔岩</t>
  </si>
  <si>
    <t>250452734</t>
  </si>
  <si>
    <t>王雯鑫</t>
  </si>
  <si>
    <t>250451812</t>
  </si>
  <si>
    <t>范一铭</t>
  </si>
  <si>
    <t>250451018</t>
  </si>
  <si>
    <t>唐嘉骏</t>
  </si>
  <si>
    <t>250450524</t>
  </si>
  <si>
    <t>苏含</t>
  </si>
  <si>
    <t>250451303</t>
  </si>
  <si>
    <t>张惠茜</t>
  </si>
  <si>
    <t>250451220</t>
  </si>
  <si>
    <t>郭佳垚</t>
  </si>
  <si>
    <t>250450131</t>
  </si>
  <si>
    <t>焦梓雯</t>
  </si>
  <si>
    <t>250451216</t>
  </si>
  <si>
    <t>李文淏</t>
  </si>
  <si>
    <t>250452707</t>
  </si>
  <si>
    <t>李子涵</t>
  </si>
  <si>
    <t>250451628</t>
  </si>
  <si>
    <t>夏清淼</t>
  </si>
  <si>
    <t>250452311</t>
  </si>
  <si>
    <t>夏雪</t>
  </si>
  <si>
    <t>250451032</t>
  </si>
  <si>
    <t>段若唅</t>
  </si>
  <si>
    <t>250452631</t>
  </si>
  <si>
    <t>刘紫璇</t>
  </si>
  <si>
    <t>250450709</t>
  </si>
  <si>
    <t>贾滢暄</t>
  </si>
  <si>
    <t>250451733</t>
  </si>
  <si>
    <t>赵梓雯</t>
  </si>
  <si>
    <t>250451105</t>
  </si>
  <si>
    <t>韩剑</t>
  </si>
  <si>
    <t>250452433</t>
  </si>
  <si>
    <t>冯博华</t>
  </si>
  <si>
    <t>转大数据</t>
  </si>
  <si>
    <t>250450210</t>
  </si>
  <si>
    <t>于逸飞</t>
  </si>
  <si>
    <t>250451704</t>
  </si>
  <si>
    <t>左佳灵</t>
  </si>
  <si>
    <t>250452420</t>
  </si>
  <si>
    <t>薛宇然</t>
  </si>
  <si>
    <t>250452130</t>
  </si>
  <si>
    <t>郑雅琪</t>
  </si>
  <si>
    <t>250450420</t>
  </si>
  <si>
    <t>王佳怡</t>
  </si>
  <si>
    <t>250451421</t>
  </si>
  <si>
    <t>刘敬妤</t>
  </si>
  <si>
    <t>250450126</t>
  </si>
  <si>
    <t>黄禹萌</t>
  </si>
  <si>
    <t>250450624</t>
  </si>
  <si>
    <t>佟欣禹</t>
  </si>
  <si>
    <t>250450717</t>
  </si>
  <si>
    <t>隋心雨</t>
  </si>
  <si>
    <t>250450724</t>
  </si>
  <si>
    <t>王艺憬</t>
  </si>
  <si>
    <t>250451432</t>
  </si>
  <si>
    <t>韩温心</t>
  </si>
  <si>
    <t>250452307</t>
  </si>
  <si>
    <t>赵睿加</t>
  </si>
  <si>
    <t>250452332</t>
  </si>
  <si>
    <t>赵斓琪</t>
  </si>
  <si>
    <t>250451732</t>
  </si>
  <si>
    <t>袁子依</t>
  </si>
  <si>
    <t>250451714</t>
  </si>
  <si>
    <t>杨馨婷</t>
  </si>
  <si>
    <t>250450217</t>
  </si>
  <si>
    <t>毕睿宁</t>
  </si>
  <si>
    <t>250450727</t>
  </si>
  <si>
    <t>王悦新</t>
  </si>
  <si>
    <t>250451506</t>
  </si>
  <si>
    <t>马铭骏</t>
  </si>
  <si>
    <t>250451319</t>
  </si>
  <si>
    <t>丁姝彤</t>
  </si>
  <si>
    <t>250452110</t>
  </si>
  <si>
    <t>张可欣</t>
  </si>
  <si>
    <t>250451535</t>
  </si>
  <si>
    <t>耿佳文</t>
  </si>
  <si>
    <t>250451818</t>
  </si>
  <si>
    <t>赵思涵</t>
  </si>
  <si>
    <t>国励、文体奖学金</t>
  </si>
  <si>
    <t>250451926</t>
  </si>
  <si>
    <t>张潆蔓</t>
  </si>
  <si>
    <t>250451033</t>
  </si>
  <si>
    <t>付子圆</t>
  </si>
  <si>
    <t>250452720</t>
  </si>
  <si>
    <t>姜雨含</t>
  </si>
  <si>
    <t>250451121</t>
  </si>
  <si>
    <t>李佳瑶</t>
  </si>
  <si>
    <t>250451509</t>
  </si>
  <si>
    <t>王珏</t>
  </si>
  <si>
    <t>250450314</t>
  </si>
  <si>
    <t>马一鸣</t>
  </si>
  <si>
    <t>250452227</t>
  </si>
  <si>
    <t>张修平</t>
  </si>
  <si>
    <t>250450421</t>
  </si>
  <si>
    <t>李金宇</t>
  </si>
  <si>
    <t>250452317</t>
  </si>
  <si>
    <t>谷曜丞</t>
  </si>
  <si>
    <t>250450601</t>
  </si>
  <si>
    <t>赵梓卉</t>
  </si>
  <si>
    <t>250450710</t>
  </si>
  <si>
    <t>于欣竹</t>
  </si>
  <si>
    <t>250451626</t>
  </si>
  <si>
    <t>白佳卉</t>
  </si>
  <si>
    <t>250452523</t>
  </si>
  <si>
    <t>邵靖乔</t>
  </si>
  <si>
    <t>250450809</t>
  </si>
  <si>
    <t>刘津睿</t>
  </si>
  <si>
    <t>250450401</t>
  </si>
  <si>
    <t>刘斯琪</t>
  </si>
  <si>
    <t>文体奖学金</t>
  </si>
  <si>
    <t>250452235</t>
  </si>
  <si>
    <t>杨心雨</t>
  </si>
  <si>
    <t>250450303</t>
  </si>
  <si>
    <t>陈韵妃</t>
  </si>
  <si>
    <t>240451001</t>
  </si>
  <si>
    <t>张一涵</t>
  </si>
  <si>
    <t>250451011</t>
  </si>
  <si>
    <t>杨绮涵</t>
  </si>
  <si>
    <t>250452607</t>
  </si>
  <si>
    <t>张曦文</t>
  </si>
  <si>
    <t>转入日本语学院</t>
  </si>
  <si>
    <t>250451623</t>
  </si>
  <si>
    <t>班奥鑫</t>
  </si>
  <si>
    <t>250452706</t>
  </si>
  <si>
    <t>张艺哲</t>
  </si>
  <si>
    <t>250452530</t>
  </si>
  <si>
    <t>侯思宇</t>
  </si>
  <si>
    <t>250451620</t>
  </si>
  <si>
    <t>张津豪</t>
  </si>
  <si>
    <t>250450305</t>
  </si>
  <si>
    <t>雷悦</t>
  </si>
  <si>
    <t>250450226</t>
  </si>
  <si>
    <t>鄂卓玛</t>
  </si>
  <si>
    <t>250450531</t>
  </si>
  <si>
    <t>韩昱泽</t>
  </si>
  <si>
    <t>250450604</t>
  </si>
  <si>
    <t>吴朕博</t>
  </si>
  <si>
    <t>250451529</t>
  </si>
  <si>
    <t>吴语灵</t>
  </si>
  <si>
    <t>250450325</t>
  </si>
  <si>
    <t>纪思彤</t>
  </si>
  <si>
    <t>250451408</t>
  </si>
  <si>
    <t>尹俊仪</t>
  </si>
  <si>
    <t>250451808</t>
  </si>
  <si>
    <t>赵纪铭</t>
  </si>
  <si>
    <t>250450517</t>
  </si>
  <si>
    <t>潘永琦</t>
  </si>
  <si>
    <t>250451604</t>
  </si>
  <si>
    <t>马旭</t>
  </si>
  <si>
    <t>250450618</t>
  </si>
  <si>
    <t>张皓然</t>
  </si>
  <si>
    <t>250451706</t>
  </si>
  <si>
    <t>徐佳淇</t>
  </si>
  <si>
    <t>250450228</t>
  </si>
  <si>
    <t>姜依彤</t>
  </si>
  <si>
    <t>250451308</t>
  </si>
  <si>
    <t>滕奕晗</t>
  </si>
  <si>
    <t>250451223</t>
  </si>
  <si>
    <t>齐若辰</t>
  </si>
  <si>
    <t>250450301</t>
  </si>
  <si>
    <t>肖涵竹</t>
  </si>
  <si>
    <t>250450906</t>
  </si>
  <si>
    <t>尚家亿</t>
  </si>
  <si>
    <t>250452309</t>
  </si>
  <si>
    <t>高思琪</t>
  </si>
  <si>
    <t>250451126</t>
  </si>
  <si>
    <t>王颖</t>
  </si>
  <si>
    <t>250450911</t>
  </si>
  <si>
    <t>韩幸哲</t>
  </si>
  <si>
    <t>250452029</t>
  </si>
  <si>
    <t>刘佳美</t>
  </si>
  <si>
    <t>250452412</t>
  </si>
  <si>
    <t>窦嘉璇</t>
  </si>
  <si>
    <t>250450335</t>
  </si>
  <si>
    <t>毛子旋</t>
  </si>
  <si>
    <t>250450428</t>
  </si>
  <si>
    <t>魏玉婷</t>
  </si>
  <si>
    <t>250452713</t>
  </si>
  <si>
    <t>刘琦</t>
  </si>
  <si>
    <t>250450313</t>
  </si>
  <si>
    <t>王姝雯</t>
  </si>
  <si>
    <t>250450410</t>
  </si>
  <si>
    <t>梁洛凡</t>
  </si>
  <si>
    <t>250451711</t>
  </si>
  <si>
    <t>朱瑞航</t>
  </si>
  <si>
    <t>250450913</t>
  </si>
  <si>
    <t>李思阳</t>
  </si>
  <si>
    <t>250452505</t>
  </si>
  <si>
    <t>郎壹涵</t>
  </si>
  <si>
    <t>250450921</t>
  </si>
  <si>
    <t>狄子君</t>
  </si>
  <si>
    <t>250452603</t>
  </si>
  <si>
    <t>金美良</t>
  </si>
  <si>
    <t>250450220</t>
  </si>
  <si>
    <t>孙艺齐</t>
  </si>
  <si>
    <t>250450115</t>
  </si>
  <si>
    <t>韩宛怡</t>
  </si>
  <si>
    <t>250450304</t>
  </si>
  <si>
    <t>李佳璇</t>
  </si>
  <si>
    <t>250450819</t>
  </si>
  <si>
    <t>高赫阳</t>
  </si>
  <si>
    <t>250450412</t>
  </si>
  <si>
    <t>吕佳璇</t>
  </si>
  <si>
    <t>250450926</t>
  </si>
  <si>
    <t>徐溢含</t>
  </si>
  <si>
    <t>250451822</t>
  </si>
  <si>
    <t>郭纾妍</t>
  </si>
  <si>
    <t>250451207</t>
  </si>
  <si>
    <t>董津阳</t>
  </si>
  <si>
    <t>250450218</t>
  </si>
  <si>
    <t>高佳音</t>
  </si>
  <si>
    <t>250451219</t>
  </si>
  <si>
    <t>任司晨</t>
  </si>
  <si>
    <t>250452112</t>
  </si>
  <si>
    <t>郑舒源</t>
  </si>
  <si>
    <t>250450826</t>
  </si>
  <si>
    <t>李心蕊</t>
  </si>
  <si>
    <t>250450627</t>
  </si>
  <si>
    <t>董子博</t>
  </si>
  <si>
    <t>250451102</t>
  </si>
  <si>
    <t>王珺瑶</t>
  </si>
  <si>
    <t>250452125</t>
  </si>
  <si>
    <t>侯权恒</t>
  </si>
  <si>
    <t>250452708</t>
  </si>
  <si>
    <t>张振浩</t>
  </si>
  <si>
    <t>250450319</t>
  </si>
  <si>
    <t>张桐维</t>
  </si>
  <si>
    <t>250450728</t>
  </si>
  <si>
    <t>张浩然</t>
  </si>
  <si>
    <t>250452418</t>
  </si>
  <si>
    <t>徐子淞</t>
  </si>
  <si>
    <t>250450526</t>
  </si>
  <si>
    <t>张君赫</t>
  </si>
  <si>
    <t>250451718</t>
  </si>
  <si>
    <t>张馨月</t>
  </si>
  <si>
    <t>250451320</t>
  </si>
  <si>
    <t>阎椿如</t>
  </si>
  <si>
    <t>250450633</t>
  </si>
  <si>
    <t>孙圣男</t>
  </si>
  <si>
    <t>250450732</t>
  </si>
  <si>
    <t>吴雨宸</t>
  </si>
  <si>
    <t>250451334</t>
  </si>
  <si>
    <t>葛芷萁</t>
  </si>
  <si>
    <t>250452217</t>
  </si>
  <si>
    <t>李芷慧</t>
  </si>
  <si>
    <t>250450828</t>
  </si>
  <si>
    <t>白佳琪</t>
  </si>
  <si>
    <t>250451416</t>
  </si>
  <si>
    <t>王昱博</t>
  </si>
  <si>
    <t>250452602</t>
  </si>
  <si>
    <t>郑嘉瑞</t>
  </si>
  <si>
    <t>250452123</t>
  </si>
  <si>
    <t>孙嘉忆</t>
  </si>
  <si>
    <t>250450404</t>
  </si>
  <si>
    <t>金甫珉</t>
  </si>
  <si>
    <t>250451614</t>
  </si>
  <si>
    <t>傅子瑞</t>
  </si>
  <si>
    <t>250450316</t>
  </si>
  <si>
    <t>金缇琳</t>
  </si>
  <si>
    <t>250451625</t>
  </si>
  <si>
    <t>杨雨竹</t>
  </si>
  <si>
    <t>250451010</t>
  </si>
  <si>
    <t>韩奇彤</t>
  </si>
  <si>
    <t>250451307</t>
  </si>
  <si>
    <t>刘栗冉</t>
  </si>
  <si>
    <t>250451203</t>
  </si>
  <si>
    <t>吴艽龙</t>
  </si>
  <si>
    <t>国励、优秀学生教官</t>
  </si>
  <si>
    <t>250452422</t>
  </si>
  <si>
    <t>苏绍涵</t>
  </si>
  <si>
    <t>250451627</t>
  </si>
  <si>
    <t>董禹彤</t>
  </si>
  <si>
    <t>250450413</t>
  </si>
  <si>
    <t>徐梦娟</t>
  </si>
  <si>
    <t>250450920</t>
  </si>
  <si>
    <t>袁芦煜</t>
  </si>
  <si>
    <t>250451813</t>
  </si>
  <si>
    <t>尹红爽</t>
  </si>
  <si>
    <t>250450308</t>
  </si>
  <si>
    <t>李雨萌</t>
  </si>
  <si>
    <t>250452407</t>
  </si>
  <si>
    <t>张舒恺</t>
  </si>
  <si>
    <t>250452818</t>
  </si>
  <si>
    <t>张函毓</t>
  </si>
  <si>
    <t>250451034</t>
  </si>
  <si>
    <t>庞相蓉</t>
  </si>
  <si>
    <t>250452022</t>
  </si>
  <si>
    <t>倪郝</t>
  </si>
  <si>
    <t>250452833</t>
  </si>
  <si>
    <t>房美彤</t>
  </si>
  <si>
    <t>250451930</t>
  </si>
  <si>
    <t>盛馨乐</t>
  </si>
  <si>
    <t>250451419</t>
  </si>
  <si>
    <t>于巾桐</t>
  </si>
  <si>
    <t>250451222</t>
  </si>
  <si>
    <t>吴伊凡</t>
  </si>
  <si>
    <t>250450208</t>
  </si>
  <si>
    <t>孙佳钰</t>
  </si>
  <si>
    <t>250452810</t>
  </si>
  <si>
    <t>林展旭</t>
  </si>
  <si>
    <t>250450109</t>
  </si>
  <si>
    <t>赵美娜</t>
  </si>
  <si>
    <t>250450106</t>
  </si>
  <si>
    <t>陈祉伊</t>
  </si>
  <si>
    <t>250452430</t>
  </si>
  <si>
    <t>王诗怡</t>
  </si>
  <si>
    <t>250450605</t>
  </si>
  <si>
    <t>董雨萌</t>
  </si>
  <si>
    <t>250450121</t>
  </si>
  <si>
    <t>高源骏</t>
  </si>
  <si>
    <t>250451901</t>
  </si>
  <si>
    <t>卜嘉怡</t>
  </si>
  <si>
    <t>250452725</t>
  </si>
  <si>
    <t>李文越</t>
  </si>
  <si>
    <t>250452633</t>
  </si>
  <si>
    <t>寇栩萌</t>
  </si>
  <si>
    <t>250451816</t>
  </si>
  <si>
    <t>王艺潼</t>
  </si>
  <si>
    <t>250451413</t>
  </si>
  <si>
    <t>吴冰寒</t>
  </si>
  <si>
    <t>250451232</t>
  </si>
  <si>
    <t>郑钰冉</t>
  </si>
  <si>
    <t>250452701</t>
  </si>
  <si>
    <t>史妮可</t>
  </si>
  <si>
    <t>250451113</t>
  </si>
  <si>
    <t>白婧仪</t>
  </si>
  <si>
    <t>250452625</t>
  </si>
  <si>
    <t>吴济含</t>
  </si>
  <si>
    <t>250451936</t>
  </si>
  <si>
    <t>沈佳</t>
  </si>
  <si>
    <t>250450227</t>
  </si>
  <si>
    <t>赵政铭</t>
  </si>
  <si>
    <t>250451905</t>
  </si>
  <si>
    <t>陈瑞雪</t>
  </si>
  <si>
    <t>250452219</t>
  </si>
  <si>
    <t>李凌薇</t>
  </si>
  <si>
    <t>250452535</t>
  </si>
  <si>
    <t>刘梦涵</t>
  </si>
  <si>
    <t>250450224</t>
  </si>
  <si>
    <t>姜施羽</t>
  </si>
  <si>
    <t>250452319</t>
  </si>
  <si>
    <t>张睿思</t>
  </si>
  <si>
    <t>250450521</t>
  </si>
  <si>
    <t>徐雨鑫</t>
  </si>
  <si>
    <t>250450514</t>
  </si>
  <si>
    <t>贾千语彤</t>
  </si>
  <si>
    <t>250451932</t>
  </si>
  <si>
    <t>侯玥</t>
  </si>
  <si>
    <t>250452722</t>
  </si>
  <si>
    <t>刘宇轩</t>
  </si>
  <si>
    <t>250451525</t>
  </si>
  <si>
    <t>杨一凡</t>
  </si>
  <si>
    <t>250452634</t>
  </si>
  <si>
    <t>陶怡然</t>
  </si>
  <si>
    <t>250452226</t>
  </si>
  <si>
    <t>孙皓阳</t>
  </si>
  <si>
    <t>250451514</t>
  </si>
  <si>
    <t>吴若宁</t>
  </si>
  <si>
    <t>250450530</t>
  </si>
  <si>
    <t>信佳洋</t>
  </si>
  <si>
    <t>250450835</t>
  </si>
  <si>
    <t>王欣荣</t>
  </si>
  <si>
    <t>250451522</t>
  </si>
  <si>
    <t>吴芮萱</t>
  </si>
  <si>
    <t>250451611</t>
  </si>
  <si>
    <t>盖嘉悦</t>
  </si>
  <si>
    <t>250450925</t>
  </si>
  <si>
    <t>李诗琪</t>
  </si>
  <si>
    <t>250451507</t>
  </si>
  <si>
    <t>王祎铭</t>
  </si>
  <si>
    <t>250452526</t>
  </si>
  <si>
    <t>李宛澳</t>
  </si>
  <si>
    <t>250450501</t>
  </si>
  <si>
    <t>董静涵</t>
  </si>
  <si>
    <t>250452009</t>
  </si>
  <si>
    <t>张明珠</t>
  </si>
  <si>
    <t>250451012</t>
  </si>
  <si>
    <t>周漫</t>
  </si>
  <si>
    <t>250450111</t>
  </si>
  <si>
    <t>姜鸿博</t>
  </si>
  <si>
    <t>250452409</t>
  </si>
  <si>
    <t>韩周延</t>
  </si>
  <si>
    <t>250452117</t>
  </si>
  <si>
    <t>李芷萱</t>
  </si>
  <si>
    <t>250452209</t>
  </si>
  <si>
    <t>张博宇</t>
  </si>
  <si>
    <t>250452025</t>
  </si>
  <si>
    <t>刘畅</t>
  </si>
  <si>
    <t>250450110</t>
  </si>
  <si>
    <t>杜宇轩</t>
  </si>
  <si>
    <t>250451804</t>
  </si>
  <si>
    <t>崔少伦</t>
  </si>
  <si>
    <t>250452506</t>
  </si>
  <si>
    <t>国嘉仪</t>
  </si>
  <si>
    <t>250451201</t>
  </si>
  <si>
    <t>杨子腾</t>
  </si>
  <si>
    <t>250450409</t>
  </si>
  <si>
    <t>张铭浩</t>
  </si>
  <si>
    <t>250450934</t>
  </si>
  <si>
    <t>李优含</t>
  </si>
  <si>
    <t>250452823</t>
  </si>
  <si>
    <t>杨熙美</t>
  </si>
  <si>
    <t>250450802</t>
  </si>
  <si>
    <t>朱浩田</t>
  </si>
  <si>
    <t>250450416</t>
  </si>
  <si>
    <t>杜晨睿</t>
  </si>
  <si>
    <t>250450306</t>
  </si>
  <si>
    <t>刘思妤</t>
  </si>
  <si>
    <t>250450302</t>
  </si>
  <si>
    <t>马楚涵</t>
  </si>
  <si>
    <t>250451510</t>
  </si>
  <si>
    <t>任轩仪</t>
  </si>
  <si>
    <t>250450212</t>
  </si>
  <si>
    <t>牛婧葳</t>
  </si>
  <si>
    <t>250450609</t>
  </si>
  <si>
    <t>林与桐</t>
  </si>
  <si>
    <t>250450130</t>
  </si>
  <si>
    <t>段懿珊</t>
  </si>
  <si>
    <t>250452315</t>
  </si>
  <si>
    <t>葛子嫣</t>
  </si>
  <si>
    <t>250451920</t>
  </si>
  <si>
    <t>路焓杨</t>
  </si>
  <si>
    <t>250452204</t>
  </si>
  <si>
    <t>王夕丹</t>
  </si>
  <si>
    <t>250451209</t>
  </si>
  <si>
    <t>李文瑾</t>
  </si>
  <si>
    <t>250451532</t>
  </si>
  <si>
    <t>云朵</t>
  </si>
  <si>
    <t>250452512</t>
  </si>
  <si>
    <t>王淇</t>
  </si>
  <si>
    <t>250450733</t>
  </si>
  <si>
    <t>郭丰硕</t>
  </si>
  <si>
    <t>250450908</t>
  </si>
  <si>
    <t>程宇彤</t>
  </si>
  <si>
    <t>250451613</t>
  </si>
  <si>
    <t>于晓彤</t>
  </si>
  <si>
    <t>250452431</t>
  </si>
  <si>
    <t>郑羽鑫</t>
  </si>
  <si>
    <t>250451605</t>
  </si>
  <si>
    <t>李昕彤</t>
  </si>
  <si>
    <t>250451019</t>
  </si>
  <si>
    <t>陈旷奇</t>
  </si>
  <si>
    <t>250452228</t>
  </si>
  <si>
    <t>李欣岩</t>
  </si>
  <si>
    <t>250451723</t>
  </si>
  <si>
    <t>孟禹彤</t>
  </si>
  <si>
    <t>校励</t>
  </si>
  <si>
    <t>250450928</t>
  </si>
  <si>
    <t>张越</t>
  </si>
  <si>
    <t>250450211</t>
  </si>
  <si>
    <t>季钰翔</t>
  </si>
  <si>
    <t>250450231</t>
  </si>
  <si>
    <t>庄语琪</t>
  </si>
  <si>
    <t>250452821</t>
  </si>
  <si>
    <t>刘昊函</t>
  </si>
  <si>
    <t>250452721</t>
  </si>
  <si>
    <t>马雨嘉</t>
  </si>
  <si>
    <t>250450321</t>
  </si>
  <si>
    <t>孙家兴</t>
  </si>
  <si>
    <t>250450205</t>
  </si>
  <si>
    <t>管彩伊</t>
  </si>
  <si>
    <t>250451918</t>
  </si>
  <si>
    <t>曲媛苑</t>
  </si>
  <si>
    <t>250450326</t>
  </si>
  <si>
    <t>翁剑麟</t>
  </si>
  <si>
    <t>250452136</t>
  </si>
  <si>
    <t>曲祉萤</t>
  </si>
  <si>
    <t>250450203</t>
  </si>
  <si>
    <t>王彬颖</t>
  </si>
  <si>
    <t>250450606</t>
  </si>
  <si>
    <t>李桢</t>
  </si>
  <si>
    <t>250452208</t>
  </si>
  <si>
    <t>刘语桐</t>
  </si>
  <si>
    <t>250450515</t>
  </si>
  <si>
    <t>庞惠馨</t>
  </si>
  <si>
    <t>250452730</t>
  </si>
  <si>
    <t>赵诗涵</t>
  </si>
  <si>
    <t>250451315</t>
  </si>
  <si>
    <t>姜俊娇</t>
  </si>
  <si>
    <t>250451221</t>
  </si>
  <si>
    <t>李颜希</t>
  </si>
  <si>
    <t>250452318</t>
  </si>
  <si>
    <t>于梦瑶</t>
  </si>
  <si>
    <t>250452624</t>
  </si>
  <si>
    <t>高旭阳</t>
  </si>
  <si>
    <t>250450602</t>
  </si>
  <si>
    <t>郭美辰</t>
  </si>
  <si>
    <t>优秀学生教官</t>
  </si>
  <si>
    <t>250450403</t>
  </si>
  <si>
    <t>郑希悦</t>
  </si>
  <si>
    <t>250450209</t>
  </si>
  <si>
    <t>邵婷</t>
  </si>
  <si>
    <t>250452809</t>
  </si>
  <si>
    <t>王楚怡</t>
  </si>
  <si>
    <t>250451933</t>
  </si>
  <si>
    <t>田心竹</t>
  </si>
  <si>
    <t>250452719</t>
  </si>
  <si>
    <t>于晟龙</t>
  </si>
  <si>
    <t>250452635</t>
  </si>
  <si>
    <t>王晓晗</t>
  </si>
  <si>
    <t>250450608</t>
  </si>
  <si>
    <t>化亚玲</t>
  </si>
  <si>
    <t>250450103</t>
  </si>
  <si>
    <t>田雨鑫</t>
  </si>
  <si>
    <t>250451705</t>
  </si>
  <si>
    <t>冯晰月</t>
  </si>
  <si>
    <t>250451123</t>
  </si>
  <si>
    <t>金秋池</t>
  </si>
  <si>
    <t>250450426</t>
  </si>
  <si>
    <t>孟禹臣</t>
  </si>
  <si>
    <t>250450102</t>
  </si>
  <si>
    <t>李晓萌</t>
  </si>
  <si>
    <t>250452533</t>
  </si>
  <si>
    <t>张浩源</t>
  </si>
  <si>
    <t>250450118</t>
  </si>
  <si>
    <t>鄂媛媛</t>
  </si>
  <si>
    <t>250451929</t>
  </si>
  <si>
    <t>张诗瑶</t>
  </si>
  <si>
    <t>250450207</t>
  </si>
  <si>
    <t>郭子一</t>
  </si>
  <si>
    <t>250452508</t>
  </si>
  <si>
    <t>伊恩雪</t>
  </si>
  <si>
    <t>250450310</t>
  </si>
  <si>
    <t>赵译</t>
  </si>
  <si>
    <t>250452121</t>
  </si>
  <si>
    <t>张昕睿</t>
  </si>
  <si>
    <t>250451130</t>
  </si>
  <si>
    <t>赵佳慧</t>
  </si>
  <si>
    <t>250452103</t>
  </si>
  <si>
    <t>曹嘉依</t>
  </si>
  <si>
    <t>250451715</t>
  </si>
  <si>
    <t>王薪皓</t>
  </si>
  <si>
    <t>250450623</t>
  </si>
  <si>
    <t>孙远鑫</t>
  </si>
  <si>
    <t>250452516</t>
  </si>
  <si>
    <t>王志晨</t>
  </si>
  <si>
    <t>250450112</t>
  </si>
  <si>
    <t>陈怡可</t>
  </si>
  <si>
    <t>250450311</t>
  </si>
  <si>
    <t>王丰翼</t>
  </si>
  <si>
    <t>250451608</t>
  </si>
  <si>
    <t>冯钰涵</t>
  </si>
  <si>
    <t>250450406</t>
  </si>
  <si>
    <t>苏佳慧</t>
  </si>
  <si>
    <t>250451513</t>
  </si>
  <si>
    <t>钟佳怡</t>
  </si>
  <si>
    <t>250452615</t>
  </si>
  <si>
    <t>周镜沂</t>
  </si>
  <si>
    <t>250451231</t>
  </si>
  <si>
    <t>付湘鱼</t>
  </si>
  <si>
    <t>250450324</t>
  </si>
  <si>
    <t>耿跃铭</t>
  </si>
  <si>
    <t>250452735</t>
  </si>
  <si>
    <t>石家慧</t>
  </si>
  <si>
    <t>250451310</t>
  </si>
  <si>
    <t>刘继鑫</t>
  </si>
  <si>
    <t>250452515</t>
  </si>
  <si>
    <t>袁欣祎</t>
  </si>
  <si>
    <t>250450729</t>
  </si>
  <si>
    <t>李韵嘉</t>
  </si>
  <si>
    <t>250451111</t>
  </si>
  <si>
    <t>张文朗屹</t>
  </si>
  <si>
    <t>250452427</t>
  </si>
  <si>
    <t>张诗淇</t>
  </si>
  <si>
    <t>250450933</t>
  </si>
  <si>
    <t>任思泽</t>
  </si>
  <si>
    <t>250452031</t>
  </si>
  <si>
    <t>苏冰傲</t>
  </si>
  <si>
    <t>250452434</t>
  </si>
  <si>
    <t>任思彤</t>
  </si>
  <si>
    <t>250451708</t>
  </si>
  <si>
    <t>吕佳格</t>
  </si>
  <si>
    <t>250452331</t>
  </si>
  <si>
    <t>董思颖</t>
  </si>
  <si>
    <t>250451927</t>
  </si>
  <si>
    <t>李欣雨</t>
  </si>
  <si>
    <t>250451517</t>
  </si>
  <si>
    <t>雷馨</t>
  </si>
  <si>
    <t>250451301</t>
  </si>
  <si>
    <t>杨金烨</t>
  </si>
  <si>
    <t>250450907</t>
  </si>
  <si>
    <t>朱奕馨</t>
  </si>
  <si>
    <t>250450425</t>
  </si>
  <si>
    <t>袁诗茹</t>
  </si>
  <si>
    <t>250452101</t>
  </si>
  <si>
    <t>王怡然</t>
  </si>
  <si>
    <t>250450116</t>
  </si>
  <si>
    <t>刘孟博</t>
  </si>
  <si>
    <t>250451127</t>
  </si>
  <si>
    <t>李玥佳</t>
  </si>
  <si>
    <t>250451036</t>
  </si>
  <si>
    <t>朱红烨</t>
  </si>
  <si>
    <t>250452632</t>
  </si>
  <si>
    <t>于沛祺</t>
  </si>
  <si>
    <t>250452811</t>
  </si>
  <si>
    <t>乔佳滢</t>
  </si>
  <si>
    <t>250451503</t>
  </si>
  <si>
    <t>姜扬</t>
  </si>
  <si>
    <t>250450114</t>
  </si>
  <si>
    <t>王一如</t>
  </si>
  <si>
    <t>250451928</t>
  </si>
  <si>
    <t>伍悦荻</t>
  </si>
  <si>
    <t>250452504</t>
  </si>
  <si>
    <t>王爱静</t>
  </si>
  <si>
    <t>250450327</t>
  </si>
  <si>
    <t>侯懿轩</t>
  </si>
  <si>
    <t>250450434</t>
  </si>
  <si>
    <t>郎如意</t>
  </si>
  <si>
    <t>250451508</t>
  </si>
  <si>
    <t>顾桐嘉</t>
  </si>
  <si>
    <t>250451435</t>
  </si>
  <si>
    <t>郭亭瑶</t>
  </si>
  <si>
    <t>250452522</t>
  </si>
  <si>
    <t>任思潼</t>
  </si>
  <si>
    <t>250452525</t>
  </si>
  <si>
    <t>闵知银</t>
  </si>
  <si>
    <t>250450704</t>
  </si>
  <si>
    <t>洪韵</t>
  </si>
  <si>
    <t>250451934</t>
  </si>
  <si>
    <t>涂芷涵</t>
  </si>
  <si>
    <t>250450607</t>
  </si>
  <si>
    <t>王明慧</t>
  </si>
  <si>
    <t>250451921</t>
  </si>
  <si>
    <t>孙艺硕</t>
  </si>
  <si>
    <t>250452032</t>
  </si>
  <si>
    <t>崔镛</t>
  </si>
  <si>
    <t>250451429</t>
  </si>
  <si>
    <t>宁浩然</t>
  </si>
  <si>
    <t>250450718</t>
  </si>
  <si>
    <t>李佳昀</t>
  </si>
  <si>
    <t>250451515</t>
  </si>
  <si>
    <t>许一博</t>
  </si>
  <si>
    <t>250452405</t>
  </si>
  <si>
    <t>曲音朵</t>
  </si>
  <si>
    <t>250450807</t>
  </si>
  <si>
    <t>刘俊麟</t>
  </si>
  <si>
    <t>250452322</t>
  </si>
  <si>
    <t>李镇彤</t>
  </si>
  <si>
    <t>250451026</t>
  </si>
  <si>
    <t>庄金杉</t>
  </si>
  <si>
    <t>250450512</t>
  </si>
  <si>
    <t>王信雯</t>
  </si>
  <si>
    <t>250451017</t>
  </si>
  <si>
    <t>孙雪桐</t>
  </si>
  <si>
    <t>250452622</t>
  </si>
  <si>
    <t>孙傲雪</t>
  </si>
  <si>
    <t>250451412</t>
  </si>
  <si>
    <t>于嘉淇</t>
  </si>
  <si>
    <t>250452134</t>
  </si>
  <si>
    <t>刘嘉欣</t>
  </si>
  <si>
    <t>250452302</t>
  </si>
  <si>
    <t>陈鋆玥</t>
  </si>
  <si>
    <t>250451622</t>
  </si>
  <si>
    <t>江亚静</t>
  </si>
  <si>
    <t>250452507</t>
  </si>
  <si>
    <t>郭玥辰</t>
  </si>
  <si>
    <t>250451014</t>
  </si>
  <si>
    <t>张雪婷</t>
  </si>
  <si>
    <t>250451002</t>
  </si>
  <si>
    <t>孙博岩</t>
  </si>
  <si>
    <t>250450910</t>
  </si>
  <si>
    <t>王增浩</t>
  </si>
  <si>
    <t>250450318</t>
  </si>
  <si>
    <t>刘佳琦</t>
  </si>
  <si>
    <t>250450824</t>
  </si>
  <si>
    <t>于骊凡</t>
  </si>
  <si>
    <t>250451208</t>
  </si>
  <si>
    <t>于佳琪</t>
  </si>
  <si>
    <t>250450433</t>
  </si>
  <si>
    <t>金雷</t>
  </si>
  <si>
    <t>250452817</t>
  </si>
  <si>
    <t>张佳钰</t>
  </si>
  <si>
    <t>250452621</t>
  </si>
  <si>
    <t>赵佳</t>
  </si>
  <si>
    <t>250451616</t>
  </si>
  <si>
    <t>孙永基</t>
  </si>
  <si>
    <t>250452128</t>
  </si>
  <si>
    <t>张歆笛</t>
  </si>
  <si>
    <t>250450402</t>
  </si>
  <si>
    <t>孟子程</t>
  </si>
  <si>
    <t>250450715</t>
  </si>
  <si>
    <t>吕佳益</t>
  </si>
  <si>
    <t>250451815</t>
  </si>
  <si>
    <t>倪世骏</t>
  </si>
  <si>
    <t>250452213</t>
  </si>
  <si>
    <t>王春鑫</t>
  </si>
  <si>
    <t>250452324</t>
  </si>
  <si>
    <t>张玮轩</t>
  </si>
  <si>
    <t>250450134</t>
  </si>
  <si>
    <t>彭圣彤</t>
  </si>
  <si>
    <t>250452035</t>
  </si>
  <si>
    <t>李思晨</t>
  </si>
  <si>
    <t>250452715</t>
  </si>
  <si>
    <t>沈芳伊</t>
  </si>
  <si>
    <t>250450328</t>
  </si>
  <si>
    <t>张艺琳</t>
  </si>
  <si>
    <t>250452805</t>
  </si>
  <si>
    <t>袁思畅</t>
  </si>
  <si>
    <t>250450805</t>
  </si>
  <si>
    <t>肖显旸</t>
  </si>
  <si>
    <t>250451323</t>
  </si>
  <si>
    <t>潘治樵</t>
  </si>
  <si>
    <t>250451005</t>
  </si>
  <si>
    <t>倪士杰</t>
  </si>
  <si>
    <t>250451720</t>
  </si>
  <si>
    <t>陈俊宇</t>
  </si>
  <si>
    <t>250452329</t>
  </si>
  <si>
    <t>周欣怡</t>
  </si>
  <si>
    <t>250450818</t>
  </si>
  <si>
    <t>姜明秀</t>
  </si>
  <si>
    <t>250450923</t>
  </si>
  <si>
    <t>尚香岐</t>
  </si>
  <si>
    <t>250452013</t>
  </si>
  <si>
    <t>董雨竹</t>
  </si>
  <si>
    <t>250452802</t>
  </si>
  <si>
    <t>耿梓菁</t>
  </si>
  <si>
    <t>250450429</t>
  </si>
  <si>
    <t>范栋天</t>
  </si>
  <si>
    <t>250450622</t>
  </si>
  <si>
    <t>张文馨</t>
  </si>
  <si>
    <t>250452629</t>
  </si>
  <si>
    <t>朱鑫悦</t>
  </si>
  <si>
    <t>250451910</t>
  </si>
  <si>
    <t>辛姿仪</t>
  </si>
  <si>
    <t>250451919</t>
  </si>
  <si>
    <t>阎洁</t>
  </si>
  <si>
    <t>250451024</t>
  </si>
  <si>
    <t>邓博奥</t>
  </si>
  <si>
    <t>250450133</t>
  </si>
  <si>
    <t>李宸钰</t>
  </si>
  <si>
    <t>250452717</t>
  </si>
  <si>
    <t>张羽晴</t>
  </si>
  <si>
    <t>250451328</t>
  </si>
  <si>
    <t>黄博</t>
  </si>
  <si>
    <t>250452534</t>
  </si>
  <si>
    <t>刘欣睿</t>
  </si>
  <si>
    <t>250452202</t>
  </si>
  <si>
    <t>杨瑷萌</t>
  </si>
  <si>
    <t>250452114</t>
  </si>
  <si>
    <t>缴思彤</t>
  </si>
  <si>
    <t>250452514</t>
  </si>
  <si>
    <t>曾铄涵</t>
  </si>
  <si>
    <t>250450505</t>
  </si>
  <si>
    <t>张祥成</t>
  </si>
  <si>
    <t>250452325</t>
  </si>
  <si>
    <t>沈姝含</t>
  </si>
  <si>
    <t>250450712</t>
  </si>
  <si>
    <t>胡翊凡</t>
  </si>
  <si>
    <t>250451523</t>
  </si>
  <si>
    <t>陶泳竹</t>
  </si>
  <si>
    <t>250451724</t>
  </si>
  <si>
    <t>崔子卿</t>
  </si>
  <si>
    <t>250451512</t>
  </si>
  <si>
    <t>宋万城</t>
  </si>
  <si>
    <t>250451332</t>
  </si>
  <si>
    <t>纪欣彤</t>
  </si>
  <si>
    <t>250451234</t>
  </si>
  <si>
    <t>于浩然</t>
  </si>
  <si>
    <t>250452609</t>
  </si>
  <si>
    <t>陈常乐</t>
  </si>
  <si>
    <t>250452712</t>
  </si>
  <si>
    <t>于福龙</t>
  </si>
  <si>
    <t>250451016</t>
  </si>
  <si>
    <t>孙道元</t>
  </si>
  <si>
    <t>250450527</t>
  </si>
  <si>
    <t>张璐涵</t>
  </si>
  <si>
    <t>250451410</t>
  </si>
  <si>
    <t>杜思妍</t>
  </si>
  <si>
    <t>250451206</t>
  </si>
  <si>
    <t>毕城铭</t>
  </si>
  <si>
    <t>250451009</t>
  </si>
  <si>
    <t>李冰慧</t>
  </si>
  <si>
    <t>250452728</t>
  </si>
  <si>
    <t>顾义美</t>
  </si>
  <si>
    <t>250450510</t>
  </si>
  <si>
    <t>庄梓铭</t>
  </si>
  <si>
    <t>250452732</t>
  </si>
  <si>
    <t>刘思源</t>
  </si>
  <si>
    <t>250451902</t>
  </si>
  <si>
    <t>陈奕嘉</t>
  </si>
  <si>
    <t>250452411</t>
  </si>
  <si>
    <t>苏瑀晗</t>
  </si>
  <si>
    <t>250450424</t>
  </si>
  <si>
    <t>张浩</t>
  </si>
  <si>
    <t>250452216</t>
  </si>
  <si>
    <t>朱丹煦</t>
  </si>
  <si>
    <t>250451118</t>
  </si>
  <si>
    <t>李抒晗</t>
  </si>
  <si>
    <t>250452724</t>
  </si>
  <si>
    <t>娄可意</t>
  </si>
  <si>
    <t>250452612</t>
  </si>
  <si>
    <t>李承霏</t>
  </si>
  <si>
    <t>250451617</t>
  </si>
  <si>
    <t>丁一格</t>
  </si>
  <si>
    <t>250451833</t>
  </si>
  <si>
    <t>陈金源</t>
  </si>
  <si>
    <t>250451020</t>
  </si>
  <si>
    <t>宋佳欣</t>
  </si>
  <si>
    <t>250450912</t>
  </si>
  <si>
    <t>方恩灿</t>
  </si>
  <si>
    <t>250452423</t>
  </si>
  <si>
    <t>张哲源</t>
  </si>
  <si>
    <t>250451330</t>
  </si>
  <si>
    <t>陈志颖</t>
  </si>
  <si>
    <t>250451713</t>
  </si>
  <si>
    <t>刘伟</t>
  </si>
  <si>
    <t>250452502</t>
  </si>
  <si>
    <t>李歆怡</t>
  </si>
  <si>
    <t>250450431</t>
  </si>
  <si>
    <t>王威砚</t>
  </si>
  <si>
    <t>250451917</t>
  </si>
  <si>
    <t>安家睿</t>
  </si>
  <si>
    <t>250452406</t>
  </si>
  <si>
    <t>郑旭晨</t>
  </si>
  <si>
    <t>250451819</t>
  </si>
  <si>
    <t>顾昊洋</t>
  </si>
  <si>
    <t>250451122</t>
  </si>
  <si>
    <t>洪伊蕙含</t>
  </si>
  <si>
    <t>250450407</t>
  </si>
  <si>
    <t>刘天一</t>
  </si>
  <si>
    <t>250452006</t>
  </si>
  <si>
    <t>周安妮</t>
  </si>
  <si>
    <t>250450411</t>
  </si>
  <si>
    <t>王紫鸥</t>
  </si>
  <si>
    <t>250450334</t>
  </si>
  <si>
    <t>王思琪</t>
  </si>
  <si>
    <t>250452428</t>
  </si>
  <si>
    <t>商静涵</t>
  </si>
  <si>
    <t>250450631</t>
  </si>
  <si>
    <t>刘承霖</t>
  </si>
  <si>
    <t>250451634</t>
  </si>
  <si>
    <t>李佳琪</t>
  </si>
  <si>
    <t>250452231</t>
  </si>
  <si>
    <t>韩萌萌</t>
  </si>
  <si>
    <t>250450113</t>
  </si>
  <si>
    <t>任紫萌</t>
  </si>
  <si>
    <t>250450331</t>
  </si>
  <si>
    <t>谢逸林</t>
  </si>
  <si>
    <t>250451314</t>
  </si>
  <si>
    <t>姜璎芮</t>
  </si>
  <si>
    <t>250451524</t>
  </si>
  <si>
    <t>王艺霏</t>
  </si>
  <si>
    <t>250451703</t>
  </si>
  <si>
    <t>冯建铭</t>
  </si>
  <si>
    <t>250452510</t>
  </si>
  <si>
    <t>赵慧男</t>
  </si>
  <si>
    <t>250451035</t>
  </si>
  <si>
    <t>张雨</t>
  </si>
  <si>
    <t>250452122</t>
  </si>
  <si>
    <t>林昱彤</t>
  </si>
  <si>
    <t>250451318</t>
  </si>
  <si>
    <t>刘曦谣</t>
  </si>
  <si>
    <t>250451621</t>
  </si>
  <si>
    <t>孙远珊</t>
  </si>
  <si>
    <t>250452019</t>
  </si>
  <si>
    <t>许媛淇</t>
  </si>
  <si>
    <t>250452417</t>
  </si>
  <si>
    <t>王梓璇</t>
  </si>
  <si>
    <t>250452519</t>
  </si>
  <si>
    <t>贾成哲</t>
  </si>
  <si>
    <t>250452017</t>
  </si>
  <si>
    <t>唐紫铭</t>
  </si>
  <si>
    <t>250452503</t>
  </si>
  <si>
    <t>臧英翰</t>
  </si>
  <si>
    <t>250451624</t>
  </si>
  <si>
    <t>陈骏华</t>
  </si>
  <si>
    <t>250451911</t>
  </si>
  <si>
    <t>李熙睿</t>
  </si>
  <si>
    <t>250451229</t>
  </si>
  <si>
    <t>陈美汐</t>
  </si>
  <si>
    <t>250450223</t>
  </si>
  <si>
    <t>林恒锐</t>
  </si>
  <si>
    <t>250450929</t>
  </si>
  <si>
    <t>张家源</t>
  </si>
  <si>
    <t>250452610</t>
  </si>
  <si>
    <t>孔怡然</t>
  </si>
  <si>
    <t>250452819</t>
  </si>
  <si>
    <t>江芸彤</t>
  </si>
  <si>
    <t>250450533</t>
  </si>
  <si>
    <t>张一诺</t>
  </si>
  <si>
    <t>250450101</t>
  </si>
  <si>
    <t>250452731</t>
  </si>
  <si>
    <t>陈泽仲</t>
  </si>
  <si>
    <t>250451335</t>
  </si>
  <si>
    <t>李昕阳</t>
  </si>
  <si>
    <t>250452835</t>
  </si>
  <si>
    <t>陈逸轩</t>
  </si>
  <si>
    <t>250451027</t>
  </si>
  <si>
    <t>田德龙</t>
  </si>
  <si>
    <t>250452206</t>
  </si>
  <si>
    <t>夏舒琪</t>
  </si>
  <si>
    <t>250451630</t>
  </si>
  <si>
    <t>刘哲鸣</t>
  </si>
  <si>
    <t>250450427</t>
  </si>
  <si>
    <t>刘天硕</t>
  </si>
  <si>
    <t>250452401</t>
  </si>
  <si>
    <t>李宇浩</t>
  </si>
  <si>
    <t>250451829</t>
  </si>
  <si>
    <t>李昱廷</t>
  </si>
  <si>
    <t>250450613</t>
  </si>
  <si>
    <t>许宏宇</t>
  </si>
  <si>
    <t>250450705</t>
  </si>
  <si>
    <t>郑丰阳</t>
  </si>
  <si>
    <t>250450917</t>
  </si>
  <si>
    <t>崔国轩</t>
  </si>
  <si>
    <t>250451807</t>
  </si>
  <si>
    <t>高天锦程</t>
  </si>
  <si>
    <t>250452321</t>
  </si>
  <si>
    <t>刘佳轩</t>
  </si>
  <si>
    <t>250450935</t>
  </si>
  <si>
    <t>徐端</t>
  </si>
  <si>
    <t>250450930</t>
  </si>
  <si>
    <t>李喆垚</t>
  </si>
  <si>
    <t>250452111</t>
  </si>
  <si>
    <t>金渤</t>
  </si>
  <si>
    <t>250452211</t>
  </si>
  <si>
    <t>郑馨怡</t>
  </si>
  <si>
    <t>250451132</t>
  </si>
  <si>
    <t>佟沛珊</t>
  </si>
  <si>
    <t>250451612</t>
  </si>
  <si>
    <t>程家翔</t>
  </si>
  <si>
    <t>250450619</t>
  </si>
  <si>
    <t>夏振博</t>
  </si>
  <si>
    <t>250451827</t>
  </si>
  <si>
    <t>王雨萌</t>
  </si>
  <si>
    <t>250452210</t>
  </si>
  <si>
    <t>逯雅琪</t>
  </si>
  <si>
    <t>250451233</t>
  </si>
  <si>
    <t>沈派乐</t>
  </si>
  <si>
    <t>250452303</t>
  </si>
  <si>
    <t>郝佳蕊</t>
  </si>
  <si>
    <t>250451734</t>
  </si>
  <si>
    <t>张菀桐</t>
  </si>
  <si>
    <t>250450901</t>
  </si>
  <si>
    <t>李禹诺</t>
  </si>
  <si>
    <t>250451835</t>
  </si>
  <si>
    <t>杨雨菲</t>
  </si>
  <si>
    <t>250451305</t>
  </si>
  <si>
    <t>杨驰</t>
  </si>
  <si>
    <t>250450834</t>
  </si>
  <si>
    <t>赵晟彤</t>
  </si>
  <si>
    <t>250450803</t>
  </si>
  <si>
    <t>林航宇</t>
  </si>
  <si>
    <t>250452432</t>
  </si>
  <si>
    <t>杨璨</t>
  </si>
  <si>
    <t>250451235</t>
  </si>
  <si>
    <t>王俊熙</t>
  </si>
  <si>
    <t>250452828</t>
  </si>
  <si>
    <t>苏稚晴</t>
  </si>
  <si>
    <t>250452335</t>
  </si>
  <si>
    <t>马语晗</t>
  </si>
  <si>
    <t>250450714</t>
  </si>
  <si>
    <t>于清林</t>
  </si>
  <si>
    <t>250450233</t>
  </si>
  <si>
    <t>邓智洋</t>
  </si>
  <si>
    <t>250450833</t>
  </si>
  <si>
    <t>吕承洋</t>
  </si>
  <si>
    <t>250450235</t>
  </si>
  <si>
    <t>蔡承彦</t>
  </si>
  <si>
    <t>250452003</t>
  </si>
  <si>
    <t>刘亦非</t>
  </si>
  <si>
    <t>250451526</t>
  </si>
  <si>
    <t>何婧莹</t>
  </si>
  <si>
    <t>250450813</t>
  </si>
  <si>
    <t>郭金璇</t>
  </si>
  <si>
    <t>250452723</t>
  </si>
  <si>
    <t>宫玺泽慧</t>
  </si>
  <si>
    <t>250452815</t>
  </si>
  <si>
    <t>李铭昊</t>
  </si>
  <si>
    <t>250451632</t>
  </si>
  <si>
    <t>王夕予</t>
  </si>
  <si>
    <t>250452511</t>
  </si>
  <si>
    <t>车祉萱</t>
  </si>
  <si>
    <t>250451915</t>
  </si>
  <si>
    <t>李悦菲</t>
  </si>
  <si>
    <t>250451135</t>
  </si>
  <si>
    <t>孙浩桐</t>
  </si>
  <si>
    <t>250451805</t>
  </si>
  <si>
    <t>卓禹仲</t>
  </si>
  <si>
    <t>250452814</t>
  </si>
  <si>
    <t>张云赫</t>
  </si>
  <si>
    <t>250451406</t>
  </si>
  <si>
    <t>梁子聪</t>
  </si>
  <si>
    <t>250450832</t>
  </si>
  <si>
    <t>卢冠语</t>
  </si>
  <si>
    <t>250451031</t>
  </si>
  <si>
    <t>姜兴源</t>
  </si>
  <si>
    <t>250452207</t>
  </si>
  <si>
    <t>曹潇丹</t>
  </si>
  <si>
    <t>250450730</t>
  </si>
  <si>
    <t>王馨悦</t>
  </si>
  <si>
    <t>250450234</t>
  </si>
  <si>
    <t>王思怡</t>
  </si>
  <si>
    <t>250452421</t>
  </si>
  <si>
    <t>霍祉钰</t>
  </si>
  <si>
    <t>250452532</t>
  </si>
  <si>
    <t>付佳</t>
  </si>
  <si>
    <t>250452008</t>
  </si>
  <si>
    <t>齐洋</t>
  </si>
  <si>
    <t>250450417</t>
  </si>
  <si>
    <t>孙昊臣</t>
  </si>
  <si>
    <t>250451001</t>
  </si>
  <si>
    <t>姚泽旺</t>
  </si>
  <si>
    <t>250452620</t>
  </si>
  <si>
    <t>张婧博</t>
  </si>
  <si>
    <t>250451211</t>
  </si>
  <si>
    <t>韩欣睿</t>
  </si>
  <si>
    <t>250451821</t>
  </si>
  <si>
    <t>马雨彤</t>
  </si>
  <si>
    <t>250451923</t>
  </si>
  <si>
    <t>秦雨楠</t>
  </si>
  <si>
    <t>250451528</t>
  </si>
  <si>
    <t>王建睿</t>
  </si>
  <si>
    <t>250452435</t>
  </si>
  <si>
    <t>张译匀</t>
  </si>
  <si>
    <t>250450924</t>
  </si>
  <si>
    <t>王俊楠</t>
  </si>
  <si>
    <t>250451731</t>
  </si>
  <si>
    <t>潘瑛豪</t>
  </si>
  <si>
    <t>250452314</t>
  </si>
  <si>
    <t>韩淼</t>
  </si>
  <si>
    <t>250451317</t>
  </si>
  <si>
    <t>刘金岳</t>
  </si>
  <si>
    <t>250452030</t>
  </si>
  <si>
    <t>赵偲含</t>
  </si>
  <si>
    <t>250452521</t>
  </si>
  <si>
    <t>孙鹤桔</t>
  </si>
  <si>
    <t>250451007</t>
  </si>
  <si>
    <t>庞源</t>
  </si>
  <si>
    <t>250452016</t>
  </si>
  <si>
    <t>晁浩铭</t>
  </si>
  <si>
    <t>250450713</t>
  </si>
  <si>
    <t>王安琦</t>
  </si>
  <si>
    <t>250450329</t>
  </si>
  <si>
    <t>亢云麒</t>
  </si>
  <si>
    <t>250450423</t>
  </si>
  <si>
    <t>郭议浛</t>
  </si>
  <si>
    <t>250451228</t>
  </si>
  <si>
    <t>马溪彤</t>
  </si>
  <si>
    <t>250452004</t>
  </si>
  <si>
    <t>高梦辰</t>
  </si>
  <si>
    <t>250450815</t>
  </si>
  <si>
    <t>章宇航</t>
  </si>
  <si>
    <t>250451210</t>
  </si>
  <si>
    <t>邓奕凡</t>
  </si>
  <si>
    <t>250450731</t>
  </si>
  <si>
    <t>高梓源</t>
  </si>
  <si>
    <t>250451534</t>
  </si>
  <si>
    <t>王杰</t>
  </si>
  <si>
    <t>250451806</t>
  </si>
  <si>
    <t>崔语凡</t>
  </si>
  <si>
    <t>250452320</t>
  </si>
  <si>
    <t>赵杨可欣</t>
  </si>
  <si>
    <t>250452702</t>
  </si>
  <si>
    <t>杨嘉木</t>
  </si>
  <si>
    <t>250452102</t>
  </si>
  <si>
    <t>王馨瑷</t>
  </si>
  <si>
    <t>250450909</t>
  </si>
  <si>
    <t>马砚珩</t>
  </si>
  <si>
    <t>250451407</t>
  </si>
  <si>
    <t>于铭涛</t>
  </si>
  <si>
    <t>250450615</t>
  </si>
  <si>
    <t>郎浙涵</t>
  </si>
  <si>
    <t>250450430</t>
  </si>
  <si>
    <t>窦伊涵</t>
  </si>
  <si>
    <t>250452808</t>
  </si>
  <si>
    <t>赵师闻</t>
  </si>
  <si>
    <t>250451134</t>
  </si>
  <si>
    <t>赵智浩</t>
  </si>
  <si>
    <t>250450829</t>
  </si>
  <si>
    <t>初昱含</t>
  </si>
  <si>
    <t>250452301</t>
  </si>
  <si>
    <t>周佳伊</t>
  </si>
  <si>
    <t>250452223</t>
  </si>
  <si>
    <t>盛新竹</t>
  </si>
  <si>
    <t>250452824</t>
  </si>
  <si>
    <t>王一轩</t>
  </si>
  <si>
    <t>250452304</t>
  </si>
  <si>
    <t>王静浛</t>
  </si>
  <si>
    <t>250452705</t>
  </si>
  <si>
    <t>倪曼雅</t>
  </si>
  <si>
    <t>250451109</t>
  </si>
  <si>
    <t>李泽盛</t>
  </si>
  <si>
    <t>250452520</t>
  </si>
  <si>
    <t>宋自馨</t>
  </si>
  <si>
    <t>250450836</t>
  </si>
  <si>
    <t>张琳</t>
  </si>
  <si>
    <t>250451710</t>
  </si>
  <si>
    <t>吴佳桐</t>
  </si>
  <si>
    <t>250451820</t>
  </si>
  <si>
    <t>孙圣洁</t>
  </si>
  <si>
    <t>250450214</t>
  </si>
  <si>
    <t>谢有一</t>
  </si>
  <si>
    <t>250452812</t>
  </si>
  <si>
    <t>宫锦</t>
  </si>
  <si>
    <t>250451826</t>
  </si>
  <si>
    <t>张蓝月</t>
  </si>
  <si>
    <t>250451329</t>
  </si>
  <si>
    <t>任正</t>
  </si>
  <si>
    <t>250450720</t>
  </si>
  <si>
    <t>王天阔</t>
  </si>
  <si>
    <t>250451108</t>
  </si>
  <si>
    <t>李佳桐</t>
  </si>
  <si>
    <t>250452333</t>
  </si>
  <si>
    <t>张乐群</t>
  </si>
  <si>
    <t>250451424</t>
  </si>
  <si>
    <t>刘佳成</t>
  </si>
  <si>
    <t>250450903</t>
  </si>
  <si>
    <t>赵金成</t>
  </si>
  <si>
    <t>250450332</t>
  </si>
  <si>
    <t>崔海雨</t>
  </si>
  <si>
    <t>250451709</t>
  </si>
  <si>
    <t>庞慧昕</t>
  </si>
  <si>
    <t>250451120</t>
  </si>
  <si>
    <t>胡静涵</t>
  </si>
  <si>
    <t>250450105</t>
  </si>
  <si>
    <t>彭思远</t>
  </si>
  <si>
    <t>250451735</t>
  </si>
  <si>
    <t>马兴平</t>
  </si>
  <si>
    <t>250450902</t>
  </si>
  <si>
    <t>张仁泽</t>
  </si>
  <si>
    <t>250451030</t>
  </si>
  <si>
    <t>杨政达</t>
  </si>
  <si>
    <t>250450534</t>
  </si>
  <si>
    <t>兰禹</t>
  </si>
  <si>
    <t>250450735</t>
  </si>
  <si>
    <t>施一凡</t>
  </si>
  <si>
    <t>250451426</t>
  </si>
  <si>
    <t>陈恩策</t>
  </si>
  <si>
    <t>250451925</t>
  </si>
  <si>
    <t>张展伊</t>
  </si>
  <si>
    <t>250450520</t>
  </si>
  <si>
    <t>于金卉</t>
  </si>
  <si>
    <t>250451023</t>
  </si>
  <si>
    <t>李沐朗</t>
  </si>
  <si>
    <t>250450309</t>
  </si>
  <si>
    <t>毕楚怡</t>
  </si>
  <si>
    <t>250452012</t>
  </si>
  <si>
    <t>李洪莹</t>
  </si>
  <si>
    <t>250452002</t>
  </si>
  <si>
    <t>刘雨霏</t>
  </si>
  <si>
    <t>250452221</t>
  </si>
  <si>
    <t>于瀚群</t>
  </si>
  <si>
    <t>250451423</t>
  </si>
  <si>
    <t>林茂泽</t>
  </si>
  <si>
    <t>250452806</t>
  </si>
  <si>
    <t>滕俊良</t>
  </si>
  <si>
    <t>250452513</t>
  </si>
  <si>
    <t>丛梓烨</t>
  </si>
  <si>
    <t>250452608</t>
  </si>
  <si>
    <t>席文煊</t>
  </si>
  <si>
    <t>250451606</t>
  </si>
  <si>
    <t>骆浩男</t>
  </si>
  <si>
    <t>250452807</t>
  </si>
  <si>
    <t>唐语辛</t>
  </si>
  <si>
    <t>250452308</t>
  </si>
  <si>
    <t>张力元</t>
  </si>
  <si>
    <t>250452414</t>
  </si>
  <si>
    <t>崔雪</t>
  </si>
  <si>
    <t>250451601</t>
  </si>
  <si>
    <t>沈沛颀</t>
  </si>
  <si>
    <t>250451004</t>
  </si>
  <si>
    <t>李芃霖</t>
  </si>
  <si>
    <t>250452827</t>
  </si>
  <si>
    <t>姜昌浩</t>
  </si>
  <si>
    <t>250451022</t>
  </si>
  <si>
    <t>陶柏旭</t>
  </si>
  <si>
    <t>250450307</t>
  </si>
  <si>
    <t>陈东泽</t>
  </si>
  <si>
    <t>250450229</t>
  </si>
  <si>
    <t>于江珊</t>
  </si>
  <si>
    <t>250450616</t>
  </si>
  <si>
    <t>高薪颜</t>
  </si>
  <si>
    <t>250452804</t>
  </si>
  <si>
    <t>张佳琪</t>
  </si>
  <si>
    <t>250451803</t>
  </si>
  <si>
    <t>肖弼元</t>
  </si>
  <si>
    <t>250450927</t>
  </si>
  <si>
    <t>杨埔茵</t>
  </si>
  <si>
    <t>250451215</t>
  </si>
  <si>
    <t>王鑫</t>
  </si>
  <si>
    <t>250452524</t>
  </si>
  <si>
    <t>杜金峰</t>
  </si>
  <si>
    <t>250451115</t>
  </si>
  <si>
    <t>张一帆</t>
  </si>
  <si>
    <t>250452822</t>
  </si>
  <si>
    <t>张懿慰</t>
  </si>
  <si>
    <t>250451117</t>
  </si>
  <si>
    <t>刘展成</t>
  </si>
  <si>
    <t>250450611</t>
  </si>
  <si>
    <t>魏浩然</t>
  </si>
  <si>
    <t>250451204</t>
  </si>
  <si>
    <t>郑竣泽</t>
  </si>
  <si>
    <t>250451610</t>
  </si>
  <si>
    <t>许瑛麟</t>
  </si>
  <si>
    <t>250452020</t>
  </si>
  <si>
    <t>唐庆宁</t>
  </si>
  <si>
    <t>250450528</t>
  </si>
  <si>
    <t>芦佳士奇</t>
  </si>
  <si>
    <t>250452604</t>
  </si>
  <si>
    <t>钱睿昶</t>
  </si>
  <si>
    <t>250452330</t>
  </si>
  <si>
    <t>宁伊宁</t>
  </si>
  <si>
    <t>250450722</t>
  </si>
  <si>
    <t>郭姝仪</t>
  </si>
  <si>
    <t>250451823</t>
  </si>
  <si>
    <t>董佳鑫</t>
  </si>
  <si>
    <t>250452001</t>
  </si>
  <si>
    <t>王子健</t>
  </si>
  <si>
    <t>250452709</t>
  </si>
  <si>
    <t>王艺璇</t>
  </si>
  <si>
    <t>250452727</t>
  </si>
  <si>
    <t>董家妮</t>
  </si>
  <si>
    <t>250451701</t>
  </si>
  <si>
    <t>于士涵</t>
  </si>
  <si>
    <t>250452127</t>
  </si>
  <si>
    <t>邢嘉倪</t>
  </si>
  <si>
    <t>250452015</t>
  </si>
  <si>
    <t>赵婧如</t>
  </si>
  <si>
    <t>250450711</t>
  </si>
  <si>
    <t>汤凯文</t>
  </si>
  <si>
    <t>250451834</t>
  </si>
  <si>
    <t>梁城玮</t>
  </si>
  <si>
    <t>250452703</t>
  </si>
  <si>
    <t>刘子睿</t>
  </si>
  <si>
    <t>250452834</t>
  </si>
  <si>
    <t>包诗琪</t>
  </si>
  <si>
    <t>250451418</t>
  </si>
  <si>
    <t>高海峰</t>
  </si>
  <si>
    <t>250452021</t>
  </si>
  <si>
    <t>王馨晨</t>
  </si>
  <si>
    <t>250451531</t>
  </si>
  <si>
    <t>李雨杭</t>
  </si>
  <si>
    <t>250450419</t>
  </si>
  <si>
    <t>樊佳铭</t>
  </si>
  <si>
    <t>250450422</t>
  </si>
  <si>
    <t>王琳赫</t>
  </si>
  <si>
    <t>250452729</t>
  </si>
  <si>
    <t>刘亦禄</t>
  </si>
  <si>
    <t>250452316</t>
  </si>
  <si>
    <t>闫茹钰彤</t>
  </si>
  <si>
    <t>250452501</t>
  </si>
  <si>
    <t>李宜繁</t>
  </si>
  <si>
    <t>250452623</t>
  </si>
  <si>
    <t>杨旭</t>
  </si>
  <si>
    <t>250452005</t>
  </si>
  <si>
    <t>陈彦希</t>
  </si>
  <si>
    <t>250450919</t>
  </si>
  <si>
    <t>蔡乙畅</t>
  </si>
  <si>
    <t>250452336</t>
  </si>
  <si>
    <t>辛雨霏</t>
  </si>
  <si>
    <t>250450107</t>
  </si>
  <si>
    <t>朱君豪</t>
  </si>
  <si>
    <t>250450125</t>
  </si>
  <si>
    <t>李国伟</t>
  </si>
  <si>
    <t>250450701</t>
  </si>
  <si>
    <t>邵一焱</t>
  </si>
  <si>
    <t>250450620</t>
  </si>
  <si>
    <t>张铭翰</t>
  </si>
  <si>
    <t>250452132</t>
  </si>
  <si>
    <t>杨鑫怡</t>
  </si>
  <si>
    <t>250451028</t>
  </si>
  <si>
    <t>高宇昊</t>
  </si>
  <si>
    <t>250452108</t>
  </si>
  <si>
    <t>侯亚宁</t>
  </si>
  <si>
    <t>250452234</t>
  </si>
  <si>
    <t>王泽骞</t>
  </si>
  <si>
    <t>250450918</t>
  </si>
  <si>
    <t>刘昱彤</t>
  </si>
  <si>
    <t>250451006</t>
  </si>
  <si>
    <t>李佳潞</t>
  </si>
  <si>
    <t>250452726</t>
  </si>
  <si>
    <t>王新然</t>
  </si>
  <si>
    <t>250452408</t>
  </si>
  <si>
    <t>邢馨予</t>
  </si>
  <si>
    <t>250450827</t>
  </si>
  <si>
    <t>王敬涵</t>
  </si>
  <si>
    <t>250452617</t>
  </si>
  <si>
    <t>韩雨婷</t>
  </si>
  <si>
    <t>250451214</t>
  </si>
  <si>
    <t>张义林</t>
  </si>
  <si>
    <t>250452529</t>
  </si>
  <si>
    <t>李程然</t>
  </si>
  <si>
    <t>250452233</t>
  </si>
  <si>
    <t>梁仪涵</t>
  </si>
  <si>
    <t>250451224</t>
  </si>
  <si>
    <t>蔡朋伯</t>
  </si>
  <si>
    <t>250452829</t>
  </si>
  <si>
    <t>高子懿</t>
  </si>
  <si>
    <t>250450522</t>
  </si>
  <si>
    <t>李德兼</t>
  </si>
  <si>
    <t>250450330</t>
  </si>
  <si>
    <t>董彦麟</t>
  </si>
  <si>
    <t>250452424</t>
  </si>
  <si>
    <t>张诗唯</t>
  </si>
  <si>
    <t>250451725</t>
  </si>
  <si>
    <t>姚菡娉</t>
  </si>
  <si>
    <t>250452413</t>
  </si>
  <si>
    <t>陈欣然</t>
  </si>
  <si>
    <t>250452403</t>
  </si>
  <si>
    <t>马梓鸣</t>
  </si>
  <si>
    <t>250452218</t>
  </si>
  <si>
    <t>付慈</t>
  </si>
  <si>
    <t>250451603</t>
  </si>
  <si>
    <t>陈思安</t>
  </si>
  <si>
    <t>250450830</t>
  </si>
  <si>
    <t>汪育竹</t>
  </si>
  <si>
    <t>250451903</t>
  </si>
  <si>
    <t>刘双菱</t>
  </si>
  <si>
    <t>250452619</t>
  </si>
  <si>
    <t>闫龄予</t>
  </si>
  <si>
    <t>250451502</t>
  </si>
  <si>
    <t>刘旭泽</t>
  </si>
  <si>
    <t>250452616</t>
  </si>
  <si>
    <t>李冠熹</t>
  </si>
  <si>
    <t>250451830</t>
  </si>
  <si>
    <t>李翰林</t>
  </si>
  <si>
    <t>250452229</t>
  </si>
  <si>
    <t>刘羽佳</t>
  </si>
  <si>
    <t>230450604</t>
  </si>
  <si>
    <t>周思彤</t>
  </si>
  <si>
    <t>250452119</t>
  </si>
  <si>
    <t>马盛柏</t>
  </si>
  <si>
    <t>250451325</t>
  </si>
  <si>
    <t>张耀文</t>
  </si>
  <si>
    <t>250452334</t>
  </si>
  <si>
    <t>孙嘉遥</t>
  </si>
  <si>
    <t>250452425</t>
  </si>
  <si>
    <t>盖乐颖</t>
  </si>
  <si>
    <t>250450922</t>
  </si>
  <si>
    <t>刘朗赫</t>
  </si>
  <si>
    <t>250451312</t>
  </si>
  <si>
    <t>祁鼎原</t>
  </si>
  <si>
    <t>250451607</t>
  </si>
  <si>
    <t>关博予</t>
  </si>
  <si>
    <t>250452126</t>
  </si>
  <si>
    <t>高若芷萌</t>
  </si>
  <si>
    <t>250452024</t>
  </si>
  <si>
    <t>关琳弋</t>
  </si>
  <si>
    <t>250450320</t>
  </si>
  <si>
    <t>李昊东</t>
  </si>
  <si>
    <t>250451912</t>
  </si>
  <si>
    <t>姜宇桐</t>
  </si>
  <si>
    <t>250451422</t>
  </si>
  <si>
    <t>丛哲铭</t>
  </si>
  <si>
    <t>250452036</t>
  </si>
  <si>
    <t>邹美阳</t>
  </si>
  <si>
    <t>250452023</t>
  </si>
  <si>
    <t>王潇璇</t>
  </si>
  <si>
    <t>250450817</t>
  </si>
  <si>
    <t>张君宇</t>
  </si>
  <si>
    <t>250452327</t>
  </si>
  <si>
    <t>胡苧艺</t>
  </si>
  <si>
    <t>250450821</t>
  </si>
  <si>
    <t>李奕霏</t>
  </si>
  <si>
    <t>250451619</t>
  </si>
  <si>
    <t>贾智凯</t>
  </si>
  <si>
    <t>250450932</t>
  </si>
  <si>
    <t>张宇泽</t>
  </si>
  <si>
    <t>250451702</t>
  </si>
  <si>
    <t>李明阳</t>
  </si>
  <si>
    <t>250452118</t>
  </si>
  <si>
    <t>朱韩祉兮</t>
  </si>
  <si>
    <t>250450801</t>
  </si>
  <si>
    <t>郎芮</t>
  </si>
  <si>
    <t>250452832</t>
  </si>
  <si>
    <t>袁野</t>
  </si>
  <si>
    <t>250452232</t>
  </si>
  <si>
    <t>张锐靓</t>
  </si>
  <si>
    <t>250451904</t>
  </si>
  <si>
    <t>孙岩</t>
  </si>
  <si>
    <t>250451119</t>
  </si>
  <si>
    <t>宋恩彤</t>
  </si>
  <si>
    <t>250452716</t>
  </si>
  <si>
    <t>何佳凝</t>
  </si>
  <si>
    <t>250450509</t>
  </si>
  <si>
    <t>范晨扬</t>
  </si>
  <si>
    <t>250451730</t>
  </si>
  <si>
    <t>祝洪硕</t>
  </si>
  <si>
    <t>250451306</t>
  </si>
  <si>
    <t>袁金彤</t>
  </si>
  <si>
    <t>250452704</t>
  </si>
  <si>
    <t>赵伦司</t>
  </si>
  <si>
    <t>250451420</t>
  </si>
  <si>
    <t>高梓鉴</t>
  </si>
  <si>
    <t>250451633</t>
  </si>
  <si>
    <t>梁沐夏</t>
  </si>
  <si>
    <t>250452205</t>
  </si>
  <si>
    <t>胡诗扬</t>
  </si>
  <si>
    <t>250452129</t>
  </si>
  <si>
    <t>赖芊诺</t>
  </si>
  <si>
    <t>250451131</t>
  </si>
  <si>
    <t>霍芮宇</t>
  </si>
  <si>
    <t>250451404</t>
  </si>
  <si>
    <t>温麟杰</t>
  </si>
  <si>
    <t>250450904</t>
  </si>
  <si>
    <t>曹耘硕</t>
  </si>
  <si>
    <t>250452710</t>
  </si>
  <si>
    <t>谭睿</t>
  </si>
  <si>
    <t>250452402</t>
  </si>
  <si>
    <t>杜艺枫</t>
  </si>
  <si>
    <t>250452201</t>
  </si>
  <si>
    <t>王紫涵</t>
  </si>
  <si>
    <t>250450502</t>
  </si>
  <si>
    <t>刘熙桓</t>
  </si>
  <si>
    <t>250452105</t>
  </si>
  <si>
    <t>钱祉呈</t>
  </si>
  <si>
    <t>250451729</t>
  </si>
  <si>
    <t>迟瑞格</t>
  </si>
  <si>
    <t>250450525</t>
  </si>
  <si>
    <t>王子昂</t>
  </si>
  <si>
    <t>250452212</t>
  </si>
  <si>
    <t>谭媛媛</t>
  </si>
  <si>
    <t>250451931</t>
  </si>
  <si>
    <t>于慧子</t>
  </si>
  <si>
    <t>250451519</t>
  </si>
  <si>
    <t>栾翔杰</t>
  </si>
  <si>
    <t>250452830</t>
  </si>
  <si>
    <t>娄佳</t>
  </si>
  <si>
    <t>250452831</t>
  </si>
  <si>
    <t>刘博强</t>
  </si>
  <si>
    <t>250451609</t>
  </si>
  <si>
    <t>郑佳昊</t>
  </si>
  <si>
    <t>250451321</t>
  </si>
  <si>
    <t>邢佳正</t>
  </si>
  <si>
    <t>250452116</t>
  </si>
  <si>
    <t>王诗尧</t>
  </si>
  <si>
    <t>250451716</t>
  </si>
  <si>
    <t>张世祚</t>
  </si>
  <si>
    <t>250450936</t>
  </si>
  <si>
    <t>王蕴哲</t>
  </si>
  <si>
    <t>250451311</t>
  </si>
  <si>
    <t>史正飞</t>
  </si>
  <si>
    <t>250452313</t>
  </si>
  <si>
    <t>李济丞</t>
  </si>
  <si>
    <t>250452120</t>
  </si>
  <si>
    <t>王世森</t>
  </si>
  <si>
    <t>250452106</t>
  </si>
  <si>
    <t>李昔诺</t>
  </si>
  <si>
    <t>250452027</t>
  </si>
  <si>
    <t>孙子贻</t>
  </si>
  <si>
    <t>250451726</t>
  </si>
  <si>
    <t>魏佳伟</t>
  </si>
  <si>
    <t>250451322</t>
  </si>
  <si>
    <t>李昊宇</t>
  </si>
  <si>
    <t>250450213</t>
  </si>
  <si>
    <t>纪语晴</t>
  </si>
  <si>
    <t>250452518</t>
  </si>
  <si>
    <t>范欣然</t>
  </si>
  <si>
    <t>250452014</t>
  </si>
  <si>
    <t>张馨语</t>
  </si>
  <si>
    <t>250452131</t>
  </si>
  <si>
    <t>苗涵</t>
  </si>
  <si>
    <t>250450523</t>
  </si>
  <si>
    <t>李思宇</t>
  </si>
  <si>
    <t>250452203</t>
  </si>
  <si>
    <t>杨翰</t>
  </si>
  <si>
    <t>250451107</t>
  </si>
  <si>
    <t>梁铭熙</t>
  </si>
  <si>
    <t>250452028</t>
  </si>
  <si>
    <t>聂钰格</t>
  </si>
  <si>
    <t>250450511</t>
  </si>
  <si>
    <t>车向前</t>
  </si>
  <si>
    <t>250451415</t>
  </si>
  <si>
    <t>李思萱</t>
  </si>
  <si>
    <t>250451414</t>
  </si>
  <si>
    <t>凌辰</t>
  </si>
  <si>
    <t>250451309</t>
  </si>
  <si>
    <t>吕振羽</t>
  </si>
  <si>
    <t>250450632</t>
  </si>
  <si>
    <t>李晗祎</t>
  </si>
  <si>
    <t>250450636</t>
  </si>
  <si>
    <t>赵梓冰</t>
  </si>
  <si>
    <t>250452109</t>
  </si>
  <si>
    <t>周盛舰</t>
  </si>
  <si>
    <t>250452018</t>
  </si>
  <si>
    <t>庄翔宇</t>
  </si>
  <si>
    <t>250450706</t>
  </si>
  <si>
    <t>关兴宇</t>
  </si>
  <si>
    <t>250450808</t>
  </si>
  <si>
    <t>胡宇轩</t>
  </si>
  <si>
    <t>250452711</t>
  </si>
  <si>
    <t>唐子洋</t>
  </si>
  <si>
    <t>250451817</t>
  </si>
  <si>
    <t>李铎</t>
  </si>
  <si>
    <t>250452026</t>
  </si>
  <si>
    <t>张岽慈</t>
  </si>
  <si>
    <t>250450806</t>
  </si>
  <si>
    <t>麻皓然</t>
  </si>
  <si>
    <t>250452230</t>
  </si>
  <si>
    <t>赵启钧</t>
  </si>
  <si>
    <t>250451707</t>
  </si>
  <si>
    <t>秦澍晨</t>
  </si>
  <si>
    <t>250451802</t>
  </si>
  <si>
    <t>高圣博</t>
  </si>
  <si>
    <t>250450516</t>
  </si>
  <si>
    <t>刘钰莹</t>
  </si>
  <si>
    <t>250452305</t>
  </si>
  <si>
    <t>陶鑫</t>
  </si>
  <si>
    <t>250450725</t>
  </si>
  <si>
    <t>张佳慧</t>
  </si>
  <si>
    <t>250451914</t>
  </si>
  <si>
    <t>王颢然</t>
  </si>
  <si>
    <t>250451021</t>
  </si>
  <si>
    <t>于廷彬</t>
  </si>
  <si>
    <t>250452527</t>
  </si>
  <si>
    <t>孔令希</t>
  </si>
  <si>
    <t>250451501</t>
  </si>
  <si>
    <t>郎鸿睿</t>
  </si>
  <si>
    <t>250452306</t>
  </si>
  <si>
    <t>林一成</t>
  </si>
  <si>
    <t>250451728</t>
  </si>
  <si>
    <t>王恒鑫</t>
  </si>
  <si>
    <t>250451008</t>
  </si>
  <si>
    <t>潘霁原</t>
  </si>
  <si>
    <t>250451908</t>
  </si>
  <si>
    <t>程宇涵</t>
  </si>
  <si>
    <t>250451828</t>
  </si>
  <si>
    <t>李金洋</t>
  </si>
  <si>
    <t>250452133</t>
  </si>
  <si>
    <t>刘玲慧</t>
  </si>
  <si>
    <t>250450702</t>
  </si>
  <si>
    <t>王雨轩</t>
  </si>
  <si>
    <t>250451101</t>
  </si>
  <si>
    <t>陈昊阳</t>
  </si>
  <si>
    <t>250450610</t>
  </si>
  <si>
    <t>李睿泽</t>
  </si>
  <si>
    <t>250450536</t>
  </si>
  <si>
    <t>牟家烨</t>
  </si>
  <si>
    <t>250450626</t>
  </si>
  <si>
    <t>全俊鸣</t>
  </si>
  <si>
    <t>250451924</t>
  </si>
  <si>
    <t>刘展旭</t>
  </si>
  <si>
    <t>250451906</t>
  </si>
  <si>
    <t>刘子铭</t>
  </si>
  <si>
    <t>250452113</t>
  </si>
  <si>
    <t>王海州</t>
  </si>
  <si>
    <t>250451521</t>
  </si>
  <si>
    <t>王润琦</t>
  </si>
  <si>
    <t>250450810</t>
  </si>
  <si>
    <t>李若伦</t>
  </si>
  <si>
    <t>250452410</t>
  </si>
  <si>
    <t>王钰博</t>
  </si>
  <si>
    <t>250451431</t>
  </si>
  <si>
    <t>兰东骐</t>
  </si>
  <si>
    <t>250452825</t>
  </si>
  <si>
    <t>陈可欣</t>
  </si>
  <si>
    <t>250452605</t>
  </si>
  <si>
    <t>李皮</t>
  </si>
  <si>
    <t>250452115</t>
  </si>
  <si>
    <t>姜宜逵</t>
  </si>
  <si>
    <t>250450736</t>
  </si>
  <si>
    <t>朱凌冉</t>
  </si>
  <si>
    <t>250451913</t>
  </si>
  <si>
    <t>邓睿臻</t>
  </si>
  <si>
    <t>250450612</t>
  </si>
  <si>
    <t>江昕硕</t>
  </si>
  <si>
    <t>250450914</t>
  </si>
  <si>
    <t>王硕</t>
  </si>
  <si>
    <t>250452214</t>
  </si>
  <si>
    <t>邢展豪</t>
  </si>
  <si>
    <t>250450823</t>
  </si>
  <si>
    <t>籍奕雯</t>
  </si>
  <si>
    <t>250450519</t>
  </si>
  <si>
    <t>李静怡</t>
  </si>
  <si>
    <t>250450230</t>
  </si>
  <si>
    <t>李永灿</t>
  </si>
  <si>
    <t>250451327</t>
  </si>
  <si>
    <t>沈福洋</t>
  </si>
  <si>
    <t>250450507</t>
  </si>
  <si>
    <t>王宇轩</t>
  </si>
  <si>
    <t>250452225</t>
  </si>
  <si>
    <t>王聃琪</t>
  </si>
  <si>
    <t>250450804</t>
  </si>
  <si>
    <t>房博晨</t>
  </si>
  <si>
    <t>250452010</t>
  </si>
  <si>
    <t>林啸伯</t>
  </si>
  <si>
    <t>250450716</t>
  </si>
  <si>
    <t>栗靖超</t>
  </si>
  <si>
    <t>250451719</t>
  </si>
  <si>
    <t>苑宸茁</t>
  </si>
  <si>
    <t>250451434</t>
  </si>
  <si>
    <t>马千壹</t>
  </si>
  <si>
    <t>250450630</t>
  </si>
  <si>
    <t>牟奕搏</t>
  </si>
  <si>
    <t>250450508</t>
  </si>
  <si>
    <t>冯新策</t>
  </si>
  <si>
    <t>250450532</t>
  </si>
  <si>
    <t>白汶卉</t>
  </si>
  <si>
    <t>250451029</t>
  </si>
  <si>
    <t>高振瀚</t>
  </si>
  <si>
    <t>250450504</t>
  </si>
  <si>
    <t>赵婧伊</t>
  </si>
  <si>
    <t>250450415</t>
  </si>
  <si>
    <t>王雨婷</t>
  </si>
  <si>
    <t>250451727</t>
  </si>
  <si>
    <t>范嘉诚</t>
  </si>
  <si>
    <t>250450120</t>
  </si>
  <si>
    <t>田睦洋</t>
  </si>
  <si>
    <t>250451602</t>
  </si>
  <si>
    <t>250451721</t>
  </si>
  <si>
    <t>尚祖墨</t>
  </si>
  <si>
    <t>250452436</t>
  </si>
  <si>
    <t>陈鹏宇</t>
  </si>
  <si>
    <t>250452107</t>
  </si>
  <si>
    <t>孙雨晴</t>
  </si>
  <si>
    <t>250452611</t>
  </si>
  <si>
    <t>孟祥哲</t>
  </si>
  <si>
    <t>250451909</t>
  </si>
  <si>
    <t>闫沈浩</t>
  </si>
  <si>
    <t>250452416</t>
  </si>
  <si>
    <t>李政航</t>
  </si>
  <si>
    <t>250451110</t>
  </si>
  <si>
    <t>范嘉伟</t>
  </si>
  <si>
    <t>250450621</t>
  </si>
  <si>
    <t>赵韵雅</t>
  </si>
  <si>
    <t>250450820</t>
  </si>
  <si>
    <t>刘书赫</t>
  </si>
  <si>
    <t>250451202</t>
  </si>
  <si>
    <t>晏子航</t>
  </si>
  <si>
    <t>250450432</t>
  </si>
  <si>
    <t>张原唯</t>
  </si>
  <si>
    <t>250450822</t>
  </si>
  <si>
    <t>周易瑶</t>
  </si>
  <si>
    <t>250452011</t>
  </si>
  <si>
    <t>蒋为至</t>
  </si>
  <si>
    <t>250452820</t>
  </si>
  <si>
    <t>钱红旭</t>
  </si>
  <si>
    <t>250452601</t>
  </si>
  <si>
    <t>贾柠璐</t>
  </si>
  <si>
    <t>250450617</t>
  </si>
  <si>
    <t>杨雨峰</t>
  </si>
  <si>
    <t>250452630</t>
  </si>
  <si>
    <t>夏培淇</t>
  </si>
  <si>
    <t>250452718</t>
  </si>
  <si>
    <t>宁欣冉</t>
  </si>
  <si>
    <t>250452404</t>
  </si>
  <si>
    <t>赵鑫泽</t>
  </si>
  <si>
    <t>250452613</t>
  </si>
  <si>
    <t>于斓纹溪</t>
  </si>
  <si>
    <t>250450703</t>
  </si>
  <si>
    <t>韩明轩</t>
  </si>
  <si>
    <t>250451722</t>
  </si>
  <si>
    <t>汪照程</t>
  </si>
  <si>
    <t>250452312</t>
  </si>
  <si>
    <t>鲍佳音</t>
  </si>
  <si>
    <t>250451402</t>
  </si>
  <si>
    <t>梁轩</t>
  </si>
  <si>
    <t>250451333</t>
  </si>
  <si>
    <t>石洋铭</t>
  </si>
  <si>
    <t>250450506</t>
  </si>
  <si>
    <t>徐晗睿</t>
  </si>
  <si>
    <t>250451505</t>
  </si>
  <si>
    <t>李佳轩</t>
  </si>
  <si>
    <t>250451213</t>
  </si>
  <si>
    <t>孙瑞铎</t>
  </si>
  <si>
    <t>250451824</t>
  </si>
  <si>
    <t>陈思琦</t>
  </si>
  <si>
    <t>250451530</t>
  </si>
  <si>
    <t>吴炳锜</t>
  </si>
  <si>
    <t>250451618</t>
  </si>
  <si>
    <t>马子傑</t>
  </si>
  <si>
    <t>250451025</t>
  </si>
  <si>
    <t>石俊超</t>
  </si>
  <si>
    <t>250451907</t>
  </si>
  <si>
    <t>刘晨浩</t>
  </si>
  <si>
    <t>250451825</t>
  </si>
  <si>
    <t>陈澳</t>
  </si>
  <si>
    <t>250450635</t>
  </si>
  <si>
    <t>陈铭浩</t>
  </si>
  <si>
    <t>250451104</t>
  </si>
  <si>
    <t>张志博</t>
  </si>
  <si>
    <t>250452614</t>
  </si>
  <si>
    <t>冯悦宸</t>
  </si>
  <si>
    <t>250451811</t>
  </si>
  <si>
    <t>朱宋娜拉</t>
  </si>
  <si>
    <t>220161040</t>
  </si>
  <si>
    <t>蓝世强</t>
  </si>
  <si>
    <t>250452033</t>
  </si>
  <si>
    <t>张绮航</t>
  </si>
  <si>
    <t>250452606</t>
  </si>
  <si>
    <t>丛黎辉</t>
  </si>
  <si>
    <t>250451106</t>
  </si>
  <si>
    <t>郝少菡</t>
  </si>
  <si>
    <t>250451225</t>
  </si>
  <si>
    <t>武忠阳</t>
  </si>
  <si>
    <t>250451116</t>
  </si>
  <si>
    <t>钱俊名</t>
  </si>
  <si>
    <t>250452310</t>
  </si>
  <si>
    <t>杨安琦</t>
  </si>
  <si>
    <t>250451112</t>
  </si>
  <si>
    <t>李熙晨</t>
  </si>
  <si>
    <t>250451227</t>
  </si>
  <si>
    <t>李趙龙</t>
  </si>
  <si>
    <t>250450719</t>
  </si>
  <si>
    <t>赵炳然</t>
  </si>
  <si>
    <t>250451831</t>
  </si>
  <si>
    <t>李贺增</t>
  </si>
  <si>
    <t>250451128</t>
  </si>
  <si>
    <t>刘昀</t>
  </si>
  <si>
    <t>250450513</t>
  </si>
  <si>
    <t>付钰清</t>
  </si>
  <si>
    <t>250451313</t>
  </si>
  <si>
    <t>张雨婷</t>
  </si>
  <si>
    <t>250452328</t>
  </si>
  <si>
    <t>张稀博</t>
  </si>
  <si>
    <t>250452826</t>
  </si>
  <si>
    <t>刘译雯</t>
  </si>
  <si>
    <t>无大一下综测成绩</t>
  </si>
  <si>
    <t>250450634</t>
  </si>
  <si>
    <t>刘铭朔</t>
  </si>
  <si>
    <t>230451528</t>
  </si>
  <si>
    <t>杜明凯</t>
  </si>
  <si>
    <t>优秀学生教官、优秀退役士兵</t>
  </si>
  <si>
    <t>无大一上综测成绩</t>
  </si>
  <si>
    <t>250450816</t>
  </si>
  <si>
    <t>曹德海</t>
  </si>
  <si>
    <t>250451114</t>
  </si>
  <si>
    <t>李宇轩</t>
  </si>
  <si>
    <t>250450707</t>
  </si>
  <si>
    <t>华中爱</t>
  </si>
  <si>
    <t>250452326</t>
  </si>
  <si>
    <t>陈俊豪</t>
  </si>
  <si>
    <t>250452104</t>
  </si>
  <si>
    <t>黄英伦</t>
  </si>
  <si>
    <t>250451810</t>
  </si>
  <si>
    <t>周佳瑞</t>
  </si>
  <si>
    <t>250452135</t>
  </si>
  <si>
    <t>王铭慷</t>
  </si>
  <si>
    <t>230451107</t>
  </si>
  <si>
    <t>陈绎帆</t>
  </si>
  <si>
    <t>优秀退役士兵</t>
  </si>
  <si>
    <t>250450535</t>
  </si>
  <si>
    <t>周洋</t>
  </si>
  <si>
    <t>240451610</t>
  </si>
  <si>
    <t>杨雨欣</t>
  </si>
  <si>
    <t>240450320</t>
  </si>
  <si>
    <t>代雨航</t>
  </si>
  <si>
    <t>大数据专业（单独排名，不参与年级总排名）</t>
  </si>
  <si>
    <t>大数据</t>
  </si>
  <si>
    <t>大数据一班</t>
  </si>
  <si>
    <t>250460130</t>
  </si>
  <si>
    <t>丁灵</t>
  </si>
  <si>
    <t>250460109</t>
  </si>
  <si>
    <t>盛玮洁</t>
  </si>
  <si>
    <t>250460102</t>
  </si>
  <si>
    <t>刘梦溪</t>
  </si>
  <si>
    <t>250460116</t>
  </si>
  <si>
    <t>杨诗桐</t>
  </si>
  <si>
    <t>250460107</t>
  </si>
  <si>
    <t>林禹婷</t>
  </si>
  <si>
    <t>250460115</t>
  </si>
  <si>
    <t>谭惠元</t>
  </si>
  <si>
    <t>250460124</t>
  </si>
  <si>
    <t>王思涵</t>
  </si>
  <si>
    <t>250460125</t>
  </si>
  <si>
    <t>王晓蝶</t>
  </si>
  <si>
    <t>250460118</t>
  </si>
  <si>
    <t>王子淇</t>
  </si>
  <si>
    <t>250460104</t>
  </si>
  <si>
    <t>陈禹希</t>
  </si>
  <si>
    <t>250460120</t>
  </si>
  <si>
    <t>周围禾</t>
  </si>
  <si>
    <t>250460101</t>
  </si>
  <si>
    <t>崔越</t>
  </si>
  <si>
    <t>250460117</t>
  </si>
  <si>
    <t>钱昱彤</t>
  </si>
  <si>
    <t>250460126</t>
  </si>
  <si>
    <t>李佳奕</t>
  </si>
  <si>
    <t>250460110</t>
  </si>
  <si>
    <t>王雅怡</t>
  </si>
  <si>
    <t>250460112</t>
  </si>
  <si>
    <t>郑安倪</t>
  </si>
  <si>
    <t>250460127</t>
  </si>
  <si>
    <t>崔佳录</t>
  </si>
  <si>
    <t>250460105</t>
  </si>
  <si>
    <t>刁子涵</t>
  </si>
  <si>
    <t>250460128</t>
  </si>
  <si>
    <t>王建杭</t>
  </si>
  <si>
    <t>250460108</t>
  </si>
  <si>
    <t>李希点</t>
  </si>
  <si>
    <t>250460111</t>
  </si>
  <si>
    <t>郭小雯</t>
  </si>
  <si>
    <t>250460113</t>
  </si>
  <si>
    <t>高峰</t>
  </si>
  <si>
    <t>250460123</t>
  </si>
  <si>
    <t>冯雅琪</t>
  </si>
  <si>
    <t>250460129</t>
  </si>
  <si>
    <t>王妍</t>
  </si>
  <si>
    <t>250460119</t>
  </si>
  <si>
    <t>白新玉</t>
  </si>
  <si>
    <t>250460103</t>
  </si>
  <si>
    <t>林欣茹</t>
  </si>
  <si>
    <t>250460121</t>
  </si>
  <si>
    <t>曹思雨</t>
  </si>
  <si>
    <t>250460122</t>
  </si>
  <si>
    <t>牛新皓</t>
  </si>
  <si>
    <t>250460114</t>
  </si>
  <si>
    <t>徐晨鸿</t>
  </si>
  <si>
    <t>250460106</t>
  </si>
  <si>
    <t>孟秋实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</si>
</sst>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5"/>
  <sheetViews>
    <sheetView tabSelected="1" workbookViewId="0">
      <pane xSplit="6" ySplit="2" topLeftCell="G3" activePane="bottomRight" state="frozen"/>
      <selection pane="topRight"/>
      <selection pane="bottomLeft"/>
      <selection pane="bottomRight" sqref="A1:A2"/>
    </sheetView>
  </sheetViews>
  <sheetFormatPr baseColWidth="10" defaultColWidth="8.83203125" defaultRowHeight="15"/>
  <cols>
    <col min="1" max="2" width="6" customWidth="1"/>
    <col min="3" max="3" width="7" customWidth="1"/>
    <col min="4" max="5" width="11" customWidth="1"/>
    <col min="6" max="6" width="9" customWidth="1"/>
    <col min="7" max="9" width="7.5" customWidth="1"/>
    <col min="10" max="10" width="8" customWidth="1"/>
    <col min="11" max="13" width="7.5" customWidth="1"/>
    <col min="14" max="14" width="8" customWidth="1"/>
    <col min="15" max="15" width="9" customWidth="1"/>
    <col min="16" max="16" width="18" customWidth="1"/>
    <col min="17" max="17" width="22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/>
      <c r="I1" s="8"/>
      <c r="J1" s="8"/>
      <c r="K1" s="8" t="s">
        <v>7</v>
      </c>
      <c r="L1" s="8"/>
      <c r="M1" s="8"/>
      <c r="N1" s="8"/>
      <c r="O1" s="8" t="s">
        <v>8</v>
      </c>
      <c r="P1" s="8" t="s">
        <v>9</v>
      </c>
      <c r="Q1" s="8" t="s">
        <v>10</v>
      </c>
    </row>
    <row r="2" spans="1:17" ht="28" customHeight="1">
      <c r="A2" s="8"/>
      <c r="B2" s="8"/>
      <c r="C2" s="8"/>
      <c r="D2" s="8"/>
      <c r="E2" s="8"/>
      <c r="F2" s="8"/>
      <c r="G2" s="1" t="s">
        <v>11</v>
      </c>
      <c r="H2" s="1" t="s">
        <v>12</v>
      </c>
      <c r="I2" s="1" t="s">
        <v>13</v>
      </c>
      <c r="J2" s="1" t="s">
        <v>14</v>
      </c>
      <c r="K2" s="1" t="s">
        <v>11</v>
      </c>
      <c r="L2" s="1" t="s">
        <v>12</v>
      </c>
      <c r="M2" s="1" t="s">
        <v>13</v>
      </c>
      <c r="N2" s="1" t="s">
        <v>14</v>
      </c>
      <c r="O2" s="8"/>
      <c r="P2" s="8"/>
      <c r="Q2" s="8"/>
    </row>
    <row r="3" spans="1:17">
      <c r="A3" s="2">
        <f t="shared" ref="A3:A66" si="0">COUNTIFS($C$3:$C$1025,"&lt;&gt;大数据",$O$3:$O$1025,"&gt;"&amp;O3)+1</f>
        <v>1</v>
      </c>
      <c r="B3" s="2">
        <f t="shared" ref="B3:B66" si="1">COUNTIFS($C$3:$C$1025,C3,$O$3:$O$1025,"&gt;"&amp;O3)+1</f>
        <v>1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13.5</v>
      </c>
      <c r="H3" s="3">
        <v>69.67</v>
      </c>
      <c r="I3" s="3">
        <v>7.1</v>
      </c>
      <c r="J3" s="3">
        <f t="shared" ref="J3:J66" si="2">ROUND(SUM(G3:I3),2)</f>
        <v>90.27</v>
      </c>
      <c r="K3" s="3">
        <v>13</v>
      </c>
      <c r="L3" s="3">
        <v>68.429999999999993</v>
      </c>
      <c r="M3" s="3">
        <v>9</v>
      </c>
      <c r="N3" s="3">
        <f t="shared" ref="N3:N66" si="3">ROUND(SUM(K3:M3),2)</f>
        <v>90.43</v>
      </c>
      <c r="O3" s="3">
        <f t="shared" ref="O3:O66" si="4">ROUND(SUM(J3,N3),2)</f>
        <v>180.7</v>
      </c>
      <c r="P3" s="4" t="s">
        <v>19</v>
      </c>
      <c r="Q3" s="5"/>
    </row>
    <row r="4" spans="1:17">
      <c r="A4" s="2">
        <f t="shared" si="0"/>
        <v>2</v>
      </c>
      <c r="B4" s="2">
        <f t="shared" si="1"/>
        <v>1</v>
      </c>
      <c r="C4" s="2" t="s">
        <v>20</v>
      </c>
      <c r="D4" s="2" t="s">
        <v>21</v>
      </c>
      <c r="E4" s="2" t="s">
        <v>22</v>
      </c>
      <c r="F4" s="2" t="s">
        <v>23</v>
      </c>
      <c r="G4" s="3">
        <v>9.8000000000000007</v>
      </c>
      <c r="H4" s="3">
        <v>72.02</v>
      </c>
      <c r="I4" s="3">
        <v>5.0999999999999996</v>
      </c>
      <c r="J4" s="3">
        <f t="shared" si="2"/>
        <v>86.92</v>
      </c>
      <c r="K4" s="3">
        <v>11.3</v>
      </c>
      <c r="L4" s="3">
        <v>73.5</v>
      </c>
      <c r="M4" s="3">
        <v>8.0500000000000007</v>
      </c>
      <c r="N4" s="3">
        <f t="shared" si="3"/>
        <v>92.85</v>
      </c>
      <c r="O4" s="3">
        <f t="shared" si="4"/>
        <v>179.77</v>
      </c>
      <c r="P4" s="4" t="s">
        <v>19</v>
      </c>
      <c r="Q4" s="5"/>
    </row>
    <row r="5" spans="1:17">
      <c r="A5" s="2">
        <f t="shared" si="0"/>
        <v>3</v>
      </c>
      <c r="B5" s="2">
        <f t="shared" si="1"/>
        <v>1</v>
      </c>
      <c r="C5" s="2" t="s">
        <v>24</v>
      </c>
      <c r="D5" s="2" t="s">
        <v>25</v>
      </c>
      <c r="E5" s="2" t="s">
        <v>26</v>
      </c>
      <c r="F5" s="2" t="s">
        <v>27</v>
      </c>
      <c r="G5" s="3">
        <v>10.8</v>
      </c>
      <c r="H5" s="3">
        <v>73.066666666666706</v>
      </c>
      <c r="I5" s="3">
        <v>4.2</v>
      </c>
      <c r="J5" s="3">
        <f t="shared" si="2"/>
        <v>88.07</v>
      </c>
      <c r="K5" s="3">
        <v>10.8</v>
      </c>
      <c r="L5" s="3">
        <v>74.710000000000008</v>
      </c>
      <c r="M5" s="3">
        <v>5.7</v>
      </c>
      <c r="N5" s="3">
        <f t="shared" si="3"/>
        <v>91.21</v>
      </c>
      <c r="O5" s="3">
        <f t="shared" si="4"/>
        <v>179.28</v>
      </c>
      <c r="P5" s="4" t="s">
        <v>28</v>
      </c>
      <c r="Q5" s="5"/>
    </row>
    <row r="6" spans="1:17">
      <c r="A6" s="2">
        <f t="shared" si="0"/>
        <v>4</v>
      </c>
      <c r="B6" s="2">
        <f t="shared" si="1"/>
        <v>2</v>
      </c>
      <c r="C6" s="2" t="s">
        <v>20</v>
      </c>
      <c r="D6" s="2" t="s">
        <v>29</v>
      </c>
      <c r="E6" s="2" t="s">
        <v>30</v>
      </c>
      <c r="F6" s="2" t="s">
        <v>31</v>
      </c>
      <c r="G6" s="3">
        <v>12.5</v>
      </c>
      <c r="H6" s="3">
        <v>69.19</v>
      </c>
      <c r="I6" s="3">
        <v>6.9</v>
      </c>
      <c r="J6" s="3">
        <f t="shared" si="2"/>
        <v>88.59</v>
      </c>
      <c r="K6" s="3">
        <v>11</v>
      </c>
      <c r="L6" s="3">
        <v>70.11999999999999</v>
      </c>
      <c r="M6" s="3">
        <v>8.5</v>
      </c>
      <c r="N6" s="3">
        <f t="shared" si="3"/>
        <v>89.62</v>
      </c>
      <c r="O6" s="3">
        <f t="shared" si="4"/>
        <v>178.21</v>
      </c>
      <c r="P6" s="4" t="s">
        <v>28</v>
      </c>
      <c r="Q6" s="5"/>
    </row>
    <row r="7" spans="1:17">
      <c r="A7" s="2">
        <f t="shared" si="0"/>
        <v>5</v>
      </c>
      <c r="B7" s="2">
        <f t="shared" si="1"/>
        <v>3</v>
      </c>
      <c r="C7" s="2" t="s">
        <v>20</v>
      </c>
      <c r="D7" s="2" t="s">
        <v>32</v>
      </c>
      <c r="E7" s="2" t="s">
        <v>33</v>
      </c>
      <c r="F7" s="2" t="s">
        <v>34</v>
      </c>
      <c r="G7" s="3">
        <v>10.3</v>
      </c>
      <c r="H7" s="3">
        <v>75</v>
      </c>
      <c r="I7" s="3">
        <v>5.0999999999999996</v>
      </c>
      <c r="J7" s="3">
        <f t="shared" si="2"/>
        <v>90.4</v>
      </c>
      <c r="K7" s="3">
        <v>10.8</v>
      </c>
      <c r="L7" s="3">
        <v>70.45</v>
      </c>
      <c r="M7" s="3">
        <v>6.5</v>
      </c>
      <c r="N7" s="3">
        <f t="shared" si="3"/>
        <v>87.75</v>
      </c>
      <c r="O7" s="3">
        <f t="shared" si="4"/>
        <v>178.15</v>
      </c>
      <c r="P7" s="4" t="s">
        <v>35</v>
      </c>
      <c r="Q7" s="5"/>
    </row>
    <row r="8" spans="1:17">
      <c r="A8" s="2">
        <f t="shared" si="0"/>
        <v>6</v>
      </c>
      <c r="B8" s="2">
        <f t="shared" si="1"/>
        <v>4</v>
      </c>
      <c r="C8" s="2" t="s">
        <v>20</v>
      </c>
      <c r="D8" s="2" t="s">
        <v>36</v>
      </c>
      <c r="E8" s="2" t="s">
        <v>37</v>
      </c>
      <c r="F8" s="2" t="s">
        <v>38</v>
      </c>
      <c r="G8" s="3">
        <v>10.6</v>
      </c>
      <c r="H8" s="3">
        <v>72.84</v>
      </c>
      <c r="I8" s="3">
        <v>5.2</v>
      </c>
      <c r="J8" s="3">
        <f t="shared" si="2"/>
        <v>88.64</v>
      </c>
      <c r="K8" s="3">
        <v>10.8</v>
      </c>
      <c r="L8" s="3">
        <v>67.92</v>
      </c>
      <c r="M8" s="3">
        <v>6.85</v>
      </c>
      <c r="N8" s="3">
        <f t="shared" si="3"/>
        <v>85.57</v>
      </c>
      <c r="O8" s="3">
        <f t="shared" si="4"/>
        <v>174.21</v>
      </c>
      <c r="P8" s="4" t="s">
        <v>35</v>
      </c>
      <c r="Q8" s="5"/>
    </row>
    <row r="9" spans="1:17">
      <c r="A9" s="2">
        <f t="shared" si="0"/>
        <v>7</v>
      </c>
      <c r="B9" s="2">
        <f t="shared" si="1"/>
        <v>2</v>
      </c>
      <c r="C9" s="2" t="s">
        <v>15</v>
      </c>
      <c r="D9" s="2" t="s">
        <v>39</v>
      </c>
      <c r="E9" s="2" t="s">
        <v>40</v>
      </c>
      <c r="F9" s="2" t="s">
        <v>41</v>
      </c>
      <c r="G9" s="3">
        <v>11.4</v>
      </c>
      <c r="H9" s="3">
        <v>68.989999999999995</v>
      </c>
      <c r="I9" s="3">
        <v>6.4</v>
      </c>
      <c r="J9" s="3">
        <f t="shared" si="2"/>
        <v>86.79</v>
      </c>
      <c r="K9" s="3">
        <v>9.8000000000000007</v>
      </c>
      <c r="L9" s="3">
        <v>69.459999999999994</v>
      </c>
      <c r="M9" s="3">
        <v>7.9</v>
      </c>
      <c r="N9" s="3">
        <f t="shared" si="3"/>
        <v>87.16</v>
      </c>
      <c r="O9" s="3">
        <f t="shared" si="4"/>
        <v>173.95</v>
      </c>
      <c r="P9" s="4" t="s">
        <v>35</v>
      </c>
      <c r="Q9" s="5"/>
    </row>
    <row r="10" spans="1:17">
      <c r="A10" s="2">
        <f t="shared" si="0"/>
        <v>8</v>
      </c>
      <c r="B10" s="2">
        <f t="shared" si="1"/>
        <v>5</v>
      </c>
      <c r="C10" s="2" t="s">
        <v>20</v>
      </c>
      <c r="D10" s="2" t="s">
        <v>42</v>
      </c>
      <c r="E10" s="2" t="s">
        <v>43</v>
      </c>
      <c r="F10" s="2" t="s">
        <v>44</v>
      </c>
      <c r="G10" s="3">
        <v>11.6</v>
      </c>
      <c r="H10" s="3">
        <v>73.690909090909102</v>
      </c>
      <c r="I10" s="3">
        <v>3.5</v>
      </c>
      <c r="J10" s="3">
        <f t="shared" si="2"/>
        <v>88.79</v>
      </c>
      <c r="K10" s="3">
        <v>9.8000000000000007</v>
      </c>
      <c r="L10" s="3">
        <v>70.430000000000007</v>
      </c>
      <c r="M10" s="3">
        <v>4.9000000000000004</v>
      </c>
      <c r="N10" s="3">
        <f t="shared" si="3"/>
        <v>85.13</v>
      </c>
      <c r="O10" s="3">
        <f t="shared" si="4"/>
        <v>173.92</v>
      </c>
      <c r="P10" s="4" t="s">
        <v>35</v>
      </c>
      <c r="Q10" s="5"/>
    </row>
    <row r="11" spans="1:17">
      <c r="A11" s="2">
        <f t="shared" si="0"/>
        <v>9</v>
      </c>
      <c r="B11" s="2">
        <f t="shared" si="1"/>
        <v>1</v>
      </c>
      <c r="C11" s="2" t="s">
        <v>45</v>
      </c>
      <c r="D11" s="2" t="s">
        <v>46</v>
      </c>
      <c r="E11" s="2" t="s">
        <v>47</v>
      </c>
      <c r="F11" s="2" t="s">
        <v>48</v>
      </c>
      <c r="G11" s="3">
        <v>10.3</v>
      </c>
      <c r="H11" s="3">
        <v>72</v>
      </c>
      <c r="I11" s="3">
        <v>3.2</v>
      </c>
      <c r="J11" s="3">
        <f t="shared" si="2"/>
        <v>85.5</v>
      </c>
      <c r="K11" s="3">
        <v>9.8000000000000007</v>
      </c>
      <c r="L11" s="3">
        <v>70.95</v>
      </c>
      <c r="M11" s="3">
        <v>7.05</v>
      </c>
      <c r="N11" s="3">
        <f t="shared" si="3"/>
        <v>87.8</v>
      </c>
      <c r="O11" s="3">
        <f t="shared" si="4"/>
        <v>173.3</v>
      </c>
      <c r="P11" s="4" t="s">
        <v>35</v>
      </c>
      <c r="Q11" s="5"/>
    </row>
    <row r="12" spans="1:17">
      <c r="A12" s="2">
        <f t="shared" si="0"/>
        <v>10</v>
      </c>
      <c r="B12" s="2">
        <f t="shared" si="1"/>
        <v>2</v>
      </c>
      <c r="C12" s="2" t="s">
        <v>24</v>
      </c>
      <c r="D12" s="2" t="s">
        <v>49</v>
      </c>
      <c r="E12" s="2" t="s">
        <v>50</v>
      </c>
      <c r="F12" s="2" t="s">
        <v>51</v>
      </c>
      <c r="G12" s="3">
        <v>12</v>
      </c>
      <c r="H12" s="3">
        <v>69.304878048780495</v>
      </c>
      <c r="I12" s="3">
        <v>3.6</v>
      </c>
      <c r="J12" s="3">
        <f t="shared" si="2"/>
        <v>84.9</v>
      </c>
      <c r="K12" s="3">
        <v>12</v>
      </c>
      <c r="L12" s="3">
        <v>70.13</v>
      </c>
      <c r="M12" s="3">
        <v>4.3</v>
      </c>
      <c r="N12" s="3">
        <f t="shared" si="3"/>
        <v>86.43</v>
      </c>
      <c r="O12" s="3">
        <f t="shared" si="4"/>
        <v>171.33</v>
      </c>
      <c r="P12" s="4" t="s">
        <v>35</v>
      </c>
      <c r="Q12" s="5"/>
    </row>
    <row r="13" spans="1:17">
      <c r="A13" s="2">
        <f t="shared" si="0"/>
        <v>11</v>
      </c>
      <c r="B13" s="2">
        <f t="shared" si="1"/>
        <v>3</v>
      </c>
      <c r="C13" s="2" t="s">
        <v>24</v>
      </c>
      <c r="D13" s="2" t="s">
        <v>49</v>
      </c>
      <c r="E13" s="2" t="s">
        <v>52</v>
      </c>
      <c r="F13" s="2" t="s">
        <v>53</v>
      </c>
      <c r="G13" s="3">
        <v>10.3</v>
      </c>
      <c r="H13" s="3">
        <v>67.902439024390205</v>
      </c>
      <c r="I13" s="3">
        <v>4.7</v>
      </c>
      <c r="J13" s="3">
        <f t="shared" si="2"/>
        <v>82.9</v>
      </c>
      <c r="K13" s="3">
        <v>11.3</v>
      </c>
      <c r="L13" s="3">
        <v>70.650000000000006</v>
      </c>
      <c r="M13" s="3">
        <v>6.4</v>
      </c>
      <c r="N13" s="3">
        <f t="shared" si="3"/>
        <v>88.35</v>
      </c>
      <c r="O13" s="3">
        <f t="shared" si="4"/>
        <v>171.25</v>
      </c>
      <c r="P13" s="4" t="s">
        <v>35</v>
      </c>
      <c r="Q13" s="5"/>
    </row>
    <row r="14" spans="1:17">
      <c r="A14" s="2">
        <f t="shared" si="0"/>
        <v>12</v>
      </c>
      <c r="B14" s="2">
        <f t="shared" si="1"/>
        <v>2</v>
      </c>
      <c r="C14" s="2" t="s">
        <v>45</v>
      </c>
      <c r="D14" s="2" t="s">
        <v>54</v>
      </c>
      <c r="E14" s="2" t="s">
        <v>55</v>
      </c>
      <c r="F14" s="2" t="s">
        <v>56</v>
      </c>
      <c r="G14" s="3">
        <v>10.8</v>
      </c>
      <c r="H14" s="3">
        <v>69.709999999999994</v>
      </c>
      <c r="I14" s="3">
        <v>4.2</v>
      </c>
      <c r="J14" s="3">
        <f t="shared" si="2"/>
        <v>84.71</v>
      </c>
      <c r="K14" s="3">
        <v>9.8000000000000007</v>
      </c>
      <c r="L14" s="3">
        <v>68.58</v>
      </c>
      <c r="M14" s="3">
        <v>8</v>
      </c>
      <c r="N14" s="3">
        <f t="shared" si="3"/>
        <v>86.38</v>
      </c>
      <c r="O14" s="3">
        <f t="shared" si="4"/>
        <v>171.09</v>
      </c>
      <c r="P14" s="4" t="s">
        <v>35</v>
      </c>
      <c r="Q14" s="5" t="s">
        <v>57</v>
      </c>
    </row>
    <row r="15" spans="1:17">
      <c r="A15" s="2">
        <f t="shared" si="0"/>
        <v>13</v>
      </c>
      <c r="B15" s="2">
        <f t="shared" si="1"/>
        <v>4</v>
      </c>
      <c r="C15" s="2" t="s">
        <v>24</v>
      </c>
      <c r="D15" s="2" t="s">
        <v>58</v>
      </c>
      <c r="E15" s="2" t="s">
        <v>59</v>
      </c>
      <c r="F15" s="2" t="s">
        <v>60</v>
      </c>
      <c r="G15" s="3">
        <v>10.8</v>
      </c>
      <c r="H15" s="3">
        <v>67.633333333333297</v>
      </c>
      <c r="I15" s="3">
        <v>5.5</v>
      </c>
      <c r="J15" s="3">
        <f t="shared" si="2"/>
        <v>83.93</v>
      </c>
      <c r="K15" s="3">
        <v>10</v>
      </c>
      <c r="L15" s="3">
        <v>71.75</v>
      </c>
      <c r="M15" s="3">
        <v>5.4</v>
      </c>
      <c r="N15" s="3">
        <f t="shared" si="3"/>
        <v>87.15</v>
      </c>
      <c r="O15" s="3">
        <f t="shared" si="4"/>
        <v>171.08</v>
      </c>
      <c r="P15" s="4" t="s">
        <v>35</v>
      </c>
      <c r="Q15" s="5"/>
    </row>
    <row r="16" spans="1:17">
      <c r="A16" s="2">
        <f t="shared" si="0"/>
        <v>14</v>
      </c>
      <c r="B16" s="2">
        <f t="shared" si="1"/>
        <v>3</v>
      </c>
      <c r="C16" s="2" t="s">
        <v>45</v>
      </c>
      <c r="D16" s="2" t="s">
        <v>46</v>
      </c>
      <c r="E16" s="2" t="s">
        <v>61</v>
      </c>
      <c r="F16" s="2" t="s">
        <v>62</v>
      </c>
      <c r="G16" s="3">
        <v>11.3</v>
      </c>
      <c r="H16" s="3">
        <v>71.16</v>
      </c>
      <c r="I16" s="3">
        <v>4.7</v>
      </c>
      <c r="J16" s="3">
        <f t="shared" si="2"/>
        <v>87.16</v>
      </c>
      <c r="K16" s="3">
        <v>9.8000000000000007</v>
      </c>
      <c r="L16" s="3">
        <v>68.540000000000006</v>
      </c>
      <c r="M16" s="3">
        <v>5.5</v>
      </c>
      <c r="N16" s="3">
        <f t="shared" si="3"/>
        <v>83.84</v>
      </c>
      <c r="O16" s="3">
        <f t="shared" si="4"/>
        <v>171</v>
      </c>
      <c r="P16" s="4" t="s">
        <v>35</v>
      </c>
      <c r="Q16" s="5"/>
    </row>
    <row r="17" spans="1:17">
      <c r="A17" s="2">
        <f t="shared" si="0"/>
        <v>15</v>
      </c>
      <c r="B17" s="2">
        <f t="shared" si="1"/>
        <v>6</v>
      </c>
      <c r="C17" s="2" t="s">
        <v>20</v>
      </c>
      <c r="D17" s="2" t="s">
        <v>21</v>
      </c>
      <c r="E17" s="2" t="s">
        <v>63</v>
      </c>
      <c r="F17" s="2" t="s">
        <v>64</v>
      </c>
      <c r="G17" s="3">
        <v>11</v>
      </c>
      <c r="H17" s="3">
        <v>73.14</v>
      </c>
      <c r="I17" s="3">
        <v>3.8</v>
      </c>
      <c r="J17" s="3">
        <f t="shared" si="2"/>
        <v>87.94</v>
      </c>
      <c r="K17" s="3">
        <v>10</v>
      </c>
      <c r="L17" s="3">
        <v>68.5</v>
      </c>
      <c r="M17" s="3">
        <v>4</v>
      </c>
      <c r="N17" s="3">
        <f t="shared" si="3"/>
        <v>82.5</v>
      </c>
      <c r="O17" s="3">
        <f t="shared" si="4"/>
        <v>170.44</v>
      </c>
      <c r="P17" s="4" t="s">
        <v>35</v>
      </c>
      <c r="Q17" s="5"/>
    </row>
    <row r="18" spans="1:17">
      <c r="A18" s="2">
        <f t="shared" si="0"/>
        <v>16</v>
      </c>
      <c r="B18" s="2">
        <f t="shared" si="1"/>
        <v>7</v>
      </c>
      <c r="C18" s="2" t="s">
        <v>20</v>
      </c>
      <c r="D18" s="2" t="s">
        <v>65</v>
      </c>
      <c r="E18" s="2" t="s">
        <v>66</v>
      </c>
      <c r="F18" s="2" t="s">
        <v>67</v>
      </c>
      <c r="G18" s="3">
        <v>11.1</v>
      </c>
      <c r="H18" s="3">
        <v>69.239999999999995</v>
      </c>
      <c r="I18" s="3">
        <v>4.9000000000000004</v>
      </c>
      <c r="J18" s="3">
        <f t="shared" si="2"/>
        <v>85.24</v>
      </c>
      <c r="K18" s="3">
        <v>9.8000000000000007</v>
      </c>
      <c r="L18" s="3">
        <v>68.08</v>
      </c>
      <c r="M18" s="3">
        <v>7.2</v>
      </c>
      <c r="N18" s="3">
        <f t="shared" si="3"/>
        <v>85.08</v>
      </c>
      <c r="O18" s="3">
        <f t="shared" si="4"/>
        <v>170.32</v>
      </c>
      <c r="P18" s="4" t="s">
        <v>35</v>
      </c>
      <c r="Q18" s="5"/>
    </row>
    <row r="19" spans="1:17">
      <c r="A19" s="2">
        <f t="shared" si="0"/>
        <v>17</v>
      </c>
      <c r="B19" s="2">
        <f t="shared" si="1"/>
        <v>8</v>
      </c>
      <c r="C19" s="2" t="s">
        <v>20</v>
      </c>
      <c r="D19" s="2" t="s">
        <v>65</v>
      </c>
      <c r="E19" s="2" t="s">
        <v>68</v>
      </c>
      <c r="F19" s="2" t="s">
        <v>69</v>
      </c>
      <c r="G19" s="3">
        <v>10.8</v>
      </c>
      <c r="H19" s="3">
        <v>73.7</v>
      </c>
      <c r="I19" s="3">
        <v>4</v>
      </c>
      <c r="J19" s="3">
        <f t="shared" si="2"/>
        <v>88.5</v>
      </c>
      <c r="K19" s="3">
        <v>7.3000000000000007</v>
      </c>
      <c r="L19" s="3">
        <v>70.23</v>
      </c>
      <c r="M19" s="3">
        <v>4</v>
      </c>
      <c r="N19" s="3">
        <f t="shared" si="3"/>
        <v>81.53</v>
      </c>
      <c r="O19" s="3">
        <f t="shared" si="4"/>
        <v>170.03</v>
      </c>
      <c r="P19" s="4" t="s">
        <v>35</v>
      </c>
      <c r="Q19" s="5"/>
    </row>
    <row r="20" spans="1:17">
      <c r="A20" s="2">
        <f t="shared" si="0"/>
        <v>18</v>
      </c>
      <c r="B20" s="2">
        <f t="shared" si="1"/>
        <v>3</v>
      </c>
      <c r="C20" s="2" t="s">
        <v>15</v>
      </c>
      <c r="D20" s="2" t="s">
        <v>39</v>
      </c>
      <c r="E20" s="2" t="s">
        <v>70</v>
      </c>
      <c r="F20" s="2" t="s">
        <v>71</v>
      </c>
      <c r="G20" s="3">
        <v>9.8000000000000007</v>
      </c>
      <c r="H20" s="3">
        <v>69.88</v>
      </c>
      <c r="I20" s="3">
        <v>5.2</v>
      </c>
      <c r="J20" s="3">
        <f t="shared" si="2"/>
        <v>84.88</v>
      </c>
      <c r="K20" s="3">
        <v>9.8000000000000007</v>
      </c>
      <c r="L20" s="3">
        <v>67.08</v>
      </c>
      <c r="M20" s="3">
        <v>7.5</v>
      </c>
      <c r="N20" s="3">
        <f t="shared" si="3"/>
        <v>84.38</v>
      </c>
      <c r="O20" s="3">
        <f t="shared" si="4"/>
        <v>169.26</v>
      </c>
      <c r="P20" s="4" t="s">
        <v>72</v>
      </c>
      <c r="Q20" s="5"/>
    </row>
    <row r="21" spans="1:17">
      <c r="A21" s="2">
        <f t="shared" si="0"/>
        <v>19</v>
      </c>
      <c r="B21" s="2">
        <f t="shared" si="1"/>
        <v>4</v>
      </c>
      <c r="C21" s="2" t="s">
        <v>45</v>
      </c>
      <c r="D21" s="2" t="s">
        <v>73</v>
      </c>
      <c r="E21" s="2" t="s">
        <v>74</v>
      </c>
      <c r="F21" s="2" t="s">
        <v>75</v>
      </c>
      <c r="G21" s="3">
        <v>10.8</v>
      </c>
      <c r="H21" s="3">
        <v>71.33</v>
      </c>
      <c r="I21" s="3">
        <v>4</v>
      </c>
      <c r="J21" s="3">
        <f t="shared" si="2"/>
        <v>86.13</v>
      </c>
      <c r="K21" s="3">
        <v>10.8</v>
      </c>
      <c r="L21" s="3">
        <v>66.95</v>
      </c>
      <c r="M21" s="3">
        <v>5.35</v>
      </c>
      <c r="N21" s="3">
        <f t="shared" si="3"/>
        <v>83.1</v>
      </c>
      <c r="O21" s="3">
        <f t="shared" si="4"/>
        <v>169.23</v>
      </c>
      <c r="P21" s="4" t="s">
        <v>35</v>
      </c>
      <c r="Q21" s="5"/>
    </row>
    <row r="22" spans="1:17">
      <c r="A22" s="2">
        <f t="shared" si="0"/>
        <v>20</v>
      </c>
      <c r="B22" s="2">
        <f t="shared" si="1"/>
        <v>5</v>
      </c>
      <c r="C22" s="2" t="s">
        <v>24</v>
      </c>
      <c r="D22" s="2" t="s">
        <v>76</v>
      </c>
      <c r="E22" s="2" t="s">
        <v>77</v>
      </c>
      <c r="F22" s="2" t="s">
        <v>78</v>
      </c>
      <c r="G22" s="3">
        <v>9.8000000000000007</v>
      </c>
      <c r="H22" s="3">
        <v>71.232558139534902</v>
      </c>
      <c r="I22" s="3">
        <v>5.2</v>
      </c>
      <c r="J22" s="3">
        <f t="shared" si="2"/>
        <v>86.23</v>
      </c>
      <c r="K22" s="3">
        <v>9</v>
      </c>
      <c r="L22" s="3">
        <v>68.5</v>
      </c>
      <c r="M22" s="3">
        <v>5.2</v>
      </c>
      <c r="N22" s="3">
        <f t="shared" si="3"/>
        <v>82.7</v>
      </c>
      <c r="O22" s="3">
        <f t="shared" si="4"/>
        <v>168.93</v>
      </c>
      <c r="P22" s="4" t="s">
        <v>79</v>
      </c>
      <c r="Q22" s="5"/>
    </row>
    <row r="23" spans="1:17">
      <c r="A23" s="2">
        <f t="shared" si="0"/>
        <v>21</v>
      </c>
      <c r="B23" s="2">
        <f t="shared" si="1"/>
        <v>4</v>
      </c>
      <c r="C23" s="2" t="s">
        <v>15</v>
      </c>
      <c r="D23" s="2" t="s">
        <v>16</v>
      </c>
      <c r="E23" s="2" t="s">
        <v>80</v>
      </c>
      <c r="F23" s="2" t="s">
        <v>81</v>
      </c>
      <c r="G23" s="3">
        <v>9.8000000000000007</v>
      </c>
      <c r="H23" s="3">
        <v>67</v>
      </c>
      <c r="I23" s="3">
        <v>5.0999999999999996</v>
      </c>
      <c r="J23" s="3">
        <f t="shared" si="2"/>
        <v>81.900000000000006</v>
      </c>
      <c r="K23" s="3">
        <v>9.8000000000000007</v>
      </c>
      <c r="L23" s="3">
        <v>70.02</v>
      </c>
      <c r="M23" s="3">
        <v>6.9</v>
      </c>
      <c r="N23" s="3">
        <f t="shared" si="3"/>
        <v>86.72</v>
      </c>
      <c r="O23" s="3">
        <f t="shared" si="4"/>
        <v>168.62</v>
      </c>
      <c r="P23" s="4" t="s">
        <v>35</v>
      </c>
      <c r="Q23" s="5"/>
    </row>
    <row r="24" spans="1:17">
      <c r="A24" s="2">
        <f t="shared" si="0"/>
        <v>22</v>
      </c>
      <c r="B24" s="2">
        <f t="shared" si="1"/>
        <v>9</v>
      </c>
      <c r="C24" s="2" t="s">
        <v>20</v>
      </c>
      <c r="D24" s="2" t="s">
        <v>82</v>
      </c>
      <c r="E24" s="2" t="s">
        <v>83</v>
      </c>
      <c r="F24" s="2" t="s">
        <v>84</v>
      </c>
      <c r="G24" s="3">
        <v>11.3</v>
      </c>
      <c r="H24" s="3">
        <v>68.323529411764696</v>
      </c>
      <c r="I24" s="3">
        <v>5.5</v>
      </c>
      <c r="J24" s="3">
        <f t="shared" si="2"/>
        <v>85.12</v>
      </c>
      <c r="K24" s="3">
        <v>11</v>
      </c>
      <c r="L24" s="3">
        <v>67.22</v>
      </c>
      <c r="M24" s="3">
        <v>5.0999999999999996</v>
      </c>
      <c r="N24" s="3">
        <f t="shared" si="3"/>
        <v>83.32</v>
      </c>
      <c r="O24" s="3">
        <f t="shared" si="4"/>
        <v>168.44</v>
      </c>
      <c r="P24" s="4" t="s">
        <v>35</v>
      </c>
      <c r="Q24" s="5"/>
    </row>
    <row r="25" spans="1:17">
      <c r="A25" s="2">
        <f t="shared" si="0"/>
        <v>23</v>
      </c>
      <c r="B25" s="2">
        <f t="shared" si="1"/>
        <v>10</v>
      </c>
      <c r="C25" s="2" t="s">
        <v>20</v>
      </c>
      <c r="D25" s="2" t="s">
        <v>21</v>
      </c>
      <c r="E25" s="2" t="s">
        <v>85</v>
      </c>
      <c r="F25" s="2" t="s">
        <v>86</v>
      </c>
      <c r="G25" s="3">
        <v>11.3</v>
      </c>
      <c r="H25" s="3">
        <v>69.77</v>
      </c>
      <c r="I25" s="3">
        <v>5.0999999999999996</v>
      </c>
      <c r="J25" s="3">
        <f t="shared" si="2"/>
        <v>86.17</v>
      </c>
      <c r="K25" s="3">
        <v>10.8</v>
      </c>
      <c r="L25" s="3">
        <v>66</v>
      </c>
      <c r="M25" s="3">
        <v>5.3</v>
      </c>
      <c r="N25" s="3">
        <f t="shared" si="3"/>
        <v>82.1</v>
      </c>
      <c r="O25" s="3">
        <f t="shared" si="4"/>
        <v>168.27</v>
      </c>
      <c r="P25" s="4" t="s">
        <v>79</v>
      </c>
      <c r="Q25" s="5"/>
    </row>
    <row r="26" spans="1:17">
      <c r="A26" s="2">
        <f t="shared" si="0"/>
        <v>24</v>
      </c>
      <c r="B26" s="2">
        <f t="shared" si="1"/>
        <v>11</v>
      </c>
      <c r="C26" s="2" t="s">
        <v>20</v>
      </c>
      <c r="D26" s="2" t="s">
        <v>36</v>
      </c>
      <c r="E26" s="2" t="s">
        <v>87</v>
      </c>
      <c r="F26" s="2" t="s">
        <v>88</v>
      </c>
      <c r="G26" s="3">
        <v>10</v>
      </c>
      <c r="H26" s="3">
        <v>73.8</v>
      </c>
      <c r="I26" s="3">
        <v>4</v>
      </c>
      <c r="J26" s="3">
        <f t="shared" si="2"/>
        <v>87.8</v>
      </c>
      <c r="K26" s="3">
        <v>10</v>
      </c>
      <c r="L26" s="3">
        <v>66.959999999999994</v>
      </c>
      <c r="M26" s="3">
        <v>3.5</v>
      </c>
      <c r="N26" s="3">
        <f t="shared" si="3"/>
        <v>80.459999999999994</v>
      </c>
      <c r="O26" s="3">
        <f t="shared" si="4"/>
        <v>168.26</v>
      </c>
      <c r="P26" s="4" t="s">
        <v>79</v>
      </c>
      <c r="Q26" s="5"/>
    </row>
    <row r="27" spans="1:17">
      <c r="A27" s="2">
        <f t="shared" si="0"/>
        <v>25</v>
      </c>
      <c r="B27" s="2">
        <f t="shared" si="1"/>
        <v>5</v>
      </c>
      <c r="C27" s="2" t="s">
        <v>45</v>
      </c>
      <c r="D27" s="2" t="s">
        <v>89</v>
      </c>
      <c r="E27" s="2" t="s">
        <v>90</v>
      </c>
      <c r="F27" s="2" t="s">
        <v>91</v>
      </c>
      <c r="G27" s="3">
        <v>10.8</v>
      </c>
      <c r="H27" s="3">
        <v>69.709999999999994</v>
      </c>
      <c r="I27" s="3">
        <v>5</v>
      </c>
      <c r="J27" s="3">
        <f t="shared" si="2"/>
        <v>85.51</v>
      </c>
      <c r="K27" s="3">
        <v>11.3</v>
      </c>
      <c r="L27" s="3">
        <v>65.150000000000006</v>
      </c>
      <c r="M27" s="3">
        <v>6</v>
      </c>
      <c r="N27" s="3">
        <f t="shared" si="3"/>
        <v>82.45</v>
      </c>
      <c r="O27" s="3">
        <f t="shared" si="4"/>
        <v>167.96</v>
      </c>
      <c r="P27" s="4" t="s">
        <v>35</v>
      </c>
      <c r="Q27" s="5"/>
    </row>
    <row r="28" spans="1:17">
      <c r="A28" s="2">
        <f t="shared" si="0"/>
        <v>26</v>
      </c>
      <c r="B28" s="2">
        <f t="shared" si="1"/>
        <v>6</v>
      </c>
      <c r="C28" s="2" t="s">
        <v>24</v>
      </c>
      <c r="D28" s="2" t="s">
        <v>25</v>
      </c>
      <c r="E28" s="2" t="s">
        <v>92</v>
      </c>
      <c r="F28" s="2" t="s">
        <v>93</v>
      </c>
      <c r="G28" s="3">
        <v>9.8000000000000007</v>
      </c>
      <c r="H28" s="3">
        <v>68.573170731707293</v>
      </c>
      <c r="I28" s="3">
        <v>4.2</v>
      </c>
      <c r="J28" s="3">
        <f t="shared" si="2"/>
        <v>82.57</v>
      </c>
      <c r="K28" s="3">
        <v>9.8000000000000007</v>
      </c>
      <c r="L28" s="3">
        <v>71.45</v>
      </c>
      <c r="M28" s="3">
        <v>4</v>
      </c>
      <c r="N28" s="3">
        <f t="shared" si="3"/>
        <v>85.25</v>
      </c>
      <c r="O28" s="3">
        <f t="shared" si="4"/>
        <v>167.82</v>
      </c>
      <c r="P28" s="4" t="s">
        <v>79</v>
      </c>
      <c r="Q28" s="5"/>
    </row>
    <row r="29" spans="1:17">
      <c r="A29" s="2">
        <f t="shared" si="0"/>
        <v>27</v>
      </c>
      <c r="B29" s="2">
        <f t="shared" si="1"/>
        <v>12</v>
      </c>
      <c r="C29" s="2" t="s">
        <v>20</v>
      </c>
      <c r="D29" s="2" t="s">
        <v>21</v>
      </c>
      <c r="E29" s="2" t="s">
        <v>94</v>
      </c>
      <c r="F29" s="2" t="s">
        <v>95</v>
      </c>
      <c r="G29" s="3">
        <v>11</v>
      </c>
      <c r="H29" s="3">
        <v>63.77</v>
      </c>
      <c r="I29" s="3">
        <v>5.7</v>
      </c>
      <c r="J29" s="3">
        <f t="shared" si="2"/>
        <v>80.47</v>
      </c>
      <c r="K29" s="3">
        <v>11</v>
      </c>
      <c r="L29" s="3">
        <v>67.570000000000007</v>
      </c>
      <c r="M29" s="3">
        <v>7.85</v>
      </c>
      <c r="N29" s="3">
        <f t="shared" si="3"/>
        <v>86.42</v>
      </c>
      <c r="O29" s="3">
        <f t="shared" si="4"/>
        <v>166.89</v>
      </c>
      <c r="P29" s="4" t="s">
        <v>79</v>
      </c>
      <c r="Q29" s="5"/>
    </row>
    <row r="30" spans="1:17">
      <c r="A30" s="2">
        <f t="shared" si="0"/>
        <v>28</v>
      </c>
      <c r="B30" s="2">
        <f t="shared" si="1"/>
        <v>6</v>
      </c>
      <c r="C30" s="2" t="s">
        <v>45</v>
      </c>
      <c r="D30" s="2" t="s">
        <v>96</v>
      </c>
      <c r="E30" s="2" t="s">
        <v>97</v>
      </c>
      <c r="F30" s="2" t="s">
        <v>98</v>
      </c>
      <c r="G30" s="3">
        <v>9.8000000000000007</v>
      </c>
      <c r="H30" s="3">
        <v>69.069999999999993</v>
      </c>
      <c r="I30" s="3">
        <v>5.8</v>
      </c>
      <c r="J30" s="3">
        <f t="shared" si="2"/>
        <v>84.67</v>
      </c>
      <c r="K30" s="3">
        <v>10</v>
      </c>
      <c r="L30" s="3">
        <v>63.3</v>
      </c>
      <c r="M30" s="3">
        <v>8.9</v>
      </c>
      <c r="N30" s="3">
        <f t="shared" si="3"/>
        <v>82.2</v>
      </c>
      <c r="O30" s="3">
        <f t="shared" si="4"/>
        <v>166.87</v>
      </c>
      <c r="P30" s="4" t="s">
        <v>35</v>
      </c>
      <c r="Q30" s="5"/>
    </row>
    <row r="31" spans="1:17">
      <c r="A31" s="2">
        <f t="shared" si="0"/>
        <v>29</v>
      </c>
      <c r="B31" s="2">
        <f t="shared" si="1"/>
        <v>13</v>
      </c>
      <c r="C31" s="2" t="s">
        <v>20</v>
      </c>
      <c r="D31" s="2" t="s">
        <v>36</v>
      </c>
      <c r="E31" s="2" t="s">
        <v>99</v>
      </c>
      <c r="F31" s="2" t="s">
        <v>100</v>
      </c>
      <c r="G31" s="3">
        <v>10.8</v>
      </c>
      <c r="H31" s="3">
        <v>67.069999999999993</v>
      </c>
      <c r="I31" s="3">
        <v>5</v>
      </c>
      <c r="J31" s="3">
        <f t="shared" si="2"/>
        <v>82.87</v>
      </c>
      <c r="K31" s="3">
        <v>10.8</v>
      </c>
      <c r="L31" s="3">
        <v>64.86</v>
      </c>
      <c r="M31" s="3">
        <v>8.3000000000000007</v>
      </c>
      <c r="N31" s="3">
        <f t="shared" si="3"/>
        <v>83.96</v>
      </c>
      <c r="O31" s="3">
        <f t="shared" si="4"/>
        <v>166.83</v>
      </c>
      <c r="P31" s="4" t="s">
        <v>79</v>
      </c>
      <c r="Q31" s="5"/>
    </row>
    <row r="32" spans="1:17">
      <c r="A32" s="2">
        <f t="shared" si="0"/>
        <v>30</v>
      </c>
      <c r="B32" s="2">
        <f t="shared" si="1"/>
        <v>7</v>
      </c>
      <c r="C32" s="2" t="s">
        <v>24</v>
      </c>
      <c r="D32" s="2" t="s">
        <v>76</v>
      </c>
      <c r="E32" s="2" t="s">
        <v>101</v>
      </c>
      <c r="F32" s="2" t="s">
        <v>102</v>
      </c>
      <c r="G32" s="3">
        <v>13.1</v>
      </c>
      <c r="H32" s="3">
        <v>70.646341463414601</v>
      </c>
      <c r="I32" s="3">
        <v>4.5</v>
      </c>
      <c r="J32" s="3">
        <f t="shared" si="2"/>
        <v>88.25</v>
      </c>
      <c r="K32" s="3">
        <v>11</v>
      </c>
      <c r="L32" s="3">
        <v>61.75</v>
      </c>
      <c r="M32" s="3">
        <v>5.4</v>
      </c>
      <c r="N32" s="3">
        <f t="shared" si="3"/>
        <v>78.150000000000006</v>
      </c>
      <c r="O32" s="3">
        <f t="shared" si="4"/>
        <v>166.4</v>
      </c>
      <c r="P32" s="4" t="s">
        <v>79</v>
      </c>
      <c r="Q32" s="5"/>
    </row>
    <row r="33" spans="1:17">
      <c r="A33" s="2">
        <f t="shared" si="0"/>
        <v>31</v>
      </c>
      <c r="B33" s="2">
        <f t="shared" si="1"/>
        <v>7</v>
      </c>
      <c r="C33" s="2" t="s">
        <v>45</v>
      </c>
      <c r="D33" s="2" t="s">
        <v>89</v>
      </c>
      <c r="E33" s="2" t="s">
        <v>103</v>
      </c>
      <c r="F33" s="2" t="s">
        <v>104</v>
      </c>
      <c r="G33" s="3">
        <v>9.8000000000000007</v>
      </c>
      <c r="H33" s="3">
        <v>70.97</v>
      </c>
      <c r="I33" s="3">
        <v>5.3</v>
      </c>
      <c r="J33" s="3">
        <f t="shared" si="2"/>
        <v>86.07</v>
      </c>
      <c r="K33" s="3">
        <v>9.8000000000000007</v>
      </c>
      <c r="L33" s="3">
        <v>64.72</v>
      </c>
      <c r="M33" s="3">
        <v>5.8</v>
      </c>
      <c r="N33" s="3">
        <f t="shared" si="3"/>
        <v>80.319999999999993</v>
      </c>
      <c r="O33" s="3">
        <f t="shared" si="4"/>
        <v>166.39</v>
      </c>
      <c r="P33" s="4" t="s">
        <v>35</v>
      </c>
      <c r="Q33" s="5"/>
    </row>
    <row r="34" spans="1:17">
      <c r="A34" s="2">
        <f t="shared" si="0"/>
        <v>32</v>
      </c>
      <c r="B34" s="2">
        <f t="shared" si="1"/>
        <v>8</v>
      </c>
      <c r="C34" s="2" t="s">
        <v>24</v>
      </c>
      <c r="D34" s="2" t="s">
        <v>49</v>
      </c>
      <c r="E34" s="2" t="s">
        <v>105</v>
      </c>
      <c r="F34" s="2" t="s">
        <v>106</v>
      </c>
      <c r="G34" s="3">
        <v>12.8</v>
      </c>
      <c r="H34" s="3">
        <v>66.533333333333303</v>
      </c>
      <c r="I34" s="3">
        <v>5.8</v>
      </c>
      <c r="J34" s="3">
        <f t="shared" si="2"/>
        <v>85.13</v>
      </c>
      <c r="K34" s="3">
        <v>11.3</v>
      </c>
      <c r="L34" s="3">
        <v>61.55</v>
      </c>
      <c r="M34" s="3">
        <v>8.4</v>
      </c>
      <c r="N34" s="3">
        <f t="shared" si="3"/>
        <v>81.25</v>
      </c>
      <c r="O34" s="3">
        <f t="shared" si="4"/>
        <v>166.38</v>
      </c>
      <c r="P34" s="2"/>
      <c r="Q34" s="5"/>
    </row>
    <row r="35" spans="1:17">
      <c r="A35" s="2">
        <f t="shared" si="0"/>
        <v>33</v>
      </c>
      <c r="B35" s="2">
        <f t="shared" si="1"/>
        <v>14</v>
      </c>
      <c r="C35" s="2" t="s">
        <v>20</v>
      </c>
      <c r="D35" s="2" t="s">
        <v>29</v>
      </c>
      <c r="E35" s="2" t="s">
        <v>107</v>
      </c>
      <c r="F35" s="2" t="s">
        <v>108</v>
      </c>
      <c r="G35" s="3">
        <v>12.8</v>
      </c>
      <c r="H35" s="3">
        <v>67.17</v>
      </c>
      <c r="I35" s="3">
        <v>5.5</v>
      </c>
      <c r="J35" s="3">
        <f t="shared" si="2"/>
        <v>85.47</v>
      </c>
      <c r="K35" s="3">
        <v>11.3</v>
      </c>
      <c r="L35" s="3">
        <v>60.47</v>
      </c>
      <c r="M35" s="3">
        <v>9</v>
      </c>
      <c r="N35" s="3">
        <f t="shared" si="3"/>
        <v>80.77</v>
      </c>
      <c r="O35" s="3">
        <f t="shared" si="4"/>
        <v>166.24</v>
      </c>
      <c r="P35" s="4" t="s">
        <v>79</v>
      </c>
      <c r="Q35" s="5"/>
    </row>
    <row r="36" spans="1:17">
      <c r="A36" s="2">
        <f t="shared" si="0"/>
        <v>34</v>
      </c>
      <c r="B36" s="2">
        <f t="shared" si="1"/>
        <v>8</v>
      </c>
      <c r="C36" s="2" t="s">
        <v>45</v>
      </c>
      <c r="D36" s="2" t="s">
        <v>109</v>
      </c>
      <c r="E36" s="2" t="s">
        <v>110</v>
      </c>
      <c r="F36" s="2" t="s">
        <v>111</v>
      </c>
      <c r="G36" s="3">
        <v>9.8000000000000007</v>
      </c>
      <c r="H36" s="3">
        <v>70.8</v>
      </c>
      <c r="I36" s="3">
        <v>3.2</v>
      </c>
      <c r="J36" s="3">
        <f t="shared" si="2"/>
        <v>83.8</v>
      </c>
      <c r="K36" s="3">
        <v>9.8000000000000007</v>
      </c>
      <c r="L36" s="3">
        <v>68.319999999999993</v>
      </c>
      <c r="M36" s="3">
        <v>4.2</v>
      </c>
      <c r="N36" s="3">
        <f t="shared" si="3"/>
        <v>82.32</v>
      </c>
      <c r="O36" s="3">
        <f t="shared" si="4"/>
        <v>166.12</v>
      </c>
      <c r="P36" s="4" t="s">
        <v>79</v>
      </c>
      <c r="Q36" s="5"/>
    </row>
    <row r="37" spans="1:17">
      <c r="A37" s="2">
        <f t="shared" si="0"/>
        <v>35</v>
      </c>
      <c r="B37" s="2">
        <f t="shared" si="1"/>
        <v>5</v>
      </c>
      <c r="C37" s="2" t="s">
        <v>15</v>
      </c>
      <c r="D37" s="2" t="s">
        <v>16</v>
      </c>
      <c r="E37" s="2" t="s">
        <v>112</v>
      </c>
      <c r="F37" s="2" t="s">
        <v>113</v>
      </c>
      <c r="G37" s="3">
        <v>13</v>
      </c>
      <c r="H37" s="3">
        <v>64.38</v>
      </c>
      <c r="I37" s="3">
        <v>5.6</v>
      </c>
      <c r="J37" s="3">
        <f t="shared" si="2"/>
        <v>82.98</v>
      </c>
      <c r="K37" s="3">
        <v>12</v>
      </c>
      <c r="L37" s="3">
        <v>62.04</v>
      </c>
      <c r="M37" s="3">
        <v>9</v>
      </c>
      <c r="N37" s="3">
        <f t="shared" si="3"/>
        <v>83.04</v>
      </c>
      <c r="O37" s="3">
        <f t="shared" si="4"/>
        <v>166.02</v>
      </c>
      <c r="P37" s="4" t="s">
        <v>35</v>
      </c>
      <c r="Q37" s="5"/>
    </row>
    <row r="38" spans="1:17">
      <c r="A38" s="2">
        <f t="shared" si="0"/>
        <v>36</v>
      </c>
      <c r="B38" s="2">
        <f t="shared" si="1"/>
        <v>9</v>
      </c>
      <c r="C38" s="2" t="s">
        <v>45</v>
      </c>
      <c r="D38" s="2" t="s">
        <v>114</v>
      </c>
      <c r="E38" s="2" t="s">
        <v>115</v>
      </c>
      <c r="F38" s="2" t="s">
        <v>116</v>
      </c>
      <c r="G38" s="3">
        <v>9.8000000000000007</v>
      </c>
      <c r="H38" s="3">
        <v>70.14</v>
      </c>
      <c r="I38" s="3">
        <v>4.2</v>
      </c>
      <c r="J38" s="3">
        <f t="shared" si="2"/>
        <v>84.14</v>
      </c>
      <c r="K38" s="3">
        <v>9.8000000000000007</v>
      </c>
      <c r="L38" s="3">
        <v>67.27</v>
      </c>
      <c r="M38" s="3">
        <v>4.7</v>
      </c>
      <c r="N38" s="3">
        <f t="shared" si="3"/>
        <v>81.77</v>
      </c>
      <c r="O38" s="3">
        <f t="shared" si="4"/>
        <v>165.91</v>
      </c>
      <c r="P38" s="4" t="s">
        <v>79</v>
      </c>
      <c r="Q38" s="5"/>
    </row>
    <row r="39" spans="1:17">
      <c r="A39" s="2">
        <f t="shared" si="0"/>
        <v>37</v>
      </c>
      <c r="B39" s="2">
        <f t="shared" si="1"/>
        <v>15</v>
      </c>
      <c r="C39" s="2" t="s">
        <v>20</v>
      </c>
      <c r="D39" s="2" t="s">
        <v>117</v>
      </c>
      <c r="E39" s="2" t="s">
        <v>118</v>
      </c>
      <c r="F39" s="2" t="s">
        <v>119</v>
      </c>
      <c r="G39" s="3">
        <v>11</v>
      </c>
      <c r="H39" s="3">
        <v>67.98</v>
      </c>
      <c r="I39" s="3">
        <v>5.2</v>
      </c>
      <c r="J39" s="3">
        <f t="shared" si="2"/>
        <v>84.18</v>
      </c>
      <c r="K39" s="3">
        <v>10</v>
      </c>
      <c r="L39" s="3">
        <v>65.52</v>
      </c>
      <c r="M39" s="3">
        <v>6.2</v>
      </c>
      <c r="N39" s="3">
        <f t="shared" si="3"/>
        <v>81.72</v>
      </c>
      <c r="O39" s="3">
        <f t="shared" si="4"/>
        <v>165.9</v>
      </c>
      <c r="P39" s="4" t="s">
        <v>79</v>
      </c>
      <c r="Q39" s="5"/>
    </row>
    <row r="40" spans="1:17">
      <c r="A40" s="2">
        <f t="shared" si="0"/>
        <v>38</v>
      </c>
      <c r="B40" s="2">
        <f t="shared" si="1"/>
        <v>10</v>
      </c>
      <c r="C40" s="2" t="s">
        <v>45</v>
      </c>
      <c r="D40" s="2" t="s">
        <v>89</v>
      </c>
      <c r="E40" s="2" t="s">
        <v>120</v>
      </c>
      <c r="F40" s="2" t="s">
        <v>121</v>
      </c>
      <c r="G40" s="3">
        <v>9.8000000000000007</v>
      </c>
      <c r="H40" s="3">
        <v>68.73</v>
      </c>
      <c r="I40" s="3">
        <v>4.9000000000000004</v>
      </c>
      <c r="J40" s="3">
        <f t="shared" si="2"/>
        <v>83.43</v>
      </c>
      <c r="K40" s="3">
        <v>9.8000000000000007</v>
      </c>
      <c r="L40" s="3">
        <v>66.52</v>
      </c>
      <c r="M40" s="3">
        <v>6.1</v>
      </c>
      <c r="N40" s="3">
        <f t="shared" si="3"/>
        <v>82.42</v>
      </c>
      <c r="O40" s="3">
        <f t="shared" si="4"/>
        <v>165.85</v>
      </c>
      <c r="P40" s="4" t="s">
        <v>79</v>
      </c>
      <c r="Q40" s="5"/>
    </row>
    <row r="41" spans="1:17">
      <c r="A41" s="2">
        <f t="shared" si="0"/>
        <v>39</v>
      </c>
      <c r="B41" s="2">
        <f t="shared" si="1"/>
        <v>11</v>
      </c>
      <c r="C41" s="2" t="s">
        <v>45</v>
      </c>
      <c r="D41" s="2" t="s">
        <v>96</v>
      </c>
      <c r="E41" s="2" t="s">
        <v>122</v>
      </c>
      <c r="F41" s="2" t="s">
        <v>123</v>
      </c>
      <c r="G41" s="3">
        <v>9.8000000000000007</v>
      </c>
      <c r="H41" s="3">
        <v>71.86</v>
      </c>
      <c r="I41" s="3">
        <v>4.2</v>
      </c>
      <c r="J41" s="3">
        <f t="shared" si="2"/>
        <v>85.86</v>
      </c>
      <c r="K41" s="3">
        <v>9.8000000000000007</v>
      </c>
      <c r="L41" s="3">
        <v>64.759999999999991</v>
      </c>
      <c r="M41" s="3">
        <v>5.0999999999999996</v>
      </c>
      <c r="N41" s="3">
        <f t="shared" si="3"/>
        <v>79.66</v>
      </c>
      <c r="O41" s="3">
        <f t="shared" si="4"/>
        <v>165.52</v>
      </c>
      <c r="P41" s="4" t="s">
        <v>79</v>
      </c>
      <c r="Q41" s="5"/>
    </row>
    <row r="42" spans="1:17">
      <c r="A42" s="2">
        <f t="shared" si="0"/>
        <v>40</v>
      </c>
      <c r="B42" s="2">
        <f t="shared" si="1"/>
        <v>12</v>
      </c>
      <c r="C42" s="2" t="s">
        <v>45</v>
      </c>
      <c r="D42" s="2" t="s">
        <v>54</v>
      </c>
      <c r="E42" s="2" t="s">
        <v>124</v>
      </c>
      <c r="F42" s="2" t="s">
        <v>125</v>
      </c>
      <c r="G42" s="3">
        <v>9.8000000000000007</v>
      </c>
      <c r="H42" s="3">
        <v>72.19</v>
      </c>
      <c r="I42" s="3">
        <v>4.2</v>
      </c>
      <c r="J42" s="3">
        <f t="shared" si="2"/>
        <v>86.19</v>
      </c>
      <c r="K42" s="3">
        <v>9.8000000000000007</v>
      </c>
      <c r="L42" s="3">
        <v>65.05</v>
      </c>
      <c r="M42" s="3">
        <v>4</v>
      </c>
      <c r="N42" s="3">
        <f t="shared" si="3"/>
        <v>78.849999999999994</v>
      </c>
      <c r="O42" s="3">
        <f t="shared" si="4"/>
        <v>165.04</v>
      </c>
      <c r="P42" s="4" t="s">
        <v>79</v>
      </c>
      <c r="Q42" s="5"/>
    </row>
    <row r="43" spans="1:17">
      <c r="A43" s="2">
        <f t="shared" si="0"/>
        <v>41</v>
      </c>
      <c r="B43" s="2">
        <f t="shared" si="1"/>
        <v>9</v>
      </c>
      <c r="C43" s="2" t="s">
        <v>24</v>
      </c>
      <c r="D43" s="2" t="s">
        <v>49</v>
      </c>
      <c r="E43" s="2" t="s">
        <v>126</v>
      </c>
      <c r="F43" s="2" t="s">
        <v>127</v>
      </c>
      <c r="G43" s="3">
        <v>10.8</v>
      </c>
      <c r="H43" s="3">
        <v>65.865853658536594</v>
      </c>
      <c r="I43" s="3">
        <v>5</v>
      </c>
      <c r="J43" s="3">
        <f t="shared" si="2"/>
        <v>81.67</v>
      </c>
      <c r="K43" s="3">
        <v>10.8</v>
      </c>
      <c r="L43" s="3">
        <v>66.239999999999995</v>
      </c>
      <c r="M43" s="3">
        <v>6.2</v>
      </c>
      <c r="N43" s="3">
        <f t="shared" si="3"/>
        <v>83.24</v>
      </c>
      <c r="O43" s="3">
        <f t="shared" si="4"/>
        <v>164.91</v>
      </c>
      <c r="P43" s="4" t="s">
        <v>79</v>
      </c>
      <c r="Q43" s="5"/>
    </row>
    <row r="44" spans="1:17">
      <c r="A44" s="2">
        <f t="shared" si="0"/>
        <v>42</v>
      </c>
      <c r="B44" s="2">
        <f t="shared" si="1"/>
        <v>10</v>
      </c>
      <c r="C44" s="2" t="s">
        <v>24</v>
      </c>
      <c r="D44" s="2" t="s">
        <v>76</v>
      </c>
      <c r="E44" s="2" t="s">
        <v>128</v>
      </c>
      <c r="F44" s="2" t="s">
        <v>129</v>
      </c>
      <c r="G44" s="3">
        <v>10.8</v>
      </c>
      <c r="H44" s="3">
        <v>69.170731707317103</v>
      </c>
      <c r="I44" s="3">
        <v>4.5</v>
      </c>
      <c r="J44" s="3">
        <f t="shared" si="2"/>
        <v>84.47</v>
      </c>
      <c r="K44" s="3">
        <v>9</v>
      </c>
      <c r="L44" s="3">
        <v>65.489999999999995</v>
      </c>
      <c r="M44" s="3">
        <v>5.9</v>
      </c>
      <c r="N44" s="3">
        <f t="shared" si="3"/>
        <v>80.39</v>
      </c>
      <c r="O44" s="3">
        <f t="shared" si="4"/>
        <v>164.86</v>
      </c>
      <c r="P44" s="4" t="s">
        <v>130</v>
      </c>
      <c r="Q44" s="5"/>
    </row>
    <row r="45" spans="1:17">
      <c r="A45" s="2">
        <f t="shared" si="0"/>
        <v>43</v>
      </c>
      <c r="B45" s="2">
        <f t="shared" si="1"/>
        <v>16</v>
      </c>
      <c r="C45" s="2" t="s">
        <v>20</v>
      </c>
      <c r="D45" s="2" t="s">
        <v>42</v>
      </c>
      <c r="E45" s="2" t="s">
        <v>131</v>
      </c>
      <c r="F45" s="2" t="s">
        <v>132</v>
      </c>
      <c r="G45" s="3">
        <v>11.8</v>
      </c>
      <c r="H45" s="3">
        <v>66.142857142857096</v>
      </c>
      <c r="I45" s="3">
        <v>5.6</v>
      </c>
      <c r="J45" s="3">
        <f t="shared" si="2"/>
        <v>83.54</v>
      </c>
      <c r="K45" s="3">
        <v>9.8000000000000007</v>
      </c>
      <c r="L45" s="3">
        <v>63</v>
      </c>
      <c r="M45" s="3">
        <v>8.4499999999999993</v>
      </c>
      <c r="N45" s="3">
        <f t="shared" si="3"/>
        <v>81.25</v>
      </c>
      <c r="O45" s="3">
        <f t="shared" si="4"/>
        <v>164.79</v>
      </c>
      <c r="P45" s="4" t="s">
        <v>79</v>
      </c>
      <c r="Q45" s="5"/>
    </row>
    <row r="46" spans="1:17">
      <c r="A46" s="2">
        <f t="shared" si="0"/>
        <v>44</v>
      </c>
      <c r="B46" s="2">
        <f t="shared" si="1"/>
        <v>17</v>
      </c>
      <c r="C46" s="2" t="s">
        <v>20</v>
      </c>
      <c r="D46" s="2" t="s">
        <v>36</v>
      </c>
      <c r="E46" s="2" t="s">
        <v>133</v>
      </c>
      <c r="F46" s="2" t="s">
        <v>134</v>
      </c>
      <c r="G46" s="3">
        <v>11</v>
      </c>
      <c r="H46" s="3">
        <v>71.28</v>
      </c>
      <c r="I46" s="3">
        <v>3.8</v>
      </c>
      <c r="J46" s="3">
        <f t="shared" si="2"/>
        <v>86.08</v>
      </c>
      <c r="K46" s="3">
        <v>10</v>
      </c>
      <c r="L46" s="3">
        <v>64.009999999999991</v>
      </c>
      <c r="M46" s="3">
        <v>4.5999999999999996</v>
      </c>
      <c r="N46" s="3">
        <f t="shared" si="3"/>
        <v>78.61</v>
      </c>
      <c r="O46" s="3">
        <f t="shared" si="4"/>
        <v>164.69</v>
      </c>
      <c r="P46" s="4" t="s">
        <v>79</v>
      </c>
      <c r="Q46" s="5" t="s">
        <v>135</v>
      </c>
    </row>
    <row r="47" spans="1:17">
      <c r="A47" s="2">
        <f t="shared" si="0"/>
        <v>45</v>
      </c>
      <c r="B47" s="2">
        <f t="shared" si="1"/>
        <v>11</v>
      </c>
      <c r="C47" s="2" t="s">
        <v>24</v>
      </c>
      <c r="D47" s="2" t="s">
        <v>25</v>
      </c>
      <c r="E47" s="2" t="s">
        <v>136</v>
      </c>
      <c r="F47" s="2" t="s">
        <v>137</v>
      </c>
      <c r="G47" s="3">
        <v>10.3</v>
      </c>
      <c r="H47" s="3">
        <v>67.366666666666703</v>
      </c>
      <c r="I47" s="3">
        <v>4.9000000000000004</v>
      </c>
      <c r="J47" s="3">
        <f t="shared" si="2"/>
        <v>82.57</v>
      </c>
      <c r="K47" s="3">
        <v>9.8000000000000007</v>
      </c>
      <c r="L47" s="3">
        <v>67.569999999999993</v>
      </c>
      <c r="M47" s="3">
        <v>4.7</v>
      </c>
      <c r="N47" s="3">
        <f t="shared" si="3"/>
        <v>82.07</v>
      </c>
      <c r="O47" s="3">
        <f t="shared" si="4"/>
        <v>164.64</v>
      </c>
      <c r="P47" s="4" t="s">
        <v>130</v>
      </c>
      <c r="Q47" s="5"/>
    </row>
    <row r="48" spans="1:17">
      <c r="A48" s="2">
        <f t="shared" si="0"/>
        <v>46</v>
      </c>
      <c r="B48" s="2">
        <f t="shared" si="1"/>
        <v>12</v>
      </c>
      <c r="C48" s="2" t="s">
        <v>24</v>
      </c>
      <c r="D48" s="2" t="s">
        <v>76</v>
      </c>
      <c r="E48" s="2" t="s">
        <v>138</v>
      </c>
      <c r="F48" s="2" t="s">
        <v>139</v>
      </c>
      <c r="G48" s="3">
        <v>11.3</v>
      </c>
      <c r="H48" s="3">
        <v>68.099999999999994</v>
      </c>
      <c r="I48" s="3">
        <v>3.5</v>
      </c>
      <c r="J48" s="3">
        <f t="shared" si="2"/>
        <v>82.9</v>
      </c>
      <c r="K48" s="3">
        <v>9</v>
      </c>
      <c r="L48" s="3">
        <v>66.510000000000005</v>
      </c>
      <c r="M48" s="3">
        <v>6.2</v>
      </c>
      <c r="N48" s="3">
        <f t="shared" si="3"/>
        <v>81.709999999999994</v>
      </c>
      <c r="O48" s="3">
        <f t="shared" si="4"/>
        <v>164.61</v>
      </c>
      <c r="P48" s="4" t="s">
        <v>130</v>
      </c>
      <c r="Q48" s="5"/>
    </row>
    <row r="49" spans="1:17">
      <c r="A49" s="2">
        <f t="shared" si="0"/>
        <v>47</v>
      </c>
      <c r="B49" s="2">
        <f t="shared" si="1"/>
        <v>18</v>
      </c>
      <c r="C49" s="2" t="s">
        <v>20</v>
      </c>
      <c r="D49" s="2" t="s">
        <v>32</v>
      </c>
      <c r="E49" s="2" t="s">
        <v>140</v>
      </c>
      <c r="F49" s="2" t="s">
        <v>141</v>
      </c>
      <c r="G49" s="3">
        <v>10.3</v>
      </c>
      <c r="H49" s="3">
        <v>69.009090909090901</v>
      </c>
      <c r="I49" s="3">
        <v>4.9000000000000004</v>
      </c>
      <c r="J49" s="3">
        <f t="shared" si="2"/>
        <v>84.21</v>
      </c>
      <c r="K49" s="3">
        <v>10.8</v>
      </c>
      <c r="L49" s="3">
        <v>65.930000000000007</v>
      </c>
      <c r="M49" s="3">
        <v>3.5</v>
      </c>
      <c r="N49" s="3">
        <f t="shared" si="3"/>
        <v>80.23</v>
      </c>
      <c r="O49" s="3">
        <f t="shared" si="4"/>
        <v>164.44</v>
      </c>
      <c r="P49" s="4" t="s">
        <v>79</v>
      </c>
      <c r="Q49" s="5"/>
    </row>
    <row r="50" spans="1:17">
      <c r="A50" s="2">
        <f t="shared" si="0"/>
        <v>48</v>
      </c>
      <c r="B50" s="2">
        <f t="shared" si="1"/>
        <v>19</v>
      </c>
      <c r="C50" s="2" t="s">
        <v>20</v>
      </c>
      <c r="D50" s="2" t="s">
        <v>36</v>
      </c>
      <c r="E50" s="2" t="s">
        <v>142</v>
      </c>
      <c r="F50" s="2" t="s">
        <v>143</v>
      </c>
      <c r="G50" s="3">
        <v>9.8000000000000007</v>
      </c>
      <c r="H50" s="3">
        <v>72.040000000000006</v>
      </c>
      <c r="I50" s="3">
        <v>5</v>
      </c>
      <c r="J50" s="3">
        <f t="shared" si="2"/>
        <v>86.84</v>
      </c>
      <c r="K50" s="3">
        <v>9.8000000000000007</v>
      </c>
      <c r="L50" s="3">
        <v>63.13</v>
      </c>
      <c r="M50" s="3">
        <v>4.5</v>
      </c>
      <c r="N50" s="3">
        <f t="shared" si="3"/>
        <v>77.430000000000007</v>
      </c>
      <c r="O50" s="3">
        <f t="shared" si="4"/>
        <v>164.27</v>
      </c>
      <c r="P50" s="4" t="s">
        <v>79</v>
      </c>
      <c r="Q50" s="5"/>
    </row>
    <row r="51" spans="1:17">
      <c r="A51" s="2">
        <f t="shared" si="0"/>
        <v>49</v>
      </c>
      <c r="B51" s="2">
        <f t="shared" si="1"/>
        <v>13</v>
      </c>
      <c r="C51" s="2" t="s">
        <v>24</v>
      </c>
      <c r="D51" s="2" t="s">
        <v>25</v>
      </c>
      <c r="E51" s="2" t="s">
        <v>144</v>
      </c>
      <c r="F51" s="2" t="s">
        <v>145</v>
      </c>
      <c r="G51" s="3">
        <v>10</v>
      </c>
      <c r="H51" s="3">
        <v>69.3333333333333</v>
      </c>
      <c r="I51" s="3">
        <v>3</v>
      </c>
      <c r="J51" s="3">
        <f t="shared" si="2"/>
        <v>82.33</v>
      </c>
      <c r="K51" s="3">
        <v>10</v>
      </c>
      <c r="L51" s="3">
        <v>68.209999999999994</v>
      </c>
      <c r="M51" s="3">
        <v>3.5</v>
      </c>
      <c r="N51" s="3">
        <f t="shared" si="3"/>
        <v>81.709999999999994</v>
      </c>
      <c r="O51" s="3">
        <f t="shared" si="4"/>
        <v>164.04</v>
      </c>
      <c r="P51" s="4" t="s">
        <v>130</v>
      </c>
      <c r="Q51" s="5"/>
    </row>
    <row r="52" spans="1:17">
      <c r="A52" s="2">
        <f t="shared" si="0"/>
        <v>50</v>
      </c>
      <c r="B52" s="2">
        <f t="shared" si="1"/>
        <v>20</v>
      </c>
      <c r="C52" s="2" t="s">
        <v>20</v>
      </c>
      <c r="D52" s="2" t="s">
        <v>117</v>
      </c>
      <c r="E52" s="2" t="s">
        <v>146</v>
      </c>
      <c r="F52" s="2" t="s">
        <v>147</v>
      </c>
      <c r="G52" s="3">
        <v>10</v>
      </c>
      <c r="H52" s="3">
        <v>68.27</v>
      </c>
      <c r="I52" s="3">
        <v>3.6</v>
      </c>
      <c r="J52" s="3">
        <f t="shared" si="2"/>
        <v>81.87</v>
      </c>
      <c r="K52" s="3">
        <v>11.5</v>
      </c>
      <c r="L52" s="3">
        <v>65.959999999999994</v>
      </c>
      <c r="M52" s="3">
        <v>4.5999999999999996</v>
      </c>
      <c r="N52" s="3">
        <f t="shared" si="3"/>
        <v>82.06</v>
      </c>
      <c r="O52" s="3">
        <f t="shared" si="4"/>
        <v>163.93</v>
      </c>
      <c r="P52" s="4" t="s">
        <v>79</v>
      </c>
      <c r="Q52" s="5"/>
    </row>
    <row r="53" spans="1:17">
      <c r="A53" s="2">
        <f t="shared" si="0"/>
        <v>51</v>
      </c>
      <c r="B53" s="2">
        <f t="shared" si="1"/>
        <v>13</v>
      </c>
      <c r="C53" s="2" t="s">
        <v>45</v>
      </c>
      <c r="D53" s="2" t="s">
        <v>96</v>
      </c>
      <c r="E53" s="2" t="s">
        <v>148</v>
      </c>
      <c r="F53" s="2" t="s">
        <v>149</v>
      </c>
      <c r="G53" s="3">
        <v>10.3</v>
      </c>
      <c r="H53" s="3">
        <v>65.44</v>
      </c>
      <c r="I53" s="3">
        <v>5.7</v>
      </c>
      <c r="J53" s="3">
        <f t="shared" si="2"/>
        <v>81.44</v>
      </c>
      <c r="K53" s="3">
        <v>11</v>
      </c>
      <c r="L53" s="3">
        <v>63.07</v>
      </c>
      <c r="M53" s="3">
        <v>8.4</v>
      </c>
      <c r="N53" s="3">
        <f t="shared" si="3"/>
        <v>82.47</v>
      </c>
      <c r="O53" s="3">
        <f t="shared" si="4"/>
        <v>163.91</v>
      </c>
      <c r="P53" s="4" t="s">
        <v>79</v>
      </c>
      <c r="Q53" s="5"/>
    </row>
    <row r="54" spans="1:17">
      <c r="A54" s="2">
        <f t="shared" si="0"/>
        <v>52</v>
      </c>
      <c r="B54" s="2">
        <f t="shared" si="1"/>
        <v>21</v>
      </c>
      <c r="C54" s="2" t="s">
        <v>20</v>
      </c>
      <c r="D54" s="2" t="s">
        <v>21</v>
      </c>
      <c r="E54" s="2" t="s">
        <v>150</v>
      </c>
      <c r="F54" s="2" t="s">
        <v>151</v>
      </c>
      <c r="G54" s="3">
        <v>9.8000000000000007</v>
      </c>
      <c r="H54" s="3">
        <v>72.19</v>
      </c>
      <c r="I54" s="3">
        <v>3</v>
      </c>
      <c r="J54" s="3">
        <f t="shared" si="2"/>
        <v>84.99</v>
      </c>
      <c r="K54" s="3">
        <v>9.8000000000000007</v>
      </c>
      <c r="L54" s="3">
        <v>64.75</v>
      </c>
      <c r="M54" s="3">
        <v>4.3</v>
      </c>
      <c r="N54" s="3">
        <f t="shared" si="3"/>
        <v>78.849999999999994</v>
      </c>
      <c r="O54" s="3">
        <f t="shared" si="4"/>
        <v>163.84</v>
      </c>
      <c r="P54" s="4" t="s">
        <v>130</v>
      </c>
      <c r="Q54" s="5"/>
    </row>
    <row r="55" spans="1:17">
      <c r="A55" s="2">
        <f t="shared" si="0"/>
        <v>53</v>
      </c>
      <c r="B55" s="2">
        <f t="shared" si="1"/>
        <v>14</v>
      </c>
      <c r="C55" s="2" t="s">
        <v>45</v>
      </c>
      <c r="D55" s="2" t="s">
        <v>73</v>
      </c>
      <c r="E55" s="2" t="s">
        <v>152</v>
      </c>
      <c r="F55" s="2" t="s">
        <v>153</v>
      </c>
      <c r="G55" s="3">
        <v>11</v>
      </c>
      <c r="H55" s="3">
        <v>70.81</v>
      </c>
      <c r="I55" s="3">
        <v>4.5</v>
      </c>
      <c r="J55" s="3">
        <f t="shared" si="2"/>
        <v>86.31</v>
      </c>
      <c r="K55" s="3">
        <v>7.5</v>
      </c>
      <c r="L55" s="3">
        <v>64.680000000000007</v>
      </c>
      <c r="M55" s="3">
        <v>5.2</v>
      </c>
      <c r="N55" s="3">
        <f t="shared" si="3"/>
        <v>77.38</v>
      </c>
      <c r="O55" s="3">
        <f t="shared" si="4"/>
        <v>163.69</v>
      </c>
      <c r="P55" s="4" t="s">
        <v>79</v>
      </c>
      <c r="Q55" s="5"/>
    </row>
    <row r="56" spans="1:17">
      <c r="A56" s="2">
        <f t="shared" si="0"/>
        <v>54</v>
      </c>
      <c r="B56" s="2">
        <f t="shared" si="1"/>
        <v>15</v>
      </c>
      <c r="C56" s="2" t="s">
        <v>45</v>
      </c>
      <c r="D56" s="2" t="s">
        <v>54</v>
      </c>
      <c r="E56" s="2" t="s">
        <v>154</v>
      </c>
      <c r="F56" s="2" t="s">
        <v>155</v>
      </c>
      <c r="G56" s="3">
        <v>10.3</v>
      </c>
      <c r="H56" s="3">
        <v>68.41</v>
      </c>
      <c r="I56" s="3">
        <v>6</v>
      </c>
      <c r="J56" s="3">
        <f t="shared" si="2"/>
        <v>84.71</v>
      </c>
      <c r="K56" s="3">
        <v>9.8000000000000007</v>
      </c>
      <c r="L56" s="3">
        <v>64.67</v>
      </c>
      <c r="M56" s="3">
        <v>4.5</v>
      </c>
      <c r="N56" s="3">
        <f t="shared" si="3"/>
        <v>78.97</v>
      </c>
      <c r="O56" s="3">
        <f t="shared" si="4"/>
        <v>163.68</v>
      </c>
      <c r="P56" s="4" t="s">
        <v>79</v>
      </c>
      <c r="Q56" s="5"/>
    </row>
    <row r="57" spans="1:17">
      <c r="A57" s="2">
        <f t="shared" si="0"/>
        <v>55</v>
      </c>
      <c r="B57" s="2">
        <f t="shared" si="1"/>
        <v>14</v>
      </c>
      <c r="C57" s="2" t="s">
        <v>24</v>
      </c>
      <c r="D57" s="2" t="s">
        <v>49</v>
      </c>
      <c r="E57" s="2" t="s">
        <v>156</v>
      </c>
      <c r="F57" s="2" t="s">
        <v>157</v>
      </c>
      <c r="G57" s="3">
        <v>9.8000000000000007</v>
      </c>
      <c r="H57" s="3">
        <v>65.280487804878007</v>
      </c>
      <c r="I57" s="3">
        <v>4.2</v>
      </c>
      <c r="J57" s="3">
        <f t="shared" si="2"/>
        <v>79.28</v>
      </c>
      <c r="K57" s="3">
        <v>10</v>
      </c>
      <c r="L57" s="3">
        <v>69.42</v>
      </c>
      <c r="M57" s="3">
        <v>4.9000000000000004</v>
      </c>
      <c r="N57" s="3">
        <f t="shared" si="3"/>
        <v>84.32</v>
      </c>
      <c r="O57" s="3">
        <f t="shared" si="4"/>
        <v>163.6</v>
      </c>
      <c r="P57" s="4" t="s">
        <v>130</v>
      </c>
      <c r="Q57" s="5"/>
    </row>
    <row r="58" spans="1:17">
      <c r="A58" s="2">
        <f t="shared" si="0"/>
        <v>56</v>
      </c>
      <c r="B58" s="2">
        <f t="shared" si="1"/>
        <v>6</v>
      </c>
      <c r="C58" s="2" t="s">
        <v>15</v>
      </c>
      <c r="D58" s="2" t="s">
        <v>39</v>
      </c>
      <c r="E58" s="2" t="s">
        <v>158</v>
      </c>
      <c r="F58" s="2" t="s">
        <v>159</v>
      </c>
      <c r="G58" s="3">
        <v>10</v>
      </c>
      <c r="H58" s="3">
        <v>65.53</v>
      </c>
      <c r="I58" s="3">
        <v>5.0999999999999996</v>
      </c>
      <c r="J58" s="3">
        <f t="shared" si="2"/>
        <v>80.63</v>
      </c>
      <c r="K58" s="3">
        <v>10</v>
      </c>
      <c r="L58" s="3">
        <v>66.42</v>
      </c>
      <c r="M58" s="3">
        <v>6.1</v>
      </c>
      <c r="N58" s="3">
        <f t="shared" si="3"/>
        <v>82.52</v>
      </c>
      <c r="O58" s="3">
        <f t="shared" si="4"/>
        <v>163.15</v>
      </c>
      <c r="P58" s="4" t="s">
        <v>79</v>
      </c>
      <c r="Q58" s="5"/>
    </row>
    <row r="59" spans="1:17">
      <c r="A59" s="2">
        <f t="shared" si="0"/>
        <v>57</v>
      </c>
      <c r="B59" s="2">
        <f t="shared" si="1"/>
        <v>16</v>
      </c>
      <c r="C59" s="2" t="s">
        <v>45</v>
      </c>
      <c r="D59" s="2" t="s">
        <v>73</v>
      </c>
      <c r="E59" s="2" t="s">
        <v>160</v>
      </c>
      <c r="F59" s="2" t="s">
        <v>161</v>
      </c>
      <c r="G59" s="3">
        <v>10.3</v>
      </c>
      <c r="H59" s="3">
        <v>66.58</v>
      </c>
      <c r="I59" s="3">
        <v>5</v>
      </c>
      <c r="J59" s="3">
        <f t="shared" si="2"/>
        <v>81.88</v>
      </c>
      <c r="K59" s="3">
        <v>7.3000000000000007</v>
      </c>
      <c r="L59" s="3">
        <v>67.2</v>
      </c>
      <c r="M59" s="3">
        <v>5.9</v>
      </c>
      <c r="N59" s="3">
        <f t="shared" si="3"/>
        <v>80.400000000000006</v>
      </c>
      <c r="O59" s="3">
        <f t="shared" si="4"/>
        <v>162.28</v>
      </c>
      <c r="P59" s="4" t="s">
        <v>79</v>
      </c>
      <c r="Q59" s="5"/>
    </row>
    <row r="60" spans="1:17">
      <c r="A60" s="2">
        <f t="shared" si="0"/>
        <v>58</v>
      </c>
      <c r="B60" s="2">
        <f t="shared" si="1"/>
        <v>7</v>
      </c>
      <c r="C60" s="2" t="s">
        <v>15</v>
      </c>
      <c r="D60" s="2" t="s">
        <v>16</v>
      </c>
      <c r="E60" s="2" t="s">
        <v>162</v>
      </c>
      <c r="F60" s="2" t="s">
        <v>163</v>
      </c>
      <c r="G60" s="3">
        <v>10.6</v>
      </c>
      <c r="H60" s="3">
        <v>69.66</v>
      </c>
      <c r="I60" s="3">
        <v>3</v>
      </c>
      <c r="J60" s="3">
        <f t="shared" si="2"/>
        <v>83.26</v>
      </c>
      <c r="K60" s="3">
        <v>9.8000000000000007</v>
      </c>
      <c r="L60" s="3">
        <v>62.2</v>
      </c>
      <c r="M60" s="3">
        <v>7</v>
      </c>
      <c r="N60" s="3">
        <f t="shared" si="3"/>
        <v>79</v>
      </c>
      <c r="O60" s="3">
        <f t="shared" si="4"/>
        <v>162.26</v>
      </c>
      <c r="P60" s="2"/>
      <c r="Q60" s="5"/>
    </row>
    <row r="61" spans="1:17">
      <c r="A61" s="2">
        <f t="shared" si="0"/>
        <v>59</v>
      </c>
      <c r="B61" s="2">
        <f t="shared" si="1"/>
        <v>22</v>
      </c>
      <c r="C61" s="2" t="s">
        <v>20</v>
      </c>
      <c r="D61" s="2" t="s">
        <v>164</v>
      </c>
      <c r="E61" s="2" t="s">
        <v>165</v>
      </c>
      <c r="F61" s="2" t="s">
        <v>166</v>
      </c>
      <c r="G61" s="3">
        <v>10.5</v>
      </c>
      <c r="H61" s="3">
        <v>66.7</v>
      </c>
      <c r="I61" s="3">
        <v>4.9000000000000004</v>
      </c>
      <c r="J61" s="3">
        <f t="shared" si="2"/>
        <v>82.1</v>
      </c>
      <c r="K61" s="3">
        <v>11</v>
      </c>
      <c r="L61" s="3">
        <v>63.12</v>
      </c>
      <c r="M61" s="3">
        <v>6</v>
      </c>
      <c r="N61" s="3">
        <f t="shared" si="3"/>
        <v>80.12</v>
      </c>
      <c r="O61" s="3">
        <f t="shared" si="4"/>
        <v>162.22</v>
      </c>
      <c r="P61" s="4" t="s">
        <v>130</v>
      </c>
      <c r="Q61" s="5"/>
    </row>
    <row r="62" spans="1:17">
      <c r="A62" s="2">
        <f t="shared" si="0"/>
        <v>60</v>
      </c>
      <c r="B62" s="2">
        <f t="shared" si="1"/>
        <v>8</v>
      </c>
      <c r="C62" s="2" t="s">
        <v>15</v>
      </c>
      <c r="D62" s="2" t="s">
        <v>16</v>
      </c>
      <c r="E62" s="2" t="s">
        <v>167</v>
      </c>
      <c r="F62" s="2" t="s">
        <v>168</v>
      </c>
      <c r="G62" s="3">
        <v>10.8</v>
      </c>
      <c r="H62" s="3">
        <v>68.680000000000007</v>
      </c>
      <c r="I62" s="3">
        <v>3</v>
      </c>
      <c r="J62" s="3">
        <f t="shared" si="2"/>
        <v>82.48</v>
      </c>
      <c r="K62" s="3">
        <v>8.3000000000000007</v>
      </c>
      <c r="L62" s="3">
        <v>64.41</v>
      </c>
      <c r="M62" s="3">
        <v>7</v>
      </c>
      <c r="N62" s="3">
        <f t="shared" si="3"/>
        <v>79.709999999999994</v>
      </c>
      <c r="O62" s="3">
        <f t="shared" si="4"/>
        <v>162.19</v>
      </c>
      <c r="P62" s="4" t="s">
        <v>79</v>
      </c>
      <c r="Q62" s="5"/>
    </row>
    <row r="63" spans="1:17">
      <c r="A63" s="2">
        <f t="shared" si="0"/>
        <v>61</v>
      </c>
      <c r="B63" s="2">
        <f t="shared" si="1"/>
        <v>15</v>
      </c>
      <c r="C63" s="2" t="s">
        <v>24</v>
      </c>
      <c r="D63" s="2" t="s">
        <v>49</v>
      </c>
      <c r="E63" s="2" t="s">
        <v>169</v>
      </c>
      <c r="F63" s="2" t="s">
        <v>170</v>
      </c>
      <c r="G63" s="3">
        <v>11</v>
      </c>
      <c r="H63" s="3">
        <v>65.280487804878007</v>
      </c>
      <c r="I63" s="3">
        <v>4</v>
      </c>
      <c r="J63" s="3">
        <f t="shared" si="2"/>
        <v>80.28</v>
      </c>
      <c r="K63" s="3">
        <v>10</v>
      </c>
      <c r="L63" s="3">
        <v>66.72</v>
      </c>
      <c r="M63" s="3">
        <v>5</v>
      </c>
      <c r="N63" s="3">
        <f t="shared" si="3"/>
        <v>81.72</v>
      </c>
      <c r="O63" s="3">
        <f t="shared" si="4"/>
        <v>162</v>
      </c>
      <c r="P63" s="4" t="s">
        <v>130</v>
      </c>
      <c r="Q63" s="5"/>
    </row>
    <row r="64" spans="1:17">
      <c r="A64" s="2">
        <f t="shared" si="0"/>
        <v>62</v>
      </c>
      <c r="B64" s="2">
        <f t="shared" si="1"/>
        <v>16</v>
      </c>
      <c r="C64" s="2" t="s">
        <v>24</v>
      </c>
      <c r="D64" s="2" t="s">
        <v>58</v>
      </c>
      <c r="E64" s="2" t="s">
        <v>171</v>
      </c>
      <c r="F64" s="2" t="s">
        <v>172</v>
      </c>
      <c r="G64" s="3">
        <v>9.8000000000000007</v>
      </c>
      <c r="H64" s="3">
        <v>66.646341463414601</v>
      </c>
      <c r="I64" s="3">
        <v>5.2</v>
      </c>
      <c r="J64" s="3">
        <f t="shared" si="2"/>
        <v>81.650000000000006</v>
      </c>
      <c r="K64" s="3">
        <v>9.8000000000000007</v>
      </c>
      <c r="L64" s="3">
        <v>63.96</v>
      </c>
      <c r="M64" s="3">
        <v>6.5</v>
      </c>
      <c r="N64" s="3">
        <f t="shared" si="3"/>
        <v>80.260000000000005</v>
      </c>
      <c r="O64" s="3">
        <f t="shared" si="4"/>
        <v>161.91</v>
      </c>
      <c r="P64" s="4" t="s">
        <v>130</v>
      </c>
      <c r="Q64" s="5"/>
    </row>
    <row r="65" spans="1:17">
      <c r="A65" s="2">
        <f t="shared" si="0"/>
        <v>63</v>
      </c>
      <c r="B65" s="2">
        <f t="shared" si="1"/>
        <v>23</v>
      </c>
      <c r="C65" s="2" t="s">
        <v>20</v>
      </c>
      <c r="D65" s="2" t="s">
        <v>82</v>
      </c>
      <c r="E65" s="2" t="s">
        <v>173</v>
      </c>
      <c r="F65" s="2" t="s">
        <v>174</v>
      </c>
      <c r="G65" s="3">
        <v>11</v>
      </c>
      <c r="H65" s="3">
        <v>64.285714285714306</v>
      </c>
      <c r="I65" s="3">
        <v>5.2</v>
      </c>
      <c r="J65" s="3">
        <f t="shared" si="2"/>
        <v>80.489999999999995</v>
      </c>
      <c r="K65" s="3">
        <v>12</v>
      </c>
      <c r="L65" s="3">
        <v>63.25</v>
      </c>
      <c r="M65" s="3">
        <v>6</v>
      </c>
      <c r="N65" s="3">
        <f t="shared" si="3"/>
        <v>81.25</v>
      </c>
      <c r="O65" s="3">
        <f t="shared" si="4"/>
        <v>161.74</v>
      </c>
      <c r="P65" s="4" t="s">
        <v>130</v>
      </c>
      <c r="Q65" s="5"/>
    </row>
    <row r="66" spans="1:17">
      <c r="A66" s="2">
        <f t="shared" si="0"/>
        <v>64</v>
      </c>
      <c r="B66" s="2">
        <f t="shared" si="1"/>
        <v>24</v>
      </c>
      <c r="C66" s="2" t="s">
        <v>20</v>
      </c>
      <c r="D66" s="2" t="s">
        <v>21</v>
      </c>
      <c r="E66" s="2" t="s">
        <v>175</v>
      </c>
      <c r="F66" s="2" t="s">
        <v>176</v>
      </c>
      <c r="G66" s="3">
        <v>10.3</v>
      </c>
      <c r="H66" s="3">
        <v>66.12</v>
      </c>
      <c r="I66" s="3">
        <v>3.5</v>
      </c>
      <c r="J66" s="3">
        <f t="shared" si="2"/>
        <v>79.92</v>
      </c>
      <c r="K66" s="3">
        <v>9.8000000000000007</v>
      </c>
      <c r="L66" s="3">
        <v>67.67</v>
      </c>
      <c r="M66" s="3">
        <v>4.3</v>
      </c>
      <c r="N66" s="3">
        <f t="shared" si="3"/>
        <v>81.77</v>
      </c>
      <c r="O66" s="3">
        <f t="shared" si="4"/>
        <v>161.69</v>
      </c>
      <c r="P66" s="4" t="s">
        <v>72</v>
      </c>
      <c r="Q66" s="5"/>
    </row>
    <row r="67" spans="1:17">
      <c r="A67" s="2">
        <f t="shared" ref="A67:A130" si="5">COUNTIFS($C$3:$C$1025,"&lt;&gt;大数据",$O$3:$O$1025,"&gt;"&amp;O67)+1</f>
        <v>65</v>
      </c>
      <c r="B67" s="2">
        <f t="shared" ref="B67:B130" si="6">COUNTIFS($C$3:$C$1025,C67,$O$3:$O$1025,"&gt;"&amp;O67)+1</f>
        <v>25</v>
      </c>
      <c r="C67" s="2" t="s">
        <v>20</v>
      </c>
      <c r="D67" s="2" t="s">
        <v>164</v>
      </c>
      <c r="E67" s="2" t="s">
        <v>177</v>
      </c>
      <c r="F67" s="2" t="s">
        <v>178</v>
      </c>
      <c r="G67" s="3">
        <v>10.8</v>
      </c>
      <c r="H67" s="3">
        <v>66.88</v>
      </c>
      <c r="I67" s="3">
        <v>4.4000000000000004</v>
      </c>
      <c r="J67" s="3">
        <f t="shared" ref="J67:J130" si="7">ROUND(SUM(G67:I67),2)</f>
        <v>82.08</v>
      </c>
      <c r="K67" s="3">
        <v>9.8000000000000007</v>
      </c>
      <c r="L67" s="3">
        <v>63.07</v>
      </c>
      <c r="M67" s="3">
        <v>6.7</v>
      </c>
      <c r="N67" s="3">
        <f t="shared" ref="N67:N130" si="8">ROUND(SUM(K67:M67),2)</f>
        <v>79.569999999999993</v>
      </c>
      <c r="O67" s="3">
        <f t="shared" ref="O67:O130" si="9">ROUND(SUM(J67,N67),2)</f>
        <v>161.65</v>
      </c>
      <c r="P67" s="4" t="s">
        <v>130</v>
      </c>
      <c r="Q67" s="5"/>
    </row>
    <row r="68" spans="1:17">
      <c r="A68" s="2">
        <f t="shared" si="5"/>
        <v>66</v>
      </c>
      <c r="B68" s="2">
        <f t="shared" si="6"/>
        <v>17</v>
      </c>
      <c r="C68" s="2" t="s">
        <v>45</v>
      </c>
      <c r="D68" s="2" t="s">
        <v>46</v>
      </c>
      <c r="E68" s="2" t="s">
        <v>179</v>
      </c>
      <c r="F68" s="2" t="s">
        <v>180</v>
      </c>
      <c r="G68" s="3">
        <v>9.8000000000000007</v>
      </c>
      <c r="H68" s="3">
        <v>70.75</v>
      </c>
      <c r="I68" s="3">
        <v>3</v>
      </c>
      <c r="J68" s="3">
        <f t="shared" si="7"/>
        <v>83.55</v>
      </c>
      <c r="K68" s="3">
        <v>9.8000000000000007</v>
      </c>
      <c r="L68" s="3">
        <v>65.17</v>
      </c>
      <c r="M68" s="3">
        <v>3</v>
      </c>
      <c r="N68" s="3">
        <f t="shared" si="8"/>
        <v>77.97</v>
      </c>
      <c r="O68" s="3">
        <f t="shared" si="9"/>
        <v>161.52000000000001</v>
      </c>
      <c r="P68" s="4" t="s">
        <v>79</v>
      </c>
      <c r="Q68" s="5"/>
    </row>
    <row r="69" spans="1:17">
      <c r="A69" s="2">
        <f t="shared" si="5"/>
        <v>67</v>
      </c>
      <c r="B69" s="2">
        <f t="shared" si="6"/>
        <v>9</v>
      </c>
      <c r="C69" s="2" t="s">
        <v>15</v>
      </c>
      <c r="D69" s="2" t="s">
        <v>181</v>
      </c>
      <c r="E69" s="2" t="s">
        <v>182</v>
      </c>
      <c r="F69" s="2" t="s">
        <v>183</v>
      </c>
      <c r="G69" s="3">
        <v>11.5</v>
      </c>
      <c r="H69" s="3">
        <v>66.55</v>
      </c>
      <c r="I69" s="3">
        <v>4.95</v>
      </c>
      <c r="J69" s="3">
        <f t="shared" si="7"/>
        <v>83</v>
      </c>
      <c r="K69" s="3">
        <v>10</v>
      </c>
      <c r="L69" s="3">
        <v>61.81</v>
      </c>
      <c r="M69" s="3">
        <v>6.7</v>
      </c>
      <c r="N69" s="3">
        <f t="shared" si="8"/>
        <v>78.510000000000005</v>
      </c>
      <c r="O69" s="3">
        <f t="shared" si="9"/>
        <v>161.51</v>
      </c>
      <c r="P69" s="4" t="s">
        <v>79</v>
      </c>
      <c r="Q69" s="5"/>
    </row>
    <row r="70" spans="1:17">
      <c r="A70" s="2">
        <f t="shared" si="5"/>
        <v>68</v>
      </c>
      <c r="B70" s="2">
        <f t="shared" si="6"/>
        <v>17</v>
      </c>
      <c r="C70" s="2" t="s">
        <v>24</v>
      </c>
      <c r="D70" s="2" t="s">
        <v>58</v>
      </c>
      <c r="E70" s="2" t="s">
        <v>184</v>
      </c>
      <c r="F70" s="2" t="s">
        <v>185</v>
      </c>
      <c r="G70" s="3">
        <v>10</v>
      </c>
      <c r="H70" s="3">
        <v>65.914634146341498</v>
      </c>
      <c r="I70" s="3">
        <v>4</v>
      </c>
      <c r="J70" s="3">
        <f t="shared" si="7"/>
        <v>79.91</v>
      </c>
      <c r="K70" s="3">
        <v>10</v>
      </c>
      <c r="L70" s="3">
        <v>66.86</v>
      </c>
      <c r="M70" s="3">
        <v>4.5</v>
      </c>
      <c r="N70" s="3">
        <f t="shared" si="8"/>
        <v>81.36</v>
      </c>
      <c r="O70" s="3">
        <f t="shared" si="9"/>
        <v>161.27000000000001</v>
      </c>
      <c r="P70" s="4" t="s">
        <v>130</v>
      </c>
      <c r="Q70" s="5"/>
    </row>
    <row r="71" spans="1:17">
      <c r="A71" s="2">
        <f t="shared" si="5"/>
        <v>69</v>
      </c>
      <c r="B71" s="2">
        <f t="shared" si="6"/>
        <v>18</v>
      </c>
      <c r="C71" s="2" t="s">
        <v>24</v>
      </c>
      <c r="D71" s="2" t="s">
        <v>58</v>
      </c>
      <c r="E71" s="2" t="s">
        <v>186</v>
      </c>
      <c r="F71" s="2" t="s">
        <v>187</v>
      </c>
      <c r="G71" s="3">
        <v>9.8000000000000007</v>
      </c>
      <c r="H71" s="3">
        <v>66.536585365853696</v>
      </c>
      <c r="I71" s="3">
        <v>4.4000000000000004</v>
      </c>
      <c r="J71" s="3">
        <f t="shared" si="7"/>
        <v>80.739999999999995</v>
      </c>
      <c r="K71" s="3">
        <v>9.8000000000000007</v>
      </c>
      <c r="L71" s="3">
        <v>66.12</v>
      </c>
      <c r="M71" s="3">
        <v>4.5999999999999996</v>
      </c>
      <c r="N71" s="3">
        <f t="shared" si="8"/>
        <v>80.52</v>
      </c>
      <c r="O71" s="3">
        <f t="shared" si="9"/>
        <v>161.26</v>
      </c>
      <c r="P71" s="4" t="s">
        <v>72</v>
      </c>
      <c r="Q71" s="5"/>
    </row>
    <row r="72" spans="1:17">
      <c r="A72" s="2">
        <f t="shared" si="5"/>
        <v>70</v>
      </c>
      <c r="B72" s="2">
        <f t="shared" si="6"/>
        <v>26</v>
      </c>
      <c r="C72" s="2" t="s">
        <v>20</v>
      </c>
      <c r="D72" s="2" t="s">
        <v>29</v>
      </c>
      <c r="E72" s="2" t="s">
        <v>188</v>
      </c>
      <c r="F72" s="2" t="s">
        <v>189</v>
      </c>
      <c r="G72" s="3">
        <v>10</v>
      </c>
      <c r="H72" s="3">
        <v>70.13</v>
      </c>
      <c r="I72" s="3">
        <v>3</v>
      </c>
      <c r="J72" s="3">
        <f t="shared" si="7"/>
        <v>83.13</v>
      </c>
      <c r="K72" s="3">
        <v>10</v>
      </c>
      <c r="L72" s="3">
        <v>64.48</v>
      </c>
      <c r="M72" s="3">
        <v>3.5</v>
      </c>
      <c r="N72" s="3">
        <f t="shared" si="8"/>
        <v>77.98</v>
      </c>
      <c r="O72" s="3">
        <f t="shared" si="9"/>
        <v>161.11000000000001</v>
      </c>
      <c r="P72" s="4" t="s">
        <v>130</v>
      </c>
      <c r="Q72" s="5"/>
    </row>
    <row r="73" spans="1:17">
      <c r="A73" s="2">
        <f t="shared" si="5"/>
        <v>71</v>
      </c>
      <c r="B73" s="2">
        <f t="shared" si="6"/>
        <v>27</v>
      </c>
      <c r="C73" s="2" t="s">
        <v>20</v>
      </c>
      <c r="D73" s="2" t="s">
        <v>82</v>
      </c>
      <c r="E73" s="2" t="s">
        <v>190</v>
      </c>
      <c r="F73" s="2" t="s">
        <v>191</v>
      </c>
      <c r="G73" s="3">
        <v>10</v>
      </c>
      <c r="H73" s="3">
        <v>66.918367346938794</v>
      </c>
      <c r="I73" s="3">
        <v>3.7</v>
      </c>
      <c r="J73" s="3">
        <f t="shared" si="7"/>
        <v>80.62</v>
      </c>
      <c r="K73" s="3">
        <v>9.8000000000000007</v>
      </c>
      <c r="L73" s="3">
        <v>65.64</v>
      </c>
      <c r="M73" s="3">
        <v>4.7</v>
      </c>
      <c r="N73" s="3">
        <f t="shared" si="8"/>
        <v>80.14</v>
      </c>
      <c r="O73" s="3">
        <f t="shared" si="9"/>
        <v>160.76</v>
      </c>
      <c r="P73" s="4" t="s">
        <v>130</v>
      </c>
      <c r="Q73" s="5"/>
    </row>
    <row r="74" spans="1:17">
      <c r="A74" s="2">
        <f t="shared" si="5"/>
        <v>72</v>
      </c>
      <c r="B74" s="2">
        <f t="shared" si="6"/>
        <v>28</v>
      </c>
      <c r="C74" s="2" t="s">
        <v>20</v>
      </c>
      <c r="D74" s="2" t="s">
        <v>21</v>
      </c>
      <c r="E74" s="2" t="s">
        <v>192</v>
      </c>
      <c r="F74" s="2" t="s">
        <v>193</v>
      </c>
      <c r="G74" s="3">
        <v>11.3</v>
      </c>
      <c r="H74" s="3">
        <v>63.06</v>
      </c>
      <c r="I74" s="3">
        <v>5.4</v>
      </c>
      <c r="J74" s="3">
        <f t="shared" si="7"/>
        <v>79.760000000000005</v>
      </c>
      <c r="K74" s="3">
        <v>9.8000000000000007</v>
      </c>
      <c r="L74" s="3">
        <v>62.05</v>
      </c>
      <c r="M74" s="3">
        <v>9</v>
      </c>
      <c r="N74" s="3">
        <f t="shared" si="8"/>
        <v>80.849999999999994</v>
      </c>
      <c r="O74" s="3">
        <f t="shared" si="9"/>
        <v>160.61000000000001</v>
      </c>
      <c r="P74" s="4" t="s">
        <v>194</v>
      </c>
      <c r="Q74" s="5"/>
    </row>
    <row r="75" spans="1:17">
      <c r="A75" s="2">
        <f t="shared" si="5"/>
        <v>73</v>
      </c>
      <c r="B75" s="2">
        <f t="shared" si="6"/>
        <v>18</v>
      </c>
      <c r="C75" s="2" t="s">
        <v>45</v>
      </c>
      <c r="D75" s="2" t="s">
        <v>96</v>
      </c>
      <c r="E75" s="2" t="s">
        <v>195</v>
      </c>
      <c r="F75" s="2" t="s">
        <v>196</v>
      </c>
      <c r="G75" s="3">
        <v>9.8000000000000007</v>
      </c>
      <c r="H75" s="3">
        <v>68.13</v>
      </c>
      <c r="I75" s="3">
        <v>4</v>
      </c>
      <c r="J75" s="3">
        <f t="shared" si="7"/>
        <v>81.93</v>
      </c>
      <c r="K75" s="3">
        <v>9.8000000000000007</v>
      </c>
      <c r="L75" s="3">
        <v>64.44</v>
      </c>
      <c r="M75" s="3">
        <v>4.4000000000000004</v>
      </c>
      <c r="N75" s="3">
        <f t="shared" si="8"/>
        <v>78.64</v>
      </c>
      <c r="O75" s="3">
        <f t="shared" si="9"/>
        <v>160.57</v>
      </c>
      <c r="P75" s="4" t="s">
        <v>79</v>
      </c>
      <c r="Q75" s="5"/>
    </row>
    <row r="76" spans="1:17">
      <c r="A76" s="2">
        <f t="shared" si="5"/>
        <v>74</v>
      </c>
      <c r="B76" s="2">
        <f t="shared" si="6"/>
        <v>10</v>
      </c>
      <c r="C76" s="2" t="s">
        <v>15</v>
      </c>
      <c r="D76" s="2" t="s">
        <v>39</v>
      </c>
      <c r="E76" s="2" t="s">
        <v>197</v>
      </c>
      <c r="F76" s="2" t="s">
        <v>198</v>
      </c>
      <c r="G76" s="3">
        <v>11.8</v>
      </c>
      <c r="H76" s="3">
        <v>62.69</v>
      </c>
      <c r="I76" s="3">
        <v>5.0999999999999996</v>
      </c>
      <c r="J76" s="3">
        <f t="shared" si="7"/>
        <v>79.59</v>
      </c>
      <c r="K76" s="3">
        <v>11.5</v>
      </c>
      <c r="L76" s="3">
        <v>64.510000000000005</v>
      </c>
      <c r="M76" s="3">
        <v>4.9000000000000004</v>
      </c>
      <c r="N76" s="3">
        <f t="shared" si="8"/>
        <v>80.91</v>
      </c>
      <c r="O76" s="3">
        <f t="shared" si="9"/>
        <v>160.5</v>
      </c>
      <c r="P76" s="4" t="s">
        <v>79</v>
      </c>
      <c r="Q76" s="5"/>
    </row>
    <row r="77" spans="1:17">
      <c r="A77" s="2">
        <f t="shared" si="5"/>
        <v>75</v>
      </c>
      <c r="B77" s="2">
        <f t="shared" si="6"/>
        <v>19</v>
      </c>
      <c r="C77" s="2" t="s">
        <v>45</v>
      </c>
      <c r="D77" s="2" t="s">
        <v>73</v>
      </c>
      <c r="E77" s="2" t="s">
        <v>199</v>
      </c>
      <c r="F77" s="2" t="s">
        <v>200</v>
      </c>
      <c r="G77" s="3">
        <v>9.8000000000000007</v>
      </c>
      <c r="H77" s="3">
        <v>72.7</v>
      </c>
      <c r="I77" s="3">
        <v>3</v>
      </c>
      <c r="J77" s="3">
        <f t="shared" si="7"/>
        <v>85.5</v>
      </c>
      <c r="K77" s="3">
        <v>9.8000000000000007</v>
      </c>
      <c r="L77" s="3">
        <v>61.53</v>
      </c>
      <c r="M77" s="3">
        <v>3.5</v>
      </c>
      <c r="N77" s="3">
        <f t="shared" si="8"/>
        <v>74.83</v>
      </c>
      <c r="O77" s="3">
        <f t="shared" si="9"/>
        <v>160.33000000000001</v>
      </c>
      <c r="P77" s="4" t="s">
        <v>72</v>
      </c>
      <c r="Q77" s="5"/>
    </row>
    <row r="78" spans="1:17" ht="30">
      <c r="A78" s="2">
        <f t="shared" si="5"/>
        <v>76</v>
      </c>
      <c r="B78" s="2">
        <f t="shared" si="6"/>
        <v>29</v>
      </c>
      <c r="C78" s="2" t="s">
        <v>20</v>
      </c>
      <c r="D78" s="2" t="s">
        <v>65</v>
      </c>
      <c r="E78" s="2" t="s">
        <v>201</v>
      </c>
      <c r="F78" s="2" t="s">
        <v>202</v>
      </c>
      <c r="G78" s="3">
        <v>9.8000000000000007</v>
      </c>
      <c r="H78" s="3">
        <v>66.06</v>
      </c>
      <c r="I78" s="3">
        <v>4</v>
      </c>
      <c r="J78" s="3">
        <f t="shared" si="7"/>
        <v>79.86</v>
      </c>
      <c r="K78" s="3">
        <v>11.8</v>
      </c>
      <c r="L78" s="3">
        <v>64.45</v>
      </c>
      <c r="M78" s="3">
        <v>4.2</v>
      </c>
      <c r="N78" s="3">
        <f t="shared" si="8"/>
        <v>80.45</v>
      </c>
      <c r="O78" s="3">
        <f t="shared" si="9"/>
        <v>160.31</v>
      </c>
      <c r="P78" s="4" t="s">
        <v>203</v>
      </c>
      <c r="Q78" s="5"/>
    </row>
    <row r="79" spans="1:17">
      <c r="A79" s="2">
        <f t="shared" si="5"/>
        <v>77</v>
      </c>
      <c r="B79" s="2">
        <f t="shared" si="6"/>
        <v>19</v>
      </c>
      <c r="C79" s="2" t="s">
        <v>24</v>
      </c>
      <c r="D79" s="2" t="s">
        <v>76</v>
      </c>
      <c r="E79" s="2" t="s">
        <v>204</v>
      </c>
      <c r="F79" s="2" t="s">
        <v>205</v>
      </c>
      <c r="G79" s="3">
        <v>10.3</v>
      </c>
      <c r="H79" s="3">
        <v>69.402439024390205</v>
      </c>
      <c r="I79" s="3">
        <v>4.2</v>
      </c>
      <c r="J79" s="3">
        <f t="shared" si="7"/>
        <v>83.9</v>
      </c>
      <c r="K79" s="3">
        <v>10.5</v>
      </c>
      <c r="L79" s="3">
        <v>61.36</v>
      </c>
      <c r="M79" s="3">
        <v>4.5</v>
      </c>
      <c r="N79" s="3">
        <f t="shared" si="8"/>
        <v>76.36</v>
      </c>
      <c r="O79" s="3">
        <f t="shared" si="9"/>
        <v>160.26</v>
      </c>
      <c r="P79" s="4" t="s">
        <v>130</v>
      </c>
      <c r="Q79" s="5"/>
    </row>
    <row r="80" spans="1:17">
      <c r="A80" s="2">
        <f t="shared" si="5"/>
        <v>78</v>
      </c>
      <c r="B80" s="2">
        <f t="shared" si="6"/>
        <v>30</v>
      </c>
      <c r="C80" s="2" t="s">
        <v>20</v>
      </c>
      <c r="D80" s="2" t="s">
        <v>164</v>
      </c>
      <c r="E80" s="2" t="s">
        <v>206</v>
      </c>
      <c r="F80" s="2" t="s">
        <v>207</v>
      </c>
      <c r="G80" s="3">
        <v>9.8000000000000007</v>
      </c>
      <c r="H80" s="3">
        <v>68.59</v>
      </c>
      <c r="I80" s="3">
        <v>3</v>
      </c>
      <c r="J80" s="3">
        <f t="shared" si="7"/>
        <v>81.39</v>
      </c>
      <c r="K80" s="3">
        <v>9.8000000000000007</v>
      </c>
      <c r="L80" s="3">
        <v>65.5</v>
      </c>
      <c r="M80" s="3">
        <v>3.5</v>
      </c>
      <c r="N80" s="3">
        <f t="shared" si="8"/>
        <v>78.8</v>
      </c>
      <c r="O80" s="3">
        <f t="shared" si="9"/>
        <v>160.19</v>
      </c>
      <c r="P80" s="4" t="s">
        <v>130</v>
      </c>
      <c r="Q80" s="5"/>
    </row>
    <row r="81" spans="1:17">
      <c r="A81" s="2">
        <f t="shared" si="5"/>
        <v>79</v>
      </c>
      <c r="B81" s="2">
        <f t="shared" si="6"/>
        <v>20</v>
      </c>
      <c r="C81" s="2" t="s">
        <v>45</v>
      </c>
      <c r="D81" s="2" t="s">
        <v>46</v>
      </c>
      <c r="E81" s="2" t="s">
        <v>208</v>
      </c>
      <c r="F81" s="2" t="s">
        <v>209</v>
      </c>
      <c r="G81" s="3">
        <v>10.3</v>
      </c>
      <c r="H81" s="3">
        <v>63.37</v>
      </c>
      <c r="I81" s="3">
        <v>3.3</v>
      </c>
      <c r="J81" s="3">
        <f t="shared" si="7"/>
        <v>76.97</v>
      </c>
      <c r="K81" s="3">
        <v>9.8000000000000007</v>
      </c>
      <c r="L81" s="3">
        <v>67.290000000000006</v>
      </c>
      <c r="M81" s="3">
        <v>6.1</v>
      </c>
      <c r="N81" s="3">
        <f t="shared" si="8"/>
        <v>83.19</v>
      </c>
      <c r="O81" s="3">
        <f t="shared" si="9"/>
        <v>160.16</v>
      </c>
      <c r="P81" s="4" t="s">
        <v>79</v>
      </c>
      <c r="Q81" s="5"/>
    </row>
    <row r="82" spans="1:17">
      <c r="A82" s="2">
        <f t="shared" si="5"/>
        <v>80</v>
      </c>
      <c r="B82" s="2">
        <f t="shared" si="6"/>
        <v>31</v>
      </c>
      <c r="C82" s="2" t="s">
        <v>20</v>
      </c>
      <c r="D82" s="2" t="s">
        <v>42</v>
      </c>
      <c r="E82" s="2" t="s">
        <v>210</v>
      </c>
      <c r="F82" s="2" t="s">
        <v>211</v>
      </c>
      <c r="G82" s="3">
        <v>7.3</v>
      </c>
      <c r="H82" s="3">
        <v>68.632653061224502</v>
      </c>
      <c r="I82" s="3">
        <v>4.5</v>
      </c>
      <c r="J82" s="3">
        <f t="shared" si="7"/>
        <v>80.430000000000007</v>
      </c>
      <c r="K82" s="3">
        <v>9.8000000000000007</v>
      </c>
      <c r="L82" s="3">
        <v>66.069999999999993</v>
      </c>
      <c r="M82" s="3">
        <v>3.8</v>
      </c>
      <c r="N82" s="3">
        <f t="shared" si="8"/>
        <v>79.67</v>
      </c>
      <c r="O82" s="3">
        <f t="shared" si="9"/>
        <v>160.1</v>
      </c>
      <c r="P82" s="4" t="s">
        <v>130</v>
      </c>
      <c r="Q82" s="5"/>
    </row>
    <row r="83" spans="1:17">
      <c r="A83" s="2">
        <f t="shared" si="5"/>
        <v>81</v>
      </c>
      <c r="B83" s="2">
        <f t="shared" si="6"/>
        <v>20</v>
      </c>
      <c r="C83" s="2" t="s">
        <v>24</v>
      </c>
      <c r="D83" s="2" t="s">
        <v>25</v>
      </c>
      <c r="E83" s="2" t="s">
        <v>212</v>
      </c>
      <c r="F83" s="2" t="s">
        <v>213</v>
      </c>
      <c r="G83" s="3">
        <v>11</v>
      </c>
      <c r="H83" s="3">
        <v>62.9</v>
      </c>
      <c r="I83" s="3">
        <v>5.9</v>
      </c>
      <c r="J83" s="3">
        <f t="shared" si="7"/>
        <v>79.8</v>
      </c>
      <c r="K83" s="3">
        <v>10</v>
      </c>
      <c r="L83" s="3">
        <v>62.93</v>
      </c>
      <c r="M83" s="3">
        <v>7.05</v>
      </c>
      <c r="N83" s="3">
        <f t="shared" si="8"/>
        <v>79.98</v>
      </c>
      <c r="O83" s="3">
        <f t="shared" si="9"/>
        <v>159.78</v>
      </c>
      <c r="P83" s="4" t="s">
        <v>130</v>
      </c>
      <c r="Q83" s="5"/>
    </row>
    <row r="84" spans="1:17">
      <c r="A84" s="2">
        <f t="shared" si="5"/>
        <v>82</v>
      </c>
      <c r="B84" s="2">
        <f t="shared" si="6"/>
        <v>32</v>
      </c>
      <c r="C84" s="2" t="s">
        <v>20</v>
      </c>
      <c r="D84" s="2" t="s">
        <v>117</v>
      </c>
      <c r="E84" s="2" t="s">
        <v>214</v>
      </c>
      <c r="F84" s="2" t="s">
        <v>215</v>
      </c>
      <c r="G84" s="3">
        <v>10</v>
      </c>
      <c r="H84" s="3">
        <v>69</v>
      </c>
      <c r="I84" s="3">
        <v>3</v>
      </c>
      <c r="J84" s="3">
        <f t="shared" si="7"/>
        <v>82</v>
      </c>
      <c r="K84" s="3">
        <v>10</v>
      </c>
      <c r="L84" s="3">
        <v>64.319999999999993</v>
      </c>
      <c r="M84" s="3">
        <v>3</v>
      </c>
      <c r="N84" s="3">
        <f t="shared" si="8"/>
        <v>77.319999999999993</v>
      </c>
      <c r="O84" s="3">
        <f t="shared" si="9"/>
        <v>159.32</v>
      </c>
      <c r="P84" s="4" t="s">
        <v>130</v>
      </c>
      <c r="Q84" s="5"/>
    </row>
    <row r="85" spans="1:17">
      <c r="A85" s="2">
        <f t="shared" si="5"/>
        <v>83</v>
      </c>
      <c r="B85" s="2">
        <f t="shared" si="6"/>
        <v>33</v>
      </c>
      <c r="C85" s="2" t="s">
        <v>20</v>
      </c>
      <c r="D85" s="2" t="s">
        <v>42</v>
      </c>
      <c r="E85" s="2" t="s">
        <v>216</v>
      </c>
      <c r="F85" s="2" t="s">
        <v>217</v>
      </c>
      <c r="G85" s="3">
        <v>10</v>
      </c>
      <c r="H85" s="3">
        <v>66.233333333333306</v>
      </c>
      <c r="I85" s="3">
        <v>5.9</v>
      </c>
      <c r="J85" s="3">
        <f t="shared" si="7"/>
        <v>82.13</v>
      </c>
      <c r="K85" s="3">
        <v>9.6</v>
      </c>
      <c r="L85" s="3">
        <v>60.65</v>
      </c>
      <c r="M85" s="3">
        <v>6.9</v>
      </c>
      <c r="N85" s="3">
        <f t="shared" si="8"/>
        <v>77.150000000000006</v>
      </c>
      <c r="O85" s="3">
        <f t="shared" si="9"/>
        <v>159.28</v>
      </c>
      <c r="P85" s="4" t="s">
        <v>130</v>
      </c>
      <c r="Q85" s="5"/>
    </row>
    <row r="86" spans="1:17">
      <c r="A86" s="2">
        <f t="shared" si="5"/>
        <v>84</v>
      </c>
      <c r="B86" s="2">
        <f t="shared" si="6"/>
        <v>21</v>
      </c>
      <c r="C86" s="2" t="s">
        <v>24</v>
      </c>
      <c r="D86" s="2" t="s">
        <v>49</v>
      </c>
      <c r="E86" s="2" t="s">
        <v>218</v>
      </c>
      <c r="F86" s="2" t="s">
        <v>219</v>
      </c>
      <c r="G86" s="3">
        <v>9.8000000000000007</v>
      </c>
      <c r="H86" s="3">
        <v>68.599999999999994</v>
      </c>
      <c r="I86" s="3">
        <v>3</v>
      </c>
      <c r="J86" s="3">
        <f t="shared" si="7"/>
        <v>81.400000000000006</v>
      </c>
      <c r="K86" s="3">
        <v>9.8000000000000007</v>
      </c>
      <c r="L86" s="3">
        <v>64.540000000000006</v>
      </c>
      <c r="M86" s="3">
        <v>3.5</v>
      </c>
      <c r="N86" s="3">
        <f t="shared" si="8"/>
        <v>77.84</v>
      </c>
      <c r="O86" s="3">
        <f t="shared" si="9"/>
        <v>159.24</v>
      </c>
      <c r="P86" s="4" t="s">
        <v>130</v>
      </c>
      <c r="Q86" s="5"/>
    </row>
    <row r="87" spans="1:17">
      <c r="A87" s="2">
        <f t="shared" si="5"/>
        <v>84</v>
      </c>
      <c r="B87" s="2">
        <f t="shared" si="6"/>
        <v>21</v>
      </c>
      <c r="C87" s="2" t="s">
        <v>45</v>
      </c>
      <c r="D87" s="2" t="s">
        <v>220</v>
      </c>
      <c r="E87" s="2" t="s">
        <v>221</v>
      </c>
      <c r="F87" s="2" t="s">
        <v>222</v>
      </c>
      <c r="G87" s="3">
        <v>9</v>
      </c>
      <c r="H87" s="3">
        <v>65.2</v>
      </c>
      <c r="I87" s="3">
        <v>4</v>
      </c>
      <c r="J87" s="3">
        <f t="shared" si="7"/>
        <v>78.2</v>
      </c>
      <c r="K87" s="3">
        <v>10</v>
      </c>
      <c r="L87" s="3">
        <v>66.040000000000006</v>
      </c>
      <c r="M87" s="3">
        <v>5</v>
      </c>
      <c r="N87" s="3">
        <f t="shared" si="8"/>
        <v>81.040000000000006</v>
      </c>
      <c r="O87" s="3">
        <f t="shared" si="9"/>
        <v>159.24</v>
      </c>
      <c r="P87" s="4" t="s">
        <v>130</v>
      </c>
      <c r="Q87" s="5"/>
    </row>
    <row r="88" spans="1:17">
      <c r="A88" s="2">
        <f t="shared" si="5"/>
        <v>86</v>
      </c>
      <c r="B88" s="2">
        <f t="shared" si="6"/>
        <v>22</v>
      </c>
      <c r="C88" s="2" t="s">
        <v>24</v>
      </c>
      <c r="D88" s="2" t="s">
        <v>25</v>
      </c>
      <c r="E88" s="2" t="s">
        <v>223</v>
      </c>
      <c r="F88" s="2" t="s">
        <v>224</v>
      </c>
      <c r="G88" s="3">
        <v>11</v>
      </c>
      <c r="H88" s="3">
        <v>67.695121951219505</v>
      </c>
      <c r="I88" s="3">
        <v>4</v>
      </c>
      <c r="J88" s="3">
        <f t="shared" si="7"/>
        <v>82.7</v>
      </c>
      <c r="K88" s="3">
        <v>10</v>
      </c>
      <c r="L88" s="3">
        <v>62</v>
      </c>
      <c r="M88" s="3">
        <v>4.5</v>
      </c>
      <c r="N88" s="3">
        <f t="shared" si="8"/>
        <v>76.5</v>
      </c>
      <c r="O88" s="3">
        <f t="shared" si="9"/>
        <v>159.19999999999999</v>
      </c>
      <c r="P88" s="4" t="s">
        <v>130</v>
      </c>
      <c r="Q88" s="5"/>
    </row>
    <row r="89" spans="1:17">
      <c r="A89" s="2">
        <f t="shared" si="5"/>
        <v>87</v>
      </c>
      <c r="B89" s="2">
        <f t="shared" si="6"/>
        <v>34</v>
      </c>
      <c r="C89" s="2" t="s">
        <v>20</v>
      </c>
      <c r="D89" s="2" t="s">
        <v>29</v>
      </c>
      <c r="E89" s="2" t="s">
        <v>225</v>
      </c>
      <c r="F89" s="2" t="s">
        <v>226</v>
      </c>
      <c r="G89" s="3">
        <v>10</v>
      </c>
      <c r="H89" s="3">
        <v>63.23</v>
      </c>
      <c r="I89" s="3">
        <v>4.8</v>
      </c>
      <c r="J89" s="3">
        <f t="shared" si="7"/>
        <v>78.03</v>
      </c>
      <c r="K89" s="3">
        <v>10</v>
      </c>
      <c r="L89" s="3">
        <v>64.86</v>
      </c>
      <c r="M89" s="3">
        <v>6.3</v>
      </c>
      <c r="N89" s="3">
        <f t="shared" si="8"/>
        <v>81.16</v>
      </c>
      <c r="O89" s="3">
        <f t="shared" si="9"/>
        <v>159.19</v>
      </c>
      <c r="P89" s="4" t="s">
        <v>130</v>
      </c>
      <c r="Q89" s="5"/>
    </row>
    <row r="90" spans="1:17">
      <c r="A90" s="2">
        <f t="shared" si="5"/>
        <v>88</v>
      </c>
      <c r="B90" s="2">
        <f t="shared" si="6"/>
        <v>35</v>
      </c>
      <c r="C90" s="2" t="s">
        <v>20</v>
      </c>
      <c r="D90" s="2" t="s">
        <v>29</v>
      </c>
      <c r="E90" s="2" t="s">
        <v>227</v>
      </c>
      <c r="F90" s="2" t="s">
        <v>228</v>
      </c>
      <c r="G90" s="3">
        <v>9.8000000000000007</v>
      </c>
      <c r="H90" s="3">
        <v>66.52</v>
      </c>
      <c r="I90" s="3">
        <v>3.7</v>
      </c>
      <c r="J90" s="3">
        <f t="shared" si="7"/>
        <v>80.02</v>
      </c>
      <c r="K90" s="3">
        <v>9.8000000000000007</v>
      </c>
      <c r="L90" s="3">
        <v>65.05</v>
      </c>
      <c r="M90" s="3">
        <v>4.2</v>
      </c>
      <c r="N90" s="3">
        <f t="shared" si="8"/>
        <v>79.05</v>
      </c>
      <c r="O90" s="3">
        <f t="shared" si="9"/>
        <v>159.07</v>
      </c>
      <c r="P90" s="4" t="s">
        <v>130</v>
      </c>
      <c r="Q90" s="5"/>
    </row>
    <row r="91" spans="1:17">
      <c r="A91" s="2">
        <f t="shared" si="5"/>
        <v>89</v>
      </c>
      <c r="B91" s="2">
        <f t="shared" si="6"/>
        <v>36</v>
      </c>
      <c r="C91" s="2" t="s">
        <v>20</v>
      </c>
      <c r="D91" s="2" t="s">
        <v>229</v>
      </c>
      <c r="E91" s="2" t="s">
        <v>230</v>
      </c>
      <c r="F91" s="2" t="s">
        <v>231</v>
      </c>
      <c r="G91" s="3">
        <v>9.8000000000000007</v>
      </c>
      <c r="H91" s="3">
        <v>64.58</v>
      </c>
      <c r="I91" s="3">
        <v>3.2</v>
      </c>
      <c r="J91" s="3">
        <f t="shared" si="7"/>
        <v>77.58</v>
      </c>
      <c r="K91" s="3">
        <v>9.8000000000000007</v>
      </c>
      <c r="L91" s="3">
        <v>66.64</v>
      </c>
      <c r="M91" s="3">
        <v>4.7</v>
      </c>
      <c r="N91" s="3">
        <f t="shared" si="8"/>
        <v>81.14</v>
      </c>
      <c r="O91" s="3">
        <f t="shared" si="9"/>
        <v>158.72</v>
      </c>
      <c r="P91" s="4" t="s">
        <v>130</v>
      </c>
      <c r="Q91" s="5"/>
    </row>
    <row r="92" spans="1:17">
      <c r="A92" s="2">
        <f t="shared" si="5"/>
        <v>90</v>
      </c>
      <c r="B92" s="2">
        <f t="shared" si="6"/>
        <v>22</v>
      </c>
      <c r="C92" s="2" t="s">
        <v>45</v>
      </c>
      <c r="D92" s="2" t="s">
        <v>232</v>
      </c>
      <c r="E92" s="2" t="s">
        <v>233</v>
      </c>
      <c r="F92" s="2" t="s">
        <v>234</v>
      </c>
      <c r="G92" s="3">
        <v>9.9</v>
      </c>
      <c r="H92" s="3">
        <v>63.89</v>
      </c>
      <c r="I92" s="3">
        <v>5.8</v>
      </c>
      <c r="J92" s="3">
        <f t="shared" si="7"/>
        <v>79.59</v>
      </c>
      <c r="K92" s="3">
        <v>11</v>
      </c>
      <c r="L92" s="3">
        <v>60.81</v>
      </c>
      <c r="M92" s="3">
        <v>7.3</v>
      </c>
      <c r="N92" s="3">
        <f t="shared" si="8"/>
        <v>79.11</v>
      </c>
      <c r="O92" s="3">
        <f t="shared" si="9"/>
        <v>158.69999999999999</v>
      </c>
      <c r="P92" s="4" t="s">
        <v>130</v>
      </c>
      <c r="Q92" s="5"/>
    </row>
    <row r="93" spans="1:17">
      <c r="A93" s="2">
        <f t="shared" si="5"/>
        <v>91</v>
      </c>
      <c r="B93" s="2">
        <f t="shared" si="6"/>
        <v>23</v>
      </c>
      <c r="C93" s="2" t="s">
        <v>24</v>
      </c>
      <c r="D93" s="2" t="s">
        <v>25</v>
      </c>
      <c r="E93" s="2" t="s">
        <v>235</v>
      </c>
      <c r="F93" s="2" t="s">
        <v>236</v>
      </c>
      <c r="G93" s="3">
        <v>9.8000000000000007</v>
      </c>
      <c r="H93" s="3">
        <v>66.195121951219505</v>
      </c>
      <c r="I93" s="3">
        <v>5.0999999999999996</v>
      </c>
      <c r="J93" s="3">
        <f t="shared" si="7"/>
        <v>81.099999999999994</v>
      </c>
      <c r="K93" s="3">
        <v>9.8000000000000007</v>
      </c>
      <c r="L93" s="3">
        <v>63.47</v>
      </c>
      <c r="M93" s="3">
        <v>4.3</v>
      </c>
      <c r="N93" s="3">
        <f t="shared" si="8"/>
        <v>77.569999999999993</v>
      </c>
      <c r="O93" s="3">
        <f t="shared" si="9"/>
        <v>158.66999999999999</v>
      </c>
      <c r="P93" s="4" t="s">
        <v>130</v>
      </c>
      <c r="Q93" s="5"/>
    </row>
    <row r="94" spans="1:17">
      <c r="A94" s="2">
        <f t="shared" si="5"/>
        <v>92</v>
      </c>
      <c r="B94" s="2">
        <f t="shared" si="6"/>
        <v>24</v>
      </c>
      <c r="C94" s="2" t="s">
        <v>24</v>
      </c>
      <c r="D94" s="2" t="s">
        <v>25</v>
      </c>
      <c r="E94" s="2" t="s">
        <v>237</v>
      </c>
      <c r="F94" s="2" t="s">
        <v>238</v>
      </c>
      <c r="G94" s="3">
        <v>9.8000000000000007</v>
      </c>
      <c r="H94" s="3">
        <v>64.548780487804905</v>
      </c>
      <c r="I94" s="3">
        <v>4.5</v>
      </c>
      <c r="J94" s="3">
        <f t="shared" si="7"/>
        <v>78.849999999999994</v>
      </c>
      <c r="K94" s="3">
        <v>9.8000000000000007</v>
      </c>
      <c r="L94" s="3">
        <v>65.010000000000005</v>
      </c>
      <c r="M94" s="3">
        <v>5</v>
      </c>
      <c r="N94" s="3">
        <f t="shared" si="8"/>
        <v>79.81</v>
      </c>
      <c r="O94" s="3">
        <f t="shared" si="9"/>
        <v>158.66</v>
      </c>
      <c r="P94" s="4" t="s">
        <v>130</v>
      </c>
      <c r="Q94" s="5"/>
    </row>
    <row r="95" spans="1:17">
      <c r="A95" s="2">
        <f t="shared" si="5"/>
        <v>93</v>
      </c>
      <c r="B95" s="2">
        <f t="shared" si="6"/>
        <v>37</v>
      </c>
      <c r="C95" s="2" t="s">
        <v>20</v>
      </c>
      <c r="D95" s="2" t="s">
        <v>36</v>
      </c>
      <c r="E95" s="2" t="s">
        <v>239</v>
      </c>
      <c r="F95" s="2" t="s">
        <v>240</v>
      </c>
      <c r="G95" s="3">
        <v>9.8000000000000007</v>
      </c>
      <c r="H95" s="3">
        <v>65.010000000000005</v>
      </c>
      <c r="I95" s="3">
        <v>5.7</v>
      </c>
      <c r="J95" s="3">
        <f t="shared" si="7"/>
        <v>80.510000000000005</v>
      </c>
      <c r="K95" s="3">
        <v>9.8000000000000007</v>
      </c>
      <c r="L95" s="3">
        <v>60.63</v>
      </c>
      <c r="M95" s="3">
        <v>7.7</v>
      </c>
      <c r="N95" s="3">
        <f t="shared" si="8"/>
        <v>78.13</v>
      </c>
      <c r="O95" s="3">
        <f t="shared" si="9"/>
        <v>158.63999999999999</v>
      </c>
      <c r="P95" s="4" t="s">
        <v>130</v>
      </c>
      <c r="Q95" s="5"/>
    </row>
    <row r="96" spans="1:17">
      <c r="A96" s="2">
        <f t="shared" si="5"/>
        <v>94</v>
      </c>
      <c r="B96" s="2">
        <f t="shared" si="6"/>
        <v>38</v>
      </c>
      <c r="C96" s="2" t="s">
        <v>20</v>
      </c>
      <c r="D96" s="2" t="s">
        <v>117</v>
      </c>
      <c r="E96" s="2" t="s">
        <v>241</v>
      </c>
      <c r="F96" s="2" t="s">
        <v>242</v>
      </c>
      <c r="G96" s="3">
        <v>9.8000000000000007</v>
      </c>
      <c r="H96" s="3">
        <v>66.91</v>
      </c>
      <c r="I96" s="3">
        <v>4.2</v>
      </c>
      <c r="J96" s="3">
        <f t="shared" si="7"/>
        <v>80.91</v>
      </c>
      <c r="K96" s="3">
        <v>9.8000000000000007</v>
      </c>
      <c r="L96" s="3">
        <v>63.38</v>
      </c>
      <c r="M96" s="3">
        <v>4.5</v>
      </c>
      <c r="N96" s="3">
        <f t="shared" si="8"/>
        <v>77.680000000000007</v>
      </c>
      <c r="O96" s="3">
        <f t="shared" si="9"/>
        <v>158.59</v>
      </c>
      <c r="P96" s="4" t="s">
        <v>130</v>
      </c>
      <c r="Q96" s="5"/>
    </row>
    <row r="97" spans="1:17">
      <c r="A97" s="2">
        <f t="shared" si="5"/>
        <v>95</v>
      </c>
      <c r="B97" s="2">
        <f t="shared" si="6"/>
        <v>39</v>
      </c>
      <c r="C97" s="2" t="s">
        <v>20</v>
      </c>
      <c r="D97" s="2" t="s">
        <v>42</v>
      </c>
      <c r="E97" s="2" t="s">
        <v>243</v>
      </c>
      <c r="F97" s="2" t="s">
        <v>244</v>
      </c>
      <c r="G97" s="3">
        <v>10.8</v>
      </c>
      <c r="H97" s="3">
        <v>65.5</v>
      </c>
      <c r="I97" s="3">
        <v>5.3</v>
      </c>
      <c r="J97" s="3">
        <f t="shared" si="7"/>
        <v>81.599999999999994</v>
      </c>
      <c r="K97" s="3">
        <v>10</v>
      </c>
      <c r="L97" s="3">
        <v>61.97</v>
      </c>
      <c r="M97" s="3">
        <v>5</v>
      </c>
      <c r="N97" s="3">
        <f t="shared" si="8"/>
        <v>76.97</v>
      </c>
      <c r="O97" s="3">
        <f t="shared" si="9"/>
        <v>158.57</v>
      </c>
      <c r="P97" s="4" t="s">
        <v>130</v>
      </c>
      <c r="Q97" s="5"/>
    </row>
    <row r="98" spans="1:17">
      <c r="A98" s="2">
        <f t="shared" si="5"/>
        <v>96</v>
      </c>
      <c r="B98" s="2">
        <f t="shared" si="6"/>
        <v>40</v>
      </c>
      <c r="C98" s="2" t="s">
        <v>20</v>
      </c>
      <c r="D98" s="2" t="s">
        <v>117</v>
      </c>
      <c r="E98" s="2" t="s">
        <v>245</v>
      </c>
      <c r="F98" s="2" t="s">
        <v>246</v>
      </c>
      <c r="G98" s="3">
        <v>9.8000000000000007</v>
      </c>
      <c r="H98" s="3">
        <v>68.209999999999994</v>
      </c>
      <c r="I98" s="3">
        <v>3</v>
      </c>
      <c r="J98" s="3">
        <f t="shared" si="7"/>
        <v>81.010000000000005</v>
      </c>
      <c r="K98" s="3">
        <v>9.8000000000000007</v>
      </c>
      <c r="L98" s="3">
        <v>64.650000000000006</v>
      </c>
      <c r="M98" s="3">
        <v>3</v>
      </c>
      <c r="N98" s="3">
        <f t="shared" si="8"/>
        <v>77.45</v>
      </c>
      <c r="O98" s="3">
        <f t="shared" si="9"/>
        <v>158.46</v>
      </c>
      <c r="P98" s="4" t="s">
        <v>130</v>
      </c>
      <c r="Q98" s="5"/>
    </row>
    <row r="99" spans="1:17">
      <c r="A99" s="2">
        <f t="shared" si="5"/>
        <v>97</v>
      </c>
      <c r="B99" s="2">
        <f t="shared" si="6"/>
        <v>23</v>
      </c>
      <c r="C99" s="2" t="s">
        <v>45</v>
      </c>
      <c r="D99" s="2" t="s">
        <v>109</v>
      </c>
      <c r="E99" s="2" t="s">
        <v>247</v>
      </c>
      <c r="F99" s="2" t="s">
        <v>248</v>
      </c>
      <c r="G99" s="3">
        <v>9.8000000000000007</v>
      </c>
      <c r="H99" s="3">
        <v>64.5</v>
      </c>
      <c r="I99" s="3">
        <v>4</v>
      </c>
      <c r="J99" s="3">
        <f t="shared" si="7"/>
        <v>78.3</v>
      </c>
      <c r="K99" s="3">
        <v>9.8000000000000007</v>
      </c>
      <c r="L99" s="3">
        <v>65.22</v>
      </c>
      <c r="M99" s="3">
        <v>4.9000000000000004</v>
      </c>
      <c r="N99" s="3">
        <f t="shared" si="8"/>
        <v>79.92</v>
      </c>
      <c r="O99" s="3">
        <f t="shared" si="9"/>
        <v>158.22</v>
      </c>
      <c r="P99" s="4" t="s">
        <v>130</v>
      </c>
      <c r="Q99" s="5"/>
    </row>
    <row r="100" spans="1:17">
      <c r="A100" s="2">
        <f t="shared" si="5"/>
        <v>98</v>
      </c>
      <c r="B100" s="2">
        <f t="shared" si="6"/>
        <v>25</v>
      </c>
      <c r="C100" s="2" t="s">
        <v>24</v>
      </c>
      <c r="D100" s="2" t="s">
        <v>49</v>
      </c>
      <c r="E100" s="2" t="s">
        <v>249</v>
      </c>
      <c r="F100" s="2" t="s">
        <v>250</v>
      </c>
      <c r="G100" s="3">
        <v>10</v>
      </c>
      <c r="H100" s="3">
        <v>65.3</v>
      </c>
      <c r="I100" s="3">
        <v>3</v>
      </c>
      <c r="J100" s="3">
        <f t="shared" si="7"/>
        <v>78.3</v>
      </c>
      <c r="K100" s="3">
        <v>10</v>
      </c>
      <c r="L100" s="3">
        <v>65.260000000000005</v>
      </c>
      <c r="M100" s="3">
        <v>4.4000000000000004</v>
      </c>
      <c r="N100" s="3">
        <f t="shared" si="8"/>
        <v>79.66</v>
      </c>
      <c r="O100" s="3">
        <f t="shared" si="9"/>
        <v>157.96</v>
      </c>
      <c r="P100" s="2"/>
      <c r="Q100" s="5"/>
    </row>
    <row r="101" spans="1:17">
      <c r="A101" s="2">
        <f t="shared" si="5"/>
        <v>99</v>
      </c>
      <c r="B101" s="2">
        <f t="shared" si="6"/>
        <v>26</v>
      </c>
      <c r="C101" s="2" t="s">
        <v>24</v>
      </c>
      <c r="D101" s="2" t="s">
        <v>76</v>
      </c>
      <c r="E101" s="2" t="s">
        <v>251</v>
      </c>
      <c r="F101" s="2" t="s">
        <v>252</v>
      </c>
      <c r="G101" s="3">
        <v>10.6</v>
      </c>
      <c r="H101" s="3">
        <v>63.560975609756099</v>
      </c>
      <c r="I101" s="3">
        <v>4.4000000000000004</v>
      </c>
      <c r="J101" s="3">
        <f t="shared" si="7"/>
        <v>78.56</v>
      </c>
      <c r="K101" s="3">
        <v>10.5</v>
      </c>
      <c r="L101" s="3">
        <v>63.3</v>
      </c>
      <c r="M101" s="3">
        <v>5.5</v>
      </c>
      <c r="N101" s="3">
        <f t="shared" si="8"/>
        <v>79.3</v>
      </c>
      <c r="O101" s="3">
        <f t="shared" si="9"/>
        <v>157.86000000000001</v>
      </c>
      <c r="P101" s="2"/>
      <c r="Q101" s="5"/>
    </row>
    <row r="102" spans="1:17">
      <c r="A102" s="2">
        <f t="shared" si="5"/>
        <v>100</v>
      </c>
      <c r="B102" s="2">
        <f t="shared" si="6"/>
        <v>24</v>
      </c>
      <c r="C102" s="2" t="s">
        <v>45</v>
      </c>
      <c r="D102" s="2" t="s">
        <v>54</v>
      </c>
      <c r="E102" s="2" t="s">
        <v>253</v>
      </c>
      <c r="F102" s="2" t="s">
        <v>254</v>
      </c>
      <c r="G102" s="3">
        <v>10.8</v>
      </c>
      <c r="H102" s="3">
        <v>65.819999999999993</v>
      </c>
      <c r="I102" s="3">
        <v>4.3</v>
      </c>
      <c r="J102" s="3">
        <f t="shared" si="7"/>
        <v>80.92</v>
      </c>
      <c r="K102" s="3">
        <v>9.8000000000000007</v>
      </c>
      <c r="L102" s="3">
        <v>63.57</v>
      </c>
      <c r="M102" s="3">
        <v>3.5</v>
      </c>
      <c r="N102" s="3">
        <f t="shared" si="8"/>
        <v>76.87</v>
      </c>
      <c r="O102" s="3">
        <f t="shared" si="9"/>
        <v>157.79</v>
      </c>
      <c r="P102" s="4" t="s">
        <v>130</v>
      </c>
      <c r="Q102" s="5"/>
    </row>
    <row r="103" spans="1:17">
      <c r="A103" s="2">
        <f t="shared" si="5"/>
        <v>101</v>
      </c>
      <c r="B103" s="2">
        <f t="shared" si="6"/>
        <v>41</v>
      </c>
      <c r="C103" s="2" t="s">
        <v>20</v>
      </c>
      <c r="D103" s="2" t="s">
        <v>65</v>
      </c>
      <c r="E103" s="2" t="s">
        <v>255</v>
      </c>
      <c r="F103" s="2" t="s">
        <v>256</v>
      </c>
      <c r="G103" s="3">
        <v>9.8000000000000007</v>
      </c>
      <c r="H103" s="3">
        <v>67.02</v>
      </c>
      <c r="I103" s="3">
        <v>4</v>
      </c>
      <c r="J103" s="3">
        <f t="shared" si="7"/>
        <v>80.819999999999993</v>
      </c>
      <c r="K103" s="3">
        <v>9.8000000000000007</v>
      </c>
      <c r="L103" s="3">
        <v>63.09</v>
      </c>
      <c r="M103" s="3">
        <v>4</v>
      </c>
      <c r="N103" s="3">
        <f t="shared" si="8"/>
        <v>76.89</v>
      </c>
      <c r="O103" s="3">
        <f t="shared" si="9"/>
        <v>157.71</v>
      </c>
      <c r="P103" s="4" t="s">
        <v>130</v>
      </c>
      <c r="Q103" s="5"/>
    </row>
    <row r="104" spans="1:17">
      <c r="A104" s="2">
        <f t="shared" si="5"/>
        <v>102</v>
      </c>
      <c r="B104" s="2">
        <f t="shared" si="6"/>
        <v>11</v>
      </c>
      <c r="C104" s="2" t="s">
        <v>15</v>
      </c>
      <c r="D104" s="2" t="s">
        <v>257</v>
      </c>
      <c r="E104" s="2" t="s">
        <v>258</v>
      </c>
      <c r="F104" s="2" t="s">
        <v>259</v>
      </c>
      <c r="G104" s="3">
        <v>10.8</v>
      </c>
      <c r="H104" s="3">
        <v>64.290000000000006</v>
      </c>
      <c r="I104" s="3">
        <v>5</v>
      </c>
      <c r="J104" s="3">
        <f t="shared" si="7"/>
        <v>80.09</v>
      </c>
      <c r="K104" s="3">
        <v>11.3</v>
      </c>
      <c r="L104" s="3">
        <v>60.6</v>
      </c>
      <c r="M104" s="3">
        <v>5.7</v>
      </c>
      <c r="N104" s="3">
        <f t="shared" si="8"/>
        <v>77.599999999999994</v>
      </c>
      <c r="O104" s="3">
        <f t="shared" si="9"/>
        <v>157.69</v>
      </c>
      <c r="P104" s="4" t="s">
        <v>130</v>
      </c>
      <c r="Q104" s="5"/>
    </row>
    <row r="105" spans="1:17">
      <c r="A105" s="2">
        <f t="shared" si="5"/>
        <v>103</v>
      </c>
      <c r="B105" s="2">
        <f t="shared" si="6"/>
        <v>12</v>
      </c>
      <c r="C105" s="2" t="s">
        <v>15</v>
      </c>
      <c r="D105" s="2" t="s">
        <v>16</v>
      </c>
      <c r="E105" s="2" t="s">
        <v>260</v>
      </c>
      <c r="F105" s="2" t="s">
        <v>261</v>
      </c>
      <c r="G105" s="3">
        <v>10.8</v>
      </c>
      <c r="H105" s="3">
        <v>67.349999999999994</v>
      </c>
      <c r="I105" s="3">
        <v>4</v>
      </c>
      <c r="J105" s="3">
        <f t="shared" si="7"/>
        <v>82.15</v>
      </c>
      <c r="K105" s="3">
        <v>7.3000000000000007</v>
      </c>
      <c r="L105" s="3">
        <v>60.94</v>
      </c>
      <c r="M105" s="3">
        <v>7.2</v>
      </c>
      <c r="N105" s="3">
        <f t="shared" si="8"/>
        <v>75.44</v>
      </c>
      <c r="O105" s="3">
        <f t="shared" si="9"/>
        <v>157.59</v>
      </c>
      <c r="P105" s="4" t="s">
        <v>130</v>
      </c>
      <c r="Q105" s="5"/>
    </row>
    <row r="106" spans="1:17">
      <c r="A106" s="2">
        <f t="shared" si="5"/>
        <v>104</v>
      </c>
      <c r="B106" s="2">
        <f t="shared" si="6"/>
        <v>42</v>
      </c>
      <c r="C106" s="2" t="s">
        <v>20</v>
      </c>
      <c r="D106" s="2" t="s">
        <v>29</v>
      </c>
      <c r="E106" s="2" t="s">
        <v>262</v>
      </c>
      <c r="F106" s="2" t="s">
        <v>263</v>
      </c>
      <c r="G106" s="3">
        <v>10.8</v>
      </c>
      <c r="H106" s="3">
        <v>65.34</v>
      </c>
      <c r="I106" s="3">
        <v>4.5</v>
      </c>
      <c r="J106" s="3">
        <f t="shared" si="7"/>
        <v>80.64</v>
      </c>
      <c r="K106" s="3">
        <v>9.8000000000000007</v>
      </c>
      <c r="L106" s="3">
        <v>61.23</v>
      </c>
      <c r="M106" s="3">
        <v>5.9</v>
      </c>
      <c r="N106" s="3">
        <f t="shared" si="8"/>
        <v>76.930000000000007</v>
      </c>
      <c r="O106" s="3">
        <f t="shared" si="9"/>
        <v>157.57</v>
      </c>
      <c r="P106" s="4" t="s">
        <v>130</v>
      </c>
      <c r="Q106" s="5"/>
    </row>
    <row r="107" spans="1:17">
      <c r="A107" s="2">
        <f t="shared" si="5"/>
        <v>105</v>
      </c>
      <c r="B107" s="2">
        <f t="shared" si="6"/>
        <v>43</v>
      </c>
      <c r="C107" s="2" t="s">
        <v>20</v>
      </c>
      <c r="D107" s="2" t="s">
        <v>65</v>
      </c>
      <c r="E107" s="2" t="s">
        <v>264</v>
      </c>
      <c r="F107" s="2" t="s">
        <v>265</v>
      </c>
      <c r="G107" s="3">
        <v>10.8</v>
      </c>
      <c r="H107" s="3">
        <v>68.67</v>
      </c>
      <c r="I107" s="3">
        <v>4.4000000000000004</v>
      </c>
      <c r="J107" s="3">
        <f t="shared" si="7"/>
        <v>83.87</v>
      </c>
      <c r="K107" s="3">
        <v>9.8000000000000007</v>
      </c>
      <c r="L107" s="3">
        <v>58.99</v>
      </c>
      <c r="M107" s="3">
        <v>4.9000000000000004</v>
      </c>
      <c r="N107" s="3">
        <f t="shared" si="8"/>
        <v>73.69</v>
      </c>
      <c r="O107" s="3">
        <f t="shared" si="9"/>
        <v>157.56</v>
      </c>
      <c r="P107" s="4" t="s">
        <v>130</v>
      </c>
      <c r="Q107" s="5"/>
    </row>
    <row r="108" spans="1:17">
      <c r="A108" s="2">
        <f t="shared" si="5"/>
        <v>106</v>
      </c>
      <c r="B108" s="2">
        <f t="shared" si="6"/>
        <v>25</v>
      </c>
      <c r="C108" s="2" t="s">
        <v>45</v>
      </c>
      <c r="D108" s="2" t="s">
        <v>266</v>
      </c>
      <c r="E108" s="2" t="s">
        <v>267</v>
      </c>
      <c r="F108" s="2" t="s">
        <v>268</v>
      </c>
      <c r="G108" s="3">
        <v>11.3</v>
      </c>
      <c r="H108" s="3">
        <v>59.58</v>
      </c>
      <c r="I108" s="3">
        <v>6.2</v>
      </c>
      <c r="J108" s="3">
        <f t="shared" si="7"/>
        <v>77.08</v>
      </c>
      <c r="K108" s="3">
        <v>11.3</v>
      </c>
      <c r="L108" s="3">
        <v>61.62</v>
      </c>
      <c r="M108" s="3">
        <v>7.5</v>
      </c>
      <c r="N108" s="3">
        <f t="shared" si="8"/>
        <v>80.42</v>
      </c>
      <c r="O108" s="3">
        <f t="shared" si="9"/>
        <v>157.5</v>
      </c>
      <c r="P108" s="4" t="s">
        <v>72</v>
      </c>
      <c r="Q108" s="5"/>
    </row>
    <row r="109" spans="1:17">
      <c r="A109" s="2">
        <f t="shared" si="5"/>
        <v>107</v>
      </c>
      <c r="B109" s="2">
        <f t="shared" si="6"/>
        <v>26</v>
      </c>
      <c r="C109" s="2" t="s">
        <v>45</v>
      </c>
      <c r="D109" s="2" t="s">
        <v>232</v>
      </c>
      <c r="E109" s="2" t="s">
        <v>269</v>
      </c>
      <c r="F109" s="2" t="s">
        <v>270</v>
      </c>
      <c r="G109" s="3">
        <v>9.8000000000000007</v>
      </c>
      <c r="H109" s="3">
        <v>65.39</v>
      </c>
      <c r="I109" s="3">
        <v>4.2</v>
      </c>
      <c r="J109" s="3">
        <f t="shared" si="7"/>
        <v>79.39</v>
      </c>
      <c r="K109" s="3">
        <v>9.8000000000000007</v>
      </c>
      <c r="L109" s="3">
        <v>63</v>
      </c>
      <c r="M109" s="3">
        <v>5.3</v>
      </c>
      <c r="N109" s="3">
        <f t="shared" si="8"/>
        <v>78.099999999999994</v>
      </c>
      <c r="O109" s="3">
        <f t="shared" si="9"/>
        <v>157.49</v>
      </c>
      <c r="P109" s="4" t="s">
        <v>130</v>
      </c>
      <c r="Q109" s="5"/>
    </row>
    <row r="110" spans="1:17">
      <c r="A110" s="2">
        <f t="shared" si="5"/>
        <v>108</v>
      </c>
      <c r="B110" s="2">
        <f t="shared" si="6"/>
        <v>27</v>
      </c>
      <c r="C110" s="2" t="s">
        <v>24</v>
      </c>
      <c r="D110" s="2" t="s">
        <v>58</v>
      </c>
      <c r="E110" s="2" t="s">
        <v>271</v>
      </c>
      <c r="F110" s="2" t="s">
        <v>272</v>
      </c>
      <c r="G110" s="3">
        <v>9.8000000000000007</v>
      </c>
      <c r="H110" s="3">
        <v>64.890243902438996</v>
      </c>
      <c r="I110" s="3">
        <v>4.2</v>
      </c>
      <c r="J110" s="3">
        <f t="shared" si="7"/>
        <v>78.89</v>
      </c>
      <c r="K110" s="3">
        <v>9.8000000000000007</v>
      </c>
      <c r="L110" s="3">
        <v>64.58</v>
      </c>
      <c r="M110" s="3">
        <v>4.2</v>
      </c>
      <c r="N110" s="3">
        <f t="shared" si="8"/>
        <v>78.58</v>
      </c>
      <c r="O110" s="3">
        <f t="shared" si="9"/>
        <v>157.47</v>
      </c>
      <c r="P110" s="2"/>
      <c r="Q110" s="5"/>
    </row>
    <row r="111" spans="1:17">
      <c r="A111" s="2">
        <f t="shared" si="5"/>
        <v>109</v>
      </c>
      <c r="B111" s="2">
        <f t="shared" si="6"/>
        <v>13</v>
      </c>
      <c r="C111" s="2" t="s">
        <v>15</v>
      </c>
      <c r="D111" s="2" t="s">
        <v>181</v>
      </c>
      <c r="E111" s="2" t="s">
        <v>273</v>
      </c>
      <c r="F111" s="2" t="s">
        <v>274</v>
      </c>
      <c r="G111" s="3">
        <v>10</v>
      </c>
      <c r="H111" s="3">
        <v>64.06</v>
      </c>
      <c r="I111" s="3">
        <v>3</v>
      </c>
      <c r="J111" s="3">
        <f t="shared" si="7"/>
        <v>77.06</v>
      </c>
      <c r="K111" s="3">
        <v>10</v>
      </c>
      <c r="L111" s="3">
        <v>66.849999999999994</v>
      </c>
      <c r="M111" s="3">
        <v>3.5</v>
      </c>
      <c r="N111" s="3">
        <f t="shared" si="8"/>
        <v>80.349999999999994</v>
      </c>
      <c r="O111" s="3">
        <f t="shared" si="9"/>
        <v>157.41</v>
      </c>
      <c r="P111" s="4" t="s">
        <v>130</v>
      </c>
      <c r="Q111" s="5"/>
    </row>
    <row r="112" spans="1:17">
      <c r="A112" s="2">
        <f t="shared" si="5"/>
        <v>110</v>
      </c>
      <c r="B112" s="2">
        <f t="shared" si="6"/>
        <v>28</v>
      </c>
      <c r="C112" s="2" t="s">
        <v>24</v>
      </c>
      <c r="D112" s="2" t="s">
        <v>49</v>
      </c>
      <c r="E112" s="2" t="s">
        <v>275</v>
      </c>
      <c r="F112" s="2" t="s">
        <v>276</v>
      </c>
      <c r="G112" s="3">
        <v>10.8</v>
      </c>
      <c r="H112" s="3">
        <v>61.878048780487802</v>
      </c>
      <c r="I112" s="3">
        <v>5</v>
      </c>
      <c r="J112" s="3">
        <f t="shared" si="7"/>
        <v>77.680000000000007</v>
      </c>
      <c r="K112" s="3">
        <v>9.8000000000000007</v>
      </c>
      <c r="L112" s="3">
        <v>65.02</v>
      </c>
      <c r="M112" s="3">
        <v>4.9000000000000004</v>
      </c>
      <c r="N112" s="3">
        <f t="shared" si="8"/>
        <v>79.72</v>
      </c>
      <c r="O112" s="3">
        <f t="shared" si="9"/>
        <v>157.4</v>
      </c>
      <c r="P112" s="2"/>
      <c r="Q112" s="5"/>
    </row>
    <row r="113" spans="1:17">
      <c r="A113" s="2">
        <f t="shared" si="5"/>
        <v>111</v>
      </c>
      <c r="B113" s="2">
        <f t="shared" si="6"/>
        <v>14</v>
      </c>
      <c r="C113" s="2" t="s">
        <v>15</v>
      </c>
      <c r="D113" s="2" t="s">
        <v>181</v>
      </c>
      <c r="E113" s="2" t="s">
        <v>277</v>
      </c>
      <c r="F113" s="2" t="s">
        <v>278</v>
      </c>
      <c r="G113" s="3">
        <v>11.3</v>
      </c>
      <c r="H113" s="3">
        <v>66.760000000000005</v>
      </c>
      <c r="I113" s="3">
        <v>4.75</v>
      </c>
      <c r="J113" s="3">
        <f t="shared" si="7"/>
        <v>82.81</v>
      </c>
      <c r="K113" s="3">
        <v>9.8000000000000007</v>
      </c>
      <c r="L113" s="3">
        <v>59.26</v>
      </c>
      <c r="M113" s="3">
        <v>5.3</v>
      </c>
      <c r="N113" s="3">
        <f t="shared" si="8"/>
        <v>74.36</v>
      </c>
      <c r="O113" s="3">
        <f t="shared" si="9"/>
        <v>157.16999999999999</v>
      </c>
      <c r="P113" s="2"/>
      <c r="Q113" s="5"/>
    </row>
    <row r="114" spans="1:17">
      <c r="A114" s="2">
        <f t="shared" si="5"/>
        <v>112</v>
      </c>
      <c r="B114" s="2">
        <f t="shared" si="6"/>
        <v>29</v>
      </c>
      <c r="C114" s="2" t="s">
        <v>24</v>
      </c>
      <c r="D114" s="2" t="s">
        <v>49</v>
      </c>
      <c r="E114" s="2" t="s">
        <v>279</v>
      </c>
      <c r="F114" s="2" t="s">
        <v>280</v>
      </c>
      <c r="G114" s="3">
        <v>11</v>
      </c>
      <c r="H114" s="3">
        <v>61.060975609756099</v>
      </c>
      <c r="I114" s="3">
        <v>5.2</v>
      </c>
      <c r="J114" s="3">
        <f t="shared" si="7"/>
        <v>77.260000000000005</v>
      </c>
      <c r="K114" s="3">
        <v>11.5</v>
      </c>
      <c r="L114" s="3">
        <v>62.65</v>
      </c>
      <c r="M114" s="3">
        <v>5.7</v>
      </c>
      <c r="N114" s="3">
        <f t="shared" si="8"/>
        <v>79.849999999999994</v>
      </c>
      <c r="O114" s="3">
        <f t="shared" si="9"/>
        <v>157.11000000000001</v>
      </c>
      <c r="P114" s="2"/>
      <c r="Q114" s="5"/>
    </row>
    <row r="115" spans="1:17">
      <c r="A115" s="2">
        <f t="shared" si="5"/>
        <v>113</v>
      </c>
      <c r="B115" s="2">
        <f t="shared" si="6"/>
        <v>44</v>
      </c>
      <c r="C115" s="2" t="s">
        <v>20</v>
      </c>
      <c r="D115" s="2" t="s">
        <v>32</v>
      </c>
      <c r="E115" s="2" t="s">
        <v>281</v>
      </c>
      <c r="F115" s="2" t="s">
        <v>282</v>
      </c>
      <c r="G115" s="3">
        <v>9.8000000000000007</v>
      </c>
      <c r="H115" s="3">
        <v>64.556603773584897</v>
      </c>
      <c r="I115" s="3">
        <v>3.7</v>
      </c>
      <c r="J115" s="3">
        <f t="shared" si="7"/>
        <v>78.06</v>
      </c>
      <c r="K115" s="3">
        <v>9.8000000000000007</v>
      </c>
      <c r="L115" s="3">
        <v>65.64</v>
      </c>
      <c r="M115" s="3">
        <v>3.5</v>
      </c>
      <c r="N115" s="3">
        <f t="shared" si="8"/>
        <v>78.94</v>
      </c>
      <c r="O115" s="3">
        <f t="shared" si="9"/>
        <v>157</v>
      </c>
      <c r="P115" s="4" t="s">
        <v>130</v>
      </c>
      <c r="Q115" s="5"/>
    </row>
    <row r="116" spans="1:17">
      <c r="A116" s="2">
        <f t="shared" si="5"/>
        <v>114</v>
      </c>
      <c r="B116" s="2">
        <f t="shared" si="6"/>
        <v>30</v>
      </c>
      <c r="C116" s="2" t="s">
        <v>24</v>
      </c>
      <c r="D116" s="2" t="s">
        <v>25</v>
      </c>
      <c r="E116" s="2" t="s">
        <v>283</v>
      </c>
      <c r="F116" s="2" t="s">
        <v>284</v>
      </c>
      <c r="G116" s="3">
        <v>9.8000000000000007</v>
      </c>
      <c r="H116" s="3">
        <v>65.2</v>
      </c>
      <c r="I116" s="3">
        <v>4.5999999999999996</v>
      </c>
      <c r="J116" s="3">
        <f t="shared" si="7"/>
        <v>79.599999999999994</v>
      </c>
      <c r="K116" s="3">
        <v>9.4</v>
      </c>
      <c r="L116" s="3">
        <v>63.44</v>
      </c>
      <c r="M116" s="3">
        <v>4.5</v>
      </c>
      <c r="N116" s="3">
        <f t="shared" si="8"/>
        <v>77.34</v>
      </c>
      <c r="O116" s="3">
        <f t="shared" si="9"/>
        <v>156.94</v>
      </c>
      <c r="P116" s="2"/>
      <c r="Q116" s="5"/>
    </row>
    <row r="117" spans="1:17">
      <c r="A117" s="2">
        <f t="shared" si="5"/>
        <v>115</v>
      </c>
      <c r="B117" s="2">
        <f t="shared" si="6"/>
        <v>45</v>
      </c>
      <c r="C117" s="2" t="s">
        <v>20</v>
      </c>
      <c r="D117" s="2" t="s">
        <v>229</v>
      </c>
      <c r="E117" s="2" t="s">
        <v>285</v>
      </c>
      <c r="F117" s="2" t="s">
        <v>286</v>
      </c>
      <c r="G117" s="3">
        <v>10.5</v>
      </c>
      <c r="H117" s="3">
        <v>59.29</v>
      </c>
      <c r="I117" s="3">
        <v>4.5</v>
      </c>
      <c r="J117" s="3">
        <f t="shared" si="7"/>
        <v>74.290000000000006</v>
      </c>
      <c r="K117" s="3">
        <v>11.5</v>
      </c>
      <c r="L117" s="3">
        <v>64.740000000000009</v>
      </c>
      <c r="M117" s="3">
        <v>6.4</v>
      </c>
      <c r="N117" s="3">
        <f t="shared" si="8"/>
        <v>82.64</v>
      </c>
      <c r="O117" s="3">
        <f t="shared" si="9"/>
        <v>156.93</v>
      </c>
      <c r="P117" s="4" t="s">
        <v>130</v>
      </c>
      <c r="Q117" s="5"/>
    </row>
    <row r="118" spans="1:17">
      <c r="A118" s="2">
        <f t="shared" si="5"/>
        <v>116</v>
      </c>
      <c r="B118" s="2">
        <f t="shared" si="6"/>
        <v>31</v>
      </c>
      <c r="C118" s="2" t="s">
        <v>24</v>
      </c>
      <c r="D118" s="2" t="s">
        <v>25</v>
      </c>
      <c r="E118" s="2" t="s">
        <v>287</v>
      </c>
      <c r="F118" s="2" t="s">
        <v>288</v>
      </c>
      <c r="G118" s="3">
        <v>9.8000000000000007</v>
      </c>
      <c r="H118" s="3">
        <v>64.975609756097597</v>
      </c>
      <c r="I118" s="3">
        <v>4</v>
      </c>
      <c r="J118" s="3">
        <f t="shared" si="7"/>
        <v>78.78</v>
      </c>
      <c r="K118" s="3">
        <v>9.8000000000000007</v>
      </c>
      <c r="L118" s="3">
        <v>63.79</v>
      </c>
      <c r="M118" s="3">
        <v>4.5</v>
      </c>
      <c r="N118" s="3">
        <f t="shared" si="8"/>
        <v>78.09</v>
      </c>
      <c r="O118" s="3">
        <f t="shared" si="9"/>
        <v>156.87</v>
      </c>
      <c r="P118" s="2"/>
      <c r="Q118" s="5"/>
    </row>
    <row r="119" spans="1:17">
      <c r="A119" s="2">
        <f t="shared" si="5"/>
        <v>117</v>
      </c>
      <c r="B119" s="2">
        <f t="shared" si="6"/>
        <v>46</v>
      </c>
      <c r="C119" s="2" t="s">
        <v>20</v>
      </c>
      <c r="D119" s="2" t="s">
        <v>32</v>
      </c>
      <c r="E119" s="2" t="s">
        <v>289</v>
      </c>
      <c r="F119" s="2" t="s">
        <v>290</v>
      </c>
      <c r="G119" s="3">
        <v>10.5</v>
      </c>
      <c r="H119" s="3">
        <v>65.613207547169793</v>
      </c>
      <c r="I119" s="3">
        <v>3</v>
      </c>
      <c r="J119" s="3">
        <f t="shared" si="7"/>
        <v>79.11</v>
      </c>
      <c r="K119" s="3">
        <v>10</v>
      </c>
      <c r="L119" s="3">
        <v>64.19</v>
      </c>
      <c r="M119" s="3">
        <v>3.5</v>
      </c>
      <c r="N119" s="3">
        <f t="shared" si="8"/>
        <v>77.69</v>
      </c>
      <c r="O119" s="3">
        <f t="shared" si="9"/>
        <v>156.80000000000001</v>
      </c>
      <c r="P119" s="2"/>
      <c r="Q119" s="5"/>
    </row>
    <row r="120" spans="1:17">
      <c r="A120" s="2">
        <f t="shared" si="5"/>
        <v>118</v>
      </c>
      <c r="B120" s="2">
        <f t="shared" si="6"/>
        <v>47</v>
      </c>
      <c r="C120" s="2" t="s">
        <v>20</v>
      </c>
      <c r="D120" s="2" t="s">
        <v>21</v>
      </c>
      <c r="E120" s="2" t="s">
        <v>291</v>
      </c>
      <c r="F120" s="2" t="s">
        <v>292</v>
      </c>
      <c r="G120" s="3">
        <v>9.8000000000000007</v>
      </c>
      <c r="H120" s="3">
        <v>64.05</v>
      </c>
      <c r="I120" s="3">
        <v>4.0999999999999996</v>
      </c>
      <c r="J120" s="3">
        <f t="shared" si="7"/>
        <v>77.95</v>
      </c>
      <c r="K120" s="3">
        <v>9.8000000000000007</v>
      </c>
      <c r="L120" s="3">
        <v>64.45</v>
      </c>
      <c r="M120" s="3">
        <v>4.4000000000000004</v>
      </c>
      <c r="N120" s="3">
        <f t="shared" si="8"/>
        <v>78.650000000000006</v>
      </c>
      <c r="O120" s="3">
        <f t="shared" si="9"/>
        <v>156.6</v>
      </c>
      <c r="P120" s="4" t="s">
        <v>130</v>
      </c>
      <c r="Q120" s="5"/>
    </row>
    <row r="121" spans="1:17">
      <c r="A121" s="2">
        <f t="shared" si="5"/>
        <v>119</v>
      </c>
      <c r="B121" s="2">
        <f t="shared" si="6"/>
        <v>48</v>
      </c>
      <c r="C121" s="2" t="s">
        <v>20</v>
      </c>
      <c r="D121" s="2" t="s">
        <v>229</v>
      </c>
      <c r="E121" s="2" t="s">
        <v>293</v>
      </c>
      <c r="F121" s="2" t="s">
        <v>294</v>
      </c>
      <c r="G121" s="3">
        <v>9.8000000000000007</v>
      </c>
      <c r="H121" s="3">
        <v>64.36</v>
      </c>
      <c r="I121" s="3">
        <v>3.9</v>
      </c>
      <c r="J121" s="3">
        <f t="shared" si="7"/>
        <v>78.06</v>
      </c>
      <c r="K121" s="3">
        <v>9.8000000000000007</v>
      </c>
      <c r="L121" s="3">
        <v>63.85</v>
      </c>
      <c r="M121" s="3">
        <v>4.8</v>
      </c>
      <c r="N121" s="3">
        <f t="shared" si="8"/>
        <v>78.45</v>
      </c>
      <c r="O121" s="3">
        <f t="shared" si="9"/>
        <v>156.51</v>
      </c>
      <c r="P121" s="4" t="s">
        <v>130</v>
      </c>
      <c r="Q121" s="5"/>
    </row>
    <row r="122" spans="1:17">
      <c r="A122" s="2">
        <f t="shared" si="5"/>
        <v>120</v>
      </c>
      <c r="B122" s="2">
        <f t="shared" si="6"/>
        <v>32</v>
      </c>
      <c r="C122" s="2" t="s">
        <v>24</v>
      </c>
      <c r="D122" s="2" t="s">
        <v>49</v>
      </c>
      <c r="E122" s="2" t="s">
        <v>295</v>
      </c>
      <c r="F122" s="2" t="s">
        <v>296</v>
      </c>
      <c r="G122" s="3">
        <v>10</v>
      </c>
      <c r="H122" s="3">
        <v>68.466666666666697</v>
      </c>
      <c r="I122" s="3">
        <v>4</v>
      </c>
      <c r="J122" s="3">
        <f t="shared" si="7"/>
        <v>82.47</v>
      </c>
      <c r="K122" s="3">
        <v>7.5</v>
      </c>
      <c r="L122" s="3">
        <v>61.38</v>
      </c>
      <c r="M122" s="3">
        <v>5.0999999999999996</v>
      </c>
      <c r="N122" s="3">
        <f t="shared" si="8"/>
        <v>73.98</v>
      </c>
      <c r="O122" s="3">
        <f t="shared" si="9"/>
        <v>156.44999999999999</v>
      </c>
      <c r="P122" s="2"/>
      <c r="Q122" s="5"/>
    </row>
    <row r="123" spans="1:17">
      <c r="A123" s="2">
        <f t="shared" si="5"/>
        <v>121</v>
      </c>
      <c r="B123" s="2">
        <f t="shared" si="6"/>
        <v>49</v>
      </c>
      <c r="C123" s="2" t="s">
        <v>20</v>
      </c>
      <c r="D123" s="2" t="s">
        <v>82</v>
      </c>
      <c r="E123" s="2" t="s">
        <v>297</v>
      </c>
      <c r="F123" s="2" t="s">
        <v>298</v>
      </c>
      <c r="G123" s="3">
        <v>11</v>
      </c>
      <c r="H123" s="3">
        <v>64.289473684210506</v>
      </c>
      <c r="I123" s="3">
        <v>4.5</v>
      </c>
      <c r="J123" s="3">
        <f t="shared" si="7"/>
        <v>79.790000000000006</v>
      </c>
      <c r="K123" s="3">
        <v>11</v>
      </c>
      <c r="L123" s="3">
        <v>59.7</v>
      </c>
      <c r="M123" s="3">
        <v>5.9</v>
      </c>
      <c r="N123" s="3">
        <f t="shared" si="8"/>
        <v>76.599999999999994</v>
      </c>
      <c r="O123" s="3">
        <f t="shared" si="9"/>
        <v>156.38999999999999</v>
      </c>
      <c r="P123" s="2"/>
      <c r="Q123" s="5"/>
    </row>
    <row r="124" spans="1:17">
      <c r="A124" s="2">
        <f t="shared" si="5"/>
        <v>122</v>
      </c>
      <c r="B124" s="2">
        <f t="shared" si="6"/>
        <v>27</v>
      </c>
      <c r="C124" s="2" t="s">
        <v>45</v>
      </c>
      <c r="D124" s="2" t="s">
        <v>220</v>
      </c>
      <c r="E124" s="2" t="s">
        <v>299</v>
      </c>
      <c r="F124" s="2" t="s">
        <v>300</v>
      </c>
      <c r="G124" s="3">
        <v>10</v>
      </c>
      <c r="H124" s="3">
        <v>69.010000000000005</v>
      </c>
      <c r="I124" s="3">
        <v>4.8</v>
      </c>
      <c r="J124" s="3">
        <f t="shared" si="7"/>
        <v>83.81</v>
      </c>
      <c r="K124" s="3">
        <v>10</v>
      </c>
      <c r="L124" s="3">
        <v>58.45</v>
      </c>
      <c r="M124" s="3">
        <v>4.0999999999999996</v>
      </c>
      <c r="N124" s="3">
        <f t="shared" si="8"/>
        <v>72.55</v>
      </c>
      <c r="O124" s="3">
        <f t="shared" si="9"/>
        <v>156.36000000000001</v>
      </c>
      <c r="P124" s="4" t="s">
        <v>72</v>
      </c>
      <c r="Q124" s="5"/>
    </row>
    <row r="125" spans="1:17">
      <c r="A125" s="2">
        <f t="shared" si="5"/>
        <v>123</v>
      </c>
      <c r="B125" s="2">
        <f t="shared" si="6"/>
        <v>28</v>
      </c>
      <c r="C125" s="2" t="s">
        <v>45</v>
      </c>
      <c r="D125" s="2" t="s">
        <v>232</v>
      </c>
      <c r="E125" s="2" t="s">
        <v>301</v>
      </c>
      <c r="F125" s="2" t="s">
        <v>302</v>
      </c>
      <c r="G125" s="3">
        <v>10.3</v>
      </c>
      <c r="H125" s="3">
        <v>67.180000000000007</v>
      </c>
      <c r="I125" s="3">
        <v>3.2</v>
      </c>
      <c r="J125" s="3">
        <f t="shared" si="7"/>
        <v>80.680000000000007</v>
      </c>
      <c r="K125" s="3">
        <v>9.8000000000000007</v>
      </c>
      <c r="L125" s="3">
        <v>61.66</v>
      </c>
      <c r="M125" s="3">
        <v>4.2</v>
      </c>
      <c r="N125" s="3">
        <f t="shared" si="8"/>
        <v>75.66</v>
      </c>
      <c r="O125" s="3">
        <f t="shared" si="9"/>
        <v>156.34</v>
      </c>
      <c r="P125" s="4" t="s">
        <v>130</v>
      </c>
      <c r="Q125" s="5"/>
    </row>
    <row r="126" spans="1:17">
      <c r="A126" s="2">
        <f t="shared" si="5"/>
        <v>123</v>
      </c>
      <c r="B126" s="2">
        <f t="shared" si="6"/>
        <v>28</v>
      </c>
      <c r="C126" s="2" t="s">
        <v>45</v>
      </c>
      <c r="D126" s="2" t="s">
        <v>89</v>
      </c>
      <c r="E126" s="2" t="s">
        <v>303</v>
      </c>
      <c r="F126" s="2" t="s">
        <v>304</v>
      </c>
      <c r="G126" s="3">
        <v>9.4</v>
      </c>
      <c r="H126" s="3">
        <v>65.010000000000005</v>
      </c>
      <c r="I126" s="3">
        <v>5.4</v>
      </c>
      <c r="J126" s="3">
        <f t="shared" si="7"/>
        <v>79.81</v>
      </c>
      <c r="K126" s="3">
        <v>9.8000000000000007</v>
      </c>
      <c r="L126" s="3">
        <v>61.43</v>
      </c>
      <c r="M126" s="3">
        <v>5.3</v>
      </c>
      <c r="N126" s="3">
        <f t="shared" si="8"/>
        <v>76.53</v>
      </c>
      <c r="O126" s="3">
        <f t="shared" si="9"/>
        <v>156.34</v>
      </c>
      <c r="P126" s="4" t="s">
        <v>130</v>
      </c>
      <c r="Q126" s="5"/>
    </row>
    <row r="127" spans="1:17">
      <c r="A127" s="2">
        <f t="shared" si="5"/>
        <v>125</v>
      </c>
      <c r="B127" s="2">
        <f t="shared" si="6"/>
        <v>50</v>
      </c>
      <c r="C127" s="2" t="s">
        <v>20</v>
      </c>
      <c r="D127" s="2" t="s">
        <v>21</v>
      </c>
      <c r="E127" s="2" t="s">
        <v>305</v>
      </c>
      <c r="F127" s="2" t="s">
        <v>306</v>
      </c>
      <c r="G127" s="3">
        <v>9.8000000000000007</v>
      </c>
      <c r="H127" s="3">
        <v>64.459999999999994</v>
      </c>
      <c r="I127" s="3">
        <v>3</v>
      </c>
      <c r="J127" s="3">
        <f t="shared" si="7"/>
        <v>77.260000000000005</v>
      </c>
      <c r="K127" s="3">
        <v>9.8000000000000007</v>
      </c>
      <c r="L127" s="3">
        <v>65.709999999999994</v>
      </c>
      <c r="M127" s="3">
        <v>3.5</v>
      </c>
      <c r="N127" s="3">
        <f t="shared" si="8"/>
        <v>79.010000000000005</v>
      </c>
      <c r="O127" s="3">
        <f t="shared" si="9"/>
        <v>156.27000000000001</v>
      </c>
      <c r="P127" s="4" t="s">
        <v>130</v>
      </c>
      <c r="Q127" s="5"/>
    </row>
    <row r="128" spans="1:17">
      <c r="A128" s="2">
        <f t="shared" si="5"/>
        <v>126</v>
      </c>
      <c r="B128" s="2">
        <f t="shared" si="6"/>
        <v>15</v>
      </c>
      <c r="C128" s="2" t="s">
        <v>15</v>
      </c>
      <c r="D128" s="2" t="s">
        <v>257</v>
      </c>
      <c r="E128" s="2" t="s">
        <v>307</v>
      </c>
      <c r="F128" s="2" t="s">
        <v>308</v>
      </c>
      <c r="G128" s="3">
        <v>11.6</v>
      </c>
      <c r="H128" s="3">
        <v>56.87</v>
      </c>
      <c r="I128" s="3">
        <v>8.3000000000000007</v>
      </c>
      <c r="J128" s="3">
        <f t="shared" si="7"/>
        <v>76.77</v>
      </c>
      <c r="K128" s="3">
        <v>11.3</v>
      </c>
      <c r="L128" s="3">
        <v>59.38</v>
      </c>
      <c r="M128" s="3">
        <v>8.8000000000000007</v>
      </c>
      <c r="N128" s="3">
        <f t="shared" si="8"/>
        <v>79.48</v>
      </c>
      <c r="O128" s="3">
        <f t="shared" si="9"/>
        <v>156.25</v>
      </c>
      <c r="P128" s="4" t="s">
        <v>130</v>
      </c>
      <c r="Q128" s="5"/>
    </row>
    <row r="129" spans="1:17">
      <c r="A129" s="2">
        <f t="shared" si="5"/>
        <v>127</v>
      </c>
      <c r="B129" s="2">
        <f t="shared" si="6"/>
        <v>30</v>
      </c>
      <c r="C129" s="2" t="s">
        <v>45</v>
      </c>
      <c r="D129" s="2" t="s">
        <v>73</v>
      </c>
      <c r="E129" s="2" t="s">
        <v>309</v>
      </c>
      <c r="F129" s="2" t="s">
        <v>310</v>
      </c>
      <c r="G129" s="3">
        <v>10</v>
      </c>
      <c r="H129" s="3">
        <v>64.94</v>
      </c>
      <c r="I129" s="3">
        <v>4</v>
      </c>
      <c r="J129" s="3">
        <f t="shared" si="7"/>
        <v>78.94</v>
      </c>
      <c r="K129" s="3">
        <v>10</v>
      </c>
      <c r="L129" s="3">
        <v>62.5</v>
      </c>
      <c r="M129" s="3">
        <v>4.7</v>
      </c>
      <c r="N129" s="3">
        <f t="shared" si="8"/>
        <v>77.2</v>
      </c>
      <c r="O129" s="3">
        <f t="shared" si="9"/>
        <v>156.13999999999999</v>
      </c>
      <c r="P129" s="4" t="s">
        <v>130</v>
      </c>
      <c r="Q129" s="5"/>
    </row>
    <row r="130" spans="1:17">
      <c r="A130" s="2">
        <f t="shared" si="5"/>
        <v>128</v>
      </c>
      <c r="B130" s="2">
        <f t="shared" si="6"/>
        <v>31</v>
      </c>
      <c r="C130" s="2" t="s">
        <v>45</v>
      </c>
      <c r="D130" s="2" t="s">
        <v>109</v>
      </c>
      <c r="E130" s="2" t="s">
        <v>311</v>
      </c>
      <c r="F130" s="2" t="s">
        <v>312</v>
      </c>
      <c r="G130" s="3">
        <v>9.8000000000000007</v>
      </c>
      <c r="H130" s="3">
        <v>68.650000000000006</v>
      </c>
      <c r="I130" s="3">
        <v>3</v>
      </c>
      <c r="J130" s="3">
        <f t="shared" si="7"/>
        <v>81.45</v>
      </c>
      <c r="K130" s="3">
        <v>7.3000000000000007</v>
      </c>
      <c r="L130" s="3">
        <v>64.36</v>
      </c>
      <c r="M130" s="3">
        <v>3</v>
      </c>
      <c r="N130" s="3">
        <f t="shared" si="8"/>
        <v>74.66</v>
      </c>
      <c r="O130" s="3">
        <f t="shared" si="9"/>
        <v>156.11000000000001</v>
      </c>
      <c r="P130" s="4" t="s">
        <v>130</v>
      </c>
      <c r="Q130" s="5"/>
    </row>
    <row r="131" spans="1:17">
      <c r="A131" s="2">
        <f t="shared" ref="A131:A194" si="10">COUNTIFS($C$3:$C$1025,"&lt;&gt;大数据",$O$3:$O$1025,"&gt;"&amp;O131)+1</f>
        <v>129</v>
      </c>
      <c r="B131" s="2">
        <f t="shared" ref="B131:B194" si="11">COUNTIFS($C$3:$C$1025,C131,$O$3:$O$1025,"&gt;"&amp;O131)+1</f>
        <v>16</v>
      </c>
      <c r="C131" s="2" t="s">
        <v>15</v>
      </c>
      <c r="D131" s="2" t="s">
        <v>181</v>
      </c>
      <c r="E131" s="2" t="s">
        <v>313</v>
      </c>
      <c r="F131" s="2" t="s">
        <v>314</v>
      </c>
      <c r="G131" s="3">
        <v>10</v>
      </c>
      <c r="H131" s="3">
        <v>65.209999999999994</v>
      </c>
      <c r="I131" s="3">
        <v>4</v>
      </c>
      <c r="J131" s="3">
        <f t="shared" ref="J131:J194" si="12">ROUND(SUM(G131:I131),2)</f>
        <v>79.209999999999994</v>
      </c>
      <c r="K131" s="3">
        <v>10</v>
      </c>
      <c r="L131" s="3">
        <v>62.47</v>
      </c>
      <c r="M131" s="3">
        <v>4.4000000000000004</v>
      </c>
      <c r="N131" s="3">
        <f t="shared" ref="N131:N194" si="13">ROUND(SUM(K131:M131),2)</f>
        <v>76.87</v>
      </c>
      <c r="O131" s="3">
        <f t="shared" ref="O131:O194" si="14">ROUND(SUM(J131,N131),2)</f>
        <v>156.08000000000001</v>
      </c>
      <c r="P131" s="4" t="s">
        <v>130</v>
      </c>
      <c r="Q131" s="5"/>
    </row>
    <row r="132" spans="1:17">
      <c r="A132" s="2">
        <f t="shared" si="10"/>
        <v>130</v>
      </c>
      <c r="B132" s="2">
        <f t="shared" si="11"/>
        <v>51</v>
      </c>
      <c r="C132" s="2" t="s">
        <v>20</v>
      </c>
      <c r="D132" s="2" t="s">
        <v>164</v>
      </c>
      <c r="E132" s="2" t="s">
        <v>315</v>
      </c>
      <c r="F132" s="2" t="s">
        <v>316</v>
      </c>
      <c r="G132" s="3">
        <v>10</v>
      </c>
      <c r="H132" s="3">
        <v>65.81</v>
      </c>
      <c r="I132" s="3">
        <v>5.2</v>
      </c>
      <c r="J132" s="3">
        <f t="shared" si="12"/>
        <v>81.010000000000005</v>
      </c>
      <c r="K132" s="3">
        <v>10</v>
      </c>
      <c r="L132" s="3">
        <v>58.75</v>
      </c>
      <c r="M132" s="3">
        <v>6.3</v>
      </c>
      <c r="N132" s="3">
        <f t="shared" si="13"/>
        <v>75.05</v>
      </c>
      <c r="O132" s="3">
        <f t="shared" si="14"/>
        <v>156.06</v>
      </c>
      <c r="P132" s="4" t="s">
        <v>130</v>
      </c>
      <c r="Q132" s="5"/>
    </row>
    <row r="133" spans="1:17">
      <c r="A133" s="2">
        <f t="shared" si="10"/>
        <v>131</v>
      </c>
      <c r="B133" s="2">
        <f t="shared" si="11"/>
        <v>52</v>
      </c>
      <c r="C133" s="2" t="s">
        <v>20</v>
      </c>
      <c r="D133" s="2" t="s">
        <v>229</v>
      </c>
      <c r="E133" s="2" t="s">
        <v>317</v>
      </c>
      <c r="F133" s="2" t="s">
        <v>318</v>
      </c>
      <c r="G133" s="3">
        <v>9.8000000000000007</v>
      </c>
      <c r="H133" s="3">
        <v>66.39</v>
      </c>
      <c r="I133" s="3">
        <v>3.5</v>
      </c>
      <c r="J133" s="3">
        <f t="shared" si="12"/>
        <v>79.69</v>
      </c>
      <c r="K133" s="3">
        <v>9.8000000000000007</v>
      </c>
      <c r="L133" s="3">
        <v>62.2</v>
      </c>
      <c r="M133" s="3">
        <v>4.3</v>
      </c>
      <c r="N133" s="3">
        <f t="shared" si="13"/>
        <v>76.3</v>
      </c>
      <c r="O133" s="3">
        <f t="shared" si="14"/>
        <v>155.99</v>
      </c>
      <c r="P133" s="4" t="s">
        <v>130</v>
      </c>
      <c r="Q133" s="5"/>
    </row>
    <row r="134" spans="1:17">
      <c r="A134" s="2">
        <f t="shared" si="10"/>
        <v>132</v>
      </c>
      <c r="B134" s="2">
        <f t="shared" si="11"/>
        <v>53</v>
      </c>
      <c r="C134" s="2" t="s">
        <v>20</v>
      </c>
      <c r="D134" s="2" t="s">
        <v>36</v>
      </c>
      <c r="E134" s="2" t="s">
        <v>319</v>
      </c>
      <c r="F134" s="2" t="s">
        <v>320</v>
      </c>
      <c r="G134" s="3">
        <v>10.3</v>
      </c>
      <c r="H134" s="3">
        <v>65.67</v>
      </c>
      <c r="I134" s="3">
        <v>3</v>
      </c>
      <c r="J134" s="3">
        <f t="shared" si="12"/>
        <v>78.97</v>
      </c>
      <c r="K134" s="3">
        <v>9.8000000000000007</v>
      </c>
      <c r="L134" s="3">
        <v>62.43</v>
      </c>
      <c r="M134" s="3">
        <v>4.7</v>
      </c>
      <c r="N134" s="3">
        <f t="shared" si="13"/>
        <v>76.930000000000007</v>
      </c>
      <c r="O134" s="3">
        <f t="shared" si="14"/>
        <v>155.9</v>
      </c>
      <c r="P134" s="4" t="s">
        <v>130</v>
      </c>
      <c r="Q134" s="5"/>
    </row>
    <row r="135" spans="1:17">
      <c r="A135" s="2">
        <f t="shared" si="10"/>
        <v>133</v>
      </c>
      <c r="B135" s="2">
        <f t="shared" si="11"/>
        <v>54</v>
      </c>
      <c r="C135" s="2" t="s">
        <v>20</v>
      </c>
      <c r="D135" s="2" t="s">
        <v>29</v>
      </c>
      <c r="E135" s="2" t="s">
        <v>321</v>
      </c>
      <c r="F135" s="2" t="s">
        <v>322</v>
      </c>
      <c r="G135" s="3">
        <v>13.3</v>
      </c>
      <c r="H135" s="3">
        <v>55.37</v>
      </c>
      <c r="I135" s="3">
        <v>7.65</v>
      </c>
      <c r="J135" s="3">
        <f t="shared" si="12"/>
        <v>76.319999999999993</v>
      </c>
      <c r="K135" s="3">
        <v>12.8</v>
      </c>
      <c r="L135" s="3">
        <v>57.69</v>
      </c>
      <c r="M135" s="3">
        <v>9</v>
      </c>
      <c r="N135" s="3">
        <f t="shared" si="13"/>
        <v>79.489999999999995</v>
      </c>
      <c r="O135" s="3">
        <f t="shared" si="14"/>
        <v>155.81</v>
      </c>
      <c r="P135" s="4" t="s">
        <v>130</v>
      </c>
      <c r="Q135" s="5"/>
    </row>
    <row r="136" spans="1:17">
      <c r="A136" s="2">
        <f t="shared" si="10"/>
        <v>134</v>
      </c>
      <c r="B136" s="2">
        <f t="shared" si="11"/>
        <v>33</v>
      </c>
      <c r="C136" s="2" t="s">
        <v>24</v>
      </c>
      <c r="D136" s="2" t="s">
        <v>49</v>
      </c>
      <c r="E136" s="2" t="s">
        <v>323</v>
      </c>
      <c r="F136" s="2" t="s">
        <v>324</v>
      </c>
      <c r="G136" s="3">
        <v>10.8</v>
      </c>
      <c r="H136" s="3">
        <v>63.414634146341498</v>
      </c>
      <c r="I136" s="3">
        <v>4.2</v>
      </c>
      <c r="J136" s="3">
        <f t="shared" si="12"/>
        <v>78.41</v>
      </c>
      <c r="K136" s="3">
        <v>9.8000000000000007</v>
      </c>
      <c r="L136" s="3">
        <v>63</v>
      </c>
      <c r="M136" s="3">
        <v>4.5</v>
      </c>
      <c r="N136" s="3">
        <f t="shared" si="13"/>
        <v>77.3</v>
      </c>
      <c r="O136" s="3">
        <f t="shared" si="14"/>
        <v>155.71</v>
      </c>
      <c r="P136" s="2"/>
      <c r="Q136" s="5"/>
    </row>
    <row r="137" spans="1:17">
      <c r="A137" s="2">
        <f t="shared" si="10"/>
        <v>135</v>
      </c>
      <c r="B137" s="2">
        <f t="shared" si="11"/>
        <v>55</v>
      </c>
      <c r="C137" s="2" t="s">
        <v>20</v>
      </c>
      <c r="D137" s="2" t="s">
        <v>29</v>
      </c>
      <c r="E137" s="2" t="s">
        <v>325</v>
      </c>
      <c r="F137" s="2" t="s">
        <v>326</v>
      </c>
      <c r="G137" s="3">
        <v>9.8000000000000007</v>
      </c>
      <c r="H137" s="3">
        <v>62.12</v>
      </c>
      <c r="I137" s="3">
        <v>5.6</v>
      </c>
      <c r="J137" s="3">
        <f t="shared" si="12"/>
        <v>77.52</v>
      </c>
      <c r="K137" s="3">
        <v>9.8000000000000007</v>
      </c>
      <c r="L137" s="3">
        <v>60.59</v>
      </c>
      <c r="M137" s="3">
        <v>7.7</v>
      </c>
      <c r="N137" s="3">
        <f t="shared" si="13"/>
        <v>78.09</v>
      </c>
      <c r="O137" s="3">
        <f t="shared" si="14"/>
        <v>155.61000000000001</v>
      </c>
      <c r="P137" s="4" t="s">
        <v>130</v>
      </c>
      <c r="Q137" s="5"/>
    </row>
    <row r="138" spans="1:17">
      <c r="A138" s="2">
        <f t="shared" si="10"/>
        <v>136</v>
      </c>
      <c r="B138" s="2">
        <f t="shared" si="11"/>
        <v>32</v>
      </c>
      <c r="C138" s="2" t="s">
        <v>45</v>
      </c>
      <c r="D138" s="2" t="s">
        <v>109</v>
      </c>
      <c r="E138" s="2" t="s">
        <v>327</v>
      </c>
      <c r="F138" s="2" t="s">
        <v>328</v>
      </c>
      <c r="G138" s="3">
        <v>9.8000000000000007</v>
      </c>
      <c r="H138" s="3">
        <v>62.27</v>
      </c>
      <c r="I138" s="3">
        <v>4.2</v>
      </c>
      <c r="J138" s="3">
        <f t="shared" si="12"/>
        <v>76.27</v>
      </c>
      <c r="K138" s="3">
        <v>11.3</v>
      </c>
      <c r="L138" s="3">
        <v>60.82</v>
      </c>
      <c r="M138" s="3">
        <v>7.1</v>
      </c>
      <c r="N138" s="3">
        <f t="shared" si="13"/>
        <v>79.22</v>
      </c>
      <c r="O138" s="3">
        <f t="shared" si="14"/>
        <v>155.49</v>
      </c>
      <c r="P138" s="4" t="s">
        <v>130</v>
      </c>
      <c r="Q138" s="5"/>
    </row>
    <row r="139" spans="1:17">
      <c r="A139" s="2">
        <f t="shared" si="10"/>
        <v>137</v>
      </c>
      <c r="B139" s="2">
        <f t="shared" si="11"/>
        <v>17</v>
      </c>
      <c r="C139" s="2" t="s">
        <v>15</v>
      </c>
      <c r="D139" s="2" t="s">
        <v>39</v>
      </c>
      <c r="E139" s="2" t="s">
        <v>329</v>
      </c>
      <c r="F139" s="2" t="s">
        <v>330</v>
      </c>
      <c r="G139" s="3">
        <v>9.8000000000000007</v>
      </c>
      <c r="H139" s="3">
        <v>64.22</v>
      </c>
      <c r="I139" s="3">
        <v>4.4000000000000004</v>
      </c>
      <c r="J139" s="3">
        <f t="shared" si="12"/>
        <v>78.42</v>
      </c>
      <c r="K139" s="3">
        <v>9.8000000000000007</v>
      </c>
      <c r="L139" s="3">
        <v>62.1</v>
      </c>
      <c r="M139" s="3">
        <v>5.0999999999999996</v>
      </c>
      <c r="N139" s="3">
        <f t="shared" si="13"/>
        <v>77</v>
      </c>
      <c r="O139" s="3">
        <f t="shared" si="14"/>
        <v>155.41999999999999</v>
      </c>
      <c r="P139" s="4" t="s">
        <v>130</v>
      </c>
      <c r="Q139" s="5"/>
    </row>
    <row r="140" spans="1:17">
      <c r="A140" s="2">
        <f t="shared" si="10"/>
        <v>138</v>
      </c>
      <c r="B140" s="2">
        <f t="shared" si="11"/>
        <v>33</v>
      </c>
      <c r="C140" s="2" t="s">
        <v>45</v>
      </c>
      <c r="D140" s="2" t="s">
        <v>266</v>
      </c>
      <c r="E140" s="2" t="s">
        <v>331</v>
      </c>
      <c r="F140" s="2" t="s">
        <v>332</v>
      </c>
      <c r="G140" s="3">
        <v>9.8000000000000007</v>
      </c>
      <c r="H140" s="3">
        <v>65.69</v>
      </c>
      <c r="I140" s="3">
        <v>3</v>
      </c>
      <c r="J140" s="3">
        <f t="shared" si="12"/>
        <v>78.489999999999995</v>
      </c>
      <c r="K140" s="3">
        <v>9.8000000000000007</v>
      </c>
      <c r="L140" s="3">
        <v>64.11</v>
      </c>
      <c r="M140" s="3">
        <v>3</v>
      </c>
      <c r="N140" s="3">
        <f t="shared" si="13"/>
        <v>76.91</v>
      </c>
      <c r="O140" s="3">
        <f t="shared" si="14"/>
        <v>155.4</v>
      </c>
      <c r="P140" s="4" t="s">
        <v>130</v>
      </c>
      <c r="Q140" s="5"/>
    </row>
    <row r="141" spans="1:17">
      <c r="A141" s="2">
        <f t="shared" si="10"/>
        <v>139</v>
      </c>
      <c r="B141" s="2">
        <f t="shared" si="11"/>
        <v>56</v>
      </c>
      <c r="C141" s="2" t="s">
        <v>20</v>
      </c>
      <c r="D141" s="2" t="s">
        <v>164</v>
      </c>
      <c r="E141" s="2" t="s">
        <v>333</v>
      </c>
      <c r="F141" s="2" t="s">
        <v>334</v>
      </c>
      <c r="G141" s="3">
        <v>11.3</v>
      </c>
      <c r="H141" s="3">
        <v>61.4</v>
      </c>
      <c r="I141" s="3">
        <v>5.4</v>
      </c>
      <c r="J141" s="3">
        <f t="shared" si="12"/>
        <v>78.099999999999994</v>
      </c>
      <c r="K141" s="3">
        <v>9.8000000000000007</v>
      </c>
      <c r="L141" s="3">
        <v>60.19</v>
      </c>
      <c r="M141" s="3">
        <v>7.3</v>
      </c>
      <c r="N141" s="3">
        <f t="shared" si="13"/>
        <v>77.290000000000006</v>
      </c>
      <c r="O141" s="3">
        <f t="shared" si="14"/>
        <v>155.38999999999999</v>
      </c>
      <c r="P141" s="4" t="s">
        <v>130</v>
      </c>
      <c r="Q141" s="5"/>
    </row>
    <row r="142" spans="1:17">
      <c r="A142" s="2">
        <f t="shared" si="10"/>
        <v>139</v>
      </c>
      <c r="B142" s="2">
        <f t="shared" si="11"/>
        <v>34</v>
      </c>
      <c r="C142" s="2" t="s">
        <v>45</v>
      </c>
      <c r="D142" s="2" t="s">
        <v>46</v>
      </c>
      <c r="E142" s="2" t="s">
        <v>335</v>
      </c>
      <c r="F142" s="2" t="s">
        <v>336</v>
      </c>
      <c r="G142" s="3">
        <v>9.8000000000000007</v>
      </c>
      <c r="H142" s="3">
        <v>65.33</v>
      </c>
      <c r="I142" s="3">
        <v>5.3</v>
      </c>
      <c r="J142" s="3">
        <f t="shared" si="12"/>
        <v>80.430000000000007</v>
      </c>
      <c r="K142" s="3">
        <v>7.3000000000000007</v>
      </c>
      <c r="L142" s="3">
        <v>64.16</v>
      </c>
      <c r="M142" s="3">
        <v>3.5</v>
      </c>
      <c r="N142" s="3">
        <f t="shared" si="13"/>
        <v>74.959999999999994</v>
      </c>
      <c r="O142" s="3">
        <f t="shared" si="14"/>
        <v>155.38999999999999</v>
      </c>
      <c r="P142" s="4" t="s">
        <v>130</v>
      </c>
      <c r="Q142" s="5"/>
    </row>
    <row r="143" spans="1:17">
      <c r="A143" s="2">
        <f t="shared" si="10"/>
        <v>141</v>
      </c>
      <c r="B143" s="2">
        <f t="shared" si="11"/>
        <v>57</v>
      </c>
      <c r="C143" s="2" t="s">
        <v>20</v>
      </c>
      <c r="D143" s="2" t="s">
        <v>65</v>
      </c>
      <c r="E143" s="2" t="s">
        <v>337</v>
      </c>
      <c r="F143" s="2" t="s">
        <v>338</v>
      </c>
      <c r="G143" s="3">
        <v>10</v>
      </c>
      <c r="H143" s="3">
        <v>65.040000000000006</v>
      </c>
      <c r="I143" s="3">
        <v>3.4</v>
      </c>
      <c r="J143" s="3">
        <f t="shared" si="12"/>
        <v>78.44</v>
      </c>
      <c r="K143" s="3">
        <v>10</v>
      </c>
      <c r="L143" s="3">
        <v>62.39</v>
      </c>
      <c r="M143" s="3">
        <v>4.5</v>
      </c>
      <c r="N143" s="3">
        <f t="shared" si="13"/>
        <v>76.89</v>
      </c>
      <c r="O143" s="3">
        <f t="shared" si="14"/>
        <v>155.33000000000001</v>
      </c>
      <c r="P143" s="4" t="s">
        <v>130</v>
      </c>
      <c r="Q143" s="5"/>
    </row>
    <row r="144" spans="1:17">
      <c r="A144" s="2">
        <f t="shared" si="10"/>
        <v>142</v>
      </c>
      <c r="B144" s="2">
        <f t="shared" si="11"/>
        <v>18</v>
      </c>
      <c r="C144" s="2" t="s">
        <v>15</v>
      </c>
      <c r="D144" s="2" t="s">
        <v>257</v>
      </c>
      <c r="E144" s="2" t="s">
        <v>339</v>
      </c>
      <c r="F144" s="2" t="s">
        <v>340</v>
      </c>
      <c r="G144" s="3">
        <v>9.8000000000000007</v>
      </c>
      <c r="H144" s="3">
        <v>63.71</v>
      </c>
      <c r="I144" s="3">
        <v>4.2</v>
      </c>
      <c r="J144" s="3">
        <f t="shared" si="12"/>
        <v>77.709999999999994</v>
      </c>
      <c r="K144" s="3">
        <v>9.8000000000000007</v>
      </c>
      <c r="L144" s="3">
        <v>62.98</v>
      </c>
      <c r="M144" s="3">
        <v>4.8</v>
      </c>
      <c r="N144" s="3">
        <f t="shared" si="13"/>
        <v>77.58</v>
      </c>
      <c r="O144" s="3">
        <f t="shared" si="14"/>
        <v>155.29</v>
      </c>
      <c r="P144" s="4" t="s">
        <v>130</v>
      </c>
      <c r="Q144" s="5"/>
    </row>
    <row r="145" spans="1:17">
      <c r="A145" s="2">
        <f t="shared" si="10"/>
        <v>143</v>
      </c>
      <c r="B145" s="2">
        <f t="shared" si="11"/>
        <v>58</v>
      </c>
      <c r="C145" s="2" t="s">
        <v>20</v>
      </c>
      <c r="D145" s="2" t="s">
        <v>117</v>
      </c>
      <c r="E145" s="2" t="s">
        <v>341</v>
      </c>
      <c r="F145" s="2" t="s">
        <v>342</v>
      </c>
      <c r="G145" s="3">
        <v>9.8000000000000007</v>
      </c>
      <c r="H145" s="3">
        <v>68.510000000000005</v>
      </c>
      <c r="I145" s="3">
        <v>3</v>
      </c>
      <c r="J145" s="3">
        <f t="shared" si="12"/>
        <v>81.31</v>
      </c>
      <c r="K145" s="3">
        <v>9</v>
      </c>
      <c r="L145" s="3">
        <v>61.92</v>
      </c>
      <c r="M145" s="3">
        <v>3</v>
      </c>
      <c r="N145" s="3">
        <f t="shared" si="13"/>
        <v>73.92</v>
      </c>
      <c r="O145" s="3">
        <f t="shared" si="14"/>
        <v>155.22999999999999</v>
      </c>
      <c r="P145" s="4" t="s">
        <v>130</v>
      </c>
      <c r="Q145" s="5"/>
    </row>
    <row r="146" spans="1:17">
      <c r="A146" s="2">
        <f t="shared" si="10"/>
        <v>144</v>
      </c>
      <c r="B146" s="2">
        <f t="shared" si="11"/>
        <v>35</v>
      </c>
      <c r="C146" s="2" t="s">
        <v>45</v>
      </c>
      <c r="D146" s="2" t="s">
        <v>89</v>
      </c>
      <c r="E146" s="2" t="s">
        <v>343</v>
      </c>
      <c r="F146" s="2" t="s">
        <v>344</v>
      </c>
      <c r="G146" s="3">
        <v>10</v>
      </c>
      <c r="H146" s="3">
        <v>64.650000000000006</v>
      </c>
      <c r="I146" s="3">
        <v>3.6</v>
      </c>
      <c r="J146" s="3">
        <f t="shared" si="12"/>
        <v>78.25</v>
      </c>
      <c r="K146" s="3">
        <v>7.5</v>
      </c>
      <c r="L146" s="3">
        <v>65.459999999999994</v>
      </c>
      <c r="M146" s="3">
        <v>4</v>
      </c>
      <c r="N146" s="3">
        <f t="shared" si="13"/>
        <v>76.959999999999994</v>
      </c>
      <c r="O146" s="3">
        <f t="shared" si="14"/>
        <v>155.21</v>
      </c>
      <c r="P146" s="4" t="s">
        <v>72</v>
      </c>
      <c r="Q146" s="5" t="s">
        <v>345</v>
      </c>
    </row>
    <row r="147" spans="1:17">
      <c r="A147" s="2">
        <f t="shared" si="10"/>
        <v>145</v>
      </c>
      <c r="B147" s="2">
        <f t="shared" si="11"/>
        <v>34</v>
      </c>
      <c r="C147" s="2" t="s">
        <v>24</v>
      </c>
      <c r="D147" s="2" t="s">
        <v>25</v>
      </c>
      <c r="E147" s="2" t="s">
        <v>346</v>
      </c>
      <c r="F147" s="2" t="s">
        <v>347</v>
      </c>
      <c r="G147" s="3">
        <v>9.8000000000000007</v>
      </c>
      <c r="H147" s="3">
        <v>62.646341463414601</v>
      </c>
      <c r="I147" s="3">
        <v>3</v>
      </c>
      <c r="J147" s="3">
        <f t="shared" si="12"/>
        <v>75.45</v>
      </c>
      <c r="K147" s="3">
        <v>9.8000000000000007</v>
      </c>
      <c r="L147" s="3">
        <v>65.95</v>
      </c>
      <c r="M147" s="3">
        <v>4</v>
      </c>
      <c r="N147" s="3">
        <f t="shared" si="13"/>
        <v>79.75</v>
      </c>
      <c r="O147" s="3">
        <f t="shared" si="14"/>
        <v>155.19999999999999</v>
      </c>
      <c r="P147" s="2"/>
      <c r="Q147" s="5"/>
    </row>
    <row r="148" spans="1:17">
      <c r="A148" s="2">
        <f t="shared" si="10"/>
        <v>146</v>
      </c>
      <c r="B148" s="2">
        <f t="shared" si="11"/>
        <v>19</v>
      </c>
      <c r="C148" s="2" t="s">
        <v>15</v>
      </c>
      <c r="D148" s="2" t="s">
        <v>257</v>
      </c>
      <c r="E148" s="2" t="s">
        <v>348</v>
      </c>
      <c r="F148" s="2" t="s">
        <v>349</v>
      </c>
      <c r="G148" s="3">
        <v>12</v>
      </c>
      <c r="H148" s="3">
        <v>61.53</v>
      </c>
      <c r="I148" s="3">
        <v>4.2</v>
      </c>
      <c r="J148" s="3">
        <f t="shared" si="12"/>
        <v>77.73</v>
      </c>
      <c r="K148" s="3">
        <v>9.5</v>
      </c>
      <c r="L148" s="3">
        <v>63.94</v>
      </c>
      <c r="M148" s="3">
        <v>4</v>
      </c>
      <c r="N148" s="3">
        <f t="shared" si="13"/>
        <v>77.44</v>
      </c>
      <c r="O148" s="3">
        <f t="shared" si="14"/>
        <v>155.16999999999999</v>
      </c>
      <c r="P148" s="4" t="s">
        <v>130</v>
      </c>
      <c r="Q148" s="5"/>
    </row>
    <row r="149" spans="1:17">
      <c r="A149" s="2">
        <f t="shared" si="10"/>
        <v>147</v>
      </c>
      <c r="B149" s="2">
        <f t="shared" si="11"/>
        <v>36</v>
      </c>
      <c r="C149" s="2" t="s">
        <v>45</v>
      </c>
      <c r="D149" s="2" t="s">
        <v>89</v>
      </c>
      <c r="E149" s="2" t="s">
        <v>350</v>
      </c>
      <c r="F149" s="2" t="s">
        <v>351</v>
      </c>
      <c r="G149" s="3">
        <v>11.8</v>
      </c>
      <c r="H149" s="3">
        <v>58.14</v>
      </c>
      <c r="I149" s="3">
        <v>6.05</v>
      </c>
      <c r="J149" s="3">
        <f t="shared" si="12"/>
        <v>75.989999999999995</v>
      </c>
      <c r="K149" s="3">
        <v>10.8</v>
      </c>
      <c r="L149" s="3">
        <v>59.47</v>
      </c>
      <c r="M149" s="3">
        <v>8.85</v>
      </c>
      <c r="N149" s="3">
        <f t="shared" si="13"/>
        <v>79.12</v>
      </c>
      <c r="O149" s="3">
        <f t="shared" si="14"/>
        <v>155.11000000000001</v>
      </c>
      <c r="P149" s="4" t="s">
        <v>130</v>
      </c>
      <c r="Q149" s="5"/>
    </row>
    <row r="150" spans="1:17">
      <c r="A150" s="2">
        <f t="shared" si="10"/>
        <v>148</v>
      </c>
      <c r="B150" s="2">
        <f t="shared" si="11"/>
        <v>37</v>
      </c>
      <c r="C150" s="2" t="s">
        <v>45</v>
      </c>
      <c r="D150" s="2" t="s">
        <v>114</v>
      </c>
      <c r="E150" s="2" t="s">
        <v>352</v>
      </c>
      <c r="F150" s="2" t="s">
        <v>353</v>
      </c>
      <c r="G150" s="3">
        <v>9.8000000000000007</v>
      </c>
      <c r="H150" s="3">
        <v>64.47</v>
      </c>
      <c r="I150" s="3">
        <v>4</v>
      </c>
      <c r="J150" s="3">
        <f t="shared" si="12"/>
        <v>78.27</v>
      </c>
      <c r="K150" s="3">
        <v>11.3</v>
      </c>
      <c r="L150" s="3">
        <v>60.79</v>
      </c>
      <c r="M150" s="3">
        <v>4.7</v>
      </c>
      <c r="N150" s="3">
        <f t="shared" si="13"/>
        <v>76.790000000000006</v>
      </c>
      <c r="O150" s="3">
        <f t="shared" si="14"/>
        <v>155.06</v>
      </c>
      <c r="P150" s="4" t="s">
        <v>130</v>
      </c>
      <c r="Q150" s="5"/>
    </row>
    <row r="151" spans="1:17">
      <c r="A151" s="2">
        <f t="shared" si="10"/>
        <v>149</v>
      </c>
      <c r="B151" s="2">
        <f t="shared" si="11"/>
        <v>35</v>
      </c>
      <c r="C151" s="2" t="s">
        <v>24</v>
      </c>
      <c r="D151" s="2" t="s">
        <v>58</v>
      </c>
      <c r="E151" s="2" t="s">
        <v>354</v>
      </c>
      <c r="F151" s="2" t="s">
        <v>355</v>
      </c>
      <c r="G151" s="3">
        <v>10</v>
      </c>
      <c r="H151" s="3">
        <v>62.231707317073202</v>
      </c>
      <c r="I151" s="3">
        <v>4.2</v>
      </c>
      <c r="J151" s="3">
        <f t="shared" si="12"/>
        <v>76.430000000000007</v>
      </c>
      <c r="K151" s="3">
        <v>10</v>
      </c>
      <c r="L151" s="3">
        <v>63.92</v>
      </c>
      <c r="M151" s="3">
        <v>4.7</v>
      </c>
      <c r="N151" s="3">
        <f t="shared" si="13"/>
        <v>78.62</v>
      </c>
      <c r="O151" s="3">
        <f t="shared" si="14"/>
        <v>155.05000000000001</v>
      </c>
      <c r="P151" s="2"/>
      <c r="Q151" s="5"/>
    </row>
    <row r="152" spans="1:17">
      <c r="A152" s="2">
        <f t="shared" si="10"/>
        <v>150</v>
      </c>
      <c r="B152" s="2">
        <f t="shared" si="11"/>
        <v>59</v>
      </c>
      <c r="C152" s="2" t="s">
        <v>20</v>
      </c>
      <c r="D152" s="2" t="s">
        <v>21</v>
      </c>
      <c r="E152" s="2" t="s">
        <v>356</v>
      </c>
      <c r="F152" s="2" t="s">
        <v>357</v>
      </c>
      <c r="G152" s="3">
        <v>10.3</v>
      </c>
      <c r="H152" s="3">
        <v>61.04</v>
      </c>
      <c r="I152" s="3">
        <v>5.15</v>
      </c>
      <c r="J152" s="3">
        <f t="shared" si="12"/>
        <v>76.489999999999995</v>
      </c>
      <c r="K152" s="3">
        <v>9.8000000000000007</v>
      </c>
      <c r="L152" s="3">
        <v>60.73</v>
      </c>
      <c r="M152" s="3">
        <v>8</v>
      </c>
      <c r="N152" s="3">
        <f t="shared" si="13"/>
        <v>78.53</v>
      </c>
      <c r="O152" s="3">
        <f t="shared" si="14"/>
        <v>155.02000000000001</v>
      </c>
      <c r="P152" s="4" t="s">
        <v>130</v>
      </c>
      <c r="Q152" s="5"/>
    </row>
    <row r="153" spans="1:17">
      <c r="A153" s="2">
        <f t="shared" si="10"/>
        <v>151</v>
      </c>
      <c r="B153" s="2">
        <f t="shared" si="11"/>
        <v>36</v>
      </c>
      <c r="C153" s="2" t="s">
        <v>24</v>
      </c>
      <c r="D153" s="2" t="s">
        <v>49</v>
      </c>
      <c r="E153" s="2" t="s">
        <v>358</v>
      </c>
      <c r="F153" s="2" t="s">
        <v>359</v>
      </c>
      <c r="G153" s="3">
        <v>9.8000000000000007</v>
      </c>
      <c r="H153" s="3">
        <v>64.842857142857099</v>
      </c>
      <c r="I153" s="3">
        <v>3</v>
      </c>
      <c r="J153" s="3">
        <f t="shared" si="12"/>
        <v>77.64</v>
      </c>
      <c r="K153" s="3">
        <v>9.8000000000000007</v>
      </c>
      <c r="L153" s="3">
        <v>63.97</v>
      </c>
      <c r="M153" s="3">
        <v>3.5</v>
      </c>
      <c r="N153" s="3">
        <f t="shared" si="13"/>
        <v>77.27</v>
      </c>
      <c r="O153" s="3">
        <f t="shared" si="14"/>
        <v>154.91</v>
      </c>
      <c r="P153" s="2"/>
      <c r="Q153" s="5"/>
    </row>
    <row r="154" spans="1:17">
      <c r="A154" s="2">
        <f t="shared" si="10"/>
        <v>152</v>
      </c>
      <c r="B154" s="2">
        <f t="shared" si="11"/>
        <v>60</v>
      </c>
      <c r="C154" s="2" t="s">
        <v>20</v>
      </c>
      <c r="D154" s="2" t="s">
        <v>42</v>
      </c>
      <c r="E154" s="2" t="s">
        <v>360</v>
      </c>
      <c r="F154" s="2" t="s">
        <v>361</v>
      </c>
      <c r="G154" s="3">
        <v>9.8000000000000007</v>
      </c>
      <c r="H154" s="3">
        <v>65.816326530612201</v>
      </c>
      <c r="I154" s="3">
        <v>3.4</v>
      </c>
      <c r="J154" s="3">
        <f t="shared" si="12"/>
        <v>79.02</v>
      </c>
      <c r="K154" s="3">
        <v>9.8000000000000007</v>
      </c>
      <c r="L154" s="3">
        <v>62.14</v>
      </c>
      <c r="M154" s="3">
        <v>3.9</v>
      </c>
      <c r="N154" s="3">
        <f t="shared" si="13"/>
        <v>75.84</v>
      </c>
      <c r="O154" s="3">
        <f t="shared" si="14"/>
        <v>154.86000000000001</v>
      </c>
      <c r="P154" s="2"/>
      <c r="Q154" s="5"/>
    </row>
    <row r="155" spans="1:17">
      <c r="A155" s="2">
        <f t="shared" si="10"/>
        <v>153</v>
      </c>
      <c r="B155" s="2">
        <f t="shared" si="11"/>
        <v>61</v>
      </c>
      <c r="C155" s="2" t="s">
        <v>20</v>
      </c>
      <c r="D155" s="2" t="s">
        <v>65</v>
      </c>
      <c r="E155" s="2" t="s">
        <v>362</v>
      </c>
      <c r="F155" s="2" t="s">
        <v>363</v>
      </c>
      <c r="G155" s="3">
        <v>9.4</v>
      </c>
      <c r="H155" s="3">
        <v>67.42</v>
      </c>
      <c r="I155" s="3">
        <v>3</v>
      </c>
      <c r="J155" s="3">
        <f t="shared" si="12"/>
        <v>79.819999999999993</v>
      </c>
      <c r="K155" s="3">
        <v>7.3000000000000007</v>
      </c>
      <c r="L155" s="3">
        <v>64.69</v>
      </c>
      <c r="M155" s="3">
        <v>3</v>
      </c>
      <c r="N155" s="3">
        <f t="shared" si="13"/>
        <v>74.989999999999995</v>
      </c>
      <c r="O155" s="3">
        <f t="shared" si="14"/>
        <v>154.81</v>
      </c>
      <c r="P155" s="2"/>
      <c r="Q155" s="5"/>
    </row>
    <row r="156" spans="1:17">
      <c r="A156" s="2">
        <f t="shared" si="10"/>
        <v>154</v>
      </c>
      <c r="B156" s="2">
        <f t="shared" si="11"/>
        <v>62</v>
      </c>
      <c r="C156" s="2" t="s">
        <v>20</v>
      </c>
      <c r="D156" s="2" t="s">
        <v>65</v>
      </c>
      <c r="E156" s="2" t="s">
        <v>364</v>
      </c>
      <c r="F156" s="2" t="s">
        <v>365</v>
      </c>
      <c r="G156" s="3">
        <v>9.8000000000000007</v>
      </c>
      <c r="H156" s="3">
        <v>66.39</v>
      </c>
      <c r="I156" s="3">
        <v>3</v>
      </c>
      <c r="J156" s="3">
        <f t="shared" si="12"/>
        <v>79.19</v>
      </c>
      <c r="K156" s="3">
        <v>9.8000000000000007</v>
      </c>
      <c r="L156" s="3">
        <v>61.78</v>
      </c>
      <c r="M156" s="3">
        <v>4</v>
      </c>
      <c r="N156" s="3">
        <f t="shared" si="13"/>
        <v>75.58</v>
      </c>
      <c r="O156" s="3">
        <f t="shared" si="14"/>
        <v>154.77000000000001</v>
      </c>
      <c r="P156" s="2"/>
      <c r="Q156" s="5"/>
    </row>
    <row r="157" spans="1:17">
      <c r="A157" s="2">
        <f t="shared" si="10"/>
        <v>155</v>
      </c>
      <c r="B157" s="2">
        <f t="shared" si="11"/>
        <v>63</v>
      </c>
      <c r="C157" s="2" t="s">
        <v>20</v>
      </c>
      <c r="D157" s="2" t="s">
        <v>21</v>
      </c>
      <c r="E157" s="2" t="s">
        <v>366</v>
      </c>
      <c r="F157" s="2" t="s">
        <v>367</v>
      </c>
      <c r="G157" s="3">
        <v>10.8</v>
      </c>
      <c r="H157" s="3">
        <v>58.78</v>
      </c>
      <c r="I157" s="3">
        <v>5.4</v>
      </c>
      <c r="J157" s="3">
        <f t="shared" si="12"/>
        <v>74.98</v>
      </c>
      <c r="K157" s="3">
        <v>9.8000000000000007</v>
      </c>
      <c r="L157" s="3">
        <v>61.87</v>
      </c>
      <c r="M157" s="3">
        <v>8</v>
      </c>
      <c r="N157" s="3">
        <f t="shared" si="13"/>
        <v>79.67</v>
      </c>
      <c r="O157" s="3">
        <f t="shared" si="14"/>
        <v>154.65</v>
      </c>
      <c r="P157" s="2"/>
      <c r="Q157" s="5"/>
    </row>
    <row r="158" spans="1:17">
      <c r="A158" s="2">
        <f t="shared" si="10"/>
        <v>156</v>
      </c>
      <c r="B158" s="2">
        <f t="shared" si="11"/>
        <v>38</v>
      </c>
      <c r="C158" s="2" t="s">
        <v>45</v>
      </c>
      <c r="D158" s="2" t="s">
        <v>266</v>
      </c>
      <c r="E158" s="2" t="s">
        <v>368</v>
      </c>
      <c r="F158" s="2" t="s">
        <v>369</v>
      </c>
      <c r="G158" s="3">
        <v>10.5</v>
      </c>
      <c r="H158" s="3">
        <v>64.290000000000006</v>
      </c>
      <c r="I158" s="3">
        <v>4.4000000000000004</v>
      </c>
      <c r="J158" s="3">
        <f t="shared" si="12"/>
        <v>79.19</v>
      </c>
      <c r="K158" s="3">
        <v>10</v>
      </c>
      <c r="L158" s="3">
        <v>59.12</v>
      </c>
      <c r="M158" s="3">
        <v>6.3</v>
      </c>
      <c r="N158" s="3">
        <f t="shared" si="13"/>
        <v>75.42</v>
      </c>
      <c r="O158" s="3">
        <f t="shared" si="14"/>
        <v>154.61000000000001</v>
      </c>
      <c r="P158" s="4" t="s">
        <v>130</v>
      </c>
      <c r="Q158" s="5"/>
    </row>
    <row r="159" spans="1:17">
      <c r="A159" s="2">
        <f t="shared" si="10"/>
        <v>157</v>
      </c>
      <c r="B159" s="2">
        <f t="shared" si="11"/>
        <v>39</v>
      </c>
      <c r="C159" s="2" t="s">
        <v>45</v>
      </c>
      <c r="D159" s="2" t="s">
        <v>266</v>
      </c>
      <c r="E159" s="2" t="s">
        <v>370</v>
      </c>
      <c r="F159" s="2" t="s">
        <v>371</v>
      </c>
      <c r="G159" s="3">
        <v>9.8000000000000007</v>
      </c>
      <c r="H159" s="3">
        <v>63.98</v>
      </c>
      <c r="I159" s="3">
        <v>4</v>
      </c>
      <c r="J159" s="3">
        <f t="shared" si="12"/>
        <v>77.78</v>
      </c>
      <c r="K159" s="3">
        <v>9.8000000000000007</v>
      </c>
      <c r="L159" s="3">
        <v>61.8</v>
      </c>
      <c r="M159" s="3">
        <v>5.2</v>
      </c>
      <c r="N159" s="3">
        <f t="shared" si="13"/>
        <v>76.8</v>
      </c>
      <c r="O159" s="3">
        <f t="shared" si="14"/>
        <v>154.58000000000001</v>
      </c>
      <c r="P159" s="4" t="s">
        <v>130</v>
      </c>
      <c r="Q159" s="5"/>
    </row>
    <row r="160" spans="1:17">
      <c r="A160" s="2">
        <f t="shared" si="10"/>
        <v>158</v>
      </c>
      <c r="B160" s="2">
        <f t="shared" si="11"/>
        <v>20</v>
      </c>
      <c r="C160" s="2" t="s">
        <v>15</v>
      </c>
      <c r="D160" s="2" t="s">
        <v>257</v>
      </c>
      <c r="E160" s="2" t="s">
        <v>372</v>
      </c>
      <c r="F160" s="2" t="s">
        <v>373</v>
      </c>
      <c r="G160" s="3">
        <v>9.8000000000000007</v>
      </c>
      <c r="H160" s="3">
        <v>64.569999999999993</v>
      </c>
      <c r="I160" s="3">
        <v>3</v>
      </c>
      <c r="J160" s="3">
        <f t="shared" si="12"/>
        <v>77.37</v>
      </c>
      <c r="K160" s="3">
        <v>9.8000000000000007</v>
      </c>
      <c r="L160" s="3">
        <v>63.66</v>
      </c>
      <c r="M160" s="3">
        <v>3.7</v>
      </c>
      <c r="N160" s="3">
        <f t="shared" si="13"/>
        <v>77.16</v>
      </c>
      <c r="O160" s="3">
        <f t="shared" si="14"/>
        <v>154.53</v>
      </c>
      <c r="P160" s="4" t="s">
        <v>130</v>
      </c>
      <c r="Q160" s="5"/>
    </row>
    <row r="161" spans="1:17">
      <c r="A161" s="2">
        <f t="shared" si="10"/>
        <v>159</v>
      </c>
      <c r="B161" s="2">
        <f t="shared" si="11"/>
        <v>21</v>
      </c>
      <c r="C161" s="2" t="s">
        <v>15</v>
      </c>
      <c r="D161" s="2" t="s">
        <v>257</v>
      </c>
      <c r="E161" s="2" t="s">
        <v>374</v>
      </c>
      <c r="F161" s="2" t="s">
        <v>375</v>
      </c>
      <c r="G161" s="3">
        <v>9.8000000000000007</v>
      </c>
      <c r="H161" s="3">
        <v>62.85</v>
      </c>
      <c r="I161" s="3">
        <v>5.0999999999999996</v>
      </c>
      <c r="J161" s="3">
        <f t="shared" si="12"/>
        <v>77.75</v>
      </c>
      <c r="K161" s="3">
        <v>9.8000000000000007</v>
      </c>
      <c r="L161" s="3">
        <v>63.52</v>
      </c>
      <c r="M161" s="3">
        <v>3.4</v>
      </c>
      <c r="N161" s="3">
        <f t="shared" si="13"/>
        <v>76.72</v>
      </c>
      <c r="O161" s="3">
        <f t="shared" si="14"/>
        <v>154.47</v>
      </c>
      <c r="P161" s="4" t="s">
        <v>130</v>
      </c>
      <c r="Q161" s="5"/>
    </row>
    <row r="162" spans="1:17">
      <c r="A162" s="2">
        <f t="shared" si="10"/>
        <v>160</v>
      </c>
      <c r="B162" s="2">
        <f t="shared" si="11"/>
        <v>37</v>
      </c>
      <c r="C162" s="2" t="s">
        <v>24</v>
      </c>
      <c r="D162" s="2" t="s">
        <v>25</v>
      </c>
      <c r="E162" s="2" t="s">
        <v>376</v>
      </c>
      <c r="F162" s="2" t="s">
        <v>377</v>
      </c>
      <c r="G162" s="3">
        <v>10.3</v>
      </c>
      <c r="H162" s="3">
        <v>61.768292682926798</v>
      </c>
      <c r="I162" s="3">
        <v>4.5</v>
      </c>
      <c r="J162" s="3">
        <f t="shared" si="12"/>
        <v>76.569999999999993</v>
      </c>
      <c r="K162" s="3">
        <v>9.8000000000000007</v>
      </c>
      <c r="L162" s="3">
        <v>63.56</v>
      </c>
      <c r="M162" s="3">
        <v>4.5</v>
      </c>
      <c r="N162" s="3">
        <f t="shared" si="13"/>
        <v>77.86</v>
      </c>
      <c r="O162" s="3">
        <f t="shared" si="14"/>
        <v>154.43</v>
      </c>
      <c r="P162" s="2"/>
      <c r="Q162" s="5"/>
    </row>
    <row r="163" spans="1:17">
      <c r="A163" s="2">
        <f t="shared" si="10"/>
        <v>161</v>
      </c>
      <c r="B163" s="2">
        <f t="shared" si="11"/>
        <v>64</v>
      </c>
      <c r="C163" s="2" t="s">
        <v>20</v>
      </c>
      <c r="D163" s="2" t="s">
        <v>65</v>
      </c>
      <c r="E163" s="2" t="s">
        <v>378</v>
      </c>
      <c r="F163" s="2" t="s">
        <v>379</v>
      </c>
      <c r="G163" s="3">
        <v>10</v>
      </c>
      <c r="H163" s="3">
        <v>63.16</v>
      </c>
      <c r="I163" s="3">
        <v>3</v>
      </c>
      <c r="J163" s="3">
        <f t="shared" si="12"/>
        <v>76.16</v>
      </c>
      <c r="K163" s="3">
        <v>10</v>
      </c>
      <c r="L163" s="3">
        <v>64.23</v>
      </c>
      <c r="M163" s="3">
        <v>4</v>
      </c>
      <c r="N163" s="3">
        <f t="shared" si="13"/>
        <v>78.23</v>
      </c>
      <c r="O163" s="3">
        <f t="shared" si="14"/>
        <v>154.38999999999999</v>
      </c>
      <c r="P163" s="4" t="s">
        <v>72</v>
      </c>
      <c r="Q163" s="5"/>
    </row>
    <row r="164" spans="1:17">
      <c r="A164" s="2">
        <f t="shared" si="10"/>
        <v>162</v>
      </c>
      <c r="B164" s="2">
        <f t="shared" si="11"/>
        <v>22</v>
      </c>
      <c r="C164" s="2" t="s">
        <v>15</v>
      </c>
      <c r="D164" s="2" t="s">
        <v>16</v>
      </c>
      <c r="E164" s="2" t="s">
        <v>380</v>
      </c>
      <c r="F164" s="2" t="s">
        <v>381</v>
      </c>
      <c r="G164" s="3">
        <v>10</v>
      </c>
      <c r="H164" s="3">
        <v>60.14</v>
      </c>
      <c r="I164" s="3">
        <v>3</v>
      </c>
      <c r="J164" s="3">
        <f t="shared" si="12"/>
        <v>73.14</v>
      </c>
      <c r="K164" s="3">
        <v>10</v>
      </c>
      <c r="L164" s="3">
        <v>66.319999999999993</v>
      </c>
      <c r="M164" s="3">
        <v>4.9000000000000004</v>
      </c>
      <c r="N164" s="3">
        <f t="shared" si="13"/>
        <v>81.22</v>
      </c>
      <c r="O164" s="3">
        <f t="shared" si="14"/>
        <v>154.36000000000001</v>
      </c>
      <c r="P164" s="4" t="s">
        <v>130</v>
      </c>
      <c r="Q164" s="5"/>
    </row>
    <row r="165" spans="1:17">
      <c r="A165" s="2">
        <f t="shared" si="10"/>
        <v>163</v>
      </c>
      <c r="B165" s="2">
        <f t="shared" si="11"/>
        <v>65</v>
      </c>
      <c r="C165" s="2" t="s">
        <v>20</v>
      </c>
      <c r="D165" s="2" t="s">
        <v>36</v>
      </c>
      <c r="E165" s="2" t="s">
        <v>382</v>
      </c>
      <c r="F165" s="2" t="s">
        <v>383</v>
      </c>
      <c r="G165" s="3">
        <v>10</v>
      </c>
      <c r="H165" s="3">
        <v>63.11</v>
      </c>
      <c r="I165" s="3">
        <v>5.5</v>
      </c>
      <c r="J165" s="3">
        <f t="shared" si="12"/>
        <v>78.61</v>
      </c>
      <c r="K165" s="3">
        <v>11</v>
      </c>
      <c r="L165" s="3">
        <v>56.77</v>
      </c>
      <c r="M165" s="3">
        <v>7.95</v>
      </c>
      <c r="N165" s="3">
        <f t="shared" si="13"/>
        <v>75.72</v>
      </c>
      <c r="O165" s="3">
        <f t="shared" si="14"/>
        <v>154.33000000000001</v>
      </c>
      <c r="P165" s="2"/>
      <c r="Q165" s="5"/>
    </row>
    <row r="166" spans="1:17">
      <c r="A166" s="2">
        <f t="shared" si="10"/>
        <v>164</v>
      </c>
      <c r="B166" s="2">
        <f t="shared" si="11"/>
        <v>40</v>
      </c>
      <c r="C166" s="2" t="s">
        <v>45</v>
      </c>
      <c r="D166" s="2" t="s">
        <v>114</v>
      </c>
      <c r="E166" s="2" t="s">
        <v>384</v>
      </c>
      <c r="F166" s="2" t="s">
        <v>385</v>
      </c>
      <c r="G166" s="3">
        <v>10.8</v>
      </c>
      <c r="H166" s="3">
        <v>66.75</v>
      </c>
      <c r="I166" s="3">
        <v>4</v>
      </c>
      <c r="J166" s="3">
        <f t="shared" si="12"/>
        <v>81.55</v>
      </c>
      <c r="K166" s="3">
        <v>9.8000000000000007</v>
      </c>
      <c r="L166" s="3">
        <v>57.69</v>
      </c>
      <c r="M166" s="3">
        <v>5.2</v>
      </c>
      <c r="N166" s="3">
        <f t="shared" si="13"/>
        <v>72.69</v>
      </c>
      <c r="O166" s="3">
        <f t="shared" si="14"/>
        <v>154.24</v>
      </c>
      <c r="P166" s="2"/>
      <c r="Q166" s="5"/>
    </row>
    <row r="167" spans="1:17">
      <c r="A167" s="2">
        <f t="shared" si="10"/>
        <v>165</v>
      </c>
      <c r="B167" s="2">
        <f t="shared" si="11"/>
        <v>23</v>
      </c>
      <c r="C167" s="2" t="s">
        <v>15</v>
      </c>
      <c r="D167" s="2" t="s">
        <v>16</v>
      </c>
      <c r="E167" s="2" t="s">
        <v>386</v>
      </c>
      <c r="F167" s="2" t="s">
        <v>387</v>
      </c>
      <c r="G167" s="3">
        <v>10</v>
      </c>
      <c r="H167" s="3">
        <v>64.97</v>
      </c>
      <c r="I167" s="3">
        <v>4</v>
      </c>
      <c r="J167" s="3">
        <f t="shared" si="12"/>
        <v>78.97</v>
      </c>
      <c r="K167" s="3">
        <v>10</v>
      </c>
      <c r="L167" s="3">
        <v>60.86</v>
      </c>
      <c r="M167" s="3">
        <v>4.4000000000000004</v>
      </c>
      <c r="N167" s="3">
        <f t="shared" si="13"/>
        <v>75.260000000000005</v>
      </c>
      <c r="O167" s="3">
        <f t="shared" si="14"/>
        <v>154.22999999999999</v>
      </c>
      <c r="P167" s="4" t="s">
        <v>130</v>
      </c>
      <c r="Q167" s="5"/>
    </row>
    <row r="168" spans="1:17">
      <c r="A168" s="2">
        <f t="shared" si="10"/>
        <v>166</v>
      </c>
      <c r="B168" s="2">
        <f t="shared" si="11"/>
        <v>24</v>
      </c>
      <c r="C168" s="2" t="s">
        <v>15</v>
      </c>
      <c r="D168" s="2" t="s">
        <v>181</v>
      </c>
      <c r="E168" s="2" t="s">
        <v>388</v>
      </c>
      <c r="F168" s="2" t="s">
        <v>389</v>
      </c>
      <c r="G168" s="3">
        <v>9.8000000000000007</v>
      </c>
      <c r="H168" s="3">
        <v>65.34</v>
      </c>
      <c r="I168" s="3">
        <v>4</v>
      </c>
      <c r="J168" s="3">
        <f t="shared" si="12"/>
        <v>79.14</v>
      </c>
      <c r="K168" s="3">
        <v>8.8000000000000007</v>
      </c>
      <c r="L168" s="3">
        <v>60.19</v>
      </c>
      <c r="M168" s="3">
        <v>6.05</v>
      </c>
      <c r="N168" s="3">
        <f t="shared" si="13"/>
        <v>75.040000000000006</v>
      </c>
      <c r="O168" s="3">
        <f t="shared" si="14"/>
        <v>154.18</v>
      </c>
      <c r="P168" s="4" t="s">
        <v>390</v>
      </c>
      <c r="Q168" s="5"/>
    </row>
    <row r="169" spans="1:17">
      <c r="A169" s="2">
        <f t="shared" si="10"/>
        <v>167</v>
      </c>
      <c r="B169" s="2">
        <f t="shared" si="11"/>
        <v>41</v>
      </c>
      <c r="C169" s="2" t="s">
        <v>45</v>
      </c>
      <c r="D169" s="2" t="s">
        <v>232</v>
      </c>
      <c r="E169" s="2" t="s">
        <v>391</v>
      </c>
      <c r="F169" s="2" t="s">
        <v>392</v>
      </c>
      <c r="G169" s="3">
        <v>11</v>
      </c>
      <c r="H169" s="3">
        <v>63.89</v>
      </c>
      <c r="I169" s="3">
        <v>5.7</v>
      </c>
      <c r="J169" s="3">
        <f t="shared" si="12"/>
        <v>80.59</v>
      </c>
      <c r="K169" s="3">
        <v>10</v>
      </c>
      <c r="L169" s="3">
        <v>55.54</v>
      </c>
      <c r="M169" s="3">
        <v>8</v>
      </c>
      <c r="N169" s="3">
        <f t="shared" si="13"/>
        <v>73.540000000000006</v>
      </c>
      <c r="O169" s="3">
        <f t="shared" si="14"/>
        <v>154.13</v>
      </c>
      <c r="P169" s="2"/>
      <c r="Q169" s="5"/>
    </row>
    <row r="170" spans="1:17">
      <c r="A170" s="2">
        <f t="shared" si="10"/>
        <v>168</v>
      </c>
      <c r="B170" s="2">
        <f t="shared" si="11"/>
        <v>66</v>
      </c>
      <c r="C170" s="2" t="s">
        <v>20</v>
      </c>
      <c r="D170" s="2" t="s">
        <v>164</v>
      </c>
      <c r="E170" s="2" t="s">
        <v>393</v>
      </c>
      <c r="F170" s="2" t="s">
        <v>394</v>
      </c>
      <c r="G170" s="3">
        <v>10.5</v>
      </c>
      <c r="H170" s="3">
        <v>64.650000000000006</v>
      </c>
      <c r="I170" s="3">
        <v>3</v>
      </c>
      <c r="J170" s="3">
        <f t="shared" si="12"/>
        <v>78.150000000000006</v>
      </c>
      <c r="K170" s="3">
        <v>10</v>
      </c>
      <c r="L170" s="3">
        <v>62.47</v>
      </c>
      <c r="M170" s="3">
        <v>3.5</v>
      </c>
      <c r="N170" s="3">
        <f t="shared" si="13"/>
        <v>75.97</v>
      </c>
      <c r="O170" s="3">
        <f t="shared" si="14"/>
        <v>154.12</v>
      </c>
      <c r="P170" s="2"/>
      <c r="Q170" s="5"/>
    </row>
    <row r="171" spans="1:17">
      <c r="A171" s="2">
        <f t="shared" si="10"/>
        <v>168</v>
      </c>
      <c r="B171" s="2">
        <f t="shared" si="11"/>
        <v>42</v>
      </c>
      <c r="C171" s="2" t="s">
        <v>45</v>
      </c>
      <c r="D171" s="2" t="s">
        <v>109</v>
      </c>
      <c r="E171" s="2" t="s">
        <v>395</v>
      </c>
      <c r="F171" s="2" t="s">
        <v>396</v>
      </c>
      <c r="G171" s="3">
        <v>9.8000000000000007</v>
      </c>
      <c r="H171" s="3">
        <v>64.22</v>
      </c>
      <c r="I171" s="3">
        <v>4</v>
      </c>
      <c r="J171" s="3">
        <f t="shared" si="12"/>
        <v>78.02</v>
      </c>
      <c r="K171" s="3">
        <v>9.8000000000000007</v>
      </c>
      <c r="L171" s="3">
        <v>61.4</v>
      </c>
      <c r="M171" s="3">
        <v>4.9000000000000004</v>
      </c>
      <c r="N171" s="3">
        <f t="shared" si="13"/>
        <v>76.099999999999994</v>
      </c>
      <c r="O171" s="3">
        <f t="shared" si="14"/>
        <v>154.12</v>
      </c>
      <c r="P171" s="4" t="s">
        <v>130</v>
      </c>
      <c r="Q171" s="5"/>
    </row>
    <row r="172" spans="1:17">
      <c r="A172" s="2">
        <f t="shared" si="10"/>
        <v>170</v>
      </c>
      <c r="B172" s="2">
        <f t="shared" si="11"/>
        <v>67</v>
      </c>
      <c r="C172" s="2" t="s">
        <v>20</v>
      </c>
      <c r="D172" s="2" t="s">
        <v>117</v>
      </c>
      <c r="E172" s="2" t="s">
        <v>397</v>
      </c>
      <c r="F172" s="2" t="s">
        <v>398</v>
      </c>
      <c r="G172" s="3">
        <v>10.3</v>
      </c>
      <c r="H172" s="3">
        <v>65.09</v>
      </c>
      <c r="I172" s="3">
        <v>3</v>
      </c>
      <c r="J172" s="3">
        <f t="shared" si="12"/>
        <v>78.39</v>
      </c>
      <c r="K172" s="3">
        <v>9.8000000000000007</v>
      </c>
      <c r="L172" s="3">
        <v>62.92</v>
      </c>
      <c r="M172" s="3">
        <v>3</v>
      </c>
      <c r="N172" s="3">
        <f t="shared" si="13"/>
        <v>75.72</v>
      </c>
      <c r="O172" s="3">
        <f t="shared" si="14"/>
        <v>154.11000000000001</v>
      </c>
      <c r="P172" s="2"/>
      <c r="Q172" s="5"/>
    </row>
    <row r="173" spans="1:17">
      <c r="A173" s="2">
        <f t="shared" si="10"/>
        <v>171</v>
      </c>
      <c r="B173" s="2">
        <f t="shared" si="11"/>
        <v>25</v>
      </c>
      <c r="C173" s="2" t="s">
        <v>15</v>
      </c>
      <c r="D173" s="2" t="s">
        <v>16</v>
      </c>
      <c r="E173" s="2" t="s">
        <v>399</v>
      </c>
      <c r="F173" s="2" t="s">
        <v>400</v>
      </c>
      <c r="G173" s="3">
        <v>10</v>
      </c>
      <c r="H173" s="3">
        <v>63.7</v>
      </c>
      <c r="I173" s="3">
        <v>3</v>
      </c>
      <c r="J173" s="3">
        <f t="shared" si="12"/>
        <v>76.7</v>
      </c>
      <c r="K173" s="3">
        <v>10</v>
      </c>
      <c r="L173" s="3">
        <v>63.45</v>
      </c>
      <c r="M173" s="3">
        <v>3.9</v>
      </c>
      <c r="N173" s="3">
        <f t="shared" si="13"/>
        <v>77.349999999999994</v>
      </c>
      <c r="O173" s="3">
        <f t="shared" si="14"/>
        <v>154.05000000000001</v>
      </c>
      <c r="P173" s="4" t="s">
        <v>130</v>
      </c>
      <c r="Q173" s="5"/>
    </row>
    <row r="174" spans="1:17">
      <c r="A174" s="2">
        <f t="shared" si="10"/>
        <v>172</v>
      </c>
      <c r="B174" s="2">
        <f t="shared" si="11"/>
        <v>38</v>
      </c>
      <c r="C174" s="2" t="s">
        <v>24</v>
      </c>
      <c r="D174" s="2" t="s">
        <v>76</v>
      </c>
      <c r="E174" s="2" t="s">
        <v>401</v>
      </c>
      <c r="F174" s="2" t="s">
        <v>402</v>
      </c>
      <c r="G174" s="3">
        <v>11.5</v>
      </c>
      <c r="H174" s="3">
        <v>61.841463414634099</v>
      </c>
      <c r="I174" s="3">
        <v>5</v>
      </c>
      <c r="J174" s="3">
        <f t="shared" si="12"/>
        <v>78.34</v>
      </c>
      <c r="K174" s="3">
        <v>10</v>
      </c>
      <c r="L174" s="3">
        <v>60</v>
      </c>
      <c r="M174" s="3">
        <v>5.7</v>
      </c>
      <c r="N174" s="3">
        <f t="shared" si="13"/>
        <v>75.7</v>
      </c>
      <c r="O174" s="3">
        <f t="shared" si="14"/>
        <v>154.04</v>
      </c>
      <c r="P174" s="2"/>
      <c r="Q174" s="5"/>
    </row>
    <row r="175" spans="1:17">
      <c r="A175" s="2">
        <f t="shared" si="10"/>
        <v>173</v>
      </c>
      <c r="B175" s="2">
        <f t="shared" si="11"/>
        <v>43</v>
      </c>
      <c r="C175" s="2" t="s">
        <v>45</v>
      </c>
      <c r="D175" s="2" t="s">
        <v>73</v>
      </c>
      <c r="E175" s="2" t="s">
        <v>403</v>
      </c>
      <c r="F175" s="2" t="s">
        <v>404</v>
      </c>
      <c r="G175" s="3">
        <v>10</v>
      </c>
      <c r="H175" s="3">
        <v>65.819999999999993</v>
      </c>
      <c r="I175" s="3">
        <v>3</v>
      </c>
      <c r="J175" s="3">
        <f t="shared" si="12"/>
        <v>78.819999999999993</v>
      </c>
      <c r="K175" s="3">
        <v>10</v>
      </c>
      <c r="L175" s="3">
        <v>62.08</v>
      </c>
      <c r="M175" s="3">
        <v>3</v>
      </c>
      <c r="N175" s="3">
        <f t="shared" si="13"/>
        <v>75.08</v>
      </c>
      <c r="O175" s="3">
        <f t="shared" si="14"/>
        <v>153.9</v>
      </c>
      <c r="P175" s="4" t="s">
        <v>130</v>
      </c>
      <c r="Q175" s="5"/>
    </row>
    <row r="176" spans="1:17">
      <c r="A176" s="2">
        <f t="shared" si="10"/>
        <v>174</v>
      </c>
      <c r="B176" s="2">
        <f t="shared" si="11"/>
        <v>39</v>
      </c>
      <c r="C176" s="2" t="s">
        <v>24</v>
      </c>
      <c r="D176" s="2" t="s">
        <v>58</v>
      </c>
      <c r="E176" s="2" t="s">
        <v>405</v>
      </c>
      <c r="F176" s="2" t="s">
        <v>406</v>
      </c>
      <c r="G176" s="3">
        <v>9.8000000000000007</v>
      </c>
      <c r="H176" s="3">
        <v>63.512195121951201</v>
      </c>
      <c r="I176" s="3">
        <v>3.2</v>
      </c>
      <c r="J176" s="3">
        <f t="shared" si="12"/>
        <v>76.510000000000005</v>
      </c>
      <c r="K176" s="3">
        <v>9.8000000000000007</v>
      </c>
      <c r="L176" s="3">
        <v>63.92</v>
      </c>
      <c r="M176" s="3">
        <v>3.5</v>
      </c>
      <c r="N176" s="3">
        <f t="shared" si="13"/>
        <v>77.22</v>
      </c>
      <c r="O176" s="3">
        <f t="shared" si="14"/>
        <v>153.72999999999999</v>
      </c>
      <c r="P176" s="2"/>
      <c r="Q176" s="5"/>
    </row>
    <row r="177" spans="1:17">
      <c r="A177" s="2">
        <f t="shared" si="10"/>
        <v>175</v>
      </c>
      <c r="B177" s="2">
        <f t="shared" si="11"/>
        <v>44</v>
      </c>
      <c r="C177" s="2" t="s">
        <v>45</v>
      </c>
      <c r="D177" s="2" t="s">
        <v>266</v>
      </c>
      <c r="E177" s="2" t="s">
        <v>407</v>
      </c>
      <c r="F177" s="2" t="s">
        <v>408</v>
      </c>
      <c r="G177" s="3">
        <v>9.8000000000000007</v>
      </c>
      <c r="H177" s="3">
        <v>60.67</v>
      </c>
      <c r="I177" s="3">
        <v>5.0999999999999996</v>
      </c>
      <c r="J177" s="3">
        <f t="shared" si="12"/>
        <v>75.569999999999993</v>
      </c>
      <c r="K177" s="3">
        <v>9.8000000000000007</v>
      </c>
      <c r="L177" s="3">
        <v>61.63</v>
      </c>
      <c r="M177" s="3">
        <v>6.7</v>
      </c>
      <c r="N177" s="3">
        <f t="shared" si="13"/>
        <v>78.13</v>
      </c>
      <c r="O177" s="3">
        <f t="shared" si="14"/>
        <v>153.69999999999999</v>
      </c>
      <c r="P177" s="4" t="s">
        <v>194</v>
      </c>
      <c r="Q177" s="5"/>
    </row>
    <row r="178" spans="1:17">
      <c r="A178" s="2">
        <f t="shared" si="10"/>
        <v>176</v>
      </c>
      <c r="B178" s="2">
        <f t="shared" si="11"/>
        <v>68</v>
      </c>
      <c r="C178" s="2" t="s">
        <v>20</v>
      </c>
      <c r="D178" s="2" t="s">
        <v>42</v>
      </c>
      <c r="E178" s="2" t="s">
        <v>409</v>
      </c>
      <c r="F178" s="2" t="s">
        <v>410</v>
      </c>
      <c r="G178" s="3">
        <v>10.3</v>
      </c>
      <c r="H178" s="3">
        <v>65.066666666666706</v>
      </c>
      <c r="I178" s="3">
        <v>4.2</v>
      </c>
      <c r="J178" s="3">
        <f t="shared" si="12"/>
        <v>79.569999999999993</v>
      </c>
      <c r="K178" s="3">
        <v>9.8000000000000007</v>
      </c>
      <c r="L178" s="3">
        <v>59.89</v>
      </c>
      <c r="M178" s="3">
        <v>4.4000000000000004</v>
      </c>
      <c r="N178" s="3">
        <f t="shared" si="13"/>
        <v>74.09</v>
      </c>
      <c r="O178" s="3">
        <f t="shared" si="14"/>
        <v>153.66</v>
      </c>
      <c r="P178" s="2"/>
      <c r="Q178" s="5"/>
    </row>
    <row r="179" spans="1:17">
      <c r="A179" s="2">
        <f t="shared" si="10"/>
        <v>177</v>
      </c>
      <c r="B179" s="2">
        <f t="shared" si="11"/>
        <v>69</v>
      </c>
      <c r="C179" s="2" t="s">
        <v>20</v>
      </c>
      <c r="D179" s="2" t="s">
        <v>65</v>
      </c>
      <c r="E179" s="2" t="s">
        <v>411</v>
      </c>
      <c r="F179" s="2" t="s">
        <v>412</v>
      </c>
      <c r="G179" s="3">
        <v>9.8000000000000007</v>
      </c>
      <c r="H179" s="3">
        <v>61.98</v>
      </c>
      <c r="I179" s="3">
        <v>4.2</v>
      </c>
      <c r="J179" s="3">
        <f t="shared" si="12"/>
        <v>75.98</v>
      </c>
      <c r="K179" s="3">
        <v>11.3</v>
      </c>
      <c r="L179" s="3">
        <v>60.81</v>
      </c>
      <c r="M179" s="3">
        <v>5.5</v>
      </c>
      <c r="N179" s="3">
        <f t="shared" si="13"/>
        <v>77.61</v>
      </c>
      <c r="O179" s="3">
        <f t="shared" si="14"/>
        <v>153.59</v>
      </c>
      <c r="P179" s="2"/>
      <c r="Q179" s="5"/>
    </row>
    <row r="180" spans="1:17">
      <c r="A180" s="2">
        <f t="shared" si="10"/>
        <v>178</v>
      </c>
      <c r="B180" s="2">
        <f t="shared" si="11"/>
        <v>26</v>
      </c>
      <c r="C180" s="2" t="s">
        <v>15</v>
      </c>
      <c r="D180" s="2" t="s">
        <v>39</v>
      </c>
      <c r="E180" s="2" t="s">
        <v>413</v>
      </c>
      <c r="F180" s="2" t="s">
        <v>414</v>
      </c>
      <c r="G180" s="3">
        <v>10</v>
      </c>
      <c r="H180" s="3">
        <v>62.24</v>
      </c>
      <c r="I180" s="3">
        <v>5.4</v>
      </c>
      <c r="J180" s="3">
        <f t="shared" si="12"/>
        <v>77.64</v>
      </c>
      <c r="K180" s="3">
        <v>7.5</v>
      </c>
      <c r="L180" s="3">
        <v>62.44</v>
      </c>
      <c r="M180" s="3">
        <v>5.9</v>
      </c>
      <c r="N180" s="3">
        <f t="shared" si="13"/>
        <v>75.84</v>
      </c>
      <c r="O180" s="3">
        <f t="shared" si="14"/>
        <v>153.47999999999999</v>
      </c>
      <c r="P180" s="4" t="s">
        <v>130</v>
      </c>
      <c r="Q180" s="5"/>
    </row>
    <row r="181" spans="1:17">
      <c r="A181" s="2">
        <f t="shared" si="10"/>
        <v>179</v>
      </c>
      <c r="B181" s="2">
        <f t="shared" si="11"/>
        <v>45</v>
      </c>
      <c r="C181" s="2" t="s">
        <v>45</v>
      </c>
      <c r="D181" s="2" t="s">
        <v>54</v>
      </c>
      <c r="E181" s="2" t="s">
        <v>415</v>
      </c>
      <c r="F181" s="2" t="s">
        <v>416</v>
      </c>
      <c r="G181" s="3">
        <v>9.8000000000000007</v>
      </c>
      <c r="H181" s="3">
        <v>61.99</v>
      </c>
      <c r="I181" s="3">
        <v>5.0999999999999996</v>
      </c>
      <c r="J181" s="3">
        <f t="shared" si="12"/>
        <v>76.89</v>
      </c>
      <c r="K181" s="3">
        <v>9.8000000000000007</v>
      </c>
      <c r="L181" s="3">
        <v>60</v>
      </c>
      <c r="M181" s="3">
        <v>6.7</v>
      </c>
      <c r="N181" s="3">
        <f t="shared" si="13"/>
        <v>76.5</v>
      </c>
      <c r="O181" s="3">
        <f t="shared" si="14"/>
        <v>153.38999999999999</v>
      </c>
      <c r="P181" s="4" t="s">
        <v>194</v>
      </c>
      <c r="Q181" s="5"/>
    </row>
    <row r="182" spans="1:17">
      <c r="A182" s="2">
        <f t="shared" si="10"/>
        <v>180</v>
      </c>
      <c r="B182" s="2">
        <f t="shared" si="11"/>
        <v>70</v>
      </c>
      <c r="C182" s="2" t="s">
        <v>20</v>
      </c>
      <c r="D182" s="2" t="s">
        <v>82</v>
      </c>
      <c r="E182" s="2" t="s">
        <v>417</v>
      </c>
      <c r="F182" s="2" t="s">
        <v>418</v>
      </c>
      <c r="G182" s="3">
        <v>10.8</v>
      </c>
      <c r="H182" s="3">
        <v>63.091836734693899</v>
      </c>
      <c r="I182" s="3">
        <v>3</v>
      </c>
      <c r="J182" s="3">
        <f t="shared" si="12"/>
        <v>76.89</v>
      </c>
      <c r="K182" s="3">
        <v>9.8000000000000007</v>
      </c>
      <c r="L182" s="3">
        <v>62.52</v>
      </c>
      <c r="M182" s="3">
        <v>4.0999999999999996</v>
      </c>
      <c r="N182" s="3">
        <f t="shared" si="13"/>
        <v>76.42</v>
      </c>
      <c r="O182" s="3">
        <f t="shared" si="14"/>
        <v>153.31</v>
      </c>
      <c r="P182" s="2"/>
      <c r="Q182" s="5"/>
    </row>
    <row r="183" spans="1:17">
      <c r="A183" s="2">
        <f t="shared" si="10"/>
        <v>181</v>
      </c>
      <c r="B183" s="2">
        <f t="shared" si="11"/>
        <v>40</v>
      </c>
      <c r="C183" s="2" t="s">
        <v>24</v>
      </c>
      <c r="D183" s="2" t="s">
        <v>58</v>
      </c>
      <c r="E183" s="2" t="s">
        <v>419</v>
      </c>
      <c r="F183" s="2" t="s">
        <v>420</v>
      </c>
      <c r="G183" s="3">
        <v>10.4</v>
      </c>
      <c r="H183" s="3">
        <v>61.768292682926798</v>
      </c>
      <c r="I183" s="3">
        <v>5.4</v>
      </c>
      <c r="J183" s="3">
        <f t="shared" si="12"/>
        <v>77.569999999999993</v>
      </c>
      <c r="K183" s="3">
        <v>9.8000000000000007</v>
      </c>
      <c r="L183" s="3">
        <v>60.13</v>
      </c>
      <c r="M183" s="3">
        <v>5.8</v>
      </c>
      <c r="N183" s="3">
        <f t="shared" si="13"/>
        <v>75.73</v>
      </c>
      <c r="O183" s="3">
        <f t="shared" si="14"/>
        <v>153.30000000000001</v>
      </c>
      <c r="P183" s="4" t="s">
        <v>421</v>
      </c>
      <c r="Q183" s="5"/>
    </row>
    <row r="184" spans="1:17">
      <c r="A184" s="2">
        <f t="shared" si="10"/>
        <v>182</v>
      </c>
      <c r="B184" s="2">
        <f t="shared" si="11"/>
        <v>46</v>
      </c>
      <c r="C184" s="2" t="s">
        <v>45</v>
      </c>
      <c r="D184" s="2" t="s">
        <v>73</v>
      </c>
      <c r="E184" s="2" t="s">
        <v>422</v>
      </c>
      <c r="F184" s="2" t="s">
        <v>423</v>
      </c>
      <c r="G184" s="3">
        <v>11.6</v>
      </c>
      <c r="H184" s="3">
        <v>60.28</v>
      </c>
      <c r="I184" s="3">
        <v>3.6</v>
      </c>
      <c r="J184" s="3">
        <f t="shared" si="12"/>
        <v>75.48</v>
      </c>
      <c r="K184" s="3">
        <v>9.8000000000000007</v>
      </c>
      <c r="L184" s="3">
        <v>63.3</v>
      </c>
      <c r="M184" s="3">
        <v>4.7</v>
      </c>
      <c r="N184" s="3">
        <f t="shared" si="13"/>
        <v>77.8</v>
      </c>
      <c r="O184" s="3">
        <f t="shared" si="14"/>
        <v>153.28</v>
      </c>
      <c r="P184" s="4" t="s">
        <v>130</v>
      </c>
      <c r="Q184" s="5"/>
    </row>
    <row r="185" spans="1:17">
      <c r="A185" s="2">
        <f t="shared" si="10"/>
        <v>183</v>
      </c>
      <c r="B185" s="2">
        <f t="shared" si="11"/>
        <v>41</v>
      </c>
      <c r="C185" s="2" t="s">
        <v>24</v>
      </c>
      <c r="D185" s="2" t="s">
        <v>76</v>
      </c>
      <c r="E185" s="2" t="s">
        <v>424</v>
      </c>
      <c r="F185" s="2" t="s">
        <v>425</v>
      </c>
      <c r="G185" s="3">
        <v>10</v>
      </c>
      <c r="H185" s="3">
        <v>61.609756097560997</v>
      </c>
      <c r="I185" s="3">
        <v>3.6</v>
      </c>
      <c r="J185" s="3">
        <f t="shared" si="12"/>
        <v>75.209999999999994</v>
      </c>
      <c r="K185" s="3">
        <v>10</v>
      </c>
      <c r="L185" s="3">
        <v>64.03</v>
      </c>
      <c r="M185" s="3">
        <v>4</v>
      </c>
      <c r="N185" s="3">
        <f t="shared" si="13"/>
        <v>78.03</v>
      </c>
      <c r="O185" s="3">
        <f t="shared" si="14"/>
        <v>153.24</v>
      </c>
      <c r="P185" s="2"/>
      <c r="Q185" s="5"/>
    </row>
    <row r="186" spans="1:17">
      <c r="A186" s="2">
        <f t="shared" si="10"/>
        <v>184</v>
      </c>
      <c r="B186" s="2">
        <f t="shared" si="11"/>
        <v>71</v>
      </c>
      <c r="C186" s="2" t="s">
        <v>20</v>
      </c>
      <c r="D186" s="2" t="s">
        <v>21</v>
      </c>
      <c r="E186" s="2" t="s">
        <v>426</v>
      </c>
      <c r="F186" s="2" t="s">
        <v>427</v>
      </c>
      <c r="G186" s="3">
        <v>10.3</v>
      </c>
      <c r="H186" s="3">
        <v>64.98</v>
      </c>
      <c r="I186" s="3">
        <v>4.7</v>
      </c>
      <c r="J186" s="3">
        <f t="shared" si="12"/>
        <v>79.98</v>
      </c>
      <c r="K186" s="3">
        <v>9.8000000000000007</v>
      </c>
      <c r="L186" s="3">
        <v>58.7</v>
      </c>
      <c r="M186" s="3">
        <v>4.7</v>
      </c>
      <c r="N186" s="3">
        <f t="shared" si="13"/>
        <v>73.2</v>
      </c>
      <c r="O186" s="3">
        <f t="shared" si="14"/>
        <v>153.18</v>
      </c>
      <c r="P186" s="2"/>
      <c r="Q186" s="5"/>
    </row>
    <row r="187" spans="1:17">
      <c r="A187" s="2">
        <f t="shared" si="10"/>
        <v>185</v>
      </c>
      <c r="B187" s="2">
        <f t="shared" si="11"/>
        <v>72</v>
      </c>
      <c r="C187" s="2" t="s">
        <v>20</v>
      </c>
      <c r="D187" s="2" t="s">
        <v>164</v>
      </c>
      <c r="E187" s="2" t="s">
        <v>428</v>
      </c>
      <c r="F187" s="2" t="s">
        <v>429</v>
      </c>
      <c r="G187" s="3">
        <v>9.8000000000000007</v>
      </c>
      <c r="H187" s="3">
        <v>63.64</v>
      </c>
      <c r="I187" s="3">
        <v>4.7</v>
      </c>
      <c r="J187" s="3">
        <f t="shared" si="12"/>
        <v>78.14</v>
      </c>
      <c r="K187" s="3">
        <v>9.8000000000000007</v>
      </c>
      <c r="L187" s="3">
        <v>59.53</v>
      </c>
      <c r="M187" s="3">
        <v>5.7</v>
      </c>
      <c r="N187" s="3">
        <f t="shared" si="13"/>
        <v>75.03</v>
      </c>
      <c r="O187" s="3">
        <f t="shared" si="14"/>
        <v>153.16999999999999</v>
      </c>
      <c r="P187" s="2"/>
      <c r="Q187" s="5"/>
    </row>
    <row r="188" spans="1:17">
      <c r="A188" s="2">
        <f t="shared" si="10"/>
        <v>186</v>
      </c>
      <c r="B188" s="2">
        <f t="shared" si="11"/>
        <v>47</v>
      </c>
      <c r="C188" s="2" t="s">
        <v>45</v>
      </c>
      <c r="D188" s="2" t="s">
        <v>46</v>
      </c>
      <c r="E188" s="2" t="s">
        <v>430</v>
      </c>
      <c r="F188" s="2" t="s">
        <v>431</v>
      </c>
      <c r="G188" s="3">
        <v>10</v>
      </c>
      <c r="H188" s="3">
        <v>61.81</v>
      </c>
      <c r="I188" s="3">
        <v>3.2</v>
      </c>
      <c r="J188" s="3">
        <f t="shared" si="12"/>
        <v>75.010000000000005</v>
      </c>
      <c r="K188" s="3">
        <v>10</v>
      </c>
      <c r="L188" s="3">
        <v>65.03</v>
      </c>
      <c r="M188" s="3">
        <v>3</v>
      </c>
      <c r="N188" s="3">
        <f t="shared" si="13"/>
        <v>78.03</v>
      </c>
      <c r="O188" s="3">
        <f t="shared" si="14"/>
        <v>153.04</v>
      </c>
      <c r="P188" s="4" t="s">
        <v>130</v>
      </c>
      <c r="Q188" s="5" t="s">
        <v>432</v>
      </c>
    </row>
    <row r="189" spans="1:17">
      <c r="A189" s="2">
        <f t="shared" si="10"/>
        <v>187</v>
      </c>
      <c r="B189" s="2">
        <f t="shared" si="11"/>
        <v>27</v>
      </c>
      <c r="C189" s="2" t="s">
        <v>15</v>
      </c>
      <c r="D189" s="2" t="s">
        <v>39</v>
      </c>
      <c r="E189" s="2" t="s">
        <v>433</v>
      </c>
      <c r="F189" s="2" t="s">
        <v>434</v>
      </c>
      <c r="G189" s="3">
        <v>9.8000000000000007</v>
      </c>
      <c r="H189" s="3">
        <v>62.17</v>
      </c>
      <c r="I189" s="3">
        <v>4</v>
      </c>
      <c r="J189" s="3">
        <f t="shared" si="12"/>
        <v>75.97</v>
      </c>
      <c r="K189" s="3">
        <v>9.8000000000000007</v>
      </c>
      <c r="L189" s="3">
        <v>61.29</v>
      </c>
      <c r="M189" s="3">
        <v>5.9</v>
      </c>
      <c r="N189" s="3">
        <f t="shared" si="13"/>
        <v>76.989999999999995</v>
      </c>
      <c r="O189" s="3">
        <f t="shared" si="14"/>
        <v>152.96</v>
      </c>
      <c r="P189" s="2"/>
      <c r="Q189" s="5"/>
    </row>
    <row r="190" spans="1:17">
      <c r="A190" s="2">
        <f t="shared" si="10"/>
        <v>188</v>
      </c>
      <c r="B190" s="2">
        <f t="shared" si="11"/>
        <v>48</v>
      </c>
      <c r="C190" s="2" t="s">
        <v>45</v>
      </c>
      <c r="D190" s="2" t="s">
        <v>109</v>
      </c>
      <c r="E190" s="2" t="s">
        <v>435</v>
      </c>
      <c r="F190" s="2" t="s">
        <v>436</v>
      </c>
      <c r="G190" s="3">
        <v>10.3</v>
      </c>
      <c r="H190" s="3">
        <v>63.69</v>
      </c>
      <c r="I190" s="3">
        <v>5.2</v>
      </c>
      <c r="J190" s="3">
        <f t="shared" si="12"/>
        <v>79.19</v>
      </c>
      <c r="K190" s="3">
        <v>9.8000000000000007</v>
      </c>
      <c r="L190" s="3">
        <v>58.25</v>
      </c>
      <c r="M190" s="3">
        <v>5.7</v>
      </c>
      <c r="N190" s="3">
        <f t="shared" si="13"/>
        <v>73.75</v>
      </c>
      <c r="O190" s="3">
        <f t="shared" si="14"/>
        <v>152.94</v>
      </c>
      <c r="P190" s="4" t="s">
        <v>72</v>
      </c>
      <c r="Q190" s="5"/>
    </row>
    <row r="191" spans="1:17">
      <c r="A191" s="2">
        <f t="shared" si="10"/>
        <v>189</v>
      </c>
      <c r="B191" s="2">
        <f t="shared" si="11"/>
        <v>49</v>
      </c>
      <c r="C191" s="2" t="s">
        <v>45</v>
      </c>
      <c r="D191" s="2" t="s">
        <v>54</v>
      </c>
      <c r="E191" s="2" t="s">
        <v>437</v>
      </c>
      <c r="F191" s="2" t="s">
        <v>438</v>
      </c>
      <c r="G191" s="3">
        <v>10.8</v>
      </c>
      <c r="H191" s="3">
        <v>65.05</v>
      </c>
      <c r="I191" s="3">
        <v>4</v>
      </c>
      <c r="J191" s="3">
        <f t="shared" si="12"/>
        <v>79.849999999999994</v>
      </c>
      <c r="K191" s="3">
        <v>7.5</v>
      </c>
      <c r="L191" s="3">
        <v>61.64</v>
      </c>
      <c r="M191" s="3">
        <v>3.9</v>
      </c>
      <c r="N191" s="3">
        <f t="shared" si="13"/>
        <v>73.040000000000006</v>
      </c>
      <c r="O191" s="3">
        <f t="shared" si="14"/>
        <v>152.88999999999999</v>
      </c>
      <c r="P191" s="4" t="s">
        <v>130</v>
      </c>
      <c r="Q191" s="5"/>
    </row>
    <row r="192" spans="1:17">
      <c r="A192" s="2">
        <f t="shared" si="10"/>
        <v>190</v>
      </c>
      <c r="B192" s="2">
        <f t="shared" si="11"/>
        <v>28</v>
      </c>
      <c r="C192" s="2" t="s">
        <v>15</v>
      </c>
      <c r="D192" s="2" t="s">
        <v>39</v>
      </c>
      <c r="E192" s="2" t="s">
        <v>439</v>
      </c>
      <c r="F192" s="2" t="s">
        <v>440</v>
      </c>
      <c r="G192" s="3">
        <v>9.8000000000000007</v>
      </c>
      <c r="H192" s="3">
        <v>60.93</v>
      </c>
      <c r="I192" s="3">
        <v>4.4000000000000004</v>
      </c>
      <c r="J192" s="3">
        <f t="shared" si="12"/>
        <v>75.13</v>
      </c>
      <c r="K192" s="3">
        <v>9.8000000000000007</v>
      </c>
      <c r="L192" s="3">
        <v>62.78</v>
      </c>
      <c r="M192" s="3">
        <v>5.15</v>
      </c>
      <c r="N192" s="3">
        <f t="shared" si="13"/>
        <v>77.73</v>
      </c>
      <c r="O192" s="3">
        <f t="shared" si="14"/>
        <v>152.86000000000001</v>
      </c>
      <c r="P192" s="2"/>
      <c r="Q192" s="5"/>
    </row>
    <row r="193" spans="1:17">
      <c r="A193" s="2">
        <f t="shared" si="10"/>
        <v>191</v>
      </c>
      <c r="B193" s="2">
        <f t="shared" si="11"/>
        <v>42</v>
      </c>
      <c r="C193" s="2" t="s">
        <v>24</v>
      </c>
      <c r="D193" s="2" t="s">
        <v>76</v>
      </c>
      <c r="E193" s="2" t="s">
        <v>441</v>
      </c>
      <c r="F193" s="2" t="s">
        <v>442</v>
      </c>
      <c r="G193" s="3">
        <v>9.8000000000000007</v>
      </c>
      <c r="H193" s="3">
        <v>65.085365853658502</v>
      </c>
      <c r="I193" s="3">
        <v>4.5</v>
      </c>
      <c r="J193" s="3">
        <f t="shared" si="12"/>
        <v>79.39</v>
      </c>
      <c r="K193" s="3">
        <v>9</v>
      </c>
      <c r="L193" s="3">
        <v>60.22</v>
      </c>
      <c r="M193" s="3">
        <v>4</v>
      </c>
      <c r="N193" s="3">
        <f t="shared" si="13"/>
        <v>73.22</v>
      </c>
      <c r="O193" s="3">
        <f t="shared" si="14"/>
        <v>152.61000000000001</v>
      </c>
      <c r="P193" s="2"/>
      <c r="Q193" s="5"/>
    </row>
    <row r="194" spans="1:17">
      <c r="A194" s="2">
        <f t="shared" si="10"/>
        <v>192</v>
      </c>
      <c r="B194" s="2">
        <f t="shared" si="11"/>
        <v>43</v>
      </c>
      <c r="C194" s="2" t="s">
        <v>24</v>
      </c>
      <c r="D194" s="2" t="s">
        <v>25</v>
      </c>
      <c r="E194" s="2" t="s">
        <v>443</v>
      </c>
      <c r="F194" s="2" t="s">
        <v>444</v>
      </c>
      <c r="G194" s="3">
        <v>9.8000000000000007</v>
      </c>
      <c r="H194" s="3">
        <v>58.939024390243901</v>
      </c>
      <c r="I194" s="3">
        <v>6</v>
      </c>
      <c r="J194" s="3">
        <f t="shared" si="12"/>
        <v>74.739999999999995</v>
      </c>
      <c r="K194" s="3">
        <v>11.3</v>
      </c>
      <c r="L194" s="3">
        <v>61.83</v>
      </c>
      <c r="M194" s="3">
        <v>4.7</v>
      </c>
      <c r="N194" s="3">
        <f t="shared" si="13"/>
        <v>77.83</v>
      </c>
      <c r="O194" s="3">
        <f t="shared" si="14"/>
        <v>152.57</v>
      </c>
      <c r="P194" s="2"/>
      <c r="Q194" s="5"/>
    </row>
    <row r="195" spans="1:17">
      <c r="A195" s="2">
        <f t="shared" ref="A195:A258" si="15">COUNTIFS($C$3:$C$1025,"&lt;&gt;大数据",$O$3:$O$1025,"&gt;"&amp;O195)+1</f>
        <v>193</v>
      </c>
      <c r="B195" s="2">
        <f t="shared" ref="B195:B258" si="16">COUNTIFS($C$3:$C$1025,C195,$O$3:$O$1025,"&gt;"&amp;O195)+1</f>
        <v>73</v>
      </c>
      <c r="C195" s="2" t="s">
        <v>20</v>
      </c>
      <c r="D195" s="2" t="s">
        <v>229</v>
      </c>
      <c r="E195" s="2" t="s">
        <v>445</v>
      </c>
      <c r="F195" s="2" t="s">
        <v>446</v>
      </c>
      <c r="G195" s="3">
        <v>12</v>
      </c>
      <c r="H195" s="3">
        <v>62.35</v>
      </c>
      <c r="I195" s="3">
        <v>5.2</v>
      </c>
      <c r="J195" s="3">
        <f t="shared" ref="J195:J258" si="17">ROUND(SUM(G195:I195),2)</f>
        <v>79.55</v>
      </c>
      <c r="K195" s="3">
        <v>9.8000000000000007</v>
      </c>
      <c r="L195" s="3">
        <v>56.6</v>
      </c>
      <c r="M195" s="3">
        <v>6.6</v>
      </c>
      <c r="N195" s="3">
        <f t="shared" ref="N195:N258" si="18">ROUND(SUM(K195:M195),2)</f>
        <v>73</v>
      </c>
      <c r="O195" s="3">
        <f t="shared" ref="O195:O258" si="19">ROUND(SUM(J195,N195),2)</f>
        <v>152.55000000000001</v>
      </c>
      <c r="P195" s="2"/>
      <c r="Q195" s="5"/>
    </row>
    <row r="196" spans="1:17">
      <c r="A196" s="2">
        <f t="shared" si="15"/>
        <v>194</v>
      </c>
      <c r="B196" s="2">
        <f t="shared" si="16"/>
        <v>74</v>
      </c>
      <c r="C196" s="2" t="s">
        <v>20</v>
      </c>
      <c r="D196" s="2" t="s">
        <v>42</v>
      </c>
      <c r="E196" s="2" t="s">
        <v>447</v>
      </c>
      <c r="F196" s="2" t="s">
        <v>448</v>
      </c>
      <c r="G196" s="3">
        <v>11.6</v>
      </c>
      <c r="H196" s="3">
        <v>57.816326530612201</v>
      </c>
      <c r="I196" s="3">
        <v>5.9</v>
      </c>
      <c r="J196" s="3">
        <f t="shared" si="17"/>
        <v>75.319999999999993</v>
      </c>
      <c r="K196" s="3">
        <v>9.8000000000000007</v>
      </c>
      <c r="L196" s="3">
        <v>60.35</v>
      </c>
      <c r="M196" s="3">
        <v>7</v>
      </c>
      <c r="N196" s="3">
        <f t="shared" si="18"/>
        <v>77.150000000000006</v>
      </c>
      <c r="O196" s="3">
        <f t="shared" si="19"/>
        <v>152.47</v>
      </c>
      <c r="P196" s="2"/>
      <c r="Q196" s="5"/>
    </row>
    <row r="197" spans="1:17">
      <c r="A197" s="2">
        <f t="shared" si="15"/>
        <v>195</v>
      </c>
      <c r="B197" s="2">
        <f t="shared" si="16"/>
        <v>29</v>
      </c>
      <c r="C197" s="2" t="s">
        <v>15</v>
      </c>
      <c r="D197" s="2" t="s">
        <v>16</v>
      </c>
      <c r="E197" s="2" t="s">
        <v>449</v>
      </c>
      <c r="F197" s="2" t="s">
        <v>450</v>
      </c>
      <c r="G197" s="3">
        <v>10.6</v>
      </c>
      <c r="H197" s="3">
        <v>63.71</v>
      </c>
      <c r="I197" s="3">
        <v>3.2</v>
      </c>
      <c r="J197" s="3">
        <f t="shared" si="17"/>
        <v>77.510000000000005</v>
      </c>
      <c r="K197" s="3">
        <v>9.8000000000000007</v>
      </c>
      <c r="L197" s="3">
        <v>61.08</v>
      </c>
      <c r="M197" s="3">
        <v>4</v>
      </c>
      <c r="N197" s="3">
        <f t="shared" si="18"/>
        <v>74.88</v>
      </c>
      <c r="O197" s="3">
        <f t="shared" si="19"/>
        <v>152.38999999999999</v>
      </c>
      <c r="P197" s="2"/>
      <c r="Q197" s="5"/>
    </row>
    <row r="198" spans="1:17">
      <c r="A198" s="2">
        <f t="shared" si="15"/>
        <v>196</v>
      </c>
      <c r="B198" s="2">
        <f t="shared" si="16"/>
        <v>44</v>
      </c>
      <c r="C198" s="2" t="s">
        <v>24</v>
      </c>
      <c r="D198" s="2" t="s">
        <v>76</v>
      </c>
      <c r="E198" s="2" t="s">
        <v>451</v>
      </c>
      <c r="F198" s="2" t="s">
        <v>452</v>
      </c>
      <c r="G198" s="3">
        <v>10</v>
      </c>
      <c r="H198" s="3">
        <v>60.878048780487802</v>
      </c>
      <c r="I198" s="3">
        <v>3</v>
      </c>
      <c r="J198" s="3">
        <f t="shared" si="17"/>
        <v>73.88</v>
      </c>
      <c r="K198" s="3">
        <v>11.5</v>
      </c>
      <c r="L198" s="3">
        <v>63.68</v>
      </c>
      <c r="M198" s="3">
        <v>3.2</v>
      </c>
      <c r="N198" s="3">
        <f t="shared" si="18"/>
        <v>78.38</v>
      </c>
      <c r="O198" s="3">
        <f t="shared" si="19"/>
        <v>152.26</v>
      </c>
      <c r="P198" s="4" t="s">
        <v>72</v>
      </c>
      <c r="Q198" s="5"/>
    </row>
    <row r="199" spans="1:17">
      <c r="A199" s="2">
        <f t="shared" si="15"/>
        <v>197</v>
      </c>
      <c r="B199" s="2">
        <f t="shared" si="16"/>
        <v>75</v>
      </c>
      <c r="C199" s="2" t="s">
        <v>20</v>
      </c>
      <c r="D199" s="2" t="s">
        <v>21</v>
      </c>
      <c r="E199" s="2" t="s">
        <v>453</v>
      </c>
      <c r="F199" s="2" t="s">
        <v>454</v>
      </c>
      <c r="G199" s="3">
        <v>10</v>
      </c>
      <c r="H199" s="3">
        <v>63.05</v>
      </c>
      <c r="I199" s="3">
        <v>3.2</v>
      </c>
      <c r="J199" s="3">
        <f t="shared" si="17"/>
        <v>76.25</v>
      </c>
      <c r="K199" s="3">
        <v>10</v>
      </c>
      <c r="L199" s="3">
        <v>62.48</v>
      </c>
      <c r="M199" s="3">
        <v>3.5</v>
      </c>
      <c r="N199" s="3">
        <f t="shared" si="18"/>
        <v>75.98</v>
      </c>
      <c r="O199" s="3">
        <f t="shared" si="19"/>
        <v>152.22999999999999</v>
      </c>
      <c r="P199" s="2"/>
      <c r="Q199" s="5"/>
    </row>
    <row r="200" spans="1:17">
      <c r="A200" s="2">
        <f t="shared" si="15"/>
        <v>198</v>
      </c>
      <c r="B200" s="2">
        <f t="shared" si="16"/>
        <v>30</v>
      </c>
      <c r="C200" s="2" t="s">
        <v>15</v>
      </c>
      <c r="D200" s="2" t="s">
        <v>181</v>
      </c>
      <c r="E200" s="2" t="s">
        <v>455</v>
      </c>
      <c r="F200" s="2" t="s">
        <v>456</v>
      </c>
      <c r="G200" s="3">
        <v>11.1</v>
      </c>
      <c r="H200" s="3">
        <v>63.94</v>
      </c>
      <c r="I200" s="3">
        <v>3.45</v>
      </c>
      <c r="J200" s="3">
        <f t="shared" si="17"/>
        <v>78.489999999999995</v>
      </c>
      <c r="K200" s="3">
        <v>9.8000000000000007</v>
      </c>
      <c r="L200" s="3">
        <v>59.32</v>
      </c>
      <c r="M200" s="3">
        <v>4.5999999999999996</v>
      </c>
      <c r="N200" s="3">
        <f t="shared" si="18"/>
        <v>73.72</v>
      </c>
      <c r="O200" s="3">
        <f t="shared" si="19"/>
        <v>152.21</v>
      </c>
      <c r="P200" s="2"/>
      <c r="Q200" s="5"/>
    </row>
    <row r="201" spans="1:17">
      <c r="A201" s="2">
        <f t="shared" si="15"/>
        <v>199</v>
      </c>
      <c r="B201" s="2">
        <f t="shared" si="16"/>
        <v>76</v>
      </c>
      <c r="C201" s="2" t="s">
        <v>20</v>
      </c>
      <c r="D201" s="2" t="s">
        <v>229</v>
      </c>
      <c r="E201" s="2" t="s">
        <v>457</v>
      </c>
      <c r="F201" s="2" t="s">
        <v>458</v>
      </c>
      <c r="G201" s="3">
        <v>9.8000000000000007</v>
      </c>
      <c r="H201" s="3">
        <v>59.47</v>
      </c>
      <c r="I201" s="3">
        <v>3.85</v>
      </c>
      <c r="J201" s="3">
        <f t="shared" si="17"/>
        <v>73.12</v>
      </c>
      <c r="K201" s="3">
        <v>11.3</v>
      </c>
      <c r="L201" s="3">
        <v>61.82</v>
      </c>
      <c r="M201" s="3">
        <v>5.8</v>
      </c>
      <c r="N201" s="3">
        <f t="shared" si="18"/>
        <v>78.92</v>
      </c>
      <c r="O201" s="3">
        <f t="shared" si="19"/>
        <v>152.04</v>
      </c>
      <c r="P201" s="2"/>
      <c r="Q201" s="5"/>
    </row>
    <row r="202" spans="1:17">
      <c r="A202" s="2">
        <f t="shared" si="15"/>
        <v>199</v>
      </c>
      <c r="B202" s="2">
        <f t="shared" si="16"/>
        <v>31</v>
      </c>
      <c r="C202" s="2" t="s">
        <v>15</v>
      </c>
      <c r="D202" s="2" t="s">
        <v>39</v>
      </c>
      <c r="E202" s="2" t="s">
        <v>459</v>
      </c>
      <c r="F202" s="2" t="s">
        <v>460</v>
      </c>
      <c r="G202" s="3">
        <v>9.8000000000000007</v>
      </c>
      <c r="H202" s="3">
        <v>63.85</v>
      </c>
      <c r="I202" s="3">
        <v>4.3</v>
      </c>
      <c r="J202" s="3">
        <f t="shared" si="17"/>
        <v>77.95</v>
      </c>
      <c r="K202" s="3">
        <v>7.3000000000000007</v>
      </c>
      <c r="L202" s="3">
        <v>62.79</v>
      </c>
      <c r="M202" s="3">
        <v>4</v>
      </c>
      <c r="N202" s="3">
        <f t="shared" si="18"/>
        <v>74.09</v>
      </c>
      <c r="O202" s="3">
        <f t="shared" si="19"/>
        <v>152.04</v>
      </c>
      <c r="P202" s="2"/>
      <c r="Q202" s="5"/>
    </row>
    <row r="203" spans="1:17">
      <c r="A203" s="2">
        <f t="shared" si="15"/>
        <v>201</v>
      </c>
      <c r="B203" s="2">
        <f t="shared" si="16"/>
        <v>77</v>
      </c>
      <c r="C203" s="2" t="s">
        <v>20</v>
      </c>
      <c r="D203" s="2" t="s">
        <v>42</v>
      </c>
      <c r="E203" s="2" t="s">
        <v>461</v>
      </c>
      <c r="F203" s="2" t="s">
        <v>462</v>
      </c>
      <c r="G203" s="3">
        <v>10</v>
      </c>
      <c r="H203" s="3">
        <v>59.051020408163303</v>
      </c>
      <c r="I203" s="3">
        <v>4.8</v>
      </c>
      <c r="J203" s="3">
        <f t="shared" si="17"/>
        <v>73.849999999999994</v>
      </c>
      <c r="K203" s="3">
        <v>9.8000000000000007</v>
      </c>
      <c r="L203" s="3">
        <v>60.7</v>
      </c>
      <c r="M203" s="3">
        <v>7.65</v>
      </c>
      <c r="N203" s="3">
        <f t="shared" si="18"/>
        <v>78.150000000000006</v>
      </c>
      <c r="O203" s="3">
        <f t="shared" si="19"/>
        <v>152</v>
      </c>
      <c r="P203" s="2"/>
      <c r="Q203" s="5"/>
    </row>
    <row r="204" spans="1:17">
      <c r="A204" s="2">
        <f t="shared" si="15"/>
        <v>202</v>
      </c>
      <c r="B204" s="2">
        <f t="shared" si="16"/>
        <v>32</v>
      </c>
      <c r="C204" s="2" t="s">
        <v>15</v>
      </c>
      <c r="D204" s="2" t="s">
        <v>257</v>
      </c>
      <c r="E204" s="2" t="s">
        <v>463</v>
      </c>
      <c r="F204" s="2" t="s">
        <v>464</v>
      </c>
      <c r="G204" s="3">
        <v>9.8000000000000007</v>
      </c>
      <c r="H204" s="3">
        <v>62.04</v>
      </c>
      <c r="I204" s="3">
        <v>5.0999999999999996</v>
      </c>
      <c r="J204" s="3">
        <f t="shared" si="17"/>
        <v>76.94</v>
      </c>
      <c r="K204" s="3">
        <v>7.3000000000000007</v>
      </c>
      <c r="L204" s="3">
        <v>62.25</v>
      </c>
      <c r="M204" s="3">
        <v>5.5</v>
      </c>
      <c r="N204" s="3">
        <f t="shared" si="18"/>
        <v>75.05</v>
      </c>
      <c r="O204" s="3">
        <f t="shared" si="19"/>
        <v>151.99</v>
      </c>
      <c r="P204" s="2"/>
      <c r="Q204" s="5"/>
    </row>
    <row r="205" spans="1:17">
      <c r="A205" s="2">
        <f t="shared" si="15"/>
        <v>203</v>
      </c>
      <c r="B205" s="2">
        <f t="shared" si="16"/>
        <v>45</v>
      </c>
      <c r="C205" s="2" t="s">
        <v>24</v>
      </c>
      <c r="D205" s="2" t="s">
        <v>25</v>
      </c>
      <c r="E205" s="2" t="s">
        <v>465</v>
      </c>
      <c r="F205" s="2" t="s">
        <v>466</v>
      </c>
      <c r="G205" s="3">
        <v>10</v>
      </c>
      <c r="H205" s="3">
        <v>63.658536585365901</v>
      </c>
      <c r="I205" s="3">
        <v>5.4</v>
      </c>
      <c r="J205" s="3">
        <f t="shared" si="17"/>
        <v>79.06</v>
      </c>
      <c r="K205" s="3">
        <v>9.6</v>
      </c>
      <c r="L205" s="3">
        <v>57.36</v>
      </c>
      <c r="M205" s="3">
        <v>5.9</v>
      </c>
      <c r="N205" s="3">
        <f t="shared" si="18"/>
        <v>72.86</v>
      </c>
      <c r="O205" s="3">
        <f t="shared" si="19"/>
        <v>151.91999999999999</v>
      </c>
      <c r="P205" s="2"/>
      <c r="Q205" s="5"/>
    </row>
    <row r="206" spans="1:17">
      <c r="A206" s="2">
        <f t="shared" si="15"/>
        <v>204</v>
      </c>
      <c r="B206" s="2">
        <f t="shared" si="16"/>
        <v>78</v>
      </c>
      <c r="C206" s="2" t="s">
        <v>20</v>
      </c>
      <c r="D206" s="2" t="s">
        <v>36</v>
      </c>
      <c r="E206" s="2" t="s">
        <v>467</v>
      </c>
      <c r="F206" s="2" t="s">
        <v>468</v>
      </c>
      <c r="G206" s="3">
        <v>9.8000000000000007</v>
      </c>
      <c r="H206" s="3">
        <v>64.650000000000006</v>
      </c>
      <c r="I206" s="3">
        <v>4</v>
      </c>
      <c r="J206" s="3">
        <f t="shared" si="17"/>
        <v>78.45</v>
      </c>
      <c r="K206" s="3">
        <v>9.8000000000000007</v>
      </c>
      <c r="L206" s="3">
        <v>59.09</v>
      </c>
      <c r="M206" s="3">
        <v>4.5</v>
      </c>
      <c r="N206" s="3">
        <f t="shared" si="18"/>
        <v>73.39</v>
      </c>
      <c r="O206" s="3">
        <f t="shared" si="19"/>
        <v>151.84</v>
      </c>
      <c r="P206" s="2"/>
      <c r="Q206" s="5"/>
    </row>
    <row r="207" spans="1:17">
      <c r="A207" s="2">
        <f t="shared" si="15"/>
        <v>205</v>
      </c>
      <c r="B207" s="2">
        <f t="shared" si="16"/>
        <v>79</v>
      </c>
      <c r="C207" s="2" t="s">
        <v>20</v>
      </c>
      <c r="D207" s="2" t="s">
        <v>29</v>
      </c>
      <c r="E207" s="2" t="s">
        <v>469</v>
      </c>
      <c r="F207" s="2" t="s">
        <v>470</v>
      </c>
      <c r="G207" s="3">
        <v>9.8000000000000007</v>
      </c>
      <c r="H207" s="3">
        <v>61.81</v>
      </c>
      <c r="I207" s="3">
        <v>3</v>
      </c>
      <c r="J207" s="3">
        <f t="shared" si="17"/>
        <v>74.61</v>
      </c>
      <c r="K207" s="3">
        <v>11.3</v>
      </c>
      <c r="L207" s="3">
        <v>62.41</v>
      </c>
      <c r="M207" s="3">
        <v>3.5</v>
      </c>
      <c r="N207" s="3">
        <f t="shared" si="18"/>
        <v>77.209999999999994</v>
      </c>
      <c r="O207" s="3">
        <f t="shared" si="19"/>
        <v>151.82</v>
      </c>
      <c r="P207" s="2"/>
      <c r="Q207" s="5"/>
    </row>
    <row r="208" spans="1:17">
      <c r="A208" s="2">
        <f t="shared" si="15"/>
        <v>206</v>
      </c>
      <c r="B208" s="2">
        <f t="shared" si="16"/>
        <v>46</v>
      </c>
      <c r="C208" s="2" t="s">
        <v>24</v>
      </c>
      <c r="D208" s="2" t="s">
        <v>76</v>
      </c>
      <c r="E208" s="2" t="s">
        <v>471</v>
      </c>
      <c r="F208" s="2" t="s">
        <v>472</v>
      </c>
      <c r="G208" s="3">
        <v>9.8000000000000007</v>
      </c>
      <c r="H208" s="3">
        <v>64.219512195121993</v>
      </c>
      <c r="I208" s="3">
        <v>4</v>
      </c>
      <c r="J208" s="3">
        <f t="shared" si="17"/>
        <v>78.02</v>
      </c>
      <c r="K208" s="3">
        <v>9</v>
      </c>
      <c r="L208" s="3">
        <v>60.27</v>
      </c>
      <c r="M208" s="3">
        <v>4.4000000000000004</v>
      </c>
      <c r="N208" s="3">
        <f t="shared" si="18"/>
        <v>73.67</v>
      </c>
      <c r="O208" s="3">
        <f t="shared" si="19"/>
        <v>151.69</v>
      </c>
      <c r="P208" s="2"/>
      <c r="Q208" s="5"/>
    </row>
    <row r="209" spans="1:17">
      <c r="A209" s="2">
        <f t="shared" si="15"/>
        <v>207</v>
      </c>
      <c r="B209" s="2">
        <f t="shared" si="16"/>
        <v>80</v>
      </c>
      <c r="C209" s="2" t="s">
        <v>20</v>
      </c>
      <c r="D209" s="2" t="s">
        <v>32</v>
      </c>
      <c r="E209" s="2" t="s">
        <v>473</v>
      </c>
      <c r="F209" s="2" t="s">
        <v>474</v>
      </c>
      <c r="G209" s="3">
        <v>10.8</v>
      </c>
      <c r="H209" s="3">
        <v>64.744897959183703</v>
      </c>
      <c r="I209" s="3">
        <v>3</v>
      </c>
      <c r="J209" s="3">
        <f t="shared" si="17"/>
        <v>78.540000000000006</v>
      </c>
      <c r="K209" s="3">
        <v>9.8000000000000007</v>
      </c>
      <c r="L209" s="3">
        <v>59.58</v>
      </c>
      <c r="M209" s="3">
        <v>3.7</v>
      </c>
      <c r="N209" s="3">
        <f t="shared" si="18"/>
        <v>73.08</v>
      </c>
      <c r="O209" s="3">
        <f t="shared" si="19"/>
        <v>151.62</v>
      </c>
      <c r="P209" s="2"/>
      <c r="Q209" s="5"/>
    </row>
    <row r="210" spans="1:17">
      <c r="A210" s="2">
        <f t="shared" si="15"/>
        <v>208</v>
      </c>
      <c r="B210" s="2">
        <f t="shared" si="16"/>
        <v>50</v>
      </c>
      <c r="C210" s="2" t="s">
        <v>45</v>
      </c>
      <c r="D210" s="2" t="s">
        <v>266</v>
      </c>
      <c r="E210" s="2" t="s">
        <v>475</v>
      </c>
      <c r="F210" s="2" t="s">
        <v>476</v>
      </c>
      <c r="G210" s="3">
        <v>10</v>
      </c>
      <c r="H210" s="3">
        <v>59.27</v>
      </c>
      <c r="I210" s="3">
        <v>5.45</v>
      </c>
      <c r="J210" s="3">
        <f t="shared" si="17"/>
        <v>74.72</v>
      </c>
      <c r="K210" s="3">
        <v>10</v>
      </c>
      <c r="L210" s="3">
        <v>58.97</v>
      </c>
      <c r="M210" s="3">
        <v>7.9</v>
      </c>
      <c r="N210" s="3">
        <f t="shared" si="18"/>
        <v>76.87</v>
      </c>
      <c r="O210" s="3">
        <f t="shared" si="19"/>
        <v>151.59</v>
      </c>
      <c r="P210" s="4" t="s">
        <v>130</v>
      </c>
      <c r="Q210" s="5"/>
    </row>
    <row r="211" spans="1:17">
      <c r="A211" s="2">
        <f t="shared" si="15"/>
        <v>209</v>
      </c>
      <c r="B211" s="2">
        <f t="shared" si="16"/>
        <v>81</v>
      </c>
      <c r="C211" s="2" t="s">
        <v>20</v>
      </c>
      <c r="D211" s="2" t="s">
        <v>117</v>
      </c>
      <c r="E211" s="2" t="s">
        <v>477</v>
      </c>
      <c r="F211" s="2" t="s">
        <v>478</v>
      </c>
      <c r="G211" s="3">
        <v>9.8000000000000007</v>
      </c>
      <c r="H211" s="3">
        <v>63.34</v>
      </c>
      <c r="I211" s="3">
        <v>3</v>
      </c>
      <c r="J211" s="3">
        <f t="shared" si="17"/>
        <v>76.14</v>
      </c>
      <c r="K211" s="3">
        <v>9.8000000000000007</v>
      </c>
      <c r="L211" s="3">
        <v>62.49</v>
      </c>
      <c r="M211" s="3">
        <v>3</v>
      </c>
      <c r="N211" s="3">
        <f t="shared" si="18"/>
        <v>75.290000000000006</v>
      </c>
      <c r="O211" s="3">
        <f t="shared" si="19"/>
        <v>151.43</v>
      </c>
      <c r="P211" s="2"/>
      <c r="Q211" s="5"/>
    </row>
    <row r="212" spans="1:17">
      <c r="A212" s="2">
        <f t="shared" si="15"/>
        <v>210</v>
      </c>
      <c r="B212" s="2">
        <f t="shared" si="16"/>
        <v>82</v>
      </c>
      <c r="C212" s="2" t="s">
        <v>20</v>
      </c>
      <c r="D212" s="2" t="s">
        <v>32</v>
      </c>
      <c r="E212" s="2" t="s">
        <v>479</v>
      </c>
      <c r="F212" s="2" t="s">
        <v>480</v>
      </c>
      <c r="G212" s="3">
        <v>9.8000000000000007</v>
      </c>
      <c r="H212" s="3">
        <v>65.989795918367307</v>
      </c>
      <c r="I212" s="3">
        <v>3.6</v>
      </c>
      <c r="J212" s="3">
        <f t="shared" si="17"/>
        <v>79.39</v>
      </c>
      <c r="K212" s="3">
        <v>9.8000000000000007</v>
      </c>
      <c r="L212" s="3">
        <v>58.31</v>
      </c>
      <c r="M212" s="3">
        <v>3.9</v>
      </c>
      <c r="N212" s="3">
        <f t="shared" si="18"/>
        <v>72.010000000000005</v>
      </c>
      <c r="O212" s="3">
        <f t="shared" si="19"/>
        <v>151.4</v>
      </c>
      <c r="P212" s="2"/>
      <c r="Q212" s="5"/>
    </row>
    <row r="213" spans="1:17">
      <c r="A213" s="2">
        <f t="shared" si="15"/>
        <v>211</v>
      </c>
      <c r="B213" s="2">
        <f t="shared" si="16"/>
        <v>51</v>
      </c>
      <c r="C213" s="2" t="s">
        <v>45</v>
      </c>
      <c r="D213" s="2" t="s">
        <v>220</v>
      </c>
      <c r="E213" s="2" t="s">
        <v>481</v>
      </c>
      <c r="F213" s="2" t="s">
        <v>482</v>
      </c>
      <c r="G213" s="3">
        <v>9.8000000000000007</v>
      </c>
      <c r="H213" s="3">
        <v>63.94</v>
      </c>
      <c r="I213" s="3">
        <v>3.3</v>
      </c>
      <c r="J213" s="3">
        <f t="shared" si="17"/>
        <v>77.040000000000006</v>
      </c>
      <c r="K213" s="3">
        <v>9.8000000000000007</v>
      </c>
      <c r="L213" s="3">
        <v>61.03</v>
      </c>
      <c r="M213" s="3">
        <v>3.5</v>
      </c>
      <c r="N213" s="3">
        <f t="shared" si="18"/>
        <v>74.33</v>
      </c>
      <c r="O213" s="3">
        <f t="shared" si="19"/>
        <v>151.37</v>
      </c>
      <c r="P213" s="4" t="s">
        <v>130</v>
      </c>
      <c r="Q213" s="5"/>
    </row>
    <row r="214" spans="1:17">
      <c r="A214" s="2">
        <f t="shared" si="15"/>
        <v>212</v>
      </c>
      <c r="B214" s="2">
        <f t="shared" si="16"/>
        <v>52</v>
      </c>
      <c r="C214" s="2" t="s">
        <v>45</v>
      </c>
      <c r="D214" s="2" t="s">
        <v>89</v>
      </c>
      <c r="E214" s="2" t="s">
        <v>483</v>
      </c>
      <c r="F214" s="2" t="s">
        <v>484</v>
      </c>
      <c r="G214" s="3">
        <v>9.8000000000000007</v>
      </c>
      <c r="H214" s="3">
        <v>64.849999999999994</v>
      </c>
      <c r="I214" s="3">
        <v>4.2</v>
      </c>
      <c r="J214" s="3">
        <f t="shared" si="17"/>
        <v>78.849999999999994</v>
      </c>
      <c r="K214" s="3">
        <v>9.8000000000000007</v>
      </c>
      <c r="L214" s="3">
        <v>58.71</v>
      </c>
      <c r="M214" s="3">
        <v>4</v>
      </c>
      <c r="N214" s="3">
        <f t="shared" si="18"/>
        <v>72.510000000000005</v>
      </c>
      <c r="O214" s="3">
        <f t="shared" si="19"/>
        <v>151.36000000000001</v>
      </c>
      <c r="P214" s="4" t="s">
        <v>130</v>
      </c>
      <c r="Q214" s="5"/>
    </row>
    <row r="215" spans="1:17">
      <c r="A215" s="2">
        <f t="shared" si="15"/>
        <v>213</v>
      </c>
      <c r="B215" s="2">
        <f t="shared" si="16"/>
        <v>47</v>
      </c>
      <c r="C215" s="2" t="s">
        <v>24</v>
      </c>
      <c r="D215" s="2" t="s">
        <v>76</v>
      </c>
      <c r="E215" s="2" t="s">
        <v>485</v>
      </c>
      <c r="F215" s="2" t="s">
        <v>486</v>
      </c>
      <c r="G215" s="3">
        <v>10.8</v>
      </c>
      <c r="H215" s="3">
        <v>62.975609756097597</v>
      </c>
      <c r="I215" s="3">
        <v>3</v>
      </c>
      <c r="J215" s="3">
        <f t="shared" si="17"/>
        <v>76.78</v>
      </c>
      <c r="K215" s="3">
        <v>9</v>
      </c>
      <c r="L215" s="3">
        <v>62.32</v>
      </c>
      <c r="M215" s="3">
        <v>3.2</v>
      </c>
      <c r="N215" s="3">
        <f t="shared" si="18"/>
        <v>74.52</v>
      </c>
      <c r="O215" s="3">
        <f t="shared" si="19"/>
        <v>151.30000000000001</v>
      </c>
      <c r="P215" s="2"/>
      <c r="Q215" s="5"/>
    </row>
    <row r="216" spans="1:17">
      <c r="A216" s="2">
        <f t="shared" si="15"/>
        <v>214</v>
      </c>
      <c r="B216" s="2">
        <f t="shared" si="16"/>
        <v>48</v>
      </c>
      <c r="C216" s="2" t="s">
        <v>24</v>
      </c>
      <c r="D216" s="2" t="s">
        <v>58</v>
      </c>
      <c r="E216" s="2" t="s">
        <v>487</v>
      </c>
      <c r="F216" s="2" t="s">
        <v>488</v>
      </c>
      <c r="G216" s="3">
        <v>10</v>
      </c>
      <c r="H216" s="3">
        <v>58.756097560975597</v>
      </c>
      <c r="I216" s="3">
        <v>4.2</v>
      </c>
      <c r="J216" s="3">
        <f t="shared" si="17"/>
        <v>72.959999999999994</v>
      </c>
      <c r="K216" s="3">
        <v>10</v>
      </c>
      <c r="L216" s="3">
        <v>63.52</v>
      </c>
      <c r="M216" s="3">
        <v>4.7</v>
      </c>
      <c r="N216" s="3">
        <f t="shared" si="18"/>
        <v>78.22</v>
      </c>
      <c r="O216" s="3">
        <f t="shared" si="19"/>
        <v>151.18</v>
      </c>
      <c r="P216" s="2"/>
      <c r="Q216" s="5"/>
    </row>
    <row r="217" spans="1:17">
      <c r="A217" s="2">
        <f t="shared" si="15"/>
        <v>215</v>
      </c>
      <c r="B217" s="2">
        <f t="shared" si="16"/>
        <v>53</v>
      </c>
      <c r="C217" s="2" t="s">
        <v>45</v>
      </c>
      <c r="D217" s="2" t="s">
        <v>109</v>
      </c>
      <c r="E217" s="2" t="s">
        <v>489</v>
      </c>
      <c r="F217" s="2" t="s">
        <v>490</v>
      </c>
      <c r="G217" s="3">
        <v>9.8000000000000007</v>
      </c>
      <c r="H217" s="3">
        <v>64.56</v>
      </c>
      <c r="I217" s="3">
        <v>3</v>
      </c>
      <c r="J217" s="3">
        <f t="shared" si="17"/>
        <v>77.36</v>
      </c>
      <c r="K217" s="3">
        <v>9.8000000000000007</v>
      </c>
      <c r="L217" s="3">
        <v>60.31</v>
      </c>
      <c r="M217" s="3">
        <v>3.7</v>
      </c>
      <c r="N217" s="3">
        <f t="shared" si="18"/>
        <v>73.81</v>
      </c>
      <c r="O217" s="3">
        <f t="shared" si="19"/>
        <v>151.16999999999999</v>
      </c>
      <c r="P217" s="4" t="s">
        <v>130</v>
      </c>
      <c r="Q217" s="5"/>
    </row>
    <row r="218" spans="1:17">
      <c r="A218" s="2">
        <f t="shared" si="15"/>
        <v>216</v>
      </c>
      <c r="B218" s="2">
        <f t="shared" si="16"/>
        <v>49</v>
      </c>
      <c r="C218" s="2" t="s">
        <v>24</v>
      </c>
      <c r="D218" s="2" t="s">
        <v>76</v>
      </c>
      <c r="E218" s="2" t="s">
        <v>491</v>
      </c>
      <c r="F218" s="2" t="s">
        <v>492</v>
      </c>
      <c r="G218" s="3">
        <v>10.6</v>
      </c>
      <c r="H218" s="3">
        <v>62.939024390243901</v>
      </c>
      <c r="I218" s="3">
        <v>5.0999999999999996</v>
      </c>
      <c r="J218" s="3">
        <f t="shared" si="17"/>
        <v>78.64</v>
      </c>
      <c r="K218" s="3">
        <v>9</v>
      </c>
      <c r="L218" s="3">
        <v>58.42</v>
      </c>
      <c r="M218" s="3">
        <v>5.0999999999999996</v>
      </c>
      <c r="N218" s="3">
        <f t="shared" si="18"/>
        <v>72.52</v>
      </c>
      <c r="O218" s="3">
        <f t="shared" si="19"/>
        <v>151.16</v>
      </c>
      <c r="P218" s="2"/>
      <c r="Q218" s="5"/>
    </row>
    <row r="219" spans="1:17">
      <c r="A219" s="2">
        <f t="shared" si="15"/>
        <v>217</v>
      </c>
      <c r="B219" s="2">
        <f t="shared" si="16"/>
        <v>50</v>
      </c>
      <c r="C219" s="2" t="s">
        <v>24</v>
      </c>
      <c r="D219" s="2" t="s">
        <v>58</v>
      </c>
      <c r="E219" s="2" t="s">
        <v>493</v>
      </c>
      <c r="F219" s="2" t="s">
        <v>494</v>
      </c>
      <c r="G219" s="3">
        <v>9.8000000000000007</v>
      </c>
      <c r="H219" s="3">
        <v>64.914634146341498</v>
      </c>
      <c r="I219" s="3">
        <v>3</v>
      </c>
      <c r="J219" s="3">
        <f t="shared" si="17"/>
        <v>77.709999999999994</v>
      </c>
      <c r="K219" s="3">
        <v>9.8000000000000007</v>
      </c>
      <c r="L219" s="3">
        <v>60.13</v>
      </c>
      <c r="M219" s="3">
        <v>3.5</v>
      </c>
      <c r="N219" s="3">
        <f t="shared" si="18"/>
        <v>73.430000000000007</v>
      </c>
      <c r="O219" s="3">
        <f t="shared" si="19"/>
        <v>151.13999999999999</v>
      </c>
      <c r="P219" s="2"/>
      <c r="Q219" s="5"/>
    </row>
    <row r="220" spans="1:17">
      <c r="A220" s="2">
        <f t="shared" si="15"/>
        <v>218</v>
      </c>
      <c r="B220" s="2">
        <f t="shared" si="16"/>
        <v>33</v>
      </c>
      <c r="C220" s="2" t="s">
        <v>15</v>
      </c>
      <c r="D220" s="2" t="s">
        <v>257</v>
      </c>
      <c r="E220" s="2" t="s">
        <v>495</v>
      </c>
      <c r="F220" s="2" t="s">
        <v>496</v>
      </c>
      <c r="G220" s="3">
        <v>10.8</v>
      </c>
      <c r="H220" s="3">
        <v>60.26</v>
      </c>
      <c r="I220" s="3">
        <v>4</v>
      </c>
      <c r="J220" s="3">
        <f t="shared" si="17"/>
        <v>75.06</v>
      </c>
      <c r="K220" s="3">
        <v>9.8000000000000007</v>
      </c>
      <c r="L220" s="3">
        <v>61.48</v>
      </c>
      <c r="M220" s="3">
        <v>4.7</v>
      </c>
      <c r="N220" s="3">
        <f t="shared" si="18"/>
        <v>75.98</v>
      </c>
      <c r="O220" s="3">
        <f t="shared" si="19"/>
        <v>151.04</v>
      </c>
      <c r="P220" s="2"/>
      <c r="Q220" s="5"/>
    </row>
    <row r="221" spans="1:17">
      <c r="A221" s="2">
        <f t="shared" si="15"/>
        <v>219</v>
      </c>
      <c r="B221" s="2">
        <f t="shared" si="16"/>
        <v>83</v>
      </c>
      <c r="C221" s="2" t="s">
        <v>20</v>
      </c>
      <c r="D221" s="2" t="s">
        <v>32</v>
      </c>
      <c r="E221" s="2" t="s">
        <v>497</v>
      </c>
      <c r="F221" s="2" t="s">
        <v>498</v>
      </c>
      <c r="G221" s="3">
        <v>10.8</v>
      </c>
      <c r="H221" s="3">
        <v>57.8867924528302</v>
      </c>
      <c r="I221" s="3">
        <v>5.9</v>
      </c>
      <c r="J221" s="3">
        <f t="shared" si="17"/>
        <v>74.59</v>
      </c>
      <c r="K221" s="3">
        <v>10.8</v>
      </c>
      <c r="L221" s="3">
        <v>59.82</v>
      </c>
      <c r="M221" s="3">
        <v>5.8</v>
      </c>
      <c r="N221" s="3">
        <f t="shared" si="18"/>
        <v>76.42</v>
      </c>
      <c r="O221" s="3">
        <f t="shared" si="19"/>
        <v>151.01</v>
      </c>
      <c r="P221" s="2"/>
      <c r="Q221" s="5"/>
    </row>
    <row r="222" spans="1:17">
      <c r="A222" s="2">
        <f t="shared" si="15"/>
        <v>220</v>
      </c>
      <c r="B222" s="2">
        <f t="shared" si="16"/>
        <v>54</v>
      </c>
      <c r="C222" s="2" t="s">
        <v>45</v>
      </c>
      <c r="D222" s="2" t="s">
        <v>54</v>
      </c>
      <c r="E222" s="2" t="s">
        <v>499</v>
      </c>
      <c r="F222" s="2" t="s">
        <v>500</v>
      </c>
      <c r="G222" s="3">
        <v>10</v>
      </c>
      <c r="H222" s="3">
        <v>63</v>
      </c>
      <c r="I222" s="3">
        <v>4.2</v>
      </c>
      <c r="J222" s="3">
        <f t="shared" si="17"/>
        <v>77.2</v>
      </c>
      <c r="K222" s="3">
        <v>10</v>
      </c>
      <c r="L222" s="3">
        <v>59.25</v>
      </c>
      <c r="M222" s="3">
        <v>4.5</v>
      </c>
      <c r="N222" s="3">
        <f t="shared" si="18"/>
        <v>73.75</v>
      </c>
      <c r="O222" s="3">
        <f t="shared" si="19"/>
        <v>150.94999999999999</v>
      </c>
      <c r="P222" s="4" t="s">
        <v>130</v>
      </c>
      <c r="Q222" s="5"/>
    </row>
    <row r="223" spans="1:17">
      <c r="A223" s="2">
        <f t="shared" si="15"/>
        <v>221</v>
      </c>
      <c r="B223" s="2">
        <f t="shared" si="16"/>
        <v>84</v>
      </c>
      <c r="C223" s="2" t="s">
        <v>20</v>
      </c>
      <c r="D223" s="2" t="s">
        <v>32</v>
      </c>
      <c r="E223" s="2" t="s">
        <v>501</v>
      </c>
      <c r="F223" s="2" t="s">
        <v>502</v>
      </c>
      <c r="G223" s="3">
        <v>10</v>
      </c>
      <c r="H223" s="3">
        <v>60.6020408163265</v>
      </c>
      <c r="I223" s="3">
        <v>4</v>
      </c>
      <c r="J223" s="3">
        <f t="shared" si="17"/>
        <v>74.599999999999994</v>
      </c>
      <c r="K223" s="3">
        <v>11</v>
      </c>
      <c r="L223" s="3">
        <v>60.12</v>
      </c>
      <c r="M223" s="3">
        <v>5.2</v>
      </c>
      <c r="N223" s="3">
        <f t="shared" si="18"/>
        <v>76.319999999999993</v>
      </c>
      <c r="O223" s="3">
        <f t="shared" si="19"/>
        <v>150.91999999999999</v>
      </c>
      <c r="P223" s="2"/>
      <c r="Q223" s="5"/>
    </row>
    <row r="224" spans="1:17">
      <c r="A224" s="2">
        <f t="shared" si="15"/>
        <v>222</v>
      </c>
      <c r="B224" s="2">
        <f t="shared" si="16"/>
        <v>55</v>
      </c>
      <c r="C224" s="2" t="s">
        <v>45</v>
      </c>
      <c r="D224" s="2" t="s">
        <v>46</v>
      </c>
      <c r="E224" s="2" t="s">
        <v>503</v>
      </c>
      <c r="F224" s="2" t="s">
        <v>504</v>
      </c>
      <c r="G224" s="3">
        <v>9.4</v>
      </c>
      <c r="H224" s="3">
        <v>63.49</v>
      </c>
      <c r="I224" s="3">
        <v>3</v>
      </c>
      <c r="J224" s="3">
        <f t="shared" si="17"/>
        <v>75.89</v>
      </c>
      <c r="K224" s="3">
        <v>7.3000000000000007</v>
      </c>
      <c r="L224" s="3">
        <v>62.52</v>
      </c>
      <c r="M224" s="3">
        <v>5.2</v>
      </c>
      <c r="N224" s="3">
        <f t="shared" si="18"/>
        <v>75.02</v>
      </c>
      <c r="O224" s="3">
        <f t="shared" si="19"/>
        <v>150.91</v>
      </c>
      <c r="P224" s="4" t="s">
        <v>130</v>
      </c>
      <c r="Q224" s="5"/>
    </row>
    <row r="225" spans="1:17">
      <c r="A225" s="2">
        <f t="shared" si="15"/>
        <v>223</v>
      </c>
      <c r="B225" s="2">
        <f t="shared" si="16"/>
        <v>51</v>
      </c>
      <c r="C225" s="2" t="s">
        <v>24</v>
      </c>
      <c r="D225" s="2" t="s">
        <v>25</v>
      </c>
      <c r="E225" s="2" t="s">
        <v>505</v>
      </c>
      <c r="F225" s="2" t="s">
        <v>506</v>
      </c>
      <c r="G225" s="3">
        <v>9.8000000000000007</v>
      </c>
      <c r="H225" s="3">
        <v>58.4268292682927</v>
      </c>
      <c r="I225" s="3">
        <v>4</v>
      </c>
      <c r="J225" s="3">
        <f t="shared" si="17"/>
        <v>72.23</v>
      </c>
      <c r="K225" s="3">
        <v>9.8000000000000007</v>
      </c>
      <c r="L225" s="3">
        <v>64.150000000000006</v>
      </c>
      <c r="M225" s="3">
        <v>4.7</v>
      </c>
      <c r="N225" s="3">
        <f t="shared" si="18"/>
        <v>78.650000000000006</v>
      </c>
      <c r="O225" s="3">
        <f t="shared" si="19"/>
        <v>150.88</v>
      </c>
      <c r="P225" s="2"/>
      <c r="Q225" s="5"/>
    </row>
    <row r="226" spans="1:17">
      <c r="A226" s="2">
        <f t="shared" si="15"/>
        <v>224</v>
      </c>
      <c r="B226" s="2">
        <f t="shared" si="16"/>
        <v>52</v>
      </c>
      <c r="C226" s="2" t="s">
        <v>24</v>
      </c>
      <c r="D226" s="2" t="s">
        <v>49</v>
      </c>
      <c r="E226" s="2" t="s">
        <v>507</v>
      </c>
      <c r="F226" s="2" t="s">
        <v>508</v>
      </c>
      <c r="G226" s="3">
        <v>9.8000000000000007</v>
      </c>
      <c r="H226" s="3">
        <v>59.670731707317103</v>
      </c>
      <c r="I226" s="3">
        <v>3.8</v>
      </c>
      <c r="J226" s="3">
        <f t="shared" si="17"/>
        <v>73.27</v>
      </c>
      <c r="K226" s="3">
        <v>9.8000000000000007</v>
      </c>
      <c r="L226" s="3">
        <v>62.88</v>
      </c>
      <c r="M226" s="3">
        <v>4.9000000000000004</v>
      </c>
      <c r="N226" s="3">
        <f t="shared" si="18"/>
        <v>77.58</v>
      </c>
      <c r="O226" s="3">
        <f t="shared" si="19"/>
        <v>150.85</v>
      </c>
      <c r="P226" s="2"/>
      <c r="Q226" s="5"/>
    </row>
    <row r="227" spans="1:17">
      <c r="A227" s="2">
        <f t="shared" si="15"/>
        <v>225</v>
      </c>
      <c r="B227" s="2">
        <f t="shared" si="16"/>
        <v>53</v>
      </c>
      <c r="C227" s="2" t="s">
        <v>24</v>
      </c>
      <c r="D227" s="2" t="s">
        <v>76</v>
      </c>
      <c r="E227" s="2" t="s">
        <v>509</v>
      </c>
      <c r="F227" s="2" t="s">
        <v>510</v>
      </c>
      <c r="G227" s="3">
        <v>9.8000000000000007</v>
      </c>
      <c r="H227" s="3">
        <v>62.7</v>
      </c>
      <c r="I227" s="3">
        <v>4.9000000000000004</v>
      </c>
      <c r="J227" s="3">
        <f t="shared" si="17"/>
        <v>77.400000000000006</v>
      </c>
      <c r="K227" s="3">
        <v>9</v>
      </c>
      <c r="L227" s="3">
        <v>59.23</v>
      </c>
      <c r="M227" s="3">
        <v>5.2</v>
      </c>
      <c r="N227" s="3">
        <f t="shared" si="18"/>
        <v>73.430000000000007</v>
      </c>
      <c r="O227" s="3">
        <f t="shared" si="19"/>
        <v>150.83000000000001</v>
      </c>
      <c r="P227" s="4" t="s">
        <v>421</v>
      </c>
      <c r="Q227" s="5"/>
    </row>
    <row r="228" spans="1:17">
      <c r="A228" s="2">
        <f t="shared" si="15"/>
        <v>226</v>
      </c>
      <c r="B228" s="2">
        <f t="shared" si="16"/>
        <v>85</v>
      </c>
      <c r="C228" s="2" t="s">
        <v>20</v>
      </c>
      <c r="D228" s="2" t="s">
        <v>82</v>
      </c>
      <c r="E228" s="2" t="s">
        <v>511</v>
      </c>
      <c r="F228" s="2" t="s">
        <v>512</v>
      </c>
      <c r="G228" s="3">
        <v>9</v>
      </c>
      <c r="H228" s="3">
        <v>66.478723404255305</v>
      </c>
      <c r="I228" s="3">
        <v>3</v>
      </c>
      <c r="J228" s="3">
        <f t="shared" si="17"/>
        <v>78.48</v>
      </c>
      <c r="K228" s="3">
        <v>7.3000000000000007</v>
      </c>
      <c r="L228" s="3">
        <v>61.13</v>
      </c>
      <c r="M228" s="3">
        <v>3.9</v>
      </c>
      <c r="N228" s="3">
        <f t="shared" si="18"/>
        <v>72.33</v>
      </c>
      <c r="O228" s="3">
        <f t="shared" si="19"/>
        <v>150.81</v>
      </c>
      <c r="P228" s="2"/>
      <c r="Q228" s="5"/>
    </row>
    <row r="229" spans="1:17">
      <c r="A229" s="2">
        <f t="shared" si="15"/>
        <v>227</v>
      </c>
      <c r="B229" s="2">
        <f t="shared" si="16"/>
        <v>54</v>
      </c>
      <c r="C229" s="2" t="s">
        <v>24</v>
      </c>
      <c r="D229" s="2" t="s">
        <v>58</v>
      </c>
      <c r="E229" s="2" t="s">
        <v>513</v>
      </c>
      <c r="F229" s="2" t="s">
        <v>514</v>
      </c>
      <c r="G229" s="3">
        <v>9.8000000000000007</v>
      </c>
      <c r="H229" s="3">
        <v>62.3333333333333</v>
      </c>
      <c r="I229" s="3">
        <v>3.7</v>
      </c>
      <c r="J229" s="3">
        <f t="shared" si="17"/>
        <v>75.83</v>
      </c>
      <c r="K229" s="3">
        <v>9.8000000000000007</v>
      </c>
      <c r="L229" s="3">
        <v>60.59</v>
      </c>
      <c r="M229" s="3">
        <v>4.5</v>
      </c>
      <c r="N229" s="3">
        <f t="shared" si="18"/>
        <v>74.89</v>
      </c>
      <c r="O229" s="3">
        <f t="shared" si="19"/>
        <v>150.72</v>
      </c>
      <c r="P229" s="2"/>
      <c r="Q229" s="5"/>
    </row>
    <row r="230" spans="1:17">
      <c r="A230" s="2">
        <f t="shared" si="15"/>
        <v>228</v>
      </c>
      <c r="B230" s="2">
        <f t="shared" si="16"/>
        <v>86</v>
      </c>
      <c r="C230" s="2" t="s">
        <v>20</v>
      </c>
      <c r="D230" s="2" t="s">
        <v>32</v>
      </c>
      <c r="E230" s="2" t="s">
        <v>515</v>
      </c>
      <c r="F230" s="2" t="s">
        <v>516</v>
      </c>
      <c r="G230" s="3">
        <v>11.8</v>
      </c>
      <c r="H230" s="3">
        <v>65.816326530612201</v>
      </c>
      <c r="I230" s="3">
        <v>3</v>
      </c>
      <c r="J230" s="3">
        <f t="shared" si="17"/>
        <v>80.62</v>
      </c>
      <c r="K230" s="3">
        <v>7.3000000000000007</v>
      </c>
      <c r="L230" s="3">
        <v>59.29</v>
      </c>
      <c r="M230" s="3">
        <v>3.5</v>
      </c>
      <c r="N230" s="3">
        <f t="shared" si="18"/>
        <v>70.09</v>
      </c>
      <c r="O230" s="3">
        <f t="shared" si="19"/>
        <v>150.71</v>
      </c>
      <c r="P230" s="2"/>
      <c r="Q230" s="5"/>
    </row>
    <row r="231" spans="1:17">
      <c r="A231" s="2">
        <f t="shared" si="15"/>
        <v>229</v>
      </c>
      <c r="B231" s="2">
        <f t="shared" si="16"/>
        <v>34</v>
      </c>
      <c r="C231" s="2" t="s">
        <v>15</v>
      </c>
      <c r="D231" s="2" t="s">
        <v>181</v>
      </c>
      <c r="E231" s="2" t="s">
        <v>517</v>
      </c>
      <c r="F231" s="2" t="s">
        <v>518</v>
      </c>
      <c r="G231" s="3">
        <v>9.8000000000000007</v>
      </c>
      <c r="H231" s="3">
        <v>62.28</v>
      </c>
      <c r="I231" s="3">
        <v>4</v>
      </c>
      <c r="J231" s="3">
        <f t="shared" si="17"/>
        <v>76.08</v>
      </c>
      <c r="K231" s="3">
        <v>7.3000000000000007</v>
      </c>
      <c r="L231" s="3">
        <v>63.04</v>
      </c>
      <c r="M231" s="3">
        <v>4.2</v>
      </c>
      <c r="N231" s="3">
        <f t="shared" si="18"/>
        <v>74.540000000000006</v>
      </c>
      <c r="O231" s="3">
        <f t="shared" si="19"/>
        <v>150.62</v>
      </c>
      <c r="P231" s="2"/>
      <c r="Q231" s="5"/>
    </row>
    <row r="232" spans="1:17">
      <c r="A232" s="2">
        <f t="shared" si="15"/>
        <v>230</v>
      </c>
      <c r="B232" s="2">
        <f t="shared" si="16"/>
        <v>87</v>
      </c>
      <c r="C232" s="2" t="s">
        <v>20</v>
      </c>
      <c r="D232" s="2" t="s">
        <v>29</v>
      </c>
      <c r="E232" s="2" t="s">
        <v>519</v>
      </c>
      <c r="F232" s="2" t="s">
        <v>520</v>
      </c>
      <c r="G232" s="3">
        <v>9.8000000000000007</v>
      </c>
      <c r="H232" s="3">
        <v>63.2</v>
      </c>
      <c r="I232" s="3">
        <v>3.2</v>
      </c>
      <c r="J232" s="3">
        <f t="shared" si="17"/>
        <v>76.2</v>
      </c>
      <c r="K232" s="3">
        <v>9.8000000000000007</v>
      </c>
      <c r="L232" s="3">
        <v>61.11</v>
      </c>
      <c r="M232" s="3">
        <v>3.5</v>
      </c>
      <c r="N232" s="3">
        <f t="shared" si="18"/>
        <v>74.41</v>
      </c>
      <c r="O232" s="3">
        <f t="shared" si="19"/>
        <v>150.61000000000001</v>
      </c>
      <c r="P232" s="2"/>
      <c r="Q232" s="5"/>
    </row>
    <row r="233" spans="1:17">
      <c r="A233" s="2">
        <f t="shared" si="15"/>
        <v>231</v>
      </c>
      <c r="B233" s="2">
        <f t="shared" si="16"/>
        <v>55</v>
      </c>
      <c r="C233" s="2" t="s">
        <v>24</v>
      </c>
      <c r="D233" s="2" t="s">
        <v>25</v>
      </c>
      <c r="E233" s="2" t="s">
        <v>521</v>
      </c>
      <c r="F233" s="2" t="s">
        <v>522</v>
      </c>
      <c r="G233" s="3">
        <v>10.3</v>
      </c>
      <c r="H233" s="3">
        <v>58.829268292682897</v>
      </c>
      <c r="I233" s="3">
        <v>4.5999999999999996</v>
      </c>
      <c r="J233" s="3">
        <f t="shared" si="17"/>
        <v>73.73</v>
      </c>
      <c r="K233" s="3">
        <v>9.8000000000000007</v>
      </c>
      <c r="L233" s="3">
        <v>61.52</v>
      </c>
      <c r="M233" s="3">
        <v>5.5</v>
      </c>
      <c r="N233" s="3">
        <f t="shared" si="18"/>
        <v>76.819999999999993</v>
      </c>
      <c r="O233" s="3">
        <f t="shared" si="19"/>
        <v>150.55000000000001</v>
      </c>
      <c r="P233" s="2"/>
      <c r="Q233" s="5"/>
    </row>
    <row r="234" spans="1:17">
      <c r="A234" s="2">
        <f t="shared" si="15"/>
        <v>232</v>
      </c>
      <c r="B234" s="2">
        <f t="shared" si="16"/>
        <v>88</v>
      </c>
      <c r="C234" s="2" t="s">
        <v>20</v>
      </c>
      <c r="D234" s="2" t="s">
        <v>29</v>
      </c>
      <c r="E234" s="2" t="s">
        <v>523</v>
      </c>
      <c r="F234" s="2" t="s">
        <v>524</v>
      </c>
      <c r="G234" s="3">
        <v>10.3</v>
      </c>
      <c r="H234" s="3">
        <v>65.2</v>
      </c>
      <c r="I234" s="3">
        <v>3.2</v>
      </c>
      <c r="J234" s="3">
        <f t="shared" si="17"/>
        <v>78.7</v>
      </c>
      <c r="K234" s="3">
        <v>9.8000000000000007</v>
      </c>
      <c r="L234" s="3">
        <v>57.22</v>
      </c>
      <c r="M234" s="3">
        <v>4.8</v>
      </c>
      <c r="N234" s="3">
        <f t="shared" si="18"/>
        <v>71.819999999999993</v>
      </c>
      <c r="O234" s="3">
        <f t="shared" si="19"/>
        <v>150.52000000000001</v>
      </c>
      <c r="P234" s="2"/>
      <c r="Q234" s="5"/>
    </row>
    <row r="235" spans="1:17">
      <c r="A235" s="2">
        <f t="shared" si="15"/>
        <v>233</v>
      </c>
      <c r="B235" s="2">
        <f t="shared" si="16"/>
        <v>56</v>
      </c>
      <c r="C235" s="2" t="s">
        <v>45</v>
      </c>
      <c r="D235" s="2" t="s">
        <v>114</v>
      </c>
      <c r="E235" s="2" t="s">
        <v>525</v>
      </c>
      <c r="F235" s="2" t="s">
        <v>526</v>
      </c>
      <c r="G235" s="3">
        <v>11.6</v>
      </c>
      <c r="H235" s="3">
        <v>61.47</v>
      </c>
      <c r="I235" s="3">
        <v>4.5999999999999996</v>
      </c>
      <c r="J235" s="3">
        <f t="shared" si="17"/>
        <v>77.67</v>
      </c>
      <c r="K235" s="3">
        <v>11.3</v>
      </c>
      <c r="L235" s="3">
        <v>53.91</v>
      </c>
      <c r="M235" s="3">
        <v>7.6</v>
      </c>
      <c r="N235" s="3">
        <f t="shared" si="18"/>
        <v>72.81</v>
      </c>
      <c r="O235" s="3">
        <f t="shared" si="19"/>
        <v>150.47999999999999</v>
      </c>
      <c r="P235" s="2"/>
      <c r="Q235" s="5"/>
    </row>
    <row r="236" spans="1:17">
      <c r="A236" s="2">
        <f t="shared" si="15"/>
        <v>234</v>
      </c>
      <c r="B236" s="2">
        <f t="shared" si="16"/>
        <v>89</v>
      </c>
      <c r="C236" s="2" t="s">
        <v>20</v>
      </c>
      <c r="D236" s="2" t="s">
        <v>82</v>
      </c>
      <c r="E236" s="2" t="s">
        <v>527</v>
      </c>
      <c r="F236" s="2" t="s">
        <v>528</v>
      </c>
      <c r="G236" s="3">
        <v>10.6</v>
      </c>
      <c r="H236" s="3">
        <v>60.244897959183703</v>
      </c>
      <c r="I236" s="3">
        <v>4.5999999999999996</v>
      </c>
      <c r="J236" s="3">
        <f t="shared" si="17"/>
        <v>75.44</v>
      </c>
      <c r="K236" s="3">
        <v>9.8000000000000007</v>
      </c>
      <c r="L236" s="3">
        <v>59.55</v>
      </c>
      <c r="M236" s="3">
        <v>5.6</v>
      </c>
      <c r="N236" s="3">
        <f t="shared" si="18"/>
        <v>74.95</v>
      </c>
      <c r="O236" s="3">
        <f t="shared" si="19"/>
        <v>150.38999999999999</v>
      </c>
      <c r="P236" s="2"/>
      <c r="Q236" s="5"/>
    </row>
    <row r="237" spans="1:17">
      <c r="A237" s="2">
        <f t="shared" si="15"/>
        <v>235</v>
      </c>
      <c r="B237" s="2">
        <f t="shared" si="16"/>
        <v>90</v>
      </c>
      <c r="C237" s="2" t="s">
        <v>20</v>
      </c>
      <c r="D237" s="2" t="s">
        <v>42</v>
      </c>
      <c r="E237" s="2" t="s">
        <v>529</v>
      </c>
      <c r="F237" s="2" t="s">
        <v>530</v>
      </c>
      <c r="G237" s="3">
        <v>11.8</v>
      </c>
      <c r="H237" s="3">
        <v>60.133333333333297</v>
      </c>
      <c r="I237" s="3">
        <v>5.5</v>
      </c>
      <c r="J237" s="3">
        <f t="shared" si="17"/>
        <v>77.430000000000007</v>
      </c>
      <c r="K237" s="3">
        <v>11.3</v>
      </c>
      <c r="L237" s="3">
        <v>57.15</v>
      </c>
      <c r="M237" s="3">
        <v>4.5</v>
      </c>
      <c r="N237" s="3">
        <f t="shared" si="18"/>
        <v>72.95</v>
      </c>
      <c r="O237" s="3">
        <f t="shared" si="19"/>
        <v>150.38</v>
      </c>
      <c r="P237" s="2"/>
      <c r="Q237" s="5"/>
    </row>
    <row r="238" spans="1:17">
      <c r="A238" s="2">
        <f t="shared" si="15"/>
        <v>235</v>
      </c>
      <c r="B238" s="2">
        <f t="shared" si="16"/>
        <v>90</v>
      </c>
      <c r="C238" s="2" t="s">
        <v>20</v>
      </c>
      <c r="D238" s="2" t="s">
        <v>117</v>
      </c>
      <c r="E238" s="2" t="s">
        <v>531</v>
      </c>
      <c r="F238" s="2" t="s">
        <v>532</v>
      </c>
      <c r="G238" s="3">
        <v>9.8000000000000007</v>
      </c>
      <c r="H238" s="3">
        <v>61.88</v>
      </c>
      <c r="I238" s="3">
        <v>3.2</v>
      </c>
      <c r="J238" s="3">
        <f t="shared" si="17"/>
        <v>74.88</v>
      </c>
      <c r="K238" s="3">
        <v>9.8000000000000007</v>
      </c>
      <c r="L238" s="3">
        <v>61.9</v>
      </c>
      <c r="M238" s="3">
        <v>3.8</v>
      </c>
      <c r="N238" s="3">
        <f t="shared" si="18"/>
        <v>75.5</v>
      </c>
      <c r="O238" s="3">
        <f t="shared" si="19"/>
        <v>150.38</v>
      </c>
      <c r="P238" s="2"/>
      <c r="Q238" s="5"/>
    </row>
    <row r="239" spans="1:17">
      <c r="A239" s="2">
        <f t="shared" si="15"/>
        <v>235</v>
      </c>
      <c r="B239" s="2">
        <f t="shared" si="16"/>
        <v>57</v>
      </c>
      <c r="C239" s="2" t="s">
        <v>45</v>
      </c>
      <c r="D239" s="2" t="s">
        <v>114</v>
      </c>
      <c r="E239" s="2" t="s">
        <v>533</v>
      </c>
      <c r="F239" s="2" t="s">
        <v>534</v>
      </c>
      <c r="G239" s="3">
        <v>10.8</v>
      </c>
      <c r="H239" s="3">
        <v>61.5</v>
      </c>
      <c r="I239" s="3">
        <v>5</v>
      </c>
      <c r="J239" s="3">
        <f t="shared" si="17"/>
        <v>77.3</v>
      </c>
      <c r="K239" s="3">
        <v>10.8</v>
      </c>
      <c r="L239" s="3">
        <v>56.28</v>
      </c>
      <c r="M239" s="3">
        <v>6</v>
      </c>
      <c r="N239" s="3">
        <f t="shared" si="18"/>
        <v>73.08</v>
      </c>
      <c r="O239" s="3">
        <f t="shared" si="19"/>
        <v>150.38</v>
      </c>
      <c r="P239" s="2"/>
      <c r="Q239" s="5"/>
    </row>
    <row r="240" spans="1:17">
      <c r="A240" s="2">
        <f t="shared" si="15"/>
        <v>238</v>
      </c>
      <c r="B240" s="2">
        <f t="shared" si="16"/>
        <v>58</v>
      </c>
      <c r="C240" s="2" t="s">
        <v>45</v>
      </c>
      <c r="D240" s="2" t="s">
        <v>109</v>
      </c>
      <c r="E240" s="2" t="s">
        <v>535</v>
      </c>
      <c r="F240" s="2" t="s">
        <v>536</v>
      </c>
      <c r="G240" s="3">
        <v>11</v>
      </c>
      <c r="H240" s="3">
        <v>60.18</v>
      </c>
      <c r="I240" s="3">
        <v>4.9000000000000004</v>
      </c>
      <c r="J240" s="3">
        <f t="shared" si="17"/>
        <v>76.08</v>
      </c>
      <c r="K240" s="3">
        <v>10</v>
      </c>
      <c r="L240" s="3">
        <v>58.87</v>
      </c>
      <c r="M240" s="3">
        <v>5.4</v>
      </c>
      <c r="N240" s="3">
        <f t="shared" si="18"/>
        <v>74.27</v>
      </c>
      <c r="O240" s="3">
        <f t="shared" si="19"/>
        <v>150.35</v>
      </c>
      <c r="P240" s="4" t="s">
        <v>130</v>
      </c>
      <c r="Q240" s="5"/>
    </row>
    <row r="241" spans="1:17">
      <c r="A241" s="2">
        <f t="shared" si="15"/>
        <v>239</v>
      </c>
      <c r="B241" s="2">
        <f t="shared" si="16"/>
        <v>56</v>
      </c>
      <c r="C241" s="2" t="s">
        <v>24</v>
      </c>
      <c r="D241" s="2" t="s">
        <v>76</v>
      </c>
      <c r="E241" s="2" t="s">
        <v>537</v>
      </c>
      <c r="F241" s="2" t="s">
        <v>538</v>
      </c>
      <c r="G241" s="3">
        <v>10.3</v>
      </c>
      <c r="H241" s="3">
        <v>67.256097560975604</v>
      </c>
      <c r="I241" s="3">
        <v>4.2</v>
      </c>
      <c r="J241" s="3">
        <f t="shared" si="17"/>
        <v>81.760000000000005</v>
      </c>
      <c r="K241" s="3">
        <v>9</v>
      </c>
      <c r="L241" s="3">
        <v>56.58</v>
      </c>
      <c r="M241" s="3">
        <v>3</v>
      </c>
      <c r="N241" s="3">
        <f t="shared" si="18"/>
        <v>68.58</v>
      </c>
      <c r="O241" s="3">
        <f t="shared" si="19"/>
        <v>150.34</v>
      </c>
      <c r="P241" s="2"/>
      <c r="Q241" s="5"/>
    </row>
    <row r="242" spans="1:17">
      <c r="A242" s="2">
        <f t="shared" si="15"/>
        <v>240</v>
      </c>
      <c r="B242" s="2">
        <f t="shared" si="16"/>
        <v>92</v>
      </c>
      <c r="C242" s="2" t="s">
        <v>20</v>
      </c>
      <c r="D242" s="2" t="s">
        <v>65</v>
      </c>
      <c r="E242" s="2" t="s">
        <v>539</v>
      </c>
      <c r="F242" s="2" t="s">
        <v>540</v>
      </c>
      <c r="G242" s="3">
        <v>9.8000000000000007</v>
      </c>
      <c r="H242" s="3">
        <v>63.83</v>
      </c>
      <c r="I242" s="3">
        <v>5.8</v>
      </c>
      <c r="J242" s="3">
        <f t="shared" si="17"/>
        <v>79.430000000000007</v>
      </c>
      <c r="K242" s="3">
        <v>9.8000000000000007</v>
      </c>
      <c r="L242" s="3">
        <v>52.27</v>
      </c>
      <c r="M242" s="3">
        <v>8.8000000000000007</v>
      </c>
      <c r="N242" s="3">
        <f t="shared" si="18"/>
        <v>70.87</v>
      </c>
      <c r="O242" s="3">
        <f t="shared" si="19"/>
        <v>150.30000000000001</v>
      </c>
      <c r="P242" s="2"/>
      <c r="Q242" s="5"/>
    </row>
    <row r="243" spans="1:17">
      <c r="A243" s="2">
        <f t="shared" si="15"/>
        <v>241</v>
      </c>
      <c r="B243" s="2">
        <f t="shared" si="16"/>
        <v>59</v>
      </c>
      <c r="C243" s="2" t="s">
        <v>45</v>
      </c>
      <c r="D243" s="2" t="s">
        <v>89</v>
      </c>
      <c r="E243" s="2" t="s">
        <v>541</v>
      </c>
      <c r="F243" s="2" t="s">
        <v>542</v>
      </c>
      <c r="G243" s="3">
        <v>10.8</v>
      </c>
      <c r="H243" s="3">
        <v>58.61</v>
      </c>
      <c r="I243" s="3">
        <v>6.4</v>
      </c>
      <c r="J243" s="3">
        <f t="shared" si="17"/>
        <v>75.81</v>
      </c>
      <c r="K243" s="3">
        <v>10</v>
      </c>
      <c r="L243" s="3">
        <v>57.34</v>
      </c>
      <c r="M243" s="3">
        <v>7.1</v>
      </c>
      <c r="N243" s="3">
        <f t="shared" si="18"/>
        <v>74.44</v>
      </c>
      <c r="O243" s="3">
        <f t="shared" si="19"/>
        <v>150.25</v>
      </c>
      <c r="P243" s="4" t="s">
        <v>130</v>
      </c>
      <c r="Q243" s="5"/>
    </row>
    <row r="244" spans="1:17">
      <c r="A244" s="2">
        <f t="shared" si="15"/>
        <v>242</v>
      </c>
      <c r="B244" s="2">
        <f t="shared" si="16"/>
        <v>93</v>
      </c>
      <c r="C244" s="2" t="s">
        <v>20</v>
      </c>
      <c r="D244" s="2" t="s">
        <v>229</v>
      </c>
      <c r="E244" s="2" t="s">
        <v>543</v>
      </c>
      <c r="F244" s="2" t="s">
        <v>544</v>
      </c>
      <c r="G244" s="3">
        <v>11.3</v>
      </c>
      <c r="H244" s="3">
        <v>58.34</v>
      </c>
      <c r="I244" s="3">
        <v>4.8</v>
      </c>
      <c r="J244" s="3">
        <f t="shared" si="17"/>
        <v>74.44</v>
      </c>
      <c r="K244" s="3">
        <v>11.3</v>
      </c>
      <c r="L244" s="3">
        <v>57.09</v>
      </c>
      <c r="M244" s="3">
        <v>7.4</v>
      </c>
      <c r="N244" s="3">
        <f t="shared" si="18"/>
        <v>75.790000000000006</v>
      </c>
      <c r="O244" s="3">
        <f t="shared" si="19"/>
        <v>150.22999999999999</v>
      </c>
      <c r="P244" s="2"/>
      <c r="Q244" s="5"/>
    </row>
    <row r="245" spans="1:17">
      <c r="A245" s="2">
        <f t="shared" si="15"/>
        <v>243</v>
      </c>
      <c r="B245" s="2">
        <f t="shared" si="16"/>
        <v>35</v>
      </c>
      <c r="C245" s="2" t="s">
        <v>15</v>
      </c>
      <c r="D245" s="2" t="s">
        <v>257</v>
      </c>
      <c r="E245" s="2" t="s">
        <v>545</v>
      </c>
      <c r="F245" s="2" t="s">
        <v>546</v>
      </c>
      <c r="G245" s="3">
        <v>9.8000000000000007</v>
      </c>
      <c r="H245" s="3">
        <v>61.1</v>
      </c>
      <c r="I245" s="3">
        <v>4.5</v>
      </c>
      <c r="J245" s="3">
        <f t="shared" si="17"/>
        <v>75.400000000000006</v>
      </c>
      <c r="K245" s="3">
        <v>7.3000000000000007</v>
      </c>
      <c r="L245" s="3">
        <v>62.81</v>
      </c>
      <c r="M245" s="3">
        <v>4.7</v>
      </c>
      <c r="N245" s="3">
        <f t="shared" si="18"/>
        <v>74.81</v>
      </c>
      <c r="O245" s="3">
        <f t="shared" si="19"/>
        <v>150.21</v>
      </c>
      <c r="P245" s="2"/>
      <c r="Q245" s="5"/>
    </row>
    <row r="246" spans="1:17">
      <c r="A246" s="2">
        <f t="shared" si="15"/>
        <v>244</v>
      </c>
      <c r="B246" s="2">
        <f t="shared" si="16"/>
        <v>94</v>
      </c>
      <c r="C246" s="2" t="s">
        <v>20</v>
      </c>
      <c r="D246" s="2" t="s">
        <v>36</v>
      </c>
      <c r="E246" s="2" t="s">
        <v>547</v>
      </c>
      <c r="F246" s="2" t="s">
        <v>548</v>
      </c>
      <c r="G246" s="3">
        <v>9.8000000000000007</v>
      </c>
      <c r="H246" s="3">
        <v>60.89</v>
      </c>
      <c r="I246" s="3">
        <v>4.4000000000000004</v>
      </c>
      <c r="J246" s="3">
        <f t="shared" si="17"/>
        <v>75.09</v>
      </c>
      <c r="K246" s="3">
        <v>9.8000000000000007</v>
      </c>
      <c r="L246" s="3">
        <v>60.51</v>
      </c>
      <c r="M246" s="3">
        <v>4.7</v>
      </c>
      <c r="N246" s="3">
        <f t="shared" si="18"/>
        <v>75.010000000000005</v>
      </c>
      <c r="O246" s="3">
        <f t="shared" si="19"/>
        <v>150.1</v>
      </c>
      <c r="P246" s="2"/>
      <c r="Q246" s="5"/>
    </row>
    <row r="247" spans="1:17">
      <c r="A247" s="2">
        <f t="shared" si="15"/>
        <v>245</v>
      </c>
      <c r="B247" s="2">
        <f t="shared" si="16"/>
        <v>95</v>
      </c>
      <c r="C247" s="2" t="s">
        <v>20</v>
      </c>
      <c r="D247" s="2" t="s">
        <v>42</v>
      </c>
      <c r="E247" s="2" t="s">
        <v>549</v>
      </c>
      <c r="F247" s="2" t="s">
        <v>550</v>
      </c>
      <c r="G247" s="3">
        <v>11.8</v>
      </c>
      <c r="H247" s="3">
        <v>58.224489795918402</v>
      </c>
      <c r="I247" s="3">
        <v>4.5999999999999996</v>
      </c>
      <c r="J247" s="3">
        <f t="shared" si="17"/>
        <v>74.62</v>
      </c>
      <c r="K247" s="3">
        <v>11.8</v>
      </c>
      <c r="L247" s="3">
        <v>57.28</v>
      </c>
      <c r="M247" s="3">
        <v>6.3</v>
      </c>
      <c r="N247" s="3">
        <f t="shared" si="18"/>
        <v>75.38</v>
      </c>
      <c r="O247" s="3">
        <f t="shared" si="19"/>
        <v>150</v>
      </c>
      <c r="P247" s="2"/>
      <c r="Q247" s="5"/>
    </row>
    <row r="248" spans="1:17">
      <c r="A248" s="2">
        <f t="shared" si="15"/>
        <v>246</v>
      </c>
      <c r="B248" s="2">
        <f t="shared" si="16"/>
        <v>96</v>
      </c>
      <c r="C248" s="2" t="s">
        <v>20</v>
      </c>
      <c r="D248" s="2" t="s">
        <v>65</v>
      </c>
      <c r="E248" s="2" t="s">
        <v>551</v>
      </c>
      <c r="F248" s="2" t="s">
        <v>552</v>
      </c>
      <c r="G248" s="3">
        <v>10.5</v>
      </c>
      <c r="H248" s="3">
        <v>59.86</v>
      </c>
      <c r="I248" s="3">
        <v>4.2</v>
      </c>
      <c r="J248" s="3">
        <f t="shared" si="17"/>
        <v>74.56</v>
      </c>
      <c r="K248" s="3">
        <v>11.5</v>
      </c>
      <c r="L248" s="3">
        <v>59.23</v>
      </c>
      <c r="M248" s="3">
        <v>4.7</v>
      </c>
      <c r="N248" s="3">
        <f t="shared" si="18"/>
        <v>75.430000000000007</v>
      </c>
      <c r="O248" s="3">
        <f t="shared" si="19"/>
        <v>149.99</v>
      </c>
      <c r="P248" s="2"/>
      <c r="Q248" s="5"/>
    </row>
    <row r="249" spans="1:17">
      <c r="A249" s="2">
        <f t="shared" si="15"/>
        <v>247</v>
      </c>
      <c r="B249" s="2">
        <f t="shared" si="16"/>
        <v>97</v>
      </c>
      <c r="C249" s="2" t="s">
        <v>20</v>
      </c>
      <c r="D249" s="2" t="s">
        <v>36</v>
      </c>
      <c r="E249" s="2" t="s">
        <v>553</v>
      </c>
      <c r="F249" s="2" t="s">
        <v>554</v>
      </c>
      <c r="G249" s="3">
        <v>10.3</v>
      </c>
      <c r="H249" s="3">
        <v>60.03</v>
      </c>
      <c r="I249" s="3">
        <v>5</v>
      </c>
      <c r="J249" s="3">
        <f t="shared" si="17"/>
        <v>75.33</v>
      </c>
      <c r="K249" s="3">
        <v>9.8000000000000007</v>
      </c>
      <c r="L249" s="3">
        <v>58.65</v>
      </c>
      <c r="M249" s="3">
        <v>6.1</v>
      </c>
      <c r="N249" s="3">
        <f t="shared" si="18"/>
        <v>74.55</v>
      </c>
      <c r="O249" s="3">
        <f t="shared" si="19"/>
        <v>149.88</v>
      </c>
      <c r="P249" s="2"/>
      <c r="Q249" s="5"/>
    </row>
    <row r="250" spans="1:17">
      <c r="A250" s="2">
        <f t="shared" si="15"/>
        <v>247</v>
      </c>
      <c r="B250" s="2">
        <f t="shared" si="16"/>
        <v>60</v>
      </c>
      <c r="C250" s="2" t="s">
        <v>45</v>
      </c>
      <c r="D250" s="2" t="s">
        <v>73</v>
      </c>
      <c r="E250" s="2" t="s">
        <v>555</v>
      </c>
      <c r="F250" s="2" t="s">
        <v>556</v>
      </c>
      <c r="G250" s="3">
        <v>9.8000000000000007</v>
      </c>
      <c r="H250" s="3">
        <v>64.7</v>
      </c>
      <c r="I250" s="3">
        <v>4</v>
      </c>
      <c r="J250" s="3">
        <f t="shared" si="17"/>
        <v>78.5</v>
      </c>
      <c r="K250" s="3">
        <v>9.8000000000000007</v>
      </c>
      <c r="L250" s="3">
        <v>57.08</v>
      </c>
      <c r="M250" s="3">
        <v>4.5</v>
      </c>
      <c r="N250" s="3">
        <f t="shared" si="18"/>
        <v>71.38</v>
      </c>
      <c r="O250" s="3">
        <f t="shared" si="19"/>
        <v>149.88</v>
      </c>
      <c r="P250" s="4" t="s">
        <v>130</v>
      </c>
      <c r="Q250" s="5"/>
    </row>
    <row r="251" spans="1:17">
      <c r="A251" s="2">
        <f t="shared" si="15"/>
        <v>249</v>
      </c>
      <c r="B251" s="2">
        <f t="shared" si="16"/>
        <v>98</v>
      </c>
      <c r="C251" s="2" t="s">
        <v>20</v>
      </c>
      <c r="D251" s="2" t="s">
        <v>82</v>
      </c>
      <c r="E251" s="2" t="s">
        <v>557</v>
      </c>
      <c r="F251" s="2" t="s">
        <v>558</v>
      </c>
      <c r="G251" s="3">
        <v>10</v>
      </c>
      <c r="H251" s="3">
        <v>61.3867924528302</v>
      </c>
      <c r="I251" s="3">
        <v>4</v>
      </c>
      <c r="J251" s="3">
        <f t="shared" si="17"/>
        <v>75.39</v>
      </c>
      <c r="K251" s="3">
        <v>10</v>
      </c>
      <c r="L251" s="3">
        <v>59.77</v>
      </c>
      <c r="M251" s="3">
        <v>4.7</v>
      </c>
      <c r="N251" s="3">
        <f t="shared" si="18"/>
        <v>74.47</v>
      </c>
      <c r="O251" s="3">
        <f t="shared" si="19"/>
        <v>149.86000000000001</v>
      </c>
      <c r="P251" s="2"/>
      <c r="Q251" s="5"/>
    </row>
    <row r="252" spans="1:17">
      <c r="A252" s="2">
        <f t="shared" si="15"/>
        <v>249</v>
      </c>
      <c r="B252" s="2">
        <f t="shared" si="16"/>
        <v>98</v>
      </c>
      <c r="C252" s="2" t="s">
        <v>20</v>
      </c>
      <c r="D252" s="2" t="s">
        <v>21</v>
      </c>
      <c r="E252" s="2" t="s">
        <v>559</v>
      </c>
      <c r="F252" s="2" t="s">
        <v>560</v>
      </c>
      <c r="G252" s="3">
        <v>9.8000000000000007</v>
      </c>
      <c r="H252" s="3">
        <v>58.74</v>
      </c>
      <c r="I252" s="3">
        <v>4</v>
      </c>
      <c r="J252" s="3">
        <f t="shared" si="17"/>
        <v>72.540000000000006</v>
      </c>
      <c r="K252" s="3">
        <v>11.3</v>
      </c>
      <c r="L252" s="3">
        <v>60.07</v>
      </c>
      <c r="M252" s="3">
        <v>5.95</v>
      </c>
      <c r="N252" s="3">
        <f t="shared" si="18"/>
        <v>77.319999999999993</v>
      </c>
      <c r="O252" s="3">
        <f t="shared" si="19"/>
        <v>149.86000000000001</v>
      </c>
      <c r="P252" s="2"/>
      <c r="Q252" s="5"/>
    </row>
    <row r="253" spans="1:17">
      <c r="A253" s="2">
        <f t="shared" si="15"/>
        <v>251</v>
      </c>
      <c r="B253" s="2">
        <f t="shared" si="16"/>
        <v>61</v>
      </c>
      <c r="C253" s="2" t="s">
        <v>45</v>
      </c>
      <c r="D253" s="2" t="s">
        <v>46</v>
      </c>
      <c r="E253" s="2" t="s">
        <v>561</v>
      </c>
      <c r="F253" s="2" t="s">
        <v>562</v>
      </c>
      <c r="G253" s="3">
        <v>10</v>
      </c>
      <c r="H253" s="3">
        <v>63.71</v>
      </c>
      <c r="I253" s="3">
        <v>3</v>
      </c>
      <c r="J253" s="3">
        <f t="shared" si="17"/>
        <v>76.709999999999994</v>
      </c>
      <c r="K253" s="3">
        <v>7.5</v>
      </c>
      <c r="L253" s="3">
        <v>61.9</v>
      </c>
      <c r="M253" s="3">
        <v>3.7</v>
      </c>
      <c r="N253" s="3">
        <f t="shared" si="18"/>
        <v>73.099999999999994</v>
      </c>
      <c r="O253" s="3">
        <f t="shared" si="19"/>
        <v>149.81</v>
      </c>
      <c r="P253" s="4" t="s">
        <v>130</v>
      </c>
      <c r="Q253" s="5"/>
    </row>
    <row r="254" spans="1:17">
      <c r="A254" s="2">
        <f t="shared" si="15"/>
        <v>252</v>
      </c>
      <c r="B254" s="2">
        <f t="shared" si="16"/>
        <v>62</v>
      </c>
      <c r="C254" s="2" t="s">
        <v>45</v>
      </c>
      <c r="D254" s="2" t="s">
        <v>114</v>
      </c>
      <c r="E254" s="2" t="s">
        <v>563</v>
      </c>
      <c r="F254" s="2" t="s">
        <v>564</v>
      </c>
      <c r="G254" s="3">
        <v>9.8000000000000007</v>
      </c>
      <c r="H254" s="3">
        <v>64.12</v>
      </c>
      <c r="I254" s="3">
        <v>4</v>
      </c>
      <c r="J254" s="3">
        <f t="shared" si="17"/>
        <v>77.92</v>
      </c>
      <c r="K254" s="3">
        <v>9.8000000000000007</v>
      </c>
      <c r="L254" s="3">
        <v>58.56</v>
      </c>
      <c r="M254" s="3">
        <v>3.5</v>
      </c>
      <c r="N254" s="3">
        <f t="shared" si="18"/>
        <v>71.86</v>
      </c>
      <c r="O254" s="3">
        <f t="shared" si="19"/>
        <v>149.78</v>
      </c>
      <c r="P254" s="4" t="s">
        <v>130</v>
      </c>
      <c r="Q254" s="5"/>
    </row>
    <row r="255" spans="1:17">
      <c r="A255" s="2">
        <f t="shared" si="15"/>
        <v>253</v>
      </c>
      <c r="B255" s="2">
        <f t="shared" si="16"/>
        <v>57</v>
      </c>
      <c r="C255" s="2" t="s">
        <v>24</v>
      </c>
      <c r="D255" s="2" t="s">
        <v>58</v>
      </c>
      <c r="E255" s="2" t="s">
        <v>565</v>
      </c>
      <c r="F255" s="2" t="s">
        <v>566</v>
      </c>
      <c r="G255" s="3">
        <v>9.8000000000000007</v>
      </c>
      <c r="H255" s="3">
        <v>59.5</v>
      </c>
      <c r="I255" s="3">
        <v>4.5</v>
      </c>
      <c r="J255" s="3">
        <f t="shared" si="17"/>
        <v>73.8</v>
      </c>
      <c r="K255" s="3">
        <v>9.8000000000000007</v>
      </c>
      <c r="L255" s="3">
        <v>61.76</v>
      </c>
      <c r="M255" s="3">
        <v>4.4000000000000004</v>
      </c>
      <c r="N255" s="3">
        <f t="shared" si="18"/>
        <v>75.959999999999994</v>
      </c>
      <c r="O255" s="3">
        <f t="shared" si="19"/>
        <v>149.76</v>
      </c>
      <c r="P255" s="2"/>
      <c r="Q255" s="5"/>
    </row>
    <row r="256" spans="1:17">
      <c r="A256" s="2">
        <f t="shared" si="15"/>
        <v>253</v>
      </c>
      <c r="B256" s="2">
        <f t="shared" si="16"/>
        <v>36</v>
      </c>
      <c r="C256" s="2" t="s">
        <v>15</v>
      </c>
      <c r="D256" s="2" t="s">
        <v>39</v>
      </c>
      <c r="E256" s="2" t="s">
        <v>567</v>
      </c>
      <c r="F256" s="2" t="s">
        <v>568</v>
      </c>
      <c r="G256" s="3">
        <v>9.8000000000000007</v>
      </c>
      <c r="H256" s="3">
        <v>62.88</v>
      </c>
      <c r="I256" s="3">
        <v>4.5999999999999996</v>
      </c>
      <c r="J256" s="3">
        <f t="shared" si="17"/>
        <v>77.28</v>
      </c>
      <c r="K256" s="3">
        <v>8.8000000000000007</v>
      </c>
      <c r="L256" s="3">
        <v>58.88</v>
      </c>
      <c r="M256" s="3">
        <v>4.8</v>
      </c>
      <c r="N256" s="3">
        <f t="shared" si="18"/>
        <v>72.48</v>
      </c>
      <c r="O256" s="3">
        <f t="shared" si="19"/>
        <v>149.76</v>
      </c>
      <c r="P256" s="2"/>
      <c r="Q256" s="5"/>
    </row>
    <row r="257" spans="1:17">
      <c r="A257" s="2">
        <f t="shared" si="15"/>
        <v>255</v>
      </c>
      <c r="B257" s="2">
        <f t="shared" si="16"/>
        <v>58</v>
      </c>
      <c r="C257" s="2" t="s">
        <v>24</v>
      </c>
      <c r="D257" s="2" t="s">
        <v>76</v>
      </c>
      <c r="E257" s="2" t="s">
        <v>569</v>
      </c>
      <c r="F257" s="2" t="s">
        <v>570</v>
      </c>
      <c r="G257" s="3">
        <v>9.8000000000000007</v>
      </c>
      <c r="H257" s="3">
        <v>63.817073170731703</v>
      </c>
      <c r="I257" s="3">
        <v>4.3</v>
      </c>
      <c r="J257" s="3">
        <f t="shared" si="17"/>
        <v>77.92</v>
      </c>
      <c r="K257" s="3">
        <v>9</v>
      </c>
      <c r="L257" s="3">
        <v>58.82</v>
      </c>
      <c r="M257" s="3">
        <v>4</v>
      </c>
      <c r="N257" s="3">
        <f t="shared" si="18"/>
        <v>71.819999999999993</v>
      </c>
      <c r="O257" s="3">
        <f t="shared" si="19"/>
        <v>149.74</v>
      </c>
      <c r="P257" s="2"/>
      <c r="Q257" s="5"/>
    </row>
    <row r="258" spans="1:17">
      <c r="A258" s="2">
        <f t="shared" si="15"/>
        <v>256</v>
      </c>
      <c r="B258" s="2">
        <f t="shared" si="16"/>
        <v>37</v>
      </c>
      <c r="C258" s="2" t="s">
        <v>15</v>
      </c>
      <c r="D258" s="2" t="s">
        <v>39</v>
      </c>
      <c r="E258" s="2" t="s">
        <v>571</v>
      </c>
      <c r="F258" s="2" t="s">
        <v>572</v>
      </c>
      <c r="G258" s="3">
        <v>10</v>
      </c>
      <c r="H258" s="3">
        <v>60.99</v>
      </c>
      <c r="I258" s="3">
        <v>4</v>
      </c>
      <c r="J258" s="3">
        <f t="shared" si="17"/>
        <v>74.989999999999995</v>
      </c>
      <c r="K258" s="3">
        <v>7.5</v>
      </c>
      <c r="L258" s="3">
        <v>62.93</v>
      </c>
      <c r="M258" s="3">
        <v>4.3</v>
      </c>
      <c r="N258" s="3">
        <f t="shared" si="18"/>
        <v>74.73</v>
      </c>
      <c r="O258" s="3">
        <f t="shared" si="19"/>
        <v>149.72</v>
      </c>
      <c r="P258" s="2"/>
      <c r="Q258" s="5"/>
    </row>
    <row r="259" spans="1:17">
      <c r="A259" s="2">
        <f t="shared" ref="A259:A322" si="20">COUNTIFS($C$3:$C$1025,"&lt;&gt;大数据",$O$3:$O$1025,"&gt;"&amp;O259)+1</f>
        <v>257</v>
      </c>
      <c r="B259" s="2">
        <f t="shared" ref="B259:B322" si="21">COUNTIFS($C$3:$C$1025,C259,$O$3:$O$1025,"&gt;"&amp;O259)+1</f>
        <v>100</v>
      </c>
      <c r="C259" s="2" t="s">
        <v>20</v>
      </c>
      <c r="D259" s="2" t="s">
        <v>164</v>
      </c>
      <c r="E259" s="2" t="s">
        <v>573</v>
      </c>
      <c r="F259" s="2" t="s">
        <v>574</v>
      </c>
      <c r="G259" s="3">
        <v>9.8000000000000007</v>
      </c>
      <c r="H259" s="3">
        <v>68.459999999999994</v>
      </c>
      <c r="I259" s="3">
        <v>3.3</v>
      </c>
      <c r="J259" s="3">
        <f t="shared" ref="J259:J322" si="22">ROUND(SUM(G259:I259),2)</f>
        <v>81.56</v>
      </c>
      <c r="K259" s="3">
        <v>9.4</v>
      </c>
      <c r="L259" s="3">
        <v>55.11</v>
      </c>
      <c r="M259" s="3">
        <v>3.5</v>
      </c>
      <c r="N259" s="3">
        <f t="shared" ref="N259:N322" si="23">ROUND(SUM(K259:M259),2)</f>
        <v>68.010000000000005</v>
      </c>
      <c r="O259" s="3">
        <f t="shared" ref="O259:O322" si="24">ROUND(SUM(J259,N259),2)</f>
        <v>149.57</v>
      </c>
      <c r="P259" s="2"/>
      <c r="Q259" s="5"/>
    </row>
    <row r="260" spans="1:17">
      <c r="A260" s="2">
        <f t="shared" si="20"/>
        <v>258</v>
      </c>
      <c r="B260" s="2">
        <f t="shared" si="21"/>
        <v>101</v>
      </c>
      <c r="C260" s="2" t="s">
        <v>20</v>
      </c>
      <c r="D260" s="2" t="s">
        <v>36</v>
      </c>
      <c r="E260" s="2" t="s">
        <v>575</v>
      </c>
      <c r="F260" s="2" t="s">
        <v>576</v>
      </c>
      <c r="G260" s="3">
        <v>10.3</v>
      </c>
      <c r="H260" s="3">
        <v>59.33</v>
      </c>
      <c r="I260" s="3">
        <v>4</v>
      </c>
      <c r="J260" s="3">
        <f t="shared" si="22"/>
        <v>73.63</v>
      </c>
      <c r="K260" s="3">
        <v>9.8000000000000007</v>
      </c>
      <c r="L260" s="3">
        <v>60.91</v>
      </c>
      <c r="M260" s="3">
        <v>5.2</v>
      </c>
      <c r="N260" s="3">
        <f t="shared" si="23"/>
        <v>75.91</v>
      </c>
      <c r="O260" s="3">
        <f t="shared" si="24"/>
        <v>149.54</v>
      </c>
      <c r="P260" s="2"/>
      <c r="Q260" s="5"/>
    </row>
    <row r="261" spans="1:17">
      <c r="A261" s="2">
        <f t="shared" si="20"/>
        <v>259</v>
      </c>
      <c r="B261" s="2">
        <f t="shared" si="21"/>
        <v>102</v>
      </c>
      <c r="C261" s="2" t="s">
        <v>20</v>
      </c>
      <c r="D261" s="2" t="s">
        <v>29</v>
      </c>
      <c r="E261" s="2" t="s">
        <v>577</v>
      </c>
      <c r="F261" s="2" t="s">
        <v>578</v>
      </c>
      <c r="G261" s="3">
        <v>13.3</v>
      </c>
      <c r="H261" s="3">
        <v>56.69</v>
      </c>
      <c r="I261" s="3">
        <v>4</v>
      </c>
      <c r="J261" s="3">
        <f t="shared" si="22"/>
        <v>73.989999999999995</v>
      </c>
      <c r="K261" s="3">
        <v>11.8</v>
      </c>
      <c r="L261" s="3">
        <v>58.68</v>
      </c>
      <c r="M261" s="3">
        <v>5.05</v>
      </c>
      <c r="N261" s="3">
        <f t="shared" si="23"/>
        <v>75.53</v>
      </c>
      <c r="O261" s="3">
        <f t="shared" si="24"/>
        <v>149.52000000000001</v>
      </c>
      <c r="P261" s="4" t="s">
        <v>579</v>
      </c>
      <c r="Q261" s="5"/>
    </row>
    <row r="262" spans="1:17">
      <c r="A262" s="2">
        <f t="shared" si="20"/>
        <v>260</v>
      </c>
      <c r="B262" s="2">
        <f t="shared" si="21"/>
        <v>63</v>
      </c>
      <c r="C262" s="2" t="s">
        <v>45</v>
      </c>
      <c r="D262" s="2" t="s">
        <v>89</v>
      </c>
      <c r="E262" s="2" t="s">
        <v>580</v>
      </c>
      <c r="F262" s="2" t="s">
        <v>581</v>
      </c>
      <c r="G262" s="3">
        <v>11</v>
      </c>
      <c r="H262" s="3">
        <v>55.82</v>
      </c>
      <c r="I262" s="3">
        <v>4.9000000000000004</v>
      </c>
      <c r="J262" s="3">
        <f t="shared" si="22"/>
        <v>71.72</v>
      </c>
      <c r="K262" s="3">
        <v>10</v>
      </c>
      <c r="L262" s="3">
        <v>62.64</v>
      </c>
      <c r="M262" s="3">
        <v>5.15</v>
      </c>
      <c r="N262" s="3">
        <f t="shared" si="23"/>
        <v>77.790000000000006</v>
      </c>
      <c r="O262" s="3">
        <f t="shared" si="24"/>
        <v>149.51</v>
      </c>
      <c r="P262" s="2"/>
      <c r="Q262" s="5"/>
    </row>
    <row r="263" spans="1:17">
      <c r="A263" s="2">
        <f t="shared" si="20"/>
        <v>261</v>
      </c>
      <c r="B263" s="2">
        <f t="shared" si="21"/>
        <v>38</v>
      </c>
      <c r="C263" s="2" t="s">
        <v>15</v>
      </c>
      <c r="D263" s="2" t="s">
        <v>39</v>
      </c>
      <c r="E263" s="2" t="s">
        <v>582</v>
      </c>
      <c r="F263" s="2" t="s">
        <v>583</v>
      </c>
      <c r="G263" s="3">
        <v>9.8000000000000007</v>
      </c>
      <c r="H263" s="3">
        <v>65.06</v>
      </c>
      <c r="I263" s="3">
        <v>4</v>
      </c>
      <c r="J263" s="3">
        <f t="shared" si="22"/>
        <v>78.86</v>
      </c>
      <c r="K263" s="3">
        <v>8.3000000000000007</v>
      </c>
      <c r="L263" s="3">
        <v>58.49</v>
      </c>
      <c r="M263" s="3">
        <v>3.8</v>
      </c>
      <c r="N263" s="3">
        <f t="shared" si="23"/>
        <v>70.59</v>
      </c>
      <c r="O263" s="3">
        <f t="shared" si="24"/>
        <v>149.44999999999999</v>
      </c>
      <c r="P263" s="2"/>
      <c r="Q263" s="5"/>
    </row>
    <row r="264" spans="1:17">
      <c r="A264" s="2">
        <f t="shared" si="20"/>
        <v>262</v>
      </c>
      <c r="B264" s="2">
        <f t="shared" si="21"/>
        <v>59</v>
      </c>
      <c r="C264" s="2" t="s">
        <v>24</v>
      </c>
      <c r="D264" s="2" t="s">
        <v>58</v>
      </c>
      <c r="E264" s="2" t="s">
        <v>584</v>
      </c>
      <c r="F264" s="2" t="s">
        <v>585</v>
      </c>
      <c r="G264" s="3">
        <v>9.8000000000000007</v>
      </c>
      <c r="H264" s="3">
        <v>59.817073170731703</v>
      </c>
      <c r="I264" s="3">
        <v>5.5</v>
      </c>
      <c r="J264" s="3">
        <f t="shared" si="22"/>
        <v>75.12</v>
      </c>
      <c r="K264" s="3">
        <v>9.8000000000000007</v>
      </c>
      <c r="L264" s="3">
        <v>60.4</v>
      </c>
      <c r="M264" s="3">
        <v>4</v>
      </c>
      <c r="N264" s="3">
        <f t="shared" si="23"/>
        <v>74.2</v>
      </c>
      <c r="O264" s="3">
        <f t="shared" si="24"/>
        <v>149.32</v>
      </c>
      <c r="P264" s="2"/>
      <c r="Q264" s="5"/>
    </row>
    <row r="265" spans="1:17">
      <c r="A265" s="2">
        <f t="shared" si="20"/>
        <v>263</v>
      </c>
      <c r="B265" s="2">
        <f t="shared" si="21"/>
        <v>103</v>
      </c>
      <c r="C265" s="2" t="s">
        <v>20</v>
      </c>
      <c r="D265" s="2" t="s">
        <v>32</v>
      </c>
      <c r="E265" s="2" t="s">
        <v>586</v>
      </c>
      <c r="F265" s="2" t="s">
        <v>587</v>
      </c>
      <c r="G265" s="3">
        <v>10.6</v>
      </c>
      <c r="H265" s="3">
        <v>60</v>
      </c>
      <c r="I265" s="3">
        <v>4.4000000000000004</v>
      </c>
      <c r="J265" s="3">
        <f t="shared" si="22"/>
        <v>75</v>
      </c>
      <c r="K265" s="3">
        <v>9.8000000000000007</v>
      </c>
      <c r="L265" s="3">
        <v>59.61</v>
      </c>
      <c r="M265" s="3">
        <v>4.9000000000000004</v>
      </c>
      <c r="N265" s="3">
        <f t="shared" si="23"/>
        <v>74.31</v>
      </c>
      <c r="O265" s="3">
        <f t="shared" si="24"/>
        <v>149.31</v>
      </c>
      <c r="P265" s="2"/>
      <c r="Q265" s="5"/>
    </row>
    <row r="266" spans="1:17">
      <c r="A266" s="2">
        <f t="shared" si="20"/>
        <v>264</v>
      </c>
      <c r="B266" s="2">
        <f t="shared" si="21"/>
        <v>39</v>
      </c>
      <c r="C266" s="2" t="s">
        <v>15</v>
      </c>
      <c r="D266" s="2" t="s">
        <v>181</v>
      </c>
      <c r="E266" s="2" t="s">
        <v>588</v>
      </c>
      <c r="F266" s="2" t="s">
        <v>589</v>
      </c>
      <c r="G266" s="3">
        <v>9.8000000000000007</v>
      </c>
      <c r="H266" s="3">
        <v>61.03</v>
      </c>
      <c r="I266" s="3">
        <v>4.9000000000000004</v>
      </c>
      <c r="J266" s="3">
        <f t="shared" si="22"/>
        <v>75.73</v>
      </c>
      <c r="K266" s="3">
        <v>7.3000000000000007</v>
      </c>
      <c r="L266" s="3">
        <v>61.29</v>
      </c>
      <c r="M266" s="3">
        <v>4.9000000000000004</v>
      </c>
      <c r="N266" s="3">
        <f t="shared" si="23"/>
        <v>73.489999999999995</v>
      </c>
      <c r="O266" s="3">
        <f t="shared" si="24"/>
        <v>149.22</v>
      </c>
      <c r="P266" s="2"/>
      <c r="Q266" s="5"/>
    </row>
    <row r="267" spans="1:17">
      <c r="A267" s="2">
        <f t="shared" si="20"/>
        <v>265</v>
      </c>
      <c r="B267" s="2">
        <f t="shared" si="21"/>
        <v>60</v>
      </c>
      <c r="C267" s="2" t="s">
        <v>24</v>
      </c>
      <c r="D267" s="2" t="s">
        <v>76</v>
      </c>
      <c r="E267" s="2" t="s">
        <v>590</v>
      </c>
      <c r="F267" s="2" t="s">
        <v>591</v>
      </c>
      <c r="G267" s="3">
        <v>9.8000000000000007</v>
      </c>
      <c r="H267" s="3">
        <v>61.365853658536601</v>
      </c>
      <c r="I267" s="3">
        <v>5.4</v>
      </c>
      <c r="J267" s="3">
        <f t="shared" si="22"/>
        <v>76.569999999999993</v>
      </c>
      <c r="K267" s="3">
        <v>9</v>
      </c>
      <c r="L267" s="3">
        <v>57.91</v>
      </c>
      <c r="M267" s="3">
        <v>5.7</v>
      </c>
      <c r="N267" s="3">
        <f t="shared" si="23"/>
        <v>72.61</v>
      </c>
      <c r="O267" s="3">
        <f t="shared" si="24"/>
        <v>149.18</v>
      </c>
      <c r="P267" s="2"/>
      <c r="Q267" s="5"/>
    </row>
    <row r="268" spans="1:17">
      <c r="A268" s="2">
        <f t="shared" si="20"/>
        <v>266</v>
      </c>
      <c r="B268" s="2">
        <f t="shared" si="21"/>
        <v>64</v>
      </c>
      <c r="C268" s="2" t="s">
        <v>45</v>
      </c>
      <c r="D268" s="2" t="s">
        <v>89</v>
      </c>
      <c r="E268" s="2" t="s">
        <v>592</v>
      </c>
      <c r="F268" s="2" t="s">
        <v>593</v>
      </c>
      <c r="G268" s="3">
        <v>9.8000000000000007</v>
      </c>
      <c r="H268" s="3">
        <v>64.09</v>
      </c>
      <c r="I268" s="3">
        <v>4.5</v>
      </c>
      <c r="J268" s="3">
        <f t="shared" si="22"/>
        <v>78.39</v>
      </c>
      <c r="K268" s="3">
        <v>9.8000000000000007</v>
      </c>
      <c r="L268" s="3">
        <v>57.96</v>
      </c>
      <c r="M268" s="3">
        <v>3</v>
      </c>
      <c r="N268" s="3">
        <f t="shared" si="23"/>
        <v>70.760000000000005</v>
      </c>
      <c r="O268" s="3">
        <f t="shared" si="24"/>
        <v>149.15</v>
      </c>
      <c r="P268" s="4" t="s">
        <v>130</v>
      </c>
      <c r="Q268" s="5"/>
    </row>
    <row r="269" spans="1:17">
      <c r="A269" s="2">
        <f t="shared" si="20"/>
        <v>267</v>
      </c>
      <c r="B269" s="2">
        <f t="shared" si="21"/>
        <v>65</v>
      </c>
      <c r="C269" s="2" t="s">
        <v>45</v>
      </c>
      <c r="D269" s="2" t="s">
        <v>96</v>
      </c>
      <c r="E269" s="2" t="s">
        <v>594</v>
      </c>
      <c r="F269" s="2" t="s">
        <v>595</v>
      </c>
      <c r="G269" s="3">
        <v>9.8000000000000007</v>
      </c>
      <c r="H269" s="3">
        <v>64.42</v>
      </c>
      <c r="I269" s="3">
        <v>4.3</v>
      </c>
      <c r="J269" s="3">
        <f t="shared" si="22"/>
        <v>78.52</v>
      </c>
      <c r="K269" s="3">
        <v>7.5</v>
      </c>
      <c r="L269" s="3">
        <v>58.63</v>
      </c>
      <c r="M269" s="3">
        <v>4.45</v>
      </c>
      <c r="N269" s="3">
        <f t="shared" si="23"/>
        <v>70.58</v>
      </c>
      <c r="O269" s="3">
        <f t="shared" si="24"/>
        <v>149.1</v>
      </c>
      <c r="P269" s="2"/>
      <c r="Q269" s="5"/>
    </row>
    <row r="270" spans="1:17">
      <c r="A270" s="2">
        <f t="shared" si="20"/>
        <v>268</v>
      </c>
      <c r="B270" s="2">
        <f t="shared" si="21"/>
        <v>104</v>
      </c>
      <c r="C270" s="2" t="s">
        <v>20</v>
      </c>
      <c r="D270" s="2" t="s">
        <v>164</v>
      </c>
      <c r="E270" s="2" t="s">
        <v>596</v>
      </c>
      <c r="F270" s="2" t="s">
        <v>597</v>
      </c>
      <c r="G270" s="3">
        <v>9.8000000000000007</v>
      </c>
      <c r="H270" s="3">
        <v>62.8</v>
      </c>
      <c r="I270" s="3">
        <v>3</v>
      </c>
      <c r="J270" s="3">
        <f t="shared" si="22"/>
        <v>75.599999999999994</v>
      </c>
      <c r="K270" s="3">
        <v>9.8000000000000007</v>
      </c>
      <c r="L270" s="3">
        <v>60.19</v>
      </c>
      <c r="M270" s="3">
        <v>3.5</v>
      </c>
      <c r="N270" s="3">
        <f t="shared" si="23"/>
        <v>73.489999999999995</v>
      </c>
      <c r="O270" s="3">
        <f t="shared" si="24"/>
        <v>149.09</v>
      </c>
      <c r="P270" s="4" t="s">
        <v>72</v>
      </c>
      <c r="Q270" s="5"/>
    </row>
    <row r="271" spans="1:17">
      <c r="A271" s="2">
        <f t="shared" si="20"/>
        <v>269</v>
      </c>
      <c r="B271" s="2">
        <f t="shared" si="21"/>
        <v>66</v>
      </c>
      <c r="C271" s="2" t="s">
        <v>45</v>
      </c>
      <c r="D271" s="2" t="s">
        <v>220</v>
      </c>
      <c r="E271" s="2" t="s">
        <v>598</v>
      </c>
      <c r="F271" s="2" t="s">
        <v>599</v>
      </c>
      <c r="G271" s="3">
        <v>9.8000000000000007</v>
      </c>
      <c r="H271" s="3">
        <v>61.77</v>
      </c>
      <c r="I271" s="3">
        <v>4.4000000000000004</v>
      </c>
      <c r="J271" s="3">
        <f t="shared" si="22"/>
        <v>75.97</v>
      </c>
      <c r="K271" s="3">
        <v>9.8000000000000007</v>
      </c>
      <c r="L271" s="3">
        <v>58.81</v>
      </c>
      <c r="M271" s="3">
        <v>4.5</v>
      </c>
      <c r="N271" s="3">
        <f t="shared" si="23"/>
        <v>73.11</v>
      </c>
      <c r="O271" s="3">
        <f t="shared" si="24"/>
        <v>149.08000000000001</v>
      </c>
      <c r="P271" s="4" t="s">
        <v>130</v>
      </c>
      <c r="Q271" s="5"/>
    </row>
    <row r="272" spans="1:17">
      <c r="A272" s="2">
        <f t="shared" si="20"/>
        <v>270</v>
      </c>
      <c r="B272" s="2">
        <f t="shared" si="21"/>
        <v>67</v>
      </c>
      <c r="C272" s="2" t="s">
        <v>45</v>
      </c>
      <c r="D272" s="2" t="s">
        <v>96</v>
      </c>
      <c r="E272" s="2" t="s">
        <v>600</v>
      </c>
      <c r="F272" s="2" t="s">
        <v>601</v>
      </c>
      <c r="G272" s="3">
        <v>11.3</v>
      </c>
      <c r="H272" s="3">
        <v>61.02</v>
      </c>
      <c r="I272" s="3">
        <v>4</v>
      </c>
      <c r="J272" s="3">
        <f t="shared" si="22"/>
        <v>76.319999999999993</v>
      </c>
      <c r="K272" s="3">
        <v>12.3</v>
      </c>
      <c r="L272" s="3">
        <v>51.53</v>
      </c>
      <c r="M272" s="3">
        <v>8.9</v>
      </c>
      <c r="N272" s="3">
        <f t="shared" si="23"/>
        <v>72.73</v>
      </c>
      <c r="O272" s="3">
        <f t="shared" si="24"/>
        <v>149.05000000000001</v>
      </c>
      <c r="P272" s="2"/>
      <c r="Q272" s="5"/>
    </row>
    <row r="273" spans="1:17">
      <c r="A273" s="2">
        <f t="shared" si="20"/>
        <v>271</v>
      </c>
      <c r="B273" s="2">
        <f t="shared" si="21"/>
        <v>68</v>
      </c>
      <c r="C273" s="2" t="s">
        <v>45</v>
      </c>
      <c r="D273" s="2" t="s">
        <v>232</v>
      </c>
      <c r="E273" s="2" t="s">
        <v>602</v>
      </c>
      <c r="F273" s="2" t="s">
        <v>603</v>
      </c>
      <c r="G273" s="3">
        <v>9.8000000000000007</v>
      </c>
      <c r="H273" s="3">
        <v>63.71</v>
      </c>
      <c r="I273" s="3">
        <v>4.2</v>
      </c>
      <c r="J273" s="3">
        <f t="shared" si="22"/>
        <v>77.709999999999994</v>
      </c>
      <c r="K273" s="3">
        <v>9.8000000000000007</v>
      </c>
      <c r="L273" s="3">
        <v>56.37</v>
      </c>
      <c r="M273" s="3">
        <v>5.0999999999999996</v>
      </c>
      <c r="N273" s="3">
        <f t="shared" si="23"/>
        <v>71.27</v>
      </c>
      <c r="O273" s="3">
        <f t="shared" si="24"/>
        <v>148.97999999999999</v>
      </c>
      <c r="P273" s="2"/>
      <c r="Q273" s="5"/>
    </row>
    <row r="274" spans="1:17">
      <c r="A274" s="2">
        <f t="shared" si="20"/>
        <v>272</v>
      </c>
      <c r="B274" s="2">
        <f t="shared" si="21"/>
        <v>105</v>
      </c>
      <c r="C274" s="2" t="s">
        <v>20</v>
      </c>
      <c r="D274" s="2" t="s">
        <v>21</v>
      </c>
      <c r="E274" s="2" t="s">
        <v>604</v>
      </c>
      <c r="F274" s="2" t="s">
        <v>605</v>
      </c>
      <c r="G274" s="3">
        <v>10</v>
      </c>
      <c r="H274" s="3">
        <v>62.45</v>
      </c>
      <c r="I274" s="3">
        <v>3</v>
      </c>
      <c r="J274" s="3">
        <f t="shared" si="22"/>
        <v>75.45</v>
      </c>
      <c r="K274" s="3">
        <v>9.8000000000000007</v>
      </c>
      <c r="L274" s="3">
        <v>60.19</v>
      </c>
      <c r="M274" s="3">
        <v>3.5</v>
      </c>
      <c r="N274" s="3">
        <f t="shared" si="23"/>
        <v>73.489999999999995</v>
      </c>
      <c r="O274" s="3">
        <f t="shared" si="24"/>
        <v>148.94</v>
      </c>
      <c r="P274" s="2"/>
      <c r="Q274" s="5"/>
    </row>
    <row r="275" spans="1:17">
      <c r="A275" s="2">
        <f t="shared" si="20"/>
        <v>273</v>
      </c>
      <c r="B275" s="2">
        <f t="shared" si="21"/>
        <v>106</v>
      </c>
      <c r="C275" s="2" t="s">
        <v>20</v>
      </c>
      <c r="D275" s="2" t="s">
        <v>29</v>
      </c>
      <c r="E275" s="2" t="s">
        <v>606</v>
      </c>
      <c r="F275" s="2" t="s">
        <v>607</v>
      </c>
      <c r="G275" s="3">
        <v>9.8000000000000007</v>
      </c>
      <c r="H275" s="3">
        <v>60.52</v>
      </c>
      <c r="I275" s="3">
        <v>3.4</v>
      </c>
      <c r="J275" s="3">
        <f t="shared" si="22"/>
        <v>73.72</v>
      </c>
      <c r="K275" s="3">
        <v>9.8000000000000007</v>
      </c>
      <c r="L275" s="3">
        <v>59.88</v>
      </c>
      <c r="M275" s="3">
        <v>5.4</v>
      </c>
      <c r="N275" s="3">
        <f t="shared" si="23"/>
        <v>75.08</v>
      </c>
      <c r="O275" s="3">
        <f t="shared" si="24"/>
        <v>148.80000000000001</v>
      </c>
      <c r="P275" s="2"/>
      <c r="Q275" s="5"/>
    </row>
    <row r="276" spans="1:17">
      <c r="A276" s="2">
        <f t="shared" si="20"/>
        <v>274</v>
      </c>
      <c r="B276" s="2">
        <f t="shared" si="21"/>
        <v>61</v>
      </c>
      <c r="C276" s="2" t="s">
        <v>24</v>
      </c>
      <c r="D276" s="2" t="s">
        <v>25</v>
      </c>
      <c r="E276" s="2" t="s">
        <v>608</v>
      </c>
      <c r="F276" s="2" t="s">
        <v>609</v>
      </c>
      <c r="G276" s="3">
        <v>11.6</v>
      </c>
      <c r="H276" s="3">
        <v>62.433333333333302</v>
      </c>
      <c r="I276" s="3">
        <v>3.2</v>
      </c>
      <c r="J276" s="3">
        <f t="shared" si="22"/>
        <v>77.23</v>
      </c>
      <c r="K276" s="3">
        <v>12</v>
      </c>
      <c r="L276" s="3">
        <v>56.04</v>
      </c>
      <c r="M276" s="3">
        <v>3.5</v>
      </c>
      <c r="N276" s="3">
        <f t="shared" si="23"/>
        <v>71.540000000000006</v>
      </c>
      <c r="O276" s="3">
        <f t="shared" si="24"/>
        <v>148.77000000000001</v>
      </c>
      <c r="P276" s="2"/>
      <c r="Q276" s="5"/>
    </row>
    <row r="277" spans="1:17">
      <c r="A277" s="2">
        <f t="shared" si="20"/>
        <v>274</v>
      </c>
      <c r="B277" s="2">
        <f t="shared" si="21"/>
        <v>69</v>
      </c>
      <c r="C277" s="2" t="s">
        <v>45</v>
      </c>
      <c r="D277" s="2" t="s">
        <v>96</v>
      </c>
      <c r="E277" s="2" t="s">
        <v>610</v>
      </c>
      <c r="F277" s="2" t="s">
        <v>611</v>
      </c>
      <c r="G277" s="3">
        <v>9.8000000000000007</v>
      </c>
      <c r="H277" s="3">
        <v>62.86</v>
      </c>
      <c r="I277" s="3">
        <v>3.6</v>
      </c>
      <c r="J277" s="3">
        <f t="shared" si="22"/>
        <v>76.260000000000005</v>
      </c>
      <c r="K277" s="3">
        <v>7.3000000000000007</v>
      </c>
      <c r="L277" s="3">
        <v>60.91</v>
      </c>
      <c r="M277" s="3">
        <v>4.3</v>
      </c>
      <c r="N277" s="3">
        <f t="shared" si="23"/>
        <v>72.510000000000005</v>
      </c>
      <c r="O277" s="3">
        <f t="shared" si="24"/>
        <v>148.77000000000001</v>
      </c>
      <c r="P277" s="2"/>
      <c r="Q277" s="5"/>
    </row>
    <row r="278" spans="1:17">
      <c r="A278" s="2">
        <f t="shared" si="20"/>
        <v>276</v>
      </c>
      <c r="B278" s="2">
        <f t="shared" si="21"/>
        <v>62</v>
      </c>
      <c r="C278" s="2" t="s">
        <v>24</v>
      </c>
      <c r="D278" s="2" t="s">
        <v>49</v>
      </c>
      <c r="E278" s="2" t="s">
        <v>612</v>
      </c>
      <c r="F278" s="2" t="s">
        <v>613</v>
      </c>
      <c r="G278" s="3">
        <v>9.8000000000000007</v>
      </c>
      <c r="H278" s="3">
        <v>60.634146341463399</v>
      </c>
      <c r="I278" s="3">
        <v>3.5</v>
      </c>
      <c r="J278" s="3">
        <f t="shared" si="22"/>
        <v>73.930000000000007</v>
      </c>
      <c r="K278" s="3">
        <v>9.8000000000000007</v>
      </c>
      <c r="L278" s="3">
        <v>61.01</v>
      </c>
      <c r="M278" s="3">
        <v>4</v>
      </c>
      <c r="N278" s="3">
        <f t="shared" si="23"/>
        <v>74.81</v>
      </c>
      <c r="O278" s="3">
        <f t="shared" si="24"/>
        <v>148.74</v>
      </c>
      <c r="P278" s="2"/>
      <c r="Q278" s="5"/>
    </row>
    <row r="279" spans="1:17">
      <c r="A279" s="2">
        <f t="shared" si="20"/>
        <v>277</v>
      </c>
      <c r="B279" s="2">
        <f t="shared" si="21"/>
        <v>63</v>
      </c>
      <c r="C279" s="2" t="s">
        <v>24</v>
      </c>
      <c r="D279" s="2" t="s">
        <v>49</v>
      </c>
      <c r="E279" s="2" t="s">
        <v>614</v>
      </c>
      <c r="F279" s="2" t="s">
        <v>615</v>
      </c>
      <c r="G279" s="3">
        <v>9.8000000000000007</v>
      </c>
      <c r="H279" s="3">
        <v>60.4</v>
      </c>
      <c r="I279" s="3">
        <v>3.4</v>
      </c>
      <c r="J279" s="3">
        <f t="shared" si="22"/>
        <v>73.599999999999994</v>
      </c>
      <c r="K279" s="3">
        <v>9</v>
      </c>
      <c r="L279" s="3">
        <v>62.38</v>
      </c>
      <c r="M279" s="3">
        <v>3.7</v>
      </c>
      <c r="N279" s="3">
        <f t="shared" si="23"/>
        <v>75.08</v>
      </c>
      <c r="O279" s="3">
        <f t="shared" si="24"/>
        <v>148.68</v>
      </c>
      <c r="P279" s="2"/>
      <c r="Q279" s="5"/>
    </row>
    <row r="280" spans="1:17">
      <c r="A280" s="2">
        <f t="shared" si="20"/>
        <v>278</v>
      </c>
      <c r="B280" s="2">
        <f t="shared" si="21"/>
        <v>70</v>
      </c>
      <c r="C280" s="2" t="s">
        <v>45</v>
      </c>
      <c r="D280" s="2" t="s">
        <v>89</v>
      </c>
      <c r="E280" s="2" t="s">
        <v>616</v>
      </c>
      <c r="F280" s="2" t="s">
        <v>617</v>
      </c>
      <c r="G280" s="3">
        <v>10.8</v>
      </c>
      <c r="H280" s="3">
        <v>60.6</v>
      </c>
      <c r="I280" s="3">
        <v>3</v>
      </c>
      <c r="J280" s="3">
        <f t="shared" si="22"/>
        <v>74.400000000000006</v>
      </c>
      <c r="K280" s="3">
        <v>9.8000000000000007</v>
      </c>
      <c r="L280" s="3">
        <v>59.42</v>
      </c>
      <c r="M280" s="3">
        <v>5</v>
      </c>
      <c r="N280" s="3">
        <f t="shared" si="23"/>
        <v>74.22</v>
      </c>
      <c r="O280" s="3">
        <f t="shared" si="24"/>
        <v>148.62</v>
      </c>
      <c r="P280" s="2"/>
      <c r="Q280" s="5"/>
    </row>
    <row r="281" spans="1:17">
      <c r="A281" s="2">
        <f t="shared" si="20"/>
        <v>279</v>
      </c>
      <c r="B281" s="2">
        <f t="shared" si="21"/>
        <v>107</v>
      </c>
      <c r="C281" s="2" t="s">
        <v>20</v>
      </c>
      <c r="D281" s="2" t="s">
        <v>42</v>
      </c>
      <c r="E281" s="2" t="s">
        <v>618</v>
      </c>
      <c r="F281" s="2" t="s">
        <v>619</v>
      </c>
      <c r="G281" s="3">
        <v>9.8000000000000007</v>
      </c>
      <c r="H281" s="3">
        <v>57.766666666666701</v>
      </c>
      <c r="I281" s="3">
        <v>4</v>
      </c>
      <c r="J281" s="3">
        <f t="shared" si="22"/>
        <v>71.569999999999993</v>
      </c>
      <c r="K281" s="3">
        <v>11.3</v>
      </c>
      <c r="L281" s="3">
        <v>58.2</v>
      </c>
      <c r="M281" s="3">
        <v>7.5</v>
      </c>
      <c r="N281" s="3">
        <f t="shared" si="23"/>
        <v>77</v>
      </c>
      <c r="O281" s="3">
        <f t="shared" si="24"/>
        <v>148.57</v>
      </c>
      <c r="P281" s="2"/>
      <c r="Q281" s="5"/>
    </row>
    <row r="282" spans="1:17">
      <c r="A282" s="2">
        <f t="shared" si="20"/>
        <v>280</v>
      </c>
      <c r="B282" s="2">
        <f t="shared" si="21"/>
        <v>64</v>
      </c>
      <c r="C282" s="2" t="s">
        <v>24</v>
      </c>
      <c r="D282" s="2" t="s">
        <v>49</v>
      </c>
      <c r="E282" s="2" t="s">
        <v>620</v>
      </c>
      <c r="F282" s="2" t="s">
        <v>621</v>
      </c>
      <c r="G282" s="3">
        <v>10.8</v>
      </c>
      <c r="H282" s="3">
        <v>61.914634146341498</v>
      </c>
      <c r="I282" s="3">
        <v>4.5999999999999996</v>
      </c>
      <c r="J282" s="3">
        <f t="shared" si="22"/>
        <v>77.31</v>
      </c>
      <c r="K282" s="3">
        <v>9.8000000000000007</v>
      </c>
      <c r="L282" s="3">
        <v>56.72</v>
      </c>
      <c r="M282" s="3">
        <v>4.7</v>
      </c>
      <c r="N282" s="3">
        <f t="shared" si="23"/>
        <v>71.22</v>
      </c>
      <c r="O282" s="3">
        <f t="shared" si="24"/>
        <v>148.53</v>
      </c>
      <c r="P282" s="2"/>
      <c r="Q282" s="5"/>
    </row>
    <row r="283" spans="1:17">
      <c r="A283" s="2">
        <f t="shared" si="20"/>
        <v>281</v>
      </c>
      <c r="B283" s="2">
        <f t="shared" si="21"/>
        <v>71</v>
      </c>
      <c r="C283" s="2" t="s">
        <v>45</v>
      </c>
      <c r="D283" s="2" t="s">
        <v>232</v>
      </c>
      <c r="E283" s="2" t="s">
        <v>622</v>
      </c>
      <c r="F283" s="2" t="s">
        <v>623</v>
      </c>
      <c r="G283" s="3">
        <v>10</v>
      </c>
      <c r="H283" s="3">
        <v>63.54</v>
      </c>
      <c r="I283" s="3">
        <v>4.2</v>
      </c>
      <c r="J283" s="3">
        <f t="shared" si="22"/>
        <v>77.739999999999995</v>
      </c>
      <c r="K283" s="3">
        <v>7.3000000000000007</v>
      </c>
      <c r="L283" s="3">
        <v>58.37</v>
      </c>
      <c r="M283" s="3">
        <v>5.0999999999999996</v>
      </c>
      <c r="N283" s="3">
        <f t="shared" si="23"/>
        <v>70.77</v>
      </c>
      <c r="O283" s="3">
        <f t="shared" si="24"/>
        <v>148.51</v>
      </c>
      <c r="P283" s="2"/>
      <c r="Q283" s="5"/>
    </row>
    <row r="284" spans="1:17">
      <c r="A284" s="2">
        <f t="shared" si="20"/>
        <v>282</v>
      </c>
      <c r="B284" s="2">
        <f t="shared" si="21"/>
        <v>72</v>
      </c>
      <c r="C284" s="2" t="s">
        <v>45</v>
      </c>
      <c r="D284" s="2" t="s">
        <v>109</v>
      </c>
      <c r="E284" s="2" t="s">
        <v>624</v>
      </c>
      <c r="F284" s="2" t="s">
        <v>625</v>
      </c>
      <c r="G284" s="3">
        <v>9.8000000000000007</v>
      </c>
      <c r="H284" s="3">
        <v>64.959999999999994</v>
      </c>
      <c r="I284" s="3">
        <v>3.2</v>
      </c>
      <c r="J284" s="3">
        <f t="shared" si="22"/>
        <v>77.959999999999994</v>
      </c>
      <c r="K284" s="3">
        <v>9.8000000000000007</v>
      </c>
      <c r="L284" s="3">
        <v>57.21</v>
      </c>
      <c r="M284" s="3">
        <v>3.5</v>
      </c>
      <c r="N284" s="3">
        <f t="shared" si="23"/>
        <v>70.510000000000005</v>
      </c>
      <c r="O284" s="3">
        <f t="shared" si="24"/>
        <v>148.47</v>
      </c>
      <c r="P284" s="2"/>
      <c r="Q284" s="5"/>
    </row>
    <row r="285" spans="1:17">
      <c r="A285" s="2">
        <f t="shared" si="20"/>
        <v>283</v>
      </c>
      <c r="B285" s="2">
        <f t="shared" si="21"/>
        <v>73</v>
      </c>
      <c r="C285" s="2" t="s">
        <v>45</v>
      </c>
      <c r="D285" s="2" t="s">
        <v>46</v>
      </c>
      <c r="E285" s="2" t="s">
        <v>626</v>
      </c>
      <c r="F285" s="2" t="s">
        <v>627</v>
      </c>
      <c r="G285" s="3">
        <v>10</v>
      </c>
      <c r="H285" s="3">
        <v>55.92</v>
      </c>
      <c r="I285" s="3">
        <v>5.4</v>
      </c>
      <c r="J285" s="3">
        <f t="shared" si="22"/>
        <v>71.319999999999993</v>
      </c>
      <c r="K285" s="3">
        <v>10</v>
      </c>
      <c r="L285" s="3">
        <v>59.09</v>
      </c>
      <c r="M285" s="3">
        <v>8</v>
      </c>
      <c r="N285" s="3">
        <f t="shared" si="23"/>
        <v>77.09</v>
      </c>
      <c r="O285" s="3">
        <f t="shared" si="24"/>
        <v>148.41</v>
      </c>
      <c r="P285" s="2"/>
      <c r="Q285" s="5"/>
    </row>
    <row r="286" spans="1:17">
      <c r="A286" s="2">
        <f t="shared" si="20"/>
        <v>284</v>
      </c>
      <c r="B286" s="2">
        <f t="shared" si="21"/>
        <v>40</v>
      </c>
      <c r="C286" s="2" t="s">
        <v>15</v>
      </c>
      <c r="D286" s="2" t="s">
        <v>181</v>
      </c>
      <c r="E286" s="2" t="s">
        <v>628</v>
      </c>
      <c r="F286" s="2" t="s">
        <v>629</v>
      </c>
      <c r="G286" s="3">
        <v>10.8</v>
      </c>
      <c r="H286" s="3">
        <v>58.33</v>
      </c>
      <c r="I286" s="3">
        <v>4.8499999999999996</v>
      </c>
      <c r="J286" s="3">
        <f t="shared" si="22"/>
        <v>73.98</v>
      </c>
      <c r="K286" s="3">
        <v>11.3</v>
      </c>
      <c r="L286" s="3">
        <v>57.54</v>
      </c>
      <c r="M286" s="3">
        <v>5.55</v>
      </c>
      <c r="N286" s="3">
        <f t="shared" si="23"/>
        <v>74.39</v>
      </c>
      <c r="O286" s="3">
        <f t="shared" si="24"/>
        <v>148.37</v>
      </c>
      <c r="P286" s="2"/>
      <c r="Q286" s="5"/>
    </row>
    <row r="287" spans="1:17">
      <c r="A287" s="2">
        <f t="shared" si="20"/>
        <v>285</v>
      </c>
      <c r="B287" s="2">
        <f t="shared" si="21"/>
        <v>108</v>
      </c>
      <c r="C287" s="2" t="s">
        <v>20</v>
      </c>
      <c r="D287" s="2" t="s">
        <v>21</v>
      </c>
      <c r="E287" s="2" t="s">
        <v>630</v>
      </c>
      <c r="F287" s="2" t="s">
        <v>631</v>
      </c>
      <c r="G287" s="3">
        <v>9.8000000000000007</v>
      </c>
      <c r="H287" s="3">
        <v>59.87</v>
      </c>
      <c r="I287" s="3">
        <v>4</v>
      </c>
      <c r="J287" s="3">
        <f t="shared" si="22"/>
        <v>73.67</v>
      </c>
      <c r="K287" s="3">
        <v>9.8000000000000007</v>
      </c>
      <c r="L287" s="3">
        <v>61.36</v>
      </c>
      <c r="M287" s="3">
        <v>3.5</v>
      </c>
      <c r="N287" s="3">
        <f t="shared" si="23"/>
        <v>74.66</v>
      </c>
      <c r="O287" s="3">
        <f t="shared" si="24"/>
        <v>148.33000000000001</v>
      </c>
      <c r="P287" s="2"/>
      <c r="Q287" s="5"/>
    </row>
    <row r="288" spans="1:17">
      <c r="A288" s="2">
        <f t="shared" si="20"/>
        <v>286</v>
      </c>
      <c r="B288" s="2">
        <f t="shared" si="21"/>
        <v>109</v>
      </c>
      <c r="C288" s="2" t="s">
        <v>20</v>
      </c>
      <c r="D288" s="2" t="s">
        <v>29</v>
      </c>
      <c r="E288" s="2" t="s">
        <v>632</v>
      </c>
      <c r="F288" s="2" t="s">
        <v>633</v>
      </c>
      <c r="G288" s="3">
        <v>10</v>
      </c>
      <c r="H288" s="3">
        <v>60.43</v>
      </c>
      <c r="I288" s="3">
        <v>4.9000000000000004</v>
      </c>
      <c r="J288" s="3">
        <f t="shared" si="22"/>
        <v>75.33</v>
      </c>
      <c r="K288" s="3">
        <v>10</v>
      </c>
      <c r="L288" s="3">
        <v>58.41</v>
      </c>
      <c r="M288" s="3">
        <v>4.5</v>
      </c>
      <c r="N288" s="3">
        <f t="shared" si="23"/>
        <v>72.91</v>
      </c>
      <c r="O288" s="3">
        <f t="shared" si="24"/>
        <v>148.24</v>
      </c>
      <c r="P288" s="2"/>
      <c r="Q288" s="5"/>
    </row>
    <row r="289" spans="1:17">
      <c r="A289" s="2">
        <f t="shared" si="20"/>
        <v>287</v>
      </c>
      <c r="B289" s="2">
        <f t="shared" si="21"/>
        <v>74</v>
      </c>
      <c r="C289" s="2" t="s">
        <v>45</v>
      </c>
      <c r="D289" s="2" t="s">
        <v>109</v>
      </c>
      <c r="E289" s="2" t="s">
        <v>634</v>
      </c>
      <c r="F289" s="2" t="s">
        <v>635</v>
      </c>
      <c r="G289" s="3">
        <v>9.8000000000000007</v>
      </c>
      <c r="H289" s="3">
        <v>63.11</v>
      </c>
      <c r="I289" s="3">
        <v>3.6</v>
      </c>
      <c r="J289" s="3">
        <f t="shared" si="22"/>
        <v>76.510000000000005</v>
      </c>
      <c r="K289" s="3">
        <v>7.3000000000000007</v>
      </c>
      <c r="L289" s="3">
        <v>60.31</v>
      </c>
      <c r="M289" s="3">
        <v>4.0999999999999996</v>
      </c>
      <c r="N289" s="3">
        <f t="shared" si="23"/>
        <v>71.709999999999994</v>
      </c>
      <c r="O289" s="3">
        <f t="shared" si="24"/>
        <v>148.22</v>
      </c>
      <c r="P289" s="2"/>
      <c r="Q289" s="5"/>
    </row>
    <row r="290" spans="1:17">
      <c r="A290" s="2">
        <f t="shared" si="20"/>
        <v>288</v>
      </c>
      <c r="B290" s="2">
        <f t="shared" si="21"/>
        <v>110</v>
      </c>
      <c r="C290" s="2" t="s">
        <v>20</v>
      </c>
      <c r="D290" s="2" t="s">
        <v>117</v>
      </c>
      <c r="E290" s="2" t="s">
        <v>636</v>
      </c>
      <c r="F290" s="2" t="s">
        <v>637</v>
      </c>
      <c r="G290" s="3">
        <v>9.8000000000000007</v>
      </c>
      <c r="H290" s="3">
        <v>66.38</v>
      </c>
      <c r="I290" s="3">
        <v>4</v>
      </c>
      <c r="J290" s="3">
        <f t="shared" si="22"/>
        <v>80.180000000000007</v>
      </c>
      <c r="K290" s="3">
        <v>9.4</v>
      </c>
      <c r="L290" s="3">
        <v>55.56</v>
      </c>
      <c r="M290" s="3">
        <v>3</v>
      </c>
      <c r="N290" s="3">
        <f t="shared" si="23"/>
        <v>67.959999999999994</v>
      </c>
      <c r="O290" s="3">
        <f t="shared" si="24"/>
        <v>148.13999999999999</v>
      </c>
      <c r="P290" s="2"/>
      <c r="Q290" s="5"/>
    </row>
    <row r="291" spans="1:17">
      <c r="A291" s="2">
        <f t="shared" si="20"/>
        <v>289</v>
      </c>
      <c r="B291" s="2">
        <f t="shared" si="21"/>
        <v>75</v>
      </c>
      <c r="C291" s="2" t="s">
        <v>45</v>
      </c>
      <c r="D291" s="2" t="s">
        <v>46</v>
      </c>
      <c r="E291" s="2" t="s">
        <v>638</v>
      </c>
      <c r="F291" s="2" t="s">
        <v>639</v>
      </c>
      <c r="G291" s="3">
        <v>10.3</v>
      </c>
      <c r="H291" s="3">
        <v>60.92</v>
      </c>
      <c r="I291" s="3">
        <v>3</v>
      </c>
      <c r="J291" s="3">
        <f t="shared" si="22"/>
        <v>74.22</v>
      </c>
      <c r="K291" s="3">
        <v>9.8000000000000007</v>
      </c>
      <c r="L291" s="3">
        <v>60.17</v>
      </c>
      <c r="M291" s="3">
        <v>3.9</v>
      </c>
      <c r="N291" s="3">
        <f t="shared" si="23"/>
        <v>73.87</v>
      </c>
      <c r="O291" s="3">
        <f t="shared" si="24"/>
        <v>148.09</v>
      </c>
      <c r="P291" s="2"/>
      <c r="Q291" s="5"/>
    </row>
    <row r="292" spans="1:17">
      <c r="A292" s="2">
        <f t="shared" si="20"/>
        <v>290</v>
      </c>
      <c r="B292" s="2">
        <f t="shared" si="21"/>
        <v>76</v>
      </c>
      <c r="C292" s="2" t="s">
        <v>45</v>
      </c>
      <c r="D292" s="2" t="s">
        <v>232</v>
      </c>
      <c r="E292" s="2" t="s">
        <v>640</v>
      </c>
      <c r="F292" s="2" t="s">
        <v>641</v>
      </c>
      <c r="G292" s="3">
        <v>9.8000000000000007</v>
      </c>
      <c r="H292" s="3">
        <v>64.680000000000007</v>
      </c>
      <c r="I292" s="3">
        <v>3</v>
      </c>
      <c r="J292" s="3">
        <f t="shared" si="22"/>
        <v>77.48</v>
      </c>
      <c r="K292" s="3">
        <v>9.8000000000000007</v>
      </c>
      <c r="L292" s="3">
        <v>57.8</v>
      </c>
      <c r="M292" s="3">
        <v>3</v>
      </c>
      <c r="N292" s="3">
        <f t="shared" si="23"/>
        <v>70.599999999999994</v>
      </c>
      <c r="O292" s="3">
        <f t="shared" si="24"/>
        <v>148.08000000000001</v>
      </c>
      <c r="P292" s="2"/>
      <c r="Q292" s="5"/>
    </row>
    <row r="293" spans="1:17">
      <c r="A293" s="2">
        <f t="shared" si="20"/>
        <v>291</v>
      </c>
      <c r="B293" s="2">
        <f t="shared" si="21"/>
        <v>65</v>
      </c>
      <c r="C293" s="2" t="s">
        <v>24</v>
      </c>
      <c r="D293" s="2" t="s">
        <v>25</v>
      </c>
      <c r="E293" s="2" t="s">
        <v>642</v>
      </c>
      <c r="F293" s="2" t="s">
        <v>643</v>
      </c>
      <c r="G293" s="3">
        <v>9.8000000000000007</v>
      </c>
      <c r="H293" s="3">
        <v>59.378048780487802</v>
      </c>
      <c r="I293" s="3">
        <v>5.2</v>
      </c>
      <c r="J293" s="3">
        <f t="shared" si="22"/>
        <v>74.38</v>
      </c>
      <c r="K293" s="3">
        <v>9.8000000000000007</v>
      </c>
      <c r="L293" s="3">
        <v>58.18</v>
      </c>
      <c r="M293" s="3">
        <v>5.7</v>
      </c>
      <c r="N293" s="3">
        <f t="shared" si="23"/>
        <v>73.680000000000007</v>
      </c>
      <c r="O293" s="3">
        <f t="shared" si="24"/>
        <v>148.06</v>
      </c>
      <c r="P293" s="2"/>
      <c r="Q293" s="5"/>
    </row>
    <row r="294" spans="1:17">
      <c r="A294" s="2">
        <f t="shared" si="20"/>
        <v>292</v>
      </c>
      <c r="B294" s="2">
        <f t="shared" si="21"/>
        <v>77</v>
      </c>
      <c r="C294" s="2" t="s">
        <v>45</v>
      </c>
      <c r="D294" s="2" t="s">
        <v>232</v>
      </c>
      <c r="E294" s="2" t="s">
        <v>644</v>
      </c>
      <c r="F294" s="2" t="s">
        <v>645</v>
      </c>
      <c r="G294" s="3">
        <v>9.8000000000000007</v>
      </c>
      <c r="H294" s="3">
        <v>60.29</v>
      </c>
      <c r="I294" s="3">
        <v>3.8</v>
      </c>
      <c r="J294" s="3">
        <f t="shared" si="22"/>
        <v>73.89</v>
      </c>
      <c r="K294" s="3">
        <v>9.8000000000000007</v>
      </c>
      <c r="L294" s="3">
        <v>60.02</v>
      </c>
      <c r="M294" s="3">
        <v>4.3</v>
      </c>
      <c r="N294" s="3">
        <f t="shared" si="23"/>
        <v>74.12</v>
      </c>
      <c r="O294" s="3">
        <f t="shared" si="24"/>
        <v>148.01</v>
      </c>
      <c r="P294" s="2"/>
      <c r="Q294" s="5"/>
    </row>
    <row r="295" spans="1:17">
      <c r="A295" s="2">
        <f t="shared" si="20"/>
        <v>293</v>
      </c>
      <c r="B295" s="2">
        <f t="shared" si="21"/>
        <v>78</v>
      </c>
      <c r="C295" s="2" t="s">
        <v>45</v>
      </c>
      <c r="D295" s="2" t="s">
        <v>73</v>
      </c>
      <c r="E295" s="2" t="s">
        <v>646</v>
      </c>
      <c r="F295" s="2" t="s">
        <v>647</v>
      </c>
      <c r="G295" s="3">
        <v>10</v>
      </c>
      <c r="H295" s="3">
        <v>60.98</v>
      </c>
      <c r="I295" s="3">
        <v>3.8</v>
      </c>
      <c r="J295" s="3">
        <f t="shared" si="22"/>
        <v>74.78</v>
      </c>
      <c r="K295" s="3">
        <v>10</v>
      </c>
      <c r="L295" s="3">
        <v>59.66</v>
      </c>
      <c r="M295" s="3">
        <v>3.5</v>
      </c>
      <c r="N295" s="3">
        <f t="shared" si="23"/>
        <v>73.16</v>
      </c>
      <c r="O295" s="3">
        <f t="shared" si="24"/>
        <v>147.94</v>
      </c>
      <c r="P295" s="2"/>
      <c r="Q295" s="5"/>
    </row>
    <row r="296" spans="1:17">
      <c r="A296" s="2">
        <f t="shared" si="20"/>
        <v>294</v>
      </c>
      <c r="B296" s="2">
        <f t="shared" si="21"/>
        <v>79</v>
      </c>
      <c r="C296" s="2" t="s">
        <v>45</v>
      </c>
      <c r="D296" s="2" t="s">
        <v>54</v>
      </c>
      <c r="E296" s="2" t="s">
        <v>648</v>
      </c>
      <c r="F296" s="2" t="s">
        <v>649</v>
      </c>
      <c r="G296" s="3">
        <v>9.8000000000000007</v>
      </c>
      <c r="H296" s="3">
        <v>60.46</v>
      </c>
      <c r="I296" s="3">
        <v>4.5</v>
      </c>
      <c r="J296" s="3">
        <f t="shared" si="22"/>
        <v>74.760000000000005</v>
      </c>
      <c r="K296" s="3">
        <v>7.3000000000000007</v>
      </c>
      <c r="L296" s="3">
        <v>60.05</v>
      </c>
      <c r="M296" s="3">
        <v>5.8</v>
      </c>
      <c r="N296" s="3">
        <f t="shared" si="23"/>
        <v>73.150000000000006</v>
      </c>
      <c r="O296" s="3">
        <f t="shared" si="24"/>
        <v>147.91</v>
      </c>
      <c r="P296" s="2"/>
      <c r="Q296" s="5"/>
    </row>
    <row r="297" spans="1:17">
      <c r="A297" s="2">
        <f t="shared" si="20"/>
        <v>295</v>
      </c>
      <c r="B297" s="2">
        <f t="shared" si="21"/>
        <v>66</v>
      </c>
      <c r="C297" s="2" t="s">
        <v>24</v>
      </c>
      <c r="D297" s="2" t="s">
        <v>25</v>
      </c>
      <c r="E297" s="2" t="s">
        <v>650</v>
      </c>
      <c r="F297" s="2" t="s">
        <v>651</v>
      </c>
      <c r="G297" s="3">
        <v>9.8000000000000007</v>
      </c>
      <c r="H297" s="3">
        <v>60.451219512195102</v>
      </c>
      <c r="I297" s="3">
        <v>3</v>
      </c>
      <c r="J297" s="3">
        <f t="shared" si="22"/>
        <v>73.25</v>
      </c>
      <c r="K297" s="3">
        <v>9.8000000000000007</v>
      </c>
      <c r="L297" s="3">
        <v>61.32</v>
      </c>
      <c r="M297" s="3">
        <v>3.5</v>
      </c>
      <c r="N297" s="3">
        <f t="shared" si="23"/>
        <v>74.62</v>
      </c>
      <c r="O297" s="3">
        <f t="shared" si="24"/>
        <v>147.87</v>
      </c>
      <c r="P297" s="4" t="s">
        <v>421</v>
      </c>
      <c r="Q297" s="5"/>
    </row>
    <row r="298" spans="1:17">
      <c r="A298" s="2">
        <f t="shared" si="20"/>
        <v>296</v>
      </c>
      <c r="B298" s="2">
        <f t="shared" si="21"/>
        <v>80</v>
      </c>
      <c r="C298" s="2" t="s">
        <v>45</v>
      </c>
      <c r="D298" s="2" t="s">
        <v>266</v>
      </c>
      <c r="E298" s="2" t="s">
        <v>652</v>
      </c>
      <c r="F298" s="2" t="s">
        <v>653</v>
      </c>
      <c r="G298" s="3">
        <v>10.5</v>
      </c>
      <c r="H298" s="3">
        <v>61.95</v>
      </c>
      <c r="I298" s="3">
        <v>4.4000000000000004</v>
      </c>
      <c r="J298" s="3">
        <f t="shared" si="22"/>
        <v>76.849999999999994</v>
      </c>
      <c r="K298" s="3">
        <v>10</v>
      </c>
      <c r="L298" s="3">
        <v>56.69</v>
      </c>
      <c r="M298" s="3">
        <v>4.2</v>
      </c>
      <c r="N298" s="3">
        <f t="shared" si="23"/>
        <v>70.89</v>
      </c>
      <c r="O298" s="3">
        <f t="shared" si="24"/>
        <v>147.74</v>
      </c>
      <c r="P298" s="2"/>
      <c r="Q298" s="5"/>
    </row>
    <row r="299" spans="1:17">
      <c r="A299" s="2">
        <f t="shared" si="20"/>
        <v>297</v>
      </c>
      <c r="B299" s="2">
        <f t="shared" si="21"/>
        <v>111</v>
      </c>
      <c r="C299" s="2" t="s">
        <v>20</v>
      </c>
      <c r="D299" s="2" t="s">
        <v>229</v>
      </c>
      <c r="E299" s="2" t="s">
        <v>654</v>
      </c>
      <c r="F299" s="2" t="s">
        <v>655</v>
      </c>
      <c r="G299" s="3">
        <v>10.8</v>
      </c>
      <c r="H299" s="3">
        <v>58.31</v>
      </c>
      <c r="I299" s="3">
        <v>5.6</v>
      </c>
      <c r="J299" s="3">
        <f t="shared" si="22"/>
        <v>74.709999999999994</v>
      </c>
      <c r="K299" s="3">
        <v>11.3</v>
      </c>
      <c r="L299" s="3">
        <v>55.32</v>
      </c>
      <c r="M299" s="3">
        <v>6.4</v>
      </c>
      <c r="N299" s="3">
        <f t="shared" si="23"/>
        <v>73.02</v>
      </c>
      <c r="O299" s="3">
        <f t="shared" si="24"/>
        <v>147.72999999999999</v>
      </c>
      <c r="P299" s="2"/>
      <c r="Q299" s="5"/>
    </row>
    <row r="300" spans="1:17">
      <c r="A300" s="2">
        <f t="shared" si="20"/>
        <v>298</v>
      </c>
      <c r="B300" s="2">
        <f t="shared" si="21"/>
        <v>112</v>
      </c>
      <c r="C300" s="2" t="s">
        <v>20</v>
      </c>
      <c r="D300" s="2" t="s">
        <v>229</v>
      </c>
      <c r="E300" s="2" t="s">
        <v>656</v>
      </c>
      <c r="F300" s="2" t="s">
        <v>657</v>
      </c>
      <c r="G300" s="3">
        <v>9.8000000000000007</v>
      </c>
      <c r="H300" s="3">
        <v>57.69</v>
      </c>
      <c r="I300" s="3">
        <v>5.2</v>
      </c>
      <c r="J300" s="3">
        <f t="shared" si="22"/>
        <v>72.69</v>
      </c>
      <c r="K300" s="3">
        <v>10.8</v>
      </c>
      <c r="L300" s="3">
        <v>57.1</v>
      </c>
      <c r="M300" s="3">
        <v>7.1</v>
      </c>
      <c r="N300" s="3">
        <f t="shared" si="23"/>
        <v>75</v>
      </c>
      <c r="O300" s="3">
        <f t="shared" si="24"/>
        <v>147.69</v>
      </c>
      <c r="P300" s="2"/>
      <c r="Q300" s="5"/>
    </row>
    <row r="301" spans="1:17">
      <c r="A301" s="2">
        <f t="shared" si="20"/>
        <v>299</v>
      </c>
      <c r="B301" s="2">
        <f t="shared" si="21"/>
        <v>81</v>
      </c>
      <c r="C301" s="2" t="s">
        <v>45</v>
      </c>
      <c r="D301" s="2" t="s">
        <v>232</v>
      </c>
      <c r="E301" s="2" t="s">
        <v>658</v>
      </c>
      <c r="F301" s="2" t="s">
        <v>659</v>
      </c>
      <c r="G301" s="3">
        <v>10.6</v>
      </c>
      <c r="H301" s="3">
        <v>60.18</v>
      </c>
      <c r="I301" s="3">
        <v>3.2</v>
      </c>
      <c r="J301" s="3">
        <f t="shared" si="22"/>
        <v>73.98</v>
      </c>
      <c r="K301" s="3">
        <v>9.8000000000000007</v>
      </c>
      <c r="L301" s="3">
        <v>60.4</v>
      </c>
      <c r="M301" s="3">
        <v>3.5</v>
      </c>
      <c r="N301" s="3">
        <f t="shared" si="23"/>
        <v>73.7</v>
      </c>
      <c r="O301" s="3">
        <f t="shared" si="24"/>
        <v>147.68</v>
      </c>
      <c r="P301" s="2"/>
      <c r="Q301" s="5"/>
    </row>
    <row r="302" spans="1:17">
      <c r="A302" s="2">
        <f t="shared" si="20"/>
        <v>300</v>
      </c>
      <c r="B302" s="2">
        <f t="shared" si="21"/>
        <v>82</v>
      </c>
      <c r="C302" s="2" t="s">
        <v>45</v>
      </c>
      <c r="D302" s="2" t="s">
        <v>109</v>
      </c>
      <c r="E302" s="2" t="s">
        <v>660</v>
      </c>
      <c r="F302" s="2" t="s">
        <v>661</v>
      </c>
      <c r="G302" s="3">
        <v>11</v>
      </c>
      <c r="H302" s="3">
        <v>62.66</v>
      </c>
      <c r="I302" s="3">
        <v>5</v>
      </c>
      <c r="J302" s="3">
        <f t="shared" si="22"/>
        <v>78.66</v>
      </c>
      <c r="K302" s="3">
        <v>10</v>
      </c>
      <c r="L302" s="3">
        <v>53.29</v>
      </c>
      <c r="M302" s="3">
        <v>5.7</v>
      </c>
      <c r="N302" s="3">
        <f t="shared" si="23"/>
        <v>68.989999999999995</v>
      </c>
      <c r="O302" s="3">
        <f t="shared" si="24"/>
        <v>147.65</v>
      </c>
      <c r="P302" s="4" t="s">
        <v>72</v>
      </c>
      <c r="Q302" s="5"/>
    </row>
    <row r="303" spans="1:17">
      <c r="A303" s="2">
        <f t="shared" si="20"/>
        <v>301</v>
      </c>
      <c r="B303" s="2">
        <f t="shared" si="21"/>
        <v>41</v>
      </c>
      <c r="C303" s="2" t="s">
        <v>15</v>
      </c>
      <c r="D303" s="2" t="s">
        <v>16</v>
      </c>
      <c r="E303" s="2" t="s">
        <v>662</v>
      </c>
      <c r="F303" s="2" t="s">
        <v>663</v>
      </c>
      <c r="G303" s="3">
        <v>9.8000000000000007</v>
      </c>
      <c r="H303" s="3">
        <v>62.68</v>
      </c>
      <c r="I303" s="3">
        <v>5.7</v>
      </c>
      <c r="J303" s="3">
        <f t="shared" si="22"/>
        <v>78.180000000000007</v>
      </c>
      <c r="K303" s="3">
        <v>7.3000000000000007</v>
      </c>
      <c r="L303" s="3">
        <v>57.53</v>
      </c>
      <c r="M303" s="3">
        <v>4.5</v>
      </c>
      <c r="N303" s="3">
        <f t="shared" si="23"/>
        <v>69.33</v>
      </c>
      <c r="O303" s="3">
        <f t="shared" si="24"/>
        <v>147.51</v>
      </c>
      <c r="P303" s="2"/>
      <c r="Q303" s="5"/>
    </row>
    <row r="304" spans="1:17">
      <c r="A304" s="2">
        <f t="shared" si="20"/>
        <v>301</v>
      </c>
      <c r="B304" s="2">
        <f t="shared" si="21"/>
        <v>83</v>
      </c>
      <c r="C304" s="2" t="s">
        <v>45</v>
      </c>
      <c r="D304" s="2" t="s">
        <v>46</v>
      </c>
      <c r="E304" s="2" t="s">
        <v>664</v>
      </c>
      <c r="F304" s="2" t="s">
        <v>665</v>
      </c>
      <c r="G304" s="3">
        <v>9.8000000000000007</v>
      </c>
      <c r="H304" s="3">
        <v>62.54</v>
      </c>
      <c r="I304" s="3">
        <v>3</v>
      </c>
      <c r="J304" s="3">
        <f t="shared" si="22"/>
        <v>75.34</v>
      </c>
      <c r="K304" s="3">
        <v>9.8000000000000007</v>
      </c>
      <c r="L304" s="3">
        <v>59.37</v>
      </c>
      <c r="M304" s="3">
        <v>3</v>
      </c>
      <c r="N304" s="3">
        <f t="shared" si="23"/>
        <v>72.17</v>
      </c>
      <c r="O304" s="3">
        <f t="shared" si="24"/>
        <v>147.51</v>
      </c>
      <c r="P304" s="2"/>
      <c r="Q304" s="5"/>
    </row>
    <row r="305" spans="1:17">
      <c r="A305" s="2">
        <f t="shared" si="20"/>
        <v>303</v>
      </c>
      <c r="B305" s="2">
        <f t="shared" si="21"/>
        <v>84</v>
      </c>
      <c r="C305" s="2" t="s">
        <v>45</v>
      </c>
      <c r="D305" s="2" t="s">
        <v>73</v>
      </c>
      <c r="E305" s="2" t="s">
        <v>666</v>
      </c>
      <c r="F305" s="2" t="s">
        <v>667</v>
      </c>
      <c r="G305" s="3">
        <v>9.8000000000000007</v>
      </c>
      <c r="H305" s="3">
        <v>61.56</v>
      </c>
      <c r="I305" s="3">
        <v>3</v>
      </c>
      <c r="J305" s="3">
        <f t="shared" si="22"/>
        <v>74.36</v>
      </c>
      <c r="K305" s="3">
        <v>9.8000000000000007</v>
      </c>
      <c r="L305" s="3">
        <v>60.33</v>
      </c>
      <c r="M305" s="3">
        <v>3</v>
      </c>
      <c r="N305" s="3">
        <f t="shared" si="23"/>
        <v>73.13</v>
      </c>
      <c r="O305" s="3">
        <f t="shared" si="24"/>
        <v>147.49</v>
      </c>
      <c r="P305" s="2"/>
      <c r="Q305" s="5"/>
    </row>
    <row r="306" spans="1:17">
      <c r="A306" s="2">
        <f t="shared" si="20"/>
        <v>304</v>
      </c>
      <c r="B306" s="2">
        <f t="shared" si="21"/>
        <v>42</v>
      </c>
      <c r="C306" s="2" t="s">
        <v>15</v>
      </c>
      <c r="D306" s="2" t="s">
        <v>16</v>
      </c>
      <c r="E306" s="2" t="s">
        <v>668</v>
      </c>
      <c r="F306" s="2" t="s">
        <v>669</v>
      </c>
      <c r="G306" s="3">
        <v>9.8000000000000007</v>
      </c>
      <c r="H306" s="3">
        <v>60.81</v>
      </c>
      <c r="I306" s="3">
        <v>4</v>
      </c>
      <c r="J306" s="3">
        <f t="shared" si="22"/>
        <v>74.61</v>
      </c>
      <c r="K306" s="3">
        <v>7.3000000000000007</v>
      </c>
      <c r="L306" s="3">
        <v>61.07</v>
      </c>
      <c r="M306" s="3">
        <v>4.5</v>
      </c>
      <c r="N306" s="3">
        <f t="shared" si="23"/>
        <v>72.87</v>
      </c>
      <c r="O306" s="3">
        <f t="shared" si="24"/>
        <v>147.47999999999999</v>
      </c>
      <c r="P306" s="2"/>
      <c r="Q306" s="5"/>
    </row>
    <row r="307" spans="1:17">
      <c r="A307" s="2">
        <f t="shared" si="20"/>
        <v>305</v>
      </c>
      <c r="B307" s="2">
        <f t="shared" si="21"/>
        <v>113</v>
      </c>
      <c r="C307" s="2" t="s">
        <v>20</v>
      </c>
      <c r="D307" s="2" t="s">
        <v>229</v>
      </c>
      <c r="E307" s="2" t="s">
        <v>670</v>
      </c>
      <c r="F307" s="2" t="s">
        <v>671</v>
      </c>
      <c r="G307" s="3">
        <v>10.8</v>
      </c>
      <c r="H307" s="3">
        <v>57.12</v>
      </c>
      <c r="I307" s="3">
        <v>5.45</v>
      </c>
      <c r="J307" s="3">
        <f t="shared" si="22"/>
        <v>73.37</v>
      </c>
      <c r="K307" s="3">
        <v>11</v>
      </c>
      <c r="L307" s="3">
        <v>57.14</v>
      </c>
      <c r="M307" s="3">
        <v>5.9</v>
      </c>
      <c r="N307" s="3">
        <f t="shared" si="23"/>
        <v>74.040000000000006</v>
      </c>
      <c r="O307" s="3">
        <f t="shared" si="24"/>
        <v>147.41</v>
      </c>
      <c r="P307" s="2"/>
      <c r="Q307" s="5"/>
    </row>
    <row r="308" spans="1:17">
      <c r="A308" s="2">
        <f t="shared" si="20"/>
        <v>306</v>
      </c>
      <c r="B308" s="2">
        <f t="shared" si="21"/>
        <v>114</v>
      </c>
      <c r="C308" s="2" t="s">
        <v>20</v>
      </c>
      <c r="D308" s="2" t="s">
        <v>82</v>
      </c>
      <c r="E308" s="2" t="s">
        <v>672</v>
      </c>
      <c r="F308" s="2" t="s">
        <v>673</v>
      </c>
      <c r="G308" s="3">
        <v>10.8</v>
      </c>
      <c r="H308" s="3">
        <v>60.542553191489397</v>
      </c>
      <c r="I308" s="3">
        <v>4.9000000000000004</v>
      </c>
      <c r="J308" s="3">
        <f t="shared" si="22"/>
        <v>76.239999999999995</v>
      </c>
      <c r="K308" s="3">
        <v>9.8000000000000007</v>
      </c>
      <c r="L308" s="3">
        <v>56.25</v>
      </c>
      <c r="M308" s="3">
        <v>5.0999999999999996</v>
      </c>
      <c r="N308" s="3">
        <f t="shared" si="23"/>
        <v>71.150000000000006</v>
      </c>
      <c r="O308" s="3">
        <f t="shared" si="24"/>
        <v>147.38999999999999</v>
      </c>
      <c r="P308" s="4" t="s">
        <v>72</v>
      </c>
      <c r="Q308" s="5"/>
    </row>
    <row r="309" spans="1:17">
      <c r="A309" s="2">
        <f t="shared" si="20"/>
        <v>306</v>
      </c>
      <c r="B309" s="2">
        <f t="shared" si="21"/>
        <v>43</v>
      </c>
      <c r="C309" s="2" t="s">
        <v>15</v>
      </c>
      <c r="D309" s="2" t="s">
        <v>16</v>
      </c>
      <c r="E309" s="2" t="s">
        <v>674</v>
      </c>
      <c r="F309" s="2" t="s">
        <v>675</v>
      </c>
      <c r="G309" s="3">
        <v>10.3</v>
      </c>
      <c r="H309" s="3">
        <v>59.11</v>
      </c>
      <c r="I309" s="3">
        <v>3.2</v>
      </c>
      <c r="J309" s="3">
        <f t="shared" si="22"/>
        <v>72.61</v>
      </c>
      <c r="K309" s="3">
        <v>9.8000000000000007</v>
      </c>
      <c r="L309" s="3">
        <v>61.48</v>
      </c>
      <c r="M309" s="3">
        <v>3.5</v>
      </c>
      <c r="N309" s="3">
        <f t="shared" si="23"/>
        <v>74.78</v>
      </c>
      <c r="O309" s="3">
        <f t="shared" si="24"/>
        <v>147.38999999999999</v>
      </c>
      <c r="P309" s="2"/>
      <c r="Q309" s="5"/>
    </row>
    <row r="310" spans="1:17">
      <c r="A310" s="2">
        <f t="shared" si="20"/>
        <v>308</v>
      </c>
      <c r="B310" s="2">
        <f t="shared" si="21"/>
        <v>44</v>
      </c>
      <c r="C310" s="2" t="s">
        <v>15</v>
      </c>
      <c r="D310" s="2" t="s">
        <v>39</v>
      </c>
      <c r="E310" s="2" t="s">
        <v>676</v>
      </c>
      <c r="F310" s="2" t="s">
        <v>677</v>
      </c>
      <c r="G310" s="3">
        <v>9.8000000000000007</v>
      </c>
      <c r="H310" s="3">
        <v>61.22</v>
      </c>
      <c r="I310" s="3">
        <v>4.6500000000000004</v>
      </c>
      <c r="J310" s="3">
        <f t="shared" si="22"/>
        <v>75.67</v>
      </c>
      <c r="K310" s="3">
        <v>7.3000000000000007</v>
      </c>
      <c r="L310" s="3">
        <v>58.16</v>
      </c>
      <c r="M310" s="3">
        <v>6.2</v>
      </c>
      <c r="N310" s="3">
        <f t="shared" si="23"/>
        <v>71.66</v>
      </c>
      <c r="O310" s="3">
        <f t="shared" si="24"/>
        <v>147.33000000000001</v>
      </c>
      <c r="P310" s="2"/>
      <c r="Q310" s="5"/>
    </row>
    <row r="311" spans="1:17">
      <c r="A311" s="2">
        <f t="shared" si="20"/>
        <v>309</v>
      </c>
      <c r="B311" s="2">
        <f t="shared" si="21"/>
        <v>115</v>
      </c>
      <c r="C311" s="2" t="s">
        <v>20</v>
      </c>
      <c r="D311" s="2" t="s">
        <v>32</v>
      </c>
      <c r="E311" s="2" t="s">
        <v>678</v>
      </c>
      <c r="F311" s="2" t="s">
        <v>679</v>
      </c>
      <c r="G311" s="3">
        <v>10.3</v>
      </c>
      <c r="H311" s="3">
        <v>59.518867924528301</v>
      </c>
      <c r="I311" s="3">
        <v>3.8</v>
      </c>
      <c r="J311" s="3">
        <f t="shared" si="22"/>
        <v>73.62</v>
      </c>
      <c r="K311" s="3">
        <v>9.8000000000000007</v>
      </c>
      <c r="L311" s="3">
        <v>59.2</v>
      </c>
      <c r="M311" s="3">
        <v>4.7</v>
      </c>
      <c r="N311" s="3">
        <f t="shared" si="23"/>
        <v>73.7</v>
      </c>
      <c r="O311" s="3">
        <f t="shared" si="24"/>
        <v>147.32</v>
      </c>
      <c r="P311" s="2"/>
      <c r="Q311" s="5"/>
    </row>
    <row r="312" spans="1:17">
      <c r="A312" s="2">
        <f t="shared" si="20"/>
        <v>310</v>
      </c>
      <c r="B312" s="2">
        <f t="shared" si="21"/>
        <v>45</v>
      </c>
      <c r="C312" s="2" t="s">
        <v>15</v>
      </c>
      <c r="D312" s="2" t="s">
        <v>16</v>
      </c>
      <c r="E312" s="2" t="s">
        <v>680</v>
      </c>
      <c r="F312" s="2" t="s">
        <v>681</v>
      </c>
      <c r="G312" s="3">
        <v>9.8000000000000007</v>
      </c>
      <c r="H312" s="3">
        <v>61.67</v>
      </c>
      <c r="I312" s="3">
        <v>4</v>
      </c>
      <c r="J312" s="3">
        <f t="shared" si="22"/>
        <v>75.47</v>
      </c>
      <c r="K312" s="3">
        <v>7.3000000000000007</v>
      </c>
      <c r="L312" s="3">
        <v>60.96</v>
      </c>
      <c r="M312" s="3">
        <v>3.5</v>
      </c>
      <c r="N312" s="3">
        <f t="shared" si="23"/>
        <v>71.760000000000005</v>
      </c>
      <c r="O312" s="3">
        <f t="shared" si="24"/>
        <v>147.22999999999999</v>
      </c>
      <c r="P312" s="2"/>
      <c r="Q312" s="5"/>
    </row>
    <row r="313" spans="1:17">
      <c r="A313" s="2">
        <f t="shared" si="20"/>
        <v>311</v>
      </c>
      <c r="B313" s="2">
        <f t="shared" si="21"/>
        <v>85</v>
      </c>
      <c r="C313" s="2" t="s">
        <v>45</v>
      </c>
      <c r="D313" s="2" t="s">
        <v>54</v>
      </c>
      <c r="E313" s="2" t="s">
        <v>682</v>
      </c>
      <c r="F313" s="2" t="s">
        <v>683</v>
      </c>
      <c r="G313" s="3">
        <v>9.8000000000000007</v>
      </c>
      <c r="H313" s="3">
        <v>63.76</v>
      </c>
      <c r="I313" s="3">
        <v>3</v>
      </c>
      <c r="J313" s="3">
        <f t="shared" si="22"/>
        <v>76.56</v>
      </c>
      <c r="K313" s="3">
        <v>9.8000000000000007</v>
      </c>
      <c r="L313" s="3">
        <v>57.4</v>
      </c>
      <c r="M313" s="3">
        <v>3.45</v>
      </c>
      <c r="N313" s="3">
        <f t="shared" si="23"/>
        <v>70.650000000000006</v>
      </c>
      <c r="O313" s="3">
        <f t="shared" si="24"/>
        <v>147.21</v>
      </c>
      <c r="P313" s="2"/>
      <c r="Q313" s="5"/>
    </row>
    <row r="314" spans="1:17">
      <c r="A314" s="2">
        <f t="shared" si="20"/>
        <v>312</v>
      </c>
      <c r="B314" s="2">
        <f t="shared" si="21"/>
        <v>116</v>
      </c>
      <c r="C314" s="2" t="s">
        <v>20</v>
      </c>
      <c r="D314" s="2" t="s">
        <v>229</v>
      </c>
      <c r="E314" s="2" t="s">
        <v>684</v>
      </c>
      <c r="F314" s="2" t="s">
        <v>685</v>
      </c>
      <c r="G314" s="3">
        <v>9.4</v>
      </c>
      <c r="H314" s="3">
        <v>63.49</v>
      </c>
      <c r="I314" s="3">
        <v>3.45</v>
      </c>
      <c r="J314" s="3">
        <f t="shared" si="22"/>
        <v>76.34</v>
      </c>
      <c r="K314" s="3">
        <v>7.3000000000000007</v>
      </c>
      <c r="L314" s="3">
        <v>60</v>
      </c>
      <c r="M314" s="3">
        <v>3.5</v>
      </c>
      <c r="N314" s="3">
        <f t="shared" si="23"/>
        <v>70.8</v>
      </c>
      <c r="O314" s="3">
        <f t="shared" si="24"/>
        <v>147.13999999999999</v>
      </c>
      <c r="P314" s="2"/>
      <c r="Q314" s="5"/>
    </row>
    <row r="315" spans="1:17">
      <c r="A315" s="2">
        <f t="shared" si="20"/>
        <v>313</v>
      </c>
      <c r="B315" s="2">
        <f t="shared" si="21"/>
        <v>86</v>
      </c>
      <c r="C315" s="2" t="s">
        <v>45</v>
      </c>
      <c r="D315" s="2" t="s">
        <v>220</v>
      </c>
      <c r="E315" s="2" t="s">
        <v>686</v>
      </c>
      <c r="F315" s="2" t="s">
        <v>687</v>
      </c>
      <c r="G315" s="3">
        <v>9.8000000000000007</v>
      </c>
      <c r="H315" s="3">
        <v>63</v>
      </c>
      <c r="I315" s="3">
        <v>4</v>
      </c>
      <c r="J315" s="3">
        <f t="shared" si="22"/>
        <v>76.8</v>
      </c>
      <c r="K315" s="3">
        <v>7.3000000000000007</v>
      </c>
      <c r="L315" s="3">
        <v>57.13</v>
      </c>
      <c r="M315" s="3">
        <v>5.9</v>
      </c>
      <c r="N315" s="3">
        <f t="shared" si="23"/>
        <v>70.33</v>
      </c>
      <c r="O315" s="3">
        <f t="shared" si="24"/>
        <v>147.13</v>
      </c>
      <c r="P315" s="2"/>
      <c r="Q315" s="5"/>
    </row>
    <row r="316" spans="1:17">
      <c r="A316" s="2">
        <f t="shared" si="20"/>
        <v>314</v>
      </c>
      <c r="B316" s="2">
        <f t="shared" si="21"/>
        <v>117</v>
      </c>
      <c r="C316" s="2" t="s">
        <v>20</v>
      </c>
      <c r="D316" s="2" t="s">
        <v>164</v>
      </c>
      <c r="E316" s="2" t="s">
        <v>688</v>
      </c>
      <c r="F316" s="2" t="s">
        <v>689</v>
      </c>
      <c r="G316" s="3">
        <v>9.8000000000000007</v>
      </c>
      <c r="H316" s="3">
        <v>64.38</v>
      </c>
      <c r="I316" s="3">
        <v>3</v>
      </c>
      <c r="J316" s="3">
        <f t="shared" si="22"/>
        <v>77.180000000000007</v>
      </c>
      <c r="K316" s="3">
        <v>9.8000000000000007</v>
      </c>
      <c r="L316" s="3">
        <v>56.61</v>
      </c>
      <c r="M316" s="3">
        <v>3.5</v>
      </c>
      <c r="N316" s="3">
        <f t="shared" si="23"/>
        <v>69.91</v>
      </c>
      <c r="O316" s="3">
        <f t="shared" si="24"/>
        <v>147.09</v>
      </c>
      <c r="P316" s="2"/>
      <c r="Q316" s="5"/>
    </row>
    <row r="317" spans="1:17">
      <c r="A317" s="2">
        <f t="shared" si="20"/>
        <v>315</v>
      </c>
      <c r="B317" s="2">
        <f t="shared" si="21"/>
        <v>67</v>
      </c>
      <c r="C317" s="2" t="s">
        <v>24</v>
      </c>
      <c r="D317" s="2" t="s">
        <v>49</v>
      </c>
      <c r="E317" s="2" t="s">
        <v>690</v>
      </c>
      <c r="F317" s="2" t="s">
        <v>691</v>
      </c>
      <c r="G317" s="3">
        <v>9.8000000000000007</v>
      </c>
      <c r="H317" s="3">
        <v>62.4268292682927</v>
      </c>
      <c r="I317" s="3">
        <v>3</v>
      </c>
      <c r="J317" s="3">
        <f t="shared" si="22"/>
        <v>75.23</v>
      </c>
      <c r="K317" s="3">
        <v>9.8000000000000007</v>
      </c>
      <c r="L317" s="3">
        <v>59.05</v>
      </c>
      <c r="M317" s="3">
        <v>3</v>
      </c>
      <c r="N317" s="3">
        <f t="shared" si="23"/>
        <v>71.849999999999994</v>
      </c>
      <c r="O317" s="3">
        <f t="shared" si="24"/>
        <v>147.08000000000001</v>
      </c>
      <c r="P317" s="2"/>
      <c r="Q317" s="5"/>
    </row>
    <row r="318" spans="1:17">
      <c r="A318" s="2">
        <f t="shared" si="20"/>
        <v>316</v>
      </c>
      <c r="B318" s="2">
        <f t="shared" si="21"/>
        <v>87</v>
      </c>
      <c r="C318" s="2" t="s">
        <v>45</v>
      </c>
      <c r="D318" s="2" t="s">
        <v>89</v>
      </c>
      <c r="E318" s="2" t="s">
        <v>692</v>
      </c>
      <c r="F318" s="2" t="s">
        <v>693</v>
      </c>
      <c r="G318" s="3">
        <v>9.8000000000000007</v>
      </c>
      <c r="H318" s="3">
        <v>60.78</v>
      </c>
      <c r="I318" s="3">
        <v>5.05</v>
      </c>
      <c r="J318" s="3">
        <f t="shared" si="22"/>
        <v>75.63</v>
      </c>
      <c r="K318" s="3">
        <v>9.8000000000000007</v>
      </c>
      <c r="L318" s="3">
        <v>57.58</v>
      </c>
      <c r="M318" s="3">
        <v>4</v>
      </c>
      <c r="N318" s="3">
        <f t="shared" si="23"/>
        <v>71.38</v>
      </c>
      <c r="O318" s="3">
        <f t="shared" si="24"/>
        <v>147.01</v>
      </c>
      <c r="P318" s="2"/>
      <c r="Q318" s="5"/>
    </row>
    <row r="319" spans="1:17">
      <c r="A319" s="2">
        <f t="shared" si="20"/>
        <v>317</v>
      </c>
      <c r="B319" s="2">
        <f t="shared" si="21"/>
        <v>88</v>
      </c>
      <c r="C319" s="2" t="s">
        <v>45</v>
      </c>
      <c r="D319" s="2" t="s">
        <v>114</v>
      </c>
      <c r="E319" s="2" t="s">
        <v>694</v>
      </c>
      <c r="F319" s="2" t="s">
        <v>695</v>
      </c>
      <c r="G319" s="3">
        <v>9.8000000000000007</v>
      </c>
      <c r="H319" s="3">
        <v>61.06</v>
      </c>
      <c r="I319" s="3">
        <v>3.9</v>
      </c>
      <c r="J319" s="3">
        <f t="shared" si="22"/>
        <v>74.760000000000005</v>
      </c>
      <c r="K319" s="3">
        <v>9.8000000000000007</v>
      </c>
      <c r="L319" s="3">
        <v>58.21</v>
      </c>
      <c r="M319" s="3">
        <v>4.2</v>
      </c>
      <c r="N319" s="3">
        <f t="shared" si="23"/>
        <v>72.209999999999994</v>
      </c>
      <c r="O319" s="3">
        <f t="shared" si="24"/>
        <v>146.97</v>
      </c>
      <c r="P319" s="2"/>
      <c r="Q319" s="5"/>
    </row>
    <row r="320" spans="1:17">
      <c r="A320" s="2">
        <f t="shared" si="20"/>
        <v>318</v>
      </c>
      <c r="B320" s="2">
        <f t="shared" si="21"/>
        <v>89</v>
      </c>
      <c r="C320" s="2" t="s">
        <v>45</v>
      </c>
      <c r="D320" s="2" t="s">
        <v>73</v>
      </c>
      <c r="E320" s="2" t="s">
        <v>696</v>
      </c>
      <c r="F320" s="2" t="s">
        <v>697</v>
      </c>
      <c r="G320" s="3">
        <v>9.8000000000000007</v>
      </c>
      <c r="H320" s="3">
        <v>56.94</v>
      </c>
      <c r="I320" s="3">
        <v>5.4</v>
      </c>
      <c r="J320" s="3">
        <f t="shared" si="22"/>
        <v>72.14</v>
      </c>
      <c r="K320" s="3">
        <v>11.3</v>
      </c>
      <c r="L320" s="3">
        <v>57.06</v>
      </c>
      <c r="M320" s="3">
        <v>6.4</v>
      </c>
      <c r="N320" s="3">
        <f t="shared" si="23"/>
        <v>74.760000000000005</v>
      </c>
      <c r="O320" s="3">
        <f t="shared" si="24"/>
        <v>146.9</v>
      </c>
      <c r="P320" s="4" t="s">
        <v>130</v>
      </c>
      <c r="Q320" s="5"/>
    </row>
    <row r="321" spans="1:17">
      <c r="A321" s="2">
        <f t="shared" si="20"/>
        <v>319</v>
      </c>
      <c r="B321" s="2">
        <f t="shared" si="21"/>
        <v>90</v>
      </c>
      <c r="C321" s="2" t="s">
        <v>45</v>
      </c>
      <c r="D321" s="2" t="s">
        <v>220</v>
      </c>
      <c r="E321" s="2" t="s">
        <v>698</v>
      </c>
      <c r="F321" s="2" t="s">
        <v>699</v>
      </c>
      <c r="G321" s="3">
        <v>10.8</v>
      </c>
      <c r="H321" s="3">
        <v>60.02</v>
      </c>
      <c r="I321" s="3">
        <v>5.4</v>
      </c>
      <c r="J321" s="3">
        <f t="shared" si="22"/>
        <v>76.22</v>
      </c>
      <c r="K321" s="3">
        <v>9.8000000000000007</v>
      </c>
      <c r="L321" s="3">
        <v>53.86</v>
      </c>
      <c r="M321" s="3">
        <v>6.9</v>
      </c>
      <c r="N321" s="3">
        <f t="shared" si="23"/>
        <v>70.56</v>
      </c>
      <c r="O321" s="3">
        <f t="shared" si="24"/>
        <v>146.78</v>
      </c>
      <c r="P321" s="2"/>
      <c r="Q321" s="5"/>
    </row>
    <row r="322" spans="1:17">
      <c r="A322" s="2">
        <f t="shared" si="20"/>
        <v>320</v>
      </c>
      <c r="B322" s="2">
        <f t="shared" si="21"/>
        <v>68</v>
      </c>
      <c r="C322" s="2" t="s">
        <v>24</v>
      </c>
      <c r="D322" s="2" t="s">
        <v>49</v>
      </c>
      <c r="E322" s="2" t="s">
        <v>700</v>
      </c>
      <c r="F322" s="2" t="s">
        <v>701</v>
      </c>
      <c r="G322" s="3">
        <v>9.8000000000000007</v>
      </c>
      <c r="H322" s="3">
        <v>63.487804878048799</v>
      </c>
      <c r="I322" s="3">
        <v>3</v>
      </c>
      <c r="J322" s="3">
        <f t="shared" si="22"/>
        <v>76.290000000000006</v>
      </c>
      <c r="K322" s="3">
        <v>9.8000000000000007</v>
      </c>
      <c r="L322" s="3">
        <v>57.51</v>
      </c>
      <c r="M322" s="3">
        <v>3</v>
      </c>
      <c r="N322" s="3">
        <f t="shared" si="23"/>
        <v>70.31</v>
      </c>
      <c r="O322" s="3">
        <f t="shared" si="24"/>
        <v>146.6</v>
      </c>
      <c r="P322" s="2"/>
      <c r="Q322" s="5"/>
    </row>
    <row r="323" spans="1:17">
      <c r="A323" s="2">
        <f t="shared" ref="A323:A386" si="25">COUNTIFS($C$3:$C$1025,"&lt;&gt;大数据",$O$3:$O$1025,"&gt;"&amp;O323)+1</f>
        <v>321</v>
      </c>
      <c r="B323" s="2">
        <f t="shared" ref="B323:B386" si="26">COUNTIFS($C$3:$C$1025,C323,$O$3:$O$1025,"&gt;"&amp;O323)+1</f>
        <v>46</v>
      </c>
      <c r="C323" s="2" t="s">
        <v>15</v>
      </c>
      <c r="D323" s="2" t="s">
        <v>181</v>
      </c>
      <c r="E323" s="2" t="s">
        <v>702</v>
      </c>
      <c r="F323" s="2" t="s">
        <v>703</v>
      </c>
      <c r="G323" s="3">
        <v>10.8</v>
      </c>
      <c r="H323" s="3">
        <v>59.79</v>
      </c>
      <c r="I323" s="3">
        <v>5.45</v>
      </c>
      <c r="J323" s="3">
        <f t="shared" ref="J323:J386" si="27">ROUND(SUM(G323:I323),2)</f>
        <v>76.040000000000006</v>
      </c>
      <c r="K323" s="3">
        <v>9.8000000000000007</v>
      </c>
      <c r="L323" s="3">
        <v>53.02</v>
      </c>
      <c r="M323" s="3">
        <v>7.7</v>
      </c>
      <c r="N323" s="3">
        <f t="shared" ref="N323:N386" si="28">ROUND(SUM(K323:M323),2)</f>
        <v>70.52</v>
      </c>
      <c r="O323" s="3">
        <f t="shared" ref="O323:O386" si="29">ROUND(SUM(J323,N323),2)</f>
        <v>146.56</v>
      </c>
      <c r="P323" s="2"/>
      <c r="Q323" s="5"/>
    </row>
    <row r="324" spans="1:17">
      <c r="A324" s="2">
        <f t="shared" si="25"/>
        <v>322</v>
      </c>
      <c r="B324" s="2">
        <f t="shared" si="26"/>
        <v>91</v>
      </c>
      <c r="C324" s="2" t="s">
        <v>45</v>
      </c>
      <c r="D324" s="2" t="s">
        <v>54</v>
      </c>
      <c r="E324" s="2" t="s">
        <v>704</v>
      </c>
      <c r="F324" s="2" t="s">
        <v>705</v>
      </c>
      <c r="G324" s="3">
        <v>10</v>
      </c>
      <c r="H324" s="3">
        <v>61.53</v>
      </c>
      <c r="I324" s="3">
        <v>4.3499999999999996</v>
      </c>
      <c r="J324" s="3">
        <f t="shared" si="27"/>
        <v>75.88</v>
      </c>
      <c r="K324" s="3">
        <v>10</v>
      </c>
      <c r="L324" s="3">
        <v>56.92</v>
      </c>
      <c r="M324" s="3">
        <v>3.7</v>
      </c>
      <c r="N324" s="3">
        <f t="shared" si="28"/>
        <v>70.62</v>
      </c>
      <c r="O324" s="3">
        <f t="shared" si="29"/>
        <v>146.5</v>
      </c>
      <c r="P324" s="2"/>
      <c r="Q324" s="5"/>
    </row>
    <row r="325" spans="1:17">
      <c r="A325" s="2">
        <f t="shared" si="25"/>
        <v>323</v>
      </c>
      <c r="B325" s="2">
        <f t="shared" si="26"/>
        <v>118</v>
      </c>
      <c r="C325" s="2" t="s">
        <v>20</v>
      </c>
      <c r="D325" s="2" t="s">
        <v>29</v>
      </c>
      <c r="E325" s="2" t="s">
        <v>706</v>
      </c>
      <c r="F325" s="2" t="s">
        <v>707</v>
      </c>
      <c r="G325" s="3">
        <v>9.8000000000000007</v>
      </c>
      <c r="H325" s="3">
        <v>60.37</v>
      </c>
      <c r="I325" s="3">
        <v>3</v>
      </c>
      <c r="J325" s="3">
        <f t="shared" si="27"/>
        <v>73.17</v>
      </c>
      <c r="K325" s="3">
        <v>9.8000000000000007</v>
      </c>
      <c r="L325" s="3">
        <v>59.96</v>
      </c>
      <c r="M325" s="3">
        <v>3.5</v>
      </c>
      <c r="N325" s="3">
        <f t="shared" si="28"/>
        <v>73.260000000000005</v>
      </c>
      <c r="O325" s="3">
        <f t="shared" si="29"/>
        <v>146.43</v>
      </c>
      <c r="P325" s="2"/>
      <c r="Q325" s="5"/>
    </row>
    <row r="326" spans="1:17">
      <c r="A326" s="2">
        <f t="shared" si="25"/>
        <v>324</v>
      </c>
      <c r="B326" s="2">
        <f t="shared" si="26"/>
        <v>69</v>
      </c>
      <c r="C326" s="2" t="s">
        <v>24</v>
      </c>
      <c r="D326" s="2" t="s">
        <v>58</v>
      </c>
      <c r="E326" s="2" t="s">
        <v>708</v>
      </c>
      <c r="F326" s="2" t="s">
        <v>709</v>
      </c>
      <c r="G326" s="3">
        <v>11</v>
      </c>
      <c r="H326" s="3">
        <v>59.829268292682897</v>
      </c>
      <c r="I326" s="3">
        <v>4.5</v>
      </c>
      <c r="J326" s="3">
        <f t="shared" si="27"/>
        <v>75.33</v>
      </c>
      <c r="K326" s="3">
        <v>10</v>
      </c>
      <c r="L326" s="3">
        <v>56.23</v>
      </c>
      <c r="M326" s="3">
        <v>4.8</v>
      </c>
      <c r="N326" s="3">
        <f t="shared" si="28"/>
        <v>71.03</v>
      </c>
      <c r="O326" s="3">
        <f t="shared" si="29"/>
        <v>146.36000000000001</v>
      </c>
      <c r="P326" s="2"/>
      <c r="Q326" s="5"/>
    </row>
    <row r="327" spans="1:17">
      <c r="A327" s="2">
        <f t="shared" si="25"/>
        <v>325</v>
      </c>
      <c r="B327" s="2">
        <f t="shared" si="26"/>
        <v>119</v>
      </c>
      <c r="C327" s="2" t="s">
        <v>20</v>
      </c>
      <c r="D327" s="2" t="s">
        <v>32</v>
      </c>
      <c r="E327" s="2" t="s">
        <v>710</v>
      </c>
      <c r="F327" s="2" t="s">
        <v>711</v>
      </c>
      <c r="G327" s="3">
        <v>9.8000000000000007</v>
      </c>
      <c r="H327" s="3">
        <v>58.653061224489797</v>
      </c>
      <c r="I327" s="3">
        <v>3</v>
      </c>
      <c r="J327" s="3">
        <f t="shared" si="27"/>
        <v>71.45</v>
      </c>
      <c r="K327" s="3">
        <v>9.8000000000000007</v>
      </c>
      <c r="L327" s="3">
        <v>61.38</v>
      </c>
      <c r="M327" s="3">
        <v>3.7</v>
      </c>
      <c r="N327" s="3">
        <f t="shared" si="28"/>
        <v>74.88</v>
      </c>
      <c r="O327" s="3">
        <f t="shared" si="29"/>
        <v>146.33000000000001</v>
      </c>
      <c r="P327" s="2"/>
      <c r="Q327" s="5"/>
    </row>
    <row r="328" spans="1:17">
      <c r="A328" s="2">
        <f t="shared" si="25"/>
        <v>326</v>
      </c>
      <c r="B328" s="2">
        <f t="shared" si="26"/>
        <v>92</v>
      </c>
      <c r="C328" s="2" t="s">
        <v>45</v>
      </c>
      <c r="D328" s="2" t="s">
        <v>96</v>
      </c>
      <c r="E328" s="2" t="s">
        <v>712</v>
      </c>
      <c r="F328" s="2" t="s">
        <v>713</v>
      </c>
      <c r="G328" s="3">
        <v>9.8000000000000007</v>
      </c>
      <c r="H328" s="3">
        <v>64.239999999999995</v>
      </c>
      <c r="I328" s="3">
        <v>4.2</v>
      </c>
      <c r="J328" s="3">
        <f t="shared" si="27"/>
        <v>78.239999999999995</v>
      </c>
      <c r="K328" s="3">
        <v>7.3000000000000007</v>
      </c>
      <c r="L328" s="3">
        <v>55.65</v>
      </c>
      <c r="M328" s="3">
        <v>5.0999999999999996</v>
      </c>
      <c r="N328" s="3">
        <f t="shared" si="28"/>
        <v>68.05</v>
      </c>
      <c r="O328" s="3">
        <f t="shared" si="29"/>
        <v>146.29</v>
      </c>
      <c r="P328" s="2"/>
      <c r="Q328" s="5"/>
    </row>
    <row r="329" spans="1:17">
      <c r="A329" s="2">
        <f t="shared" si="25"/>
        <v>327</v>
      </c>
      <c r="B329" s="2">
        <f t="shared" si="26"/>
        <v>120</v>
      </c>
      <c r="C329" s="2" t="s">
        <v>20</v>
      </c>
      <c r="D329" s="2" t="s">
        <v>82</v>
      </c>
      <c r="E329" s="2" t="s">
        <v>714</v>
      </c>
      <c r="F329" s="2" t="s">
        <v>715</v>
      </c>
      <c r="G329" s="3">
        <v>9.8000000000000007</v>
      </c>
      <c r="H329" s="3">
        <v>64.691489361702097</v>
      </c>
      <c r="I329" s="3">
        <v>4</v>
      </c>
      <c r="J329" s="3">
        <f t="shared" si="27"/>
        <v>78.489999999999995</v>
      </c>
      <c r="K329" s="3">
        <v>9.8000000000000007</v>
      </c>
      <c r="L329" s="3">
        <v>53.45</v>
      </c>
      <c r="M329" s="3">
        <v>4.5</v>
      </c>
      <c r="N329" s="3">
        <f t="shared" si="28"/>
        <v>67.75</v>
      </c>
      <c r="O329" s="3">
        <f t="shared" si="29"/>
        <v>146.24</v>
      </c>
      <c r="P329" s="2"/>
      <c r="Q329" s="5"/>
    </row>
    <row r="330" spans="1:17">
      <c r="A330" s="2">
        <f t="shared" si="25"/>
        <v>328</v>
      </c>
      <c r="B330" s="2">
        <f t="shared" si="26"/>
        <v>70</v>
      </c>
      <c r="C330" s="2" t="s">
        <v>24</v>
      </c>
      <c r="D330" s="2" t="s">
        <v>58</v>
      </c>
      <c r="E330" s="2" t="s">
        <v>716</v>
      </c>
      <c r="F330" s="2" t="s">
        <v>717</v>
      </c>
      <c r="G330" s="3">
        <v>9.8000000000000007</v>
      </c>
      <c r="H330" s="3">
        <v>60.951219512195102</v>
      </c>
      <c r="I330" s="3">
        <v>3</v>
      </c>
      <c r="J330" s="3">
        <f t="shared" si="27"/>
        <v>73.75</v>
      </c>
      <c r="K330" s="3">
        <v>9.8000000000000007</v>
      </c>
      <c r="L330" s="3">
        <v>59.15</v>
      </c>
      <c r="M330" s="3">
        <v>3.5</v>
      </c>
      <c r="N330" s="3">
        <f t="shared" si="28"/>
        <v>72.45</v>
      </c>
      <c r="O330" s="3">
        <f t="shared" si="29"/>
        <v>146.19999999999999</v>
      </c>
      <c r="P330" s="2"/>
      <c r="Q330" s="5"/>
    </row>
    <row r="331" spans="1:17">
      <c r="A331" s="2">
        <f t="shared" si="25"/>
        <v>329</v>
      </c>
      <c r="B331" s="2">
        <f t="shared" si="26"/>
        <v>71</v>
      </c>
      <c r="C331" s="2" t="s">
        <v>24</v>
      </c>
      <c r="D331" s="2" t="s">
        <v>76</v>
      </c>
      <c r="E331" s="2" t="s">
        <v>718</v>
      </c>
      <c r="F331" s="2" t="s">
        <v>719</v>
      </c>
      <c r="G331" s="3">
        <v>10</v>
      </c>
      <c r="H331" s="3">
        <v>61.878048780487802</v>
      </c>
      <c r="I331" s="3">
        <v>3</v>
      </c>
      <c r="J331" s="3">
        <f t="shared" si="27"/>
        <v>74.88</v>
      </c>
      <c r="K331" s="3">
        <v>10</v>
      </c>
      <c r="L331" s="3">
        <v>57.31</v>
      </c>
      <c r="M331" s="3">
        <v>4</v>
      </c>
      <c r="N331" s="3">
        <f t="shared" si="28"/>
        <v>71.31</v>
      </c>
      <c r="O331" s="3">
        <f t="shared" si="29"/>
        <v>146.19</v>
      </c>
      <c r="P331" s="2"/>
      <c r="Q331" s="5"/>
    </row>
    <row r="332" spans="1:17">
      <c r="A332" s="2">
        <f t="shared" si="25"/>
        <v>330</v>
      </c>
      <c r="B332" s="2">
        <f t="shared" si="26"/>
        <v>72</v>
      </c>
      <c r="C332" s="2" t="s">
        <v>24</v>
      </c>
      <c r="D332" s="2" t="s">
        <v>76</v>
      </c>
      <c r="E332" s="2" t="s">
        <v>720</v>
      </c>
      <c r="F332" s="2" t="s">
        <v>721</v>
      </c>
      <c r="G332" s="3">
        <v>10</v>
      </c>
      <c r="H332" s="3">
        <v>59.158536585365901</v>
      </c>
      <c r="I332" s="3">
        <v>4</v>
      </c>
      <c r="J332" s="3">
        <f t="shared" si="27"/>
        <v>73.16</v>
      </c>
      <c r="K332" s="3">
        <v>10</v>
      </c>
      <c r="L332" s="3">
        <v>58.32</v>
      </c>
      <c r="M332" s="3">
        <v>4.7</v>
      </c>
      <c r="N332" s="3">
        <f t="shared" si="28"/>
        <v>73.02</v>
      </c>
      <c r="O332" s="3">
        <f t="shared" si="29"/>
        <v>146.18</v>
      </c>
      <c r="P332" s="2"/>
      <c r="Q332" s="5"/>
    </row>
    <row r="333" spans="1:17">
      <c r="A333" s="2">
        <f t="shared" si="25"/>
        <v>331</v>
      </c>
      <c r="B333" s="2">
        <f t="shared" si="26"/>
        <v>47</v>
      </c>
      <c r="C333" s="2" t="s">
        <v>15</v>
      </c>
      <c r="D333" s="2" t="s">
        <v>16</v>
      </c>
      <c r="E333" s="2" t="s">
        <v>722</v>
      </c>
      <c r="F333" s="2" t="s">
        <v>723</v>
      </c>
      <c r="G333" s="3">
        <v>10.3</v>
      </c>
      <c r="H333" s="3">
        <v>60.39</v>
      </c>
      <c r="I333" s="3">
        <v>4.5</v>
      </c>
      <c r="J333" s="3">
        <f t="shared" si="27"/>
        <v>75.19</v>
      </c>
      <c r="K333" s="3">
        <v>7.3000000000000007</v>
      </c>
      <c r="L333" s="3">
        <v>58.88</v>
      </c>
      <c r="M333" s="3">
        <v>4.8</v>
      </c>
      <c r="N333" s="3">
        <f t="shared" si="28"/>
        <v>70.98</v>
      </c>
      <c r="O333" s="3">
        <f t="shared" si="29"/>
        <v>146.16999999999999</v>
      </c>
      <c r="P333" s="2"/>
      <c r="Q333" s="5"/>
    </row>
    <row r="334" spans="1:17">
      <c r="A334" s="2">
        <f t="shared" si="25"/>
        <v>332</v>
      </c>
      <c r="B334" s="2">
        <f t="shared" si="26"/>
        <v>73</v>
      </c>
      <c r="C334" s="2" t="s">
        <v>24</v>
      </c>
      <c r="D334" s="2" t="s">
        <v>25</v>
      </c>
      <c r="E334" s="2" t="s">
        <v>724</v>
      </c>
      <c r="F334" s="2" t="s">
        <v>725</v>
      </c>
      <c r="G334" s="3">
        <v>9.8000000000000007</v>
      </c>
      <c r="H334" s="3">
        <v>59.097560975609802</v>
      </c>
      <c r="I334" s="3">
        <v>3</v>
      </c>
      <c r="J334" s="3">
        <f t="shared" si="27"/>
        <v>71.900000000000006</v>
      </c>
      <c r="K334" s="3">
        <v>9.8000000000000007</v>
      </c>
      <c r="L334" s="3">
        <v>60.92</v>
      </c>
      <c r="M334" s="3">
        <v>3.5</v>
      </c>
      <c r="N334" s="3">
        <f t="shared" si="28"/>
        <v>74.22</v>
      </c>
      <c r="O334" s="3">
        <f t="shared" si="29"/>
        <v>146.12</v>
      </c>
      <c r="P334" s="2"/>
      <c r="Q334" s="5"/>
    </row>
    <row r="335" spans="1:17">
      <c r="A335" s="2">
        <f t="shared" si="25"/>
        <v>333</v>
      </c>
      <c r="B335" s="2">
        <f t="shared" si="26"/>
        <v>121</v>
      </c>
      <c r="C335" s="2" t="s">
        <v>20</v>
      </c>
      <c r="D335" s="2" t="s">
        <v>42</v>
      </c>
      <c r="E335" s="2" t="s">
        <v>726</v>
      </c>
      <c r="F335" s="2" t="s">
        <v>727</v>
      </c>
      <c r="G335" s="3">
        <v>11.8</v>
      </c>
      <c r="H335" s="3">
        <v>57.236363636363599</v>
      </c>
      <c r="I335" s="3">
        <v>5.0999999999999996</v>
      </c>
      <c r="J335" s="3">
        <f t="shared" si="27"/>
        <v>74.14</v>
      </c>
      <c r="K335" s="3">
        <v>9.8000000000000007</v>
      </c>
      <c r="L335" s="3">
        <v>57.17</v>
      </c>
      <c r="M335" s="3">
        <v>5</v>
      </c>
      <c r="N335" s="3">
        <f t="shared" si="28"/>
        <v>71.97</v>
      </c>
      <c r="O335" s="3">
        <f t="shared" si="29"/>
        <v>146.11000000000001</v>
      </c>
      <c r="P335" s="2"/>
      <c r="Q335" s="5"/>
    </row>
    <row r="336" spans="1:17">
      <c r="A336" s="2">
        <f t="shared" si="25"/>
        <v>334</v>
      </c>
      <c r="B336" s="2">
        <f t="shared" si="26"/>
        <v>74</v>
      </c>
      <c r="C336" s="2" t="s">
        <v>24</v>
      </c>
      <c r="D336" s="2" t="s">
        <v>49</v>
      </c>
      <c r="E336" s="2" t="s">
        <v>728</v>
      </c>
      <c r="F336" s="2" t="s">
        <v>729</v>
      </c>
      <c r="G336" s="3">
        <v>9.8000000000000007</v>
      </c>
      <c r="H336" s="3">
        <v>55.182926829268297</v>
      </c>
      <c r="I336" s="3">
        <v>4</v>
      </c>
      <c r="J336" s="3">
        <f t="shared" si="27"/>
        <v>68.98</v>
      </c>
      <c r="K336" s="3">
        <v>9.8000000000000007</v>
      </c>
      <c r="L336" s="3">
        <v>62.06</v>
      </c>
      <c r="M336" s="3">
        <v>5.2</v>
      </c>
      <c r="N336" s="3">
        <f t="shared" si="28"/>
        <v>77.06</v>
      </c>
      <c r="O336" s="3">
        <f t="shared" si="29"/>
        <v>146.04</v>
      </c>
      <c r="P336" s="2"/>
      <c r="Q336" s="5"/>
    </row>
    <row r="337" spans="1:17">
      <c r="A337" s="2">
        <f t="shared" si="25"/>
        <v>335</v>
      </c>
      <c r="B337" s="2">
        <f t="shared" si="26"/>
        <v>93</v>
      </c>
      <c r="C337" s="2" t="s">
        <v>45</v>
      </c>
      <c r="D337" s="2" t="s">
        <v>266</v>
      </c>
      <c r="E337" s="2" t="s">
        <v>730</v>
      </c>
      <c r="F337" s="2" t="s">
        <v>731</v>
      </c>
      <c r="G337" s="3">
        <v>9.8000000000000007</v>
      </c>
      <c r="H337" s="3">
        <v>61.49</v>
      </c>
      <c r="I337" s="3">
        <v>3</v>
      </c>
      <c r="J337" s="3">
        <f t="shared" si="27"/>
        <v>74.290000000000006</v>
      </c>
      <c r="K337" s="3">
        <v>9.8000000000000007</v>
      </c>
      <c r="L337" s="3">
        <v>58.18</v>
      </c>
      <c r="M337" s="3">
        <v>3.7</v>
      </c>
      <c r="N337" s="3">
        <f t="shared" si="28"/>
        <v>71.680000000000007</v>
      </c>
      <c r="O337" s="3">
        <f t="shared" si="29"/>
        <v>145.97</v>
      </c>
      <c r="P337" s="2"/>
      <c r="Q337" s="5"/>
    </row>
    <row r="338" spans="1:17">
      <c r="A338" s="2">
        <f t="shared" si="25"/>
        <v>336</v>
      </c>
      <c r="B338" s="2">
        <f t="shared" si="26"/>
        <v>94</v>
      </c>
      <c r="C338" s="2" t="s">
        <v>45</v>
      </c>
      <c r="D338" s="2" t="s">
        <v>232</v>
      </c>
      <c r="E338" s="2" t="s">
        <v>732</v>
      </c>
      <c r="F338" s="2" t="s">
        <v>733</v>
      </c>
      <c r="G338" s="3">
        <v>13.8</v>
      </c>
      <c r="H338" s="3">
        <v>52.46</v>
      </c>
      <c r="I338" s="3">
        <v>4.5999999999999996</v>
      </c>
      <c r="J338" s="3">
        <f t="shared" si="27"/>
        <v>70.86</v>
      </c>
      <c r="K338" s="3">
        <v>11.8</v>
      </c>
      <c r="L338" s="3">
        <v>56.99</v>
      </c>
      <c r="M338" s="3">
        <v>6.3</v>
      </c>
      <c r="N338" s="3">
        <f t="shared" si="28"/>
        <v>75.09</v>
      </c>
      <c r="O338" s="3">
        <f t="shared" si="29"/>
        <v>145.94999999999999</v>
      </c>
      <c r="P338" s="2"/>
      <c r="Q338" s="5"/>
    </row>
    <row r="339" spans="1:17">
      <c r="A339" s="2">
        <f t="shared" si="25"/>
        <v>337</v>
      </c>
      <c r="B339" s="2">
        <f t="shared" si="26"/>
        <v>95</v>
      </c>
      <c r="C339" s="2" t="s">
        <v>45</v>
      </c>
      <c r="D339" s="2" t="s">
        <v>73</v>
      </c>
      <c r="E339" s="2" t="s">
        <v>734</v>
      </c>
      <c r="F339" s="2" t="s">
        <v>735</v>
      </c>
      <c r="G339" s="3">
        <v>9.8000000000000007</v>
      </c>
      <c r="H339" s="3">
        <v>61.34</v>
      </c>
      <c r="I339" s="3">
        <v>4.2</v>
      </c>
      <c r="J339" s="3">
        <f t="shared" si="27"/>
        <v>75.34</v>
      </c>
      <c r="K339" s="3">
        <v>9.8000000000000007</v>
      </c>
      <c r="L339" s="3">
        <v>56.27</v>
      </c>
      <c r="M339" s="3">
        <v>4.5</v>
      </c>
      <c r="N339" s="3">
        <f t="shared" si="28"/>
        <v>70.569999999999993</v>
      </c>
      <c r="O339" s="3">
        <f t="shared" si="29"/>
        <v>145.91</v>
      </c>
      <c r="P339" s="2"/>
      <c r="Q339" s="5"/>
    </row>
    <row r="340" spans="1:17">
      <c r="A340" s="2">
        <f t="shared" si="25"/>
        <v>338</v>
      </c>
      <c r="B340" s="2">
        <f t="shared" si="26"/>
        <v>122</v>
      </c>
      <c r="C340" s="2" t="s">
        <v>20</v>
      </c>
      <c r="D340" s="2" t="s">
        <v>29</v>
      </c>
      <c r="E340" s="2" t="s">
        <v>736</v>
      </c>
      <c r="F340" s="2" t="s">
        <v>737</v>
      </c>
      <c r="G340" s="3">
        <v>9.8000000000000007</v>
      </c>
      <c r="H340" s="3">
        <v>58.93</v>
      </c>
      <c r="I340" s="3">
        <v>5.0999999999999996</v>
      </c>
      <c r="J340" s="3">
        <f t="shared" si="27"/>
        <v>73.83</v>
      </c>
      <c r="K340" s="3">
        <v>9.8000000000000007</v>
      </c>
      <c r="L340" s="3">
        <v>58.04</v>
      </c>
      <c r="M340" s="3">
        <v>4</v>
      </c>
      <c r="N340" s="3">
        <f t="shared" si="28"/>
        <v>71.84</v>
      </c>
      <c r="O340" s="3">
        <f t="shared" si="29"/>
        <v>145.66999999999999</v>
      </c>
      <c r="P340" s="2"/>
      <c r="Q340" s="5"/>
    </row>
    <row r="341" spans="1:17">
      <c r="A341" s="2">
        <f t="shared" si="25"/>
        <v>339</v>
      </c>
      <c r="B341" s="2">
        <f t="shared" si="26"/>
        <v>48</v>
      </c>
      <c r="C341" s="2" t="s">
        <v>15</v>
      </c>
      <c r="D341" s="2" t="s">
        <v>16</v>
      </c>
      <c r="E341" s="2" t="s">
        <v>738</v>
      </c>
      <c r="F341" s="2" t="s">
        <v>739</v>
      </c>
      <c r="G341" s="3">
        <v>10.8</v>
      </c>
      <c r="H341" s="3">
        <v>61.47</v>
      </c>
      <c r="I341" s="3">
        <v>3</v>
      </c>
      <c r="J341" s="3">
        <f t="shared" si="27"/>
        <v>75.27</v>
      </c>
      <c r="K341" s="3">
        <v>8.8000000000000007</v>
      </c>
      <c r="L341" s="3">
        <v>57.42</v>
      </c>
      <c r="M341" s="3">
        <v>4.0999999999999996</v>
      </c>
      <c r="N341" s="3">
        <f t="shared" si="28"/>
        <v>70.319999999999993</v>
      </c>
      <c r="O341" s="3">
        <f t="shared" si="29"/>
        <v>145.59</v>
      </c>
      <c r="P341" s="2"/>
      <c r="Q341" s="5"/>
    </row>
    <row r="342" spans="1:17">
      <c r="A342" s="2">
        <f t="shared" si="25"/>
        <v>340</v>
      </c>
      <c r="B342" s="2">
        <f t="shared" si="26"/>
        <v>96</v>
      </c>
      <c r="C342" s="2" t="s">
        <v>45</v>
      </c>
      <c r="D342" s="2" t="s">
        <v>54</v>
      </c>
      <c r="E342" s="2" t="s">
        <v>740</v>
      </c>
      <c r="F342" s="2" t="s">
        <v>741</v>
      </c>
      <c r="G342" s="3">
        <v>9.4</v>
      </c>
      <c r="H342" s="3">
        <v>63.61</v>
      </c>
      <c r="I342" s="3">
        <v>3</v>
      </c>
      <c r="J342" s="3">
        <f t="shared" si="27"/>
        <v>76.010000000000005</v>
      </c>
      <c r="K342" s="3">
        <v>7.3000000000000007</v>
      </c>
      <c r="L342" s="3">
        <v>59.18</v>
      </c>
      <c r="M342" s="3">
        <v>3</v>
      </c>
      <c r="N342" s="3">
        <f t="shared" si="28"/>
        <v>69.48</v>
      </c>
      <c r="O342" s="3">
        <f t="shared" si="29"/>
        <v>145.49</v>
      </c>
      <c r="P342" s="2"/>
      <c r="Q342" s="5"/>
    </row>
    <row r="343" spans="1:17">
      <c r="A343" s="2">
        <f t="shared" si="25"/>
        <v>341</v>
      </c>
      <c r="B343" s="2">
        <f t="shared" si="26"/>
        <v>123</v>
      </c>
      <c r="C343" s="2" t="s">
        <v>20</v>
      </c>
      <c r="D343" s="2" t="s">
        <v>65</v>
      </c>
      <c r="E343" s="2" t="s">
        <v>742</v>
      </c>
      <c r="F343" s="2" t="s">
        <v>743</v>
      </c>
      <c r="G343" s="3">
        <v>10</v>
      </c>
      <c r="H343" s="3">
        <v>66.150000000000006</v>
      </c>
      <c r="I343" s="3">
        <v>3</v>
      </c>
      <c r="J343" s="3">
        <f t="shared" si="27"/>
        <v>79.150000000000006</v>
      </c>
      <c r="K343" s="3">
        <v>7.5</v>
      </c>
      <c r="L343" s="3">
        <v>55.81</v>
      </c>
      <c r="M343" s="3">
        <v>3</v>
      </c>
      <c r="N343" s="3">
        <f t="shared" si="28"/>
        <v>66.31</v>
      </c>
      <c r="O343" s="3">
        <f t="shared" si="29"/>
        <v>145.46</v>
      </c>
      <c r="P343" s="2"/>
      <c r="Q343" s="5"/>
    </row>
    <row r="344" spans="1:17">
      <c r="A344" s="2">
        <f t="shared" si="25"/>
        <v>341</v>
      </c>
      <c r="B344" s="2">
        <f t="shared" si="26"/>
        <v>123</v>
      </c>
      <c r="C344" s="2" t="s">
        <v>20</v>
      </c>
      <c r="D344" s="2" t="s">
        <v>32</v>
      </c>
      <c r="E344" s="2" t="s">
        <v>744</v>
      </c>
      <c r="F344" s="2" t="s">
        <v>745</v>
      </c>
      <c r="G344" s="3">
        <v>7.3</v>
      </c>
      <c r="H344" s="3">
        <v>56.954545454545503</v>
      </c>
      <c r="I344" s="3">
        <v>3</v>
      </c>
      <c r="J344" s="3">
        <f t="shared" si="27"/>
        <v>67.25</v>
      </c>
      <c r="K344" s="3">
        <v>9.8000000000000007</v>
      </c>
      <c r="L344" s="3">
        <v>64.91</v>
      </c>
      <c r="M344" s="3">
        <v>3.5</v>
      </c>
      <c r="N344" s="3">
        <f t="shared" si="28"/>
        <v>78.209999999999994</v>
      </c>
      <c r="O344" s="3">
        <f t="shared" si="29"/>
        <v>145.46</v>
      </c>
      <c r="P344" s="2"/>
      <c r="Q344" s="5"/>
    </row>
    <row r="345" spans="1:17">
      <c r="A345" s="2">
        <f t="shared" si="25"/>
        <v>343</v>
      </c>
      <c r="B345" s="2">
        <f t="shared" si="26"/>
        <v>49</v>
      </c>
      <c r="C345" s="2" t="s">
        <v>15</v>
      </c>
      <c r="D345" s="2" t="s">
        <v>39</v>
      </c>
      <c r="E345" s="2" t="s">
        <v>746</v>
      </c>
      <c r="F345" s="2" t="s">
        <v>747</v>
      </c>
      <c r="G345" s="3">
        <v>10.8</v>
      </c>
      <c r="H345" s="3">
        <v>62.35</v>
      </c>
      <c r="I345" s="3">
        <v>3</v>
      </c>
      <c r="J345" s="3">
        <f t="shared" si="27"/>
        <v>76.150000000000006</v>
      </c>
      <c r="K345" s="3">
        <v>9.8000000000000007</v>
      </c>
      <c r="L345" s="3">
        <v>55.99</v>
      </c>
      <c r="M345" s="3">
        <v>3.5</v>
      </c>
      <c r="N345" s="3">
        <f t="shared" si="28"/>
        <v>69.290000000000006</v>
      </c>
      <c r="O345" s="3">
        <f t="shared" si="29"/>
        <v>145.44</v>
      </c>
      <c r="P345" s="2"/>
      <c r="Q345" s="5"/>
    </row>
    <row r="346" spans="1:17">
      <c r="A346" s="2">
        <f t="shared" si="25"/>
        <v>344</v>
      </c>
      <c r="B346" s="2">
        <f t="shared" si="26"/>
        <v>97</v>
      </c>
      <c r="C346" s="2" t="s">
        <v>45</v>
      </c>
      <c r="D346" s="2" t="s">
        <v>89</v>
      </c>
      <c r="E346" s="2" t="s">
        <v>748</v>
      </c>
      <c r="F346" s="2" t="s">
        <v>749</v>
      </c>
      <c r="G346" s="3">
        <v>12</v>
      </c>
      <c r="H346" s="3">
        <v>59.14</v>
      </c>
      <c r="I346" s="3">
        <v>3</v>
      </c>
      <c r="J346" s="3">
        <f t="shared" si="27"/>
        <v>74.14</v>
      </c>
      <c r="K346" s="3">
        <v>9.3000000000000007</v>
      </c>
      <c r="L346" s="3">
        <v>58.16</v>
      </c>
      <c r="M346" s="3">
        <v>3.8</v>
      </c>
      <c r="N346" s="3">
        <f t="shared" si="28"/>
        <v>71.260000000000005</v>
      </c>
      <c r="O346" s="3">
        <f t="shared" si="29"/>
        <v>145.4</v>
      </c>
      <c r="P346" s="2"/>
      <c r="Q346" s="5"/>
    </row>
    <row r="347" spans="1:17">
      <c r="A347" s="2">
        <f t="shared" si="25"/>
        <v>345</v>
      </c>
      <c r="B347" s="2">
        <f t="shared" si="26"/>
        <v>50</v>
      </c>
      <c r="C347" s="2" t="s">
        <v>15</v>
      </c>
      <c r="D347" s="2" t="s">
        <v>39</v>
      </c>
      <c r="E347" s="2" t="s">
        <v>750</v>
      </c>
      <c r="F347" s="2" t="s">
        <v>751</v>
      </c>
      <c r="G347" s="3">
        <v>9.4</v>
      </c>
      <c r="H347" s="3">
        <v>59.56</v>
      </c>
      <c r="I347" s="3">
        <v>3</v>
      </c>
      <c r="J347" s="3">
        <f t="shared" si="27"/>
        <v>71.959999999999994</v>
      </c>
      <c r="K347" s="3">
        <v>7.3000000000000007</v>
      </c>
      <c r="L347" s="3">
        <v>61.38</v>
      </c>
      <c r="M347" s="3">
        <v>4.7</v>
      </c>
      <c r="N347" s="3">
        <f t="shared" si="28"/>
        <v>73.38</v>
      </c>
      <c r="O347" s="3">
        <f t="shared" si="29"/>
        <v>145.34</v>
      </c>
      <c r="P347" s="2"/>
      <c r="Q347" s="5"/>
    </row>
    <row r="348" spans="1:17">
      <c r="A348" s="2">
        <f t="shared" si="25"/>
        <v>346</v>
      </c>
      <c r="B348" s="2">
        <f t="shared" si="26"/>
        <v>125</v>
      </c>
      <c r="C348" s="2" t="s">
        <v>20</v>
      </c>
      <c r="D348" s="2" t="s">
        <v>164</v>
      </c>
      <c r="E348" s="2" t="s">
        <v>752</v>
      </c>
      <c r="F348" s="2" t="s">
        <v>753</v>
      </c>
      <c r="G348" s="3">
        <v>10.5</v>
      </c>
      <c r="H348" s="3">
        <v>61.81</v>
      </c>
      <c r="I348" s="3">
        <v>5</v>
      </c>
      <c r="J348" s="3">
        <f t="shared" si="27"/>
        <v>77.31</v>
      </c>
      <c r="K348" s="3">
        <v>10</v>
      </c>
      <c r="L348" s="3">
        <v>52.25</v>
      </c>
      <c r="M348" s="3">
        <v>5.7</v>
      </c>
      <c r="N348" s="3">
        <f t="shared" si="28"/>
        <v>67.95</v>
      </c>
      <c r="O348" s="3">
        <f t="shared" si="29"/>
        <v>145.26</v>
      </c>
      <c r="P348" s="2"/>
      <c r="Q348" s="5"/>
    </row>
    <row r="349" spans="1:17">
      <c r="A349" s="2">
        <f t="shared" si="25"/>
        <v>347</v>
      </c>
      <c r="B349" s="2">
        <f t="shared" si="26"/>
        <v>98</v>
      </c>
      <c r="C349" s="2" t="s">
        <v>45</v>
      </c>
      <c r="D349" s="2" t="s">
        <v>73</v>
      </c>
      <c r="E349" s="2" t="s">
        <v>754</v>
      </c>
      <c r="F349" s="2" t="s">
        <v>755</v>
      </c>
      <c r="G349" s="3">
        <v>9.8000000000000007</v>
      </c>
      <c r="H349" s="3">
        <v>60.55</v>
      </c>
      <c r="I349" s="3">
        <v>3</v>
      </c>
      <c r="J349" s="3">
        <f t="shared" si="27"/>
        <v>73.349999999999994</v>
      </c>
      <c r="K349" s="3">
        <v>9.8000000000000007</v>
      </c>
      <c r="L349" s="3">
        <v>58.6</v>
      </c>
      <c r="M349" s="3">
        <v>3.5</v>
      </c>
      <c r="N349" s="3">
        <f t="shared" si="28"/>
        <v>71.900000000000006</v>
      </c>
      <c r="O349" s="3">
        <f t="shared" si="29"/>
        <v>145.25</v>
      </c>
      <c r="P349" s="2"/>
      <c r="Q349" s="5"/>
    </row>
    <row r="350" spans="1:17">
      <c r="A350" s="2">
        <f t="shared" si="25"/>
        <v>348</v>
      </c>
      <c r="B350" s="2">
        <f t="shared" si="26"/>
        <v>51</v>
      </c>
      <c r="C350" s="2" t="s">
        <v>15</v>
      </c>
      <c r="D350" s="2" t="s">
        <v>257</v>
      </c>
      <c r="E350" s="2" t="s">
        <v>756</v>
      </c>
      <c r="F350" s="2" t="s">
        <v>757</v>
      </c>
      <c r="G350" s="3">
        <v>10</v>
      </c>
      <c r="H350" s="3">
        <v>58.79</v>
      </c>
      <c r="I350" s="3">
        <v>3.9</v>
      </c>
      <c r="J350" s="3">
        <f t="shared" si="27"/>
        <v>72.69</v>
      </c>
      <c r="K350" s="3">
        <v>10</v>
      </c>
      <c r="L350" s="3">
        <v>58.54</v>
      </c>
      <c r="M350" s="3">
        <v>4</v>
      </c>
      <c r="N350" s="3">
        <f t="shared" si="28"/>
        <v>72.540000000000006</v>
      </c>
      <c r="O350" s="3">
        <f t="shared" si="29"/>
        <v>145.22999999999999</v>
      </c>
      <c r="P350" s="4" t="s">
        <v>758</v>
      </c>
      <c r="Q350" s="5"/>
    </row>
    <row r="351" spans="1:17">
      <c r="A351" s="2">
        <f t="shared" si="25"/>
        <v>349</v>
      </c>
      <c r="B351" s="2">
        <f t="shared" si="26"/>
        <v>126</v>
      </c>
      <c r="C351" s="2" t="s">
        <v>20</v>
      </c>
      <c r="D351" s="2" t="s">
        <v>32</v>
      </c>
      <c r="E351" s="2" t="s">
        <v>759</v>
      </c>
      <c r="F351" s="2" t="s">
        <v>760</v>
      </c>
      <c r="G351" s="3">
        <v>10.8</v>
      </c>
      <c r="H351" s="3">
        <v>60.826530612244902</v>
      </c>
      <c r="I351" s="3">
        <v>5</v>
      </c>
      <c r="J351" s="3">
        <f t="shared" si="27"/>
        <v>76.63</v>
      </c>
      <c r="K351" s="3">
        <v>7.3000000000000007</v>
      </c>
      <c r="L351" s="3">
        <v>55.56</v>
      </c>
      <c r="M351" s="3">
        <v>5.7</v>
      </c>
      <c r="N351" s="3">
        <f t="shared" si="28"/>
        <v>68.56</v>
      </c>
      <c r="O351" s="3">
        <f t="shared" si="29"/>
        <v>145.19</v>
      </c>
      <c r="P351" s="2"/>
      <c r="Q351" s="5"/>
    </row>
    <row r="352" spans="1:17">
      <c r="A352" s="2">
        <f t="shared" si="25"/>
        <v>350</v>
      </c>
      <c r="B352" s="2">
        <f t="shared" si="26"/>
        <v>75</v>
      </c>
      <c r="C352" s="2" t="s">
        <v>24</v>
      </c>
      <c r="D352" s="2" t="s">
        <v>25</v>
      </c>
      <c r="E352" s="2" t="s">
        <v>761</v>
      </c>
      <c r="F352" s="2" t="s">
        <v>762</v>
      </c>
      <c r="G352" s="3">
        <v>9.8000000000000007</v>
      </c>
      <c r="H352" s="3">
        <v>58.719512195122</v>
      </c>
      <c r="I352" s="3">
        <v>4.2</v>
      </c>
      <c r="J352" s="3">
        <f t="shared" si="27"/>
        <v>72.72</v>
      </c>
      <c r="K352" s="3">
        <v>9.8000000000000007</v>
      </c>
      <c r="L352" s="3">
        <v>58.16</v>
      </c>
      <c r="M352" s="3">
        <v>4.5</v>
      </c>
      <c r="N352" s="3">
        <f t="shared" si="28"/>
        <v>72.459999999999994</v>
      </c>
      <c r="O352" s="3">
        <f t="shared" si="29"/>
        <v>145.18</v>
      </c>
      <c r="P352" s="2"/>
      <c r="Q352" s="5"/>
    </row>
    <row r="353" spans="1:17">
      <c r="A353" s="2">
        <f t="shared" si="25"/>
        <v>350</v>
      </c>
      <c r="B353" s="2">
        <f t="shared" si="26"/>
        <v>75</v>
      </c>
      <c r="C353" s="2" t="s">
        <v>24</v>
      </c>
      <c r="D353" s="2" t="s">
        <v>25</v>
      </c>
      <c r="E353" s="2" t="s">
        <v>763</v>
      </c>
      <c r="F353" s="2" t="s">
        <v>764</v>
      </c>
      <c r="G353" s="3">
        <v>10.3</v>
      </c>
      <c r="H353" s="3">
        <v>59.121951219512198</v>
      </c>
      <c r="I353" s="3">
        <v>4.5</v>
      </c>
      <c r="J353" s="3">
        <f t="shared" si="27"/>
        <v>73.92</v>
      </c>
      <c r="K353" s="3">
        <v>9.8000000000000007</v>
      </c>
      <c r="L353" s="3">
        <v>56.76</v>
      </c>
      <c r="M353" s="3">
        <v>4.7</v>
      </c>
      <c r="N353" s="3">
        <f t="shared" si="28"/>
        <v>71.260000000000005</v>
      </c>
      <c r="O353" s="3">
        <f t="shared" si="29"/>
        <v>145.18</v>
      </c>
      <c r="P353" s="2"/>
      <c r="Q353" s="5"/>
    </row>
    <row r="354" spans="1:17">
      <c r="A354" s="2">
        <f t="shared" si="25"/>
        <v>352</v>
      </c>
      <c r="B354" s="2">
        <f t="shared" si="26"/>
        <v>99</v>
      </c>
      <c r="C354" s="2" t="s">
        <v>45</v>
      </c>
      <c r="D354" s="2" t="s">
        <v>96</v>
      </c>
      <c r="E354" s="2" t="s">
        <v>765</v>
      </c>
      <c r="F354" s="2" t="s">
        <v>766</v>
      </c>
      <c r="G354" s="3">
        <v>9.8000000000000007</v>
      </c>
      <c r="H354" s="3">
        <v>62.64</v>
      </c>
      <c r="I354" s="3">
        <v>3</v>
      </c>
      <c r="J354" s="3">
        <f t="shared" si="27"/>
        <v>75.44</v>
      </c>
      <c r="K354" s="3">
        <v>7.5</v>
      </c>
      <c r="L354" s="3">
        <v>58.65</v>
      </c>
      <c r="M354" s="3">
        <v>3.5</v>
      </c>
      <c r="N354" s="3">
        <f t="shared" si="28"/>
        <v>69.650000000000006</v>
      </c>
      <c r="O354" s="3">
        <f t="shared" si="29"/>
        <v>145.09</v>
      </c>
      <c r="P354" s="2"/>
      <c r="Q354" s="5"/>
    </row>
    <row r="355" spans="1:17">
      <c r="A355" s="2">
        <f t="shared" si="25"/>
        <v>353</v>
      </c>
      <c r="B355" s="2">
        <f t="shared" si="26"/>
        <v>100</v>
      </c>
      <c r="C355" s="2" t="s">
        <v>45</v>
      </c>
      <c r="D355" s="2" t="s">
        <v>109</v>
      </c>
      <c r="E355" s="2" t="s">
        <v>767</v>
      </c>
      <c r="F355" s="2" t="s">
        <v>768</v>
      </c>
      <c r="G355" s="3">
        <v>9.8000000000000007</v>
      </c>
      <c r="H355" s="3">
        <v>62.29</v>
      </c>
      <c r="I355" s="3">
        <v>3</v>
      </c>
      <c r="J355" s="3">
        <f t="shared" si="27"/>
        <v>75.09</v>
      </c>
      <c r="K355" s="3">
        <v>7.3000000000000007</v>
      </c>
      <c r="L355" s="3">
        <v>59.18</v>
      </c>
      <c r="M355" s="3">
        <v>3.5</v>
      </c>
      <c r="N355" s="3">
        <f t="shared" si="28"/>
        <v>69.98</v>
      </c>
      <c r="O355" s="3">
        <f t="shared" si="29"/>
        <v>145.07</v>
      </c>
      <c r="P355" s="2"/>
      <c r="Q355" s="5"/>
    </row>
    <row r="356" spans="1:17">
      <c r="A356" s="2">
        <f t="shared" si="25"/>
        <v>354</v>
      </c>
      <c r="B356" s="2">
        <f t="shared" si="26"/>
        <v>77</v>
      </c>
      <c r="C356" s="2" t="s">
        <v>24</v>
      </c>
      <c r="D356" s="2" t="s">
        <v>76</v>
      </c>
      <c r="E356" s="2" t="s">
        <v>769</v>
      </c>
      <c r="F356" s="2" t="s">
        <v>770</v>
      </c>
      <c r="G356" s="3">
        <v>9.8000000000000007</v>
      </c>
      <c r="H356" s="3">
        <v>61.036585365853597</v>
      </c>
      <c r="I356" s="3">
        <v>3</v>
      </c>
      <c r="J356" s="3">
        <f t="shared" si="27"/>
        <v>73.84</v>
      </c>
      <c r="K356" s="3">
        <v>9</v>
      </c>
      <c r="L356" s="3">
        <v>59.2</v>
      </c>
      <c r="M356" s="3">
        <v>3</v>
      </c>
      <c r="N356" s="3">
        <f t="shared" si="28"/>
        <v>71.2</v>
      </c>
      <c r="O356" s="3">
        <f t="shared" si="29"/>
        <v>145.04</v>
      </c>
      <c r="P356" s="2"/>
      <c r="Q356" s="5"/>
    </row>
    <row r="357" spans="1:17">
      <c r="A357" s="2">
        <f t="shared" si="25"/>
        <v>355</v>
      </c>
      <c r="B357" s="2">
        <f t="shared" si="26"/>
        <v>78</v>
      </c>
      <c r="C357" s="2" t="s">
        <v>24</v>
      </c>
      <c r="D357" s="2" t="s">
        <v>25</v>
      </c>
      <c r="E357" s="2" t="s">
        <v>771</v>
      </c>
      <c r="F357" s="2" t="s">
        <v>772</v>
      </c>
      <c r="G357" s="3">
        <v>9.8000000000000007</v>
      </c>
      <c r="H357" s="3">
        <v>60.085365853658502</v>
      </c>
      <c r="I357" s="3">
        <v>4.7</v>
      </c>
      <c r="J357" s="3">
        <f t="shared" si="27"/>
        <v>74.59</v>
      </c>
      <c r="K357" s="3">
        <v>9.6</v>
      </c>
      <c r="L357" s="3">
        <v>55.59</v>
      </c>
      <c r="M357" s="3">
        <v>5.2</v>
      </c>
      <c r="N357" s="3">
        <f t="shared" si="28"/>
        <v>70.39</v>
      </c>
      <c r="O357" s="3">
        <f t="shared" si="29"/>
        <v>144.97999999999999</v>
      </c>
      <c r="P357" s="2"/>
      <c r="Q357" s="5"/>
    </row>
    <row r="358" spans="1:17">
      <c r="A358" s="2">
        <f t="shared" si="25"/>
        <v>356</v>
      </c>
      <c r="B358" s="2">
        <f t="shared" si="26"/>
        <v>101</v>
      </c>
      <c r="C358" s="2" t="s">
        <v>45</v>
      </c>
      <c r="D358" s="2" t="s">
        <v>232</v>
      </c>
      <c r="E358" s="2" t="s">
        <v>773</v>
      </c>
      <c r="F358" s="2" t="s">
        <v>774</v>
      </c>
      <c r="G358" s="3">
        <v>9.8000000000000007</v>
      </c>
      <c r="H358" s="3">
        <v>62.25</v>
      </c>
      <c r="I358" s="3">
        <v>3.2</v>
      </c>
      <c r="J358" s="3">
        <f t="shared" si="27"/>
        <v>75.25</v>
      </c>
      <c r="K358" s="3">
        <v>7.3000000000000007</v>
      </c>
      <c r="L358" s="3">
        <v>58.62</v>
      </c>
      <c r="M358" s="3">
        <v>3.8</v>
      </c>
      <c r="N358" s="3">
        <f t="shared" si="28"/>
        <v>69.72</v>
      </c>
      <c r="O358" s="3">
        <f t="shared" si="29"/>
        <v>144.97</v>
      </c>
      <c r="P358" s="2"/>
      <c r="Q358" s="5"/>
    </row>
    <row r="359" spans="1:17">
      <c r="A359" s="2">
        <f t="shared" si="25"/>
        <v>357</v>
      </c>
      <c r="B359" s="2">
        <f t="shared" si="26"/>
        <v>79</v>
      </c>
      <c r="C359" s="2" t="s">
        <v>24</v>
      </c>
      <c r="D359" s="2" t="s">
        <v>76</v>
      </c>
      <c r="E359" s="2" t="s">
        <v>775</v>
      </c>
      <c r="F359" s="2" t="s">
        <v>776</v>
      </c>
      <c r="G359" s="3">
        <v>10</v>
      </c>
      <c r="H359" s="3">
        <v>58.097560975609802</v>
      </c>
      <c r="I359" s="3">
        <v>4</v>
      </c>
      <c r="J359" s="3">
        <f t="shared" si="27"/>
        <v>72.099999999999994</v>
      </c>
      <c r="K359" s="3">
        <v>11</v>
      </c>
      <c r="L359" s="3">
        <v>58.86</v>
      </c>
      <c r="M359" s="3">
        <v>3</v>
      </c>
      <c r="N359" s="3">
        <f t="shared" si="28"/>
        <v>72.86</v>
      </c>
      <c r="O359" s="3">
        <f t="shared" si="29"/>
        <v>144.96</v>
      </c>
      <c r="P359" s="2"/>
      <c r="Q359" s="5"/>
    </row>
    <row r="360" spans="1:17">
      <c r="A360" s="2">
        <f t="shared" si="25"/>
        <v>358</v>
      </c>
      <c r="B360" s="2">
        <f t="shared" si="26"/>
        <v>102</v>
      </c>
      <c r="C360" s="2" t="s">
        <v>45</v>
      </c>
      <c r="D360" s="2" t="s">
        <v>114</v>
      </c>
      <c r="E360" s="2" t="s">
        <v>777</v>
      </c>
      <c r="F360" s="2" t="s">
        <v>778</v>
      </c>
      <c r="G360" s="3">
        <v>9.8000000000000007</v>
      </c>
      <c r="H360" s="3">
        <v>62.23</v>
      </c>
      <c r="I360" s="3">
        <v>4.5</v>
      </c>
      <c r="J360" s="3">
        <f t="shared" si="27"/>
        <v>76.53</v>
      </c>
      <c r="K360" s="3">
        <v>9.8000000000000007</v>
      </c>
      <c r="L360" s="3">
        <v>52.42</v>
      </c>
      <c r="M360" s="3">
        <v>6.1</v>
      </c>
      <c r="N360" s="3">
        <f t="shared" si="28"/>
        <v>68.319999999999993</v>
      </c>
      <c r="O360" s="3">
        <f t="shared" si="29"/>
        <v>144.85</v>
      </c>
      <c r="P360" s="2"/>
      <c r="Q360" s="5"/>
    </row>
    <row r="361" spans="1:17">
      <c r="A361" s="2">
        <f t="shared" si="25"/>
        <v>359</v>
      </c>
      <c r="B361" s="2">
        <f t="shared" si="26"/>
        <v>80</v>
      </c>
      <c r="C361" s="2" t="s">
        <v>24</v>
      </c>
      <c r="D361" s="2" t="s">
        <v>25</v>
      </c>
      <c r="E361" s="2" t="s">
        <v>779</v>
      </c>
      <c r="F361" s="2" t="s">
        <v>780</v>
      </c>
      <c r="G361" s="3">
        <v>9.8000000000000007</v>
      </c>
      <c r="H361" s="3">
        <v>59.414634146341498</v>
      </c>
      <c r="I361" s="3">
        <v>4.5999999999999996</v>
      </c>
      <c r="J361" s="3">
        <f t="shared" si="27"/>
        <v>73.81</v>
      </c>
      <c r="K361" s="3">
        <v>9.8000000000000007</v>
      </c>
      <c r="L361" s="3">
        <v>56.82</v>
      </c>
      <c r="M361" s="3">
        <v>4.4000000000000004</v>
      </c>
      <c r="N361" s="3">
        <f t="shared" si="28"/>
        <v>71.02</v>
      </c>
      <c r="O361" s="3">
        <f t="shared" si="29"/>
        <v>144.83000000000001</v>
      </c>
      <c r="P361" s="2"/>
      <c r="Q361" s="5"/>
    </row>
    <row r="362" spans="1:17">
      <c r="A362" s="2">
        <f t="shared" si="25"/>
        <v>360</v>
      </c>
      <c r="B362" s="2">
        <f t="shared" si="26"/>
        <v>127</v>
      </c>
      <c r="C362" s="2" t="s">
        <v>20</v>
      </c>
      <c r="D362" s="2" t="s">
        <v>42</v>
      </c>
      <c r="E362" s="2" t="s">
        <v>781</v>
      </c>
      <c r="F362" s="2" t="s">
        <v>782</v>
      </c>
      <c r="G362" s="3">
        <v>11</v>
      </c>
      <c r="H362" s="3">
        <v>56.5</v>
      </c>
      <c r="I362" s="3">
        <v>5.6</v>
      </c>
      <c r="J362" s="3">
        <f t="shared" si="27"/>
        <v>73.099999999999994</v>
      </c>
      <c r="K362" s="3">
        <v>10</v>
      </c>
      <c r="L362" s="3">
        <v>56.12</v>
      </c>
      <c r="M362" s="3">
        <v>5.6</v>
      </c>
      <c r="N362" s="3">
        <f t="shared" si="28"/>
        <v>71.72</v>
      </c>
      <c r="O362" s="3">
        <f t="shared" si="29"/>
        <v>144.82</v>
      </c>
      <c r="P362" s="2"/>
      <c r="Q362" s="5"/>
    </row>
    <row r="363" spans="1:17">
      <c r="A363" s="2">
        <f t="shared" si="25"/>
        <v>360</v>
      </c>
      <c r="B363" s="2">
        <f t="shared" si="26"/>
        <v>103</v>
      </c>
      <c r="C363" s="2" t="s">
        <v>45</v>
      </c>
      <c r="D363" s="2" t="s">
        <v>73</v>
      </c>
      <c r="E363" s="2" t="s">
        <v>783</v>
      </c>
      <c r="F363" s="2" t="s">
        <v>784</v>
      </c>
      <c r="G363" s="3">
        <v>10.8</v>
      </c>
      <c r="H363" s="3">
        <v>56.48</v>
      </c>
      <c r="I363" s="3">
        <v>3.8</v>
      </c>
      <c r="J363" s="3">
        <f t="shared" si="27"/>
        <v>71.08</v>
      </c>
      <c r="K363" s="3">
        <v>10</v>
      </c>
      <c r="L363" s="3">
        <v>59.44</v>
      </c>
      <c r="M363" s="3">
        <v>4.3</v>
      </c>
      <c r="N363" s="3">
        <f t="shared" si="28"/>
        <v>73.739999999999995</v>
      </c>
      <c r="O363" s="3">
        <f t="shared" si="29"/>
        <v>144.82</v>
      </c>
      <c r="P363" s="2"/>
      <c r="Q363" s="5"/>
    </row>
    <row r="364" spans="1:17">
      <c r="A364" s="2">
        <f t="shared" si="25"/>
        <v>362</v>
      </c>
      <c r="B364" s="2">
        <f t="shared" si="26"/>
        <v>128</v>
      </c>
      <c r="C364" s="2" t="s">
        <v>20</v>
      </c>
      <c r="D364" s="2" t="s">
        <v>229</v>
      </c>
      <c r="E364" s="2" t="s">
        <v>785</v>
      </c>
      <c r="F364" s="2" t="s">
        <v>786</v>
      </c>
      <c r="G364" s="3">
        <v>9.8000000000000007</v>
      </c>
      <c r="H364" s="3">
        <v>58.92</v>
      </c>
      <c r="I364" s="3">
        <v>4</v>
      </c>
      <c r="J364" s="3">
        <f t="shared" si="27"/>
        <v>72.72</v>
      </c>
      <c r="K364" s="3">
        <v>9.8000000000000007</v>
      </c>
      <c r="L364" s="3">
        <v>57.38</v>
      </c>
      <c r="M364" s="3">
        <v>4.9000000000000004</v>
      </c>
      <c r="N364" s="3">
        <f t="shared" si="28"/>
        <v>72.08</v>
      </c>
      <c r="O364" s="3">
        <f t="shared" si="29"/>
        <v>144.80000000000001</v>
      </c>
      <c r="P364" s="2"/>
      <c r="Q364" s="5"/>
    </row>
    <row r="365" spans="1:17">
      <c r="A365" s="2">
        <f t="shared" si="25"/>
        <v>363</v>
      </c>
      <c r="B365" s="2">
        <f t="shared" si="26"/>
        <v>104</v>
      </c>
      <c r="C365" s="2" t="s">
        <v>45</v>
      </c>
      <c r="D365" s="2" t="s">
        <v>109</v>
      </c>
      <c r="E365" s="2" t="s">
        <v>787</v>
      </c>
      <c r="F365" s="2" t="s">
        <v>788</v>
      </c>
      <c r="G365" s="3">
        <v>9.8000000000000007</v>
      </c>
      <c r="H365" s="3">
        <v>57.67</v>
      </c>
      <c r="I365" s="3">
        <v>4.7</v>
      </c>
      <c r="J365" s="3">
        <f t="shared" si="27"/>
        <v>72.17</v>
      </c>
      <c r="K365" s="3">
        <v>9.8000000000000007</v>
      </c>
      <c r="L365" s="3">
        <v>58.32</v>
      </c>
      <c r="M365" s="3">
        <v>4.5</v>
      </c>
      <c r="N365" s="3">
        <f t="shared" si="28"/>
        <v>72.62</v>
      </c>
      <c r="O365" s="3">
        <f t="shared" si="29"/>
        <v>144.79</v>
      </c>
      <c r="P365" s="2"/>
      <c r="Q365" s="5"/>
    </row>
    <row r="366" spans="1:17">
      <c r="A366" s="2">
        <f t="shared" si="25"/>
        <v>364</v>
      </c>
      <c r="B366" s="2">
        <f t="shared" si="26"/>
        <v>129</v>
      </c>
      <c r="C366" s="2" t="s">
        <v>20</v>
      </c>
      <c r="D366" s="2" t="s">
        <v>36</v>
      </c>
      <c r="E366" s="2" t="s">
        <v>789</v>
      </c>
      <c r="F366" s="2" t="s">
        <v>790</v>
      </c>
      <c r="G366" s="3">
        <v>9.8000000000000007</v>
      </c>
      <c r="H366" s="3">
        <v>61.81</v>
      </c>
      <c r="I366" s="3">
        <v>3.9</v>
      </c>
      <c r="J366" s="3">
        <f t="shared" si="27"/>
        <v>75.510000000000005</v>
      </c>
      <c r="K366" s="3">
        <v>9.8000000000000007</v>
      </c>
      <c r="L366" s="3">
        <v>55.96</v>
      </c>
      <c r="M366" s="3">
        <v>3.5</v>
      </c>
      <c r="N366" s="3">
        <f t="shared" si="28"/>
        <v>69.260000000000005</v>
      </c>
      <c r="O366" s="3">
        <f t="shared" si="29"/>
        <v>144.77000000000001</v>
      </c>
      <c r="P366" s="2"/>
      <c r="Q366" s="5"/>
    </row>
    <row r="367" spans="1:17">
      <c r="A367" s="2">
        <f t="shared" si="25"/>
        <v>365</v>
      </c>
      <c r="B367" s="2">
        <f t="shared" si="26"/>
        <v>130</v>
      </c>
      <c r="C367" s="2" t="s">
        <v>20</v>
      </c>
      <c r="D367" s="2" t="s">
        <v>29</v>
      </c>
      <c r="E367" s="2" t="s">
        <v>791</v>
      </c>
      <c r="F367" s="2" t="s">
        <v>792</v>
      </c>
      <c r="G367" s="3">
        <v>10</v>
      </c>
      <c r="H367" s="3">
        <v>57.82</v>
      </c>
      <c r="I367" s="3">
        <v>3.4</v>
      </c>
      <c r="J367" s="3">
        <f t="shared" si="27"/>
        <v>71.22</v>
      </c>
      <c r="K367" s="3">
        <v>10</v>
      </c>
      <c r="L367" s="3">
        <v>57.91</v>
      </c>
      <c r="M367" s="3">
        <v>5.6</v>
      </c>
      <c r="N367" s="3">
        <f t="shared" si="28"/>
        <v>73.510000000000005</v>
      </c>
      <c r="O367" s="3">
        <f t="shared" si="29"/>
        <v>144.72999999999999</v>
      </c>
      <c r="P367" s="2"/>
      <c r="Q367" s="5"/>
    </row>
    <row r="368" spans="1:17">
      <c r="A368" s="2">
        <f t="shared" si="25"/>
        <v>366</v>
      </c>
      <c r="B368" s="2">
        <f t="shared" si="26"/>
        <v>105</v>
      </c>
      <c r="C368" s="2" t="s">
        <v>45</v>
      </c>
      <c r="D368" s="2" t="s">
        <v>266</v>
      </c>
      <c r="E368" s="2" t="s">
        <v>793</v>
      </c>
      <c r="F368" s="2" t="s">
        <v>794</v>
      </c>
      <c r="G368" s="3">
        <v>10</v>
      </c>
      <c r="H368" s="3">
        <v>57.03</v>
      </c>
      <c r="I368" s="3">
        <v>3</v>
      </c>
      <c r="J368" s="3">
        <f t="shared" si="27"/>
        <v>70.03</v>
      </c>
      <c r="K368" s="3">
        <v>10</v>
      </c>
      <c r="L368" s="3">
        <v>61.68</v>
      </c>
      <c r="M368" s="3">
        <v>3</v>
      </c>
      <c r="N368" s="3">
        <f t="shared" si="28"/>
        <v>74.680000000000007</v>
      </c>
      <c r="O368" s="3">
        <f t="shared" si="29"/>
        <v>144.71</v>
      </c>
      <c r="P368" s="2"/>
      <c r="Q368" s="5"/>
    </row>
    <row r="369" spans="1:17">
      <c r="A369" s="2">
        <f t="shared" si="25"/>
        <v>366</v>
      </c>
      <c r="B369" s="2">
        <f t="shared" si="26"/>
        <v>105</v>
      </c>
      <c r="C369" s="2" t="s">
        <v>45</v>
      </c>
      <c r="D369" s="2" t="s">
        <v>46</v>
      </c>
      <c r="E369" s="2" t="s">
        <v>795</v>
      </c>
      <c r="F369" s="2" t="s">
        <v>796</v>
      </c>
      <c r="G369" s="3">
        <v>9.8000000000000007</v>
      </c>
      <c r="H369" s="3">
        <v>59.05</v>
      </c>
      <c r="I369" s="3">
        <v>3.4</v>
      </c>
      <c r="J369" s="3">
        <f t="shared" si="27"/>
        <v>72.25</v>
      </c>
      <c r="K369" s="3">
        <v>9.8000000000000007</v>
      </c>
      <c r="L369" s="3">
        <v>59.66</v>
      </c>
      <c r="M369" s="3">
        <v>3</v>
      </c>
      <c r="N369" s="3">
        <f t="shared" si="28"/>
        <v>72.459999999999994</v>
      </c>
      <c r="O369" s="3">
        <f t="shared" si="29"/>
        <v>144.71</v>
      </c>
      <c r="P369" s="2"/>
      <c r="Q369" s="5"/>
    </row>
    <row r="370" spans="1:17">
      <c r="A370" s="2">
        <f t="shared" si="25"/>
        <v>368</v>
      </c>
      <c r="B370" s="2">
        <f t="shared" si="26"/>
        <v>131</v>
      </c>
      <c r="C370" s="2" t="s">
        <v>20</v>
      </c>
      <c r="D370" s="2" t="s">
        <v>42</v>
      </c>
      <c r="E370" s="2" t="s">
        <v>797</v>
      </c>
      <c r="F370" s="2" t="s">
        <v>798</v>
      </c>
      <c r="G370" s="3">
        <v>10</v>
      </c>
      <c r="H370" s="3">
        <v>55.867346938775498</v>
      </c>
      <c r="I370" s="3">
        <v>4.2</v>
      </c>
      <c r="J370" s="3">
        <f t="shared" si="27"/>
        <v>70.069999999999993</v>
      </c>
      <c r="K370" s="3">
        <v>10</v>
      </c>
      <c r="L370" s="3">
        <v>59.33</v>
      </c>
      <c r="M370" s="3">
        <v>5.3</v>
      </c>
      <c r="N370" s="3">
        <f t="shared" si="28"/>
        <v>74.63</v>
      </c>
      <c r="O370" s="3">
        <f t="shared" si="29"/>
        <v>144.69999999999999</v>
      </c>
      <c r="P370" s="4" t="s">
        <v>799</v>
      </c>
      <c r="Q370" s="5"/>
    </row>
    <row r="371" spans="1:17">
      <c r="A371" s="2">
        <f t="shared" si="25"/>
        <v>369</v>
      </c>
      <c r="B371" s="2">
        <f t="shared" si="26"/>
        <v>81</v>
      </c>
      <c r="C371" s="2" t="s">
        <v>24</v>
      </c>
      <c r="D371" s="2" t="s">
        <v>58</v>
      </c>
      <c r="E371" s="2" t="s">
        <v>800</v>
      </c>
      <c r="F371" s="2" t="s">
        <v>801</v>
      </c>
      <c r="G371" s="3">
        <v>9.8000000000000007</v>
      </c>
      <c r="H371" s="3">
        <v>57.036585365853597</v>
      </c>
      <c r="I371" s="3">
        <v>4</v>
      </c>
      <c r="J371" s="3">
        <f t="shared" si="27"/>
        <v>70.84</v>
      </c>
      <c r="K371" s="3">
        <v>9.8000000000000007</v>
      </c>
      <c r="L371" s="3">
        <v>59.44</v>
      </c>
      <c r="M371" s="3">
        <v>4.5</v>
      </c>
      <c r="N371" s="3">
        <f t="shared" si="28"/>
        <v>73.739999999999995</v>
      </c>
      <c r="O371" s="3">
        <f t="shared" si="29"/>
        <v>144.58000000000001</v>
      </c>
      <c r="P371" s="2"/>
      <c r="Q371" s="5"/>
    </row>
    <row r="372" spans="1:17">
      <c r="A372" s="2">
        <f t="shared" si="25"/>
        <v>370</v>
      </c>
      <c r="B372" s="2">
        <f t="shared" si="26"/>
        <v>82</v>
      </c>
      <c r="C372" s="2" t="s">
        <v>24</v>
      </c>
      <c r="D372" s="2" t="s">
        <v>25</v>
      </c>
      <c r="E372" s="2" t="s">
        <v>802</v>
      </c>
      <c r="F372" s="2" t="s">
        <v>803</v>
      </c>
      <c r="G372" s="3">
        <v>9.8000000000000007</v>
      </c>
      <c r="H372" s="3">
        <v>60.342857142857099</v>
      </c>
      <c r="I372" s="3">
        <v>3</v>
      </c>
      <c r="J372" s="3">
        <f t="shared" si="27"/>
        <v>73.14</v>
      </c>
      <c r="K372" s="3">
        <v>9.8000000000000007</v>
      </c>
      <c r="L372" s="3">
        <v>58.13</v>
      </c>
      <c r="M372" s="3">
        <v>3.5</v>
      </c>
      <c r="N372" s="3">
        <f t="shared" si="28"/>
        <v>71.430000000000007</v>
      </c>
      <c r="O372" s="3">
        <f t="shared" si="29"/>
        <v>144.57</v>
      </c>
      <c r="P372" s="2"/>
      <c r="Q372" s="5"/>
    </row>
    <row r="373" spans="1:17">
      <c r="A373" s="2">
        <f t="shared" si="25"/>
        <v>371</v>
      </c>
      <c r="B373" s="2">
        <f t="shared" si="26"/>
        <v>107</v>
      </c>
      <c r="C373" s="2" t="s">
        <v>45</v>
      </c>
      <c r="D373" s="2" t="s">
        <v>96</v>
      </c>
      <c r="E373" s="2" t="s">
        <v>804</v>
      </c>
      <c r="F373" s="2" t="s">
        <v>805</v>
      </c>
      <c r="G373" s="3">
        <v>9.8000000000000007</v>
      </c>
      <c r="H373" s="3">
        <v>61.65</v>
      </c>
      <c r="I373" s="3">
        <v>3.2</v>
      </c>
      <c r="J373" s="3">
        <f t="shared" si="27"/>
        <v>74.650000000000006</v>
      </c>
      <c r="K373" s="3">
        <v>7.3000000000000007</v>
      </c>
      <c r="L373" s="3">
        <v>59.11</v>
      </c>
      <c r="M373" s="3">
        <v>3.5</v>
      </c>
      <c r="N373" s="3">
        <f t="shared" si="28"/>
        <v>69.91</v>
      </c>
      <c r="O373" s="3">
        <f t="shared" si="29"/>
        <v>144.56</v>
      </c>
      <c r="P373" s="2"/>
      <c r="Q373" s="5"/>
    </row>
    <row r="374" spans="1:17">
      <c r="A374" s="2">
        <f t="shared" si="25"/>
        <v>372</v>
      </c>
      <c r="B374" s="2">
        <f t="shared" si="26"/>
        <v>108</v>
      </c>
      <c r="C374" s="2" t="s">
        <v>45</v>
      </c>
      <c r="D374" s="2" t="s">
        <v>232</v>
      </c>
      <c r="E374" s="2" t="s">
        <v>806</v>
      </c>
      <c r="F374" s="2" t="s">
        <v>807</v>
      </c>
      <c r="G374" s="3">
        <v>9.8000000000000007</v>
      </c>
      <c r="H374" s="3">
        <v>59.04</v>
      </c>
      <c r="I374" s="3">
        <v>3.9</v>
      </c>
      <c r="J374" s="3">
        <f t="shared" si="27"/>
        <v>72.739999999999995</v>
      </c>
      <c r="K374" s="3">
        <v>9.8000000000000007</v>
      </c>
      <c r="L374" s="3">
        <v>57.72</v>
      </c>
      <c r="M374" s="3">
        <v>4.2</v>
      </c>
      <c r="N374" s="3">
        <f t="shared" si="28"/>
        <v>71.72</v>
      </c>
      <c r="O374" s="3">
        <f t="shared" si="29"/>
        <v>144.46</v>
      </c>
      <c r="P374" s="2"/>
      <c r="Q374" s="5"/>
    </row>
    <row r="375" spans="1:17">
      <c r="A375" s="2">
        <f t="shared" si="25"/>
        <v>373</v>
      </c>
      <c r="B375" s="2">
        <f t="shared" si="26"/>
        <v>109</v>
      </c>
      <c r="C375" s="2" t="s">
        <v>45</v>
      </c>
      <c r="D375" s="2" t="s">
        <v>109</v>
      </c>
      <c r="E375" s="2" t="s">
        <v>808</v>
      </c>
      <c r="F375" s="2" t="s">
        <v>809</v>
      </c>
      <c r="G375" s="3">
        <v>7.5</v>
      </c>
      <c r="H375" s="3">
        <v>60.8</v>
      </c>
      <c r="I375" s="3">
        <v>6.3</v>
      </c>
      <c r="J375" s="3">
        <f t="shared" si="27"/>
        <v>74.599999999999994</v>
      </c>
      <c r="K375" s="3">
        <v>10</v>
      </c>
      <c r="L375" s="3">
        <v>55.44</v>
      </c>
      <c r="M375" s="3">
        <v>4.4000000000000004</v>
      </c>
      <c r="N375" s="3">
        <f t="shared" si="28"/>
        <v>69.84</v>
      </c>
      <c r="O375" s="3">
        <f t="shared" si="29"/>
        <v>144.44</v>
      </c>
      <c r="P375" s="2"/>
      <c r="Q375" s="5"/>
    </row>
    <row r="376" spans="1:17">
      <c r="A376" s="2">
        <f t="shared" si="25"/>
        <v>374</v>
      </c>
      <c r="B376" s="2">
        <f t="shared" si="26"/>
        <v>110</v>
      </c>
      <c r="C376" s="2" t="s">
        <v>45</v>
      </c>
      <c r="D376" s="2" t="s">
        <v>46</v>
      </c>
      <c r="E376" s="2" t="s">
        <v>810</v>
      </c>
      <c r="F376" s="2" t="s">
        <v>811</v>
      </c>
      <c r="G376" s="3">
        <v>10</v>
      </c>
      <c r="H376" s="3">
        <v>61.84</v>
      </c>
      <c r="I376" s="3">
        <v>3</v>
      </c>
      <c r="J376" s="3">
        <f t="shared" si="27"/>
        <v>74.84</v>
      </c>
      <c r="K376" s="3">
        <v>7.5</v>
      </c>
      <c r="L376" s="3">
        <v>58.87</v>
      </c>
      <c r="M376" s="3">
        <v>3.2</v>
      </c>
      <c r="N376" s="3">
        <f t="shared" si="28"/>
        <v>69.569999999999993</v>
      </c>
      <c r="O376" s="3">
        <f t="shared" si="29"/>
        <v>144.41</v>
      </c>
      <c r="P376" s="2"/>
      <c r="Q376" s="5"/>
    </row>
    <row r="377" spans="1:17">
      <c r="A377" s="2">
        <f t="shared" si="25"/>
        <v>375</v>
      </c>
      <c r="B377" s="2">
        <f t="shared" si="26"/>
        <v>132</v>
      </c>
      <c r="C377" s="2" t="s">
        <v>20</v>
      </c>
      <c r="D377" s="2" t="s">
        <v>42</v>
      </c>
      <c r="E377" s="2" t="s">
        <v>812</v>
      </c>
      <c r="F377" s="2" t="s">
        <v>813</v>
      </c>
      <c r="G377" s="3">
        <v>10</v>
      </c>
      <c r="H377" s="3">
        <v>56.6666666666667</v>
      </c>
      <c r="I377" s="3">
        <v>5.5</v>
      </c>
      <c r="J377" s="3">
        <f t="shared" si="27"/>
        <v>72.17</v>
      </c>
      <c r="K377" s="3">
        <v>10</v>
      </c>
      <c r="L377" s="3">
        <v>55.42</v>
      </c>
      <c r="M377" s="3">
        <v>6.8</v>
      </c>
      <c r="N377" s="3">
        <f t="shared" si="28"/>
        <v>72.22</v>
      </c>
      <c r="O377" s="3">
        <f t="shared" si="29"/>
        <v>144.38999999999999</v>
      </c>
      <c r="P377" s="2"/>
      <c r="Q377" s="5"/>
    </row>
    <row r="378" spans="1:17">
      <c r="A378" s="2">
        <f t="shared" si="25"/>
        <v>376</v>
      </c>
      <c r="B378" s="2">
        <f t="shared" si="26"/>
        <v>83</v>
      </c>
      <c r="C378" s="2" t="s">
        <v>24</v>
      </c>
      <c r="D378" s="2" t="s">
        <v>49</v>
      </c>
      <c r="E378" s="2" t="s">
        <v>814</v>
      </c>
      <c r="F378" s="2" t="s">
        <v>815</v>
      </c>
      <c r="G378" s="3">
        <v>10</v>
      </c>
      <c r="H378" s="3">
        <v>60.292682926829301</v>
      </c>
      <c r="I378" s="3">
        <v>3</v>
      </c>
      <c r="J378" s="3">
        <f t="shared" si="27"/>
        <v>73.290000000000006</v>
      </c>
      <c r="K378" s="3">
        <v>10</v>
      </c>
      <c r="L378" s="3">
        <v>58.05</v>
      </c>
      <c r="M378" s="3">
        <v>3</v>
      </c>
      <c r="N378" s="3">
        <f t="shared" si="28"/>
        <v>71.05</v>
      </c>
      <c r="O378" s="3">
        <f t="shared" si="29"/>
        <v>144.34</v>
      </c>
      <c r="P378" s="2"/>
      <c r="Q378" s="5"/>
    </row>
    <row r="379" spans="1:17">
      <c r="A379" s="2">
        <f t="shared" si="25"/>
        <v>376</v>
      </c>
      <c r="B379" s="2">
        <f t="shared" si="26"/>
        <v>52</v>
      </c>
      <c r="C379" s="2" t="s">
        <v>15</v>
      </c>
      <c r="D379" s="2" t="s">
        <v>257</v>
      </c>
      <c r="E379" s="2" t="s">
        <v>816</v>
      </c>
      <c r="F379" s="2" t="s">
        <v>817</v>
      </c>
      <c r="G379" s="3">
        <v>9.8000000000000007</v>
      </c>
      <c r="H379" s="3">
        <v>58.99</v>
      </c>
      <c r="I379" s="3">
        <v>4.2</v>
      </c>
      <c r="J379" s="3">
        <f t="shared" si="27"/>
        <v>72.989999999999995</v>
      </c>
      <c r="K379" s="3">
        <v>7.3000000000000007</v>
      </c>
      <c r="L379" s="3">
        <v>58.55</v>
      </c>
      <c r="M379" s="3">
        <v>5.5</v>
      </c>
      <c r="N379" s="3">
        <f t="shared" si="28"/>
        <v>71.349999999999994</v>
      </c>
      <c r="O379" s="3">
        <f t="shared" si="29"/>
        <v>144.34</v>
      </c>
      <c r="P379" s="2"/>
      <c r="Q379" s="5"/>
    </row>
    <row r="380" spans="1:17">
      <c r="A380" s="2">
        <f t="shared" si="25"/>
        <v>378</v>
      </c>
      <c r="B380" s="2">
        <f t="shared" si="26"/>
        <v>133</v>
      </c>
      <c r="C380" s="2" t="s">
        <v>20</v>
      </c>
      <c r="D380" s="2" t="s">
        <v>117</v>
      </c>
      <c r="E380" s="2" t="s">
        <v>818</v>
      </c>
      <c r="F380" s="2" t="s">
        <v>819</v>
      </c>
      <c r="G380" s="3">
        <v>9.8000000000000007</v>
      </c>
      <c r="H380" s="3">
        <v>63.04</v>
      </c>
      <c r="I380" s="3">
        <v>3.8</v>
      </c>
      <c r="J380" s="3">
        <f t="shared" si="27"/>
        <v>76.64</v>
      </c>
      <c r="K380" s="3">
        <v>9.8000000000000007</v>
      </c>
      <c r="L380" s="3">
        <v>54.35</v>
      </c>
      <c r="M380" s="3">
        <v>3.5</v>
      </c>
      <c r="N380" s="3">
        <f t="shared" si="28"/>
        <v>67.650000000000006</v>
      </c>
      <c r="O380" s="3">
        <f t="shared" si="29"/>
        <v>144.29</v>
      </c>
      <c r="P380" s="2"/>
      <c r="Q380" s="5"/>
    </row>
    <row r="381" spans="1:17">
      <c r="A381" s="2">
        <f t="shared" si="25"/>
        <v>379</v>
      </c>
      <c r="B381" s="2">
        <f t="shared" si="26"/>
        <v>84</v>
      </c>
      <c r="C381" s="2" t="s">
        <v>24</v>
      </c>
      <c r="D381" s="2" t="s">
        <v>58</v>
      </c>
      <c r="E381" s="2" t="s">
        <v>820</v>
      </c>
      <c r="F381" s="2" t="s">
        <v>821</v>
      </c>
      <c r="G381" s="3">
        <v>9.8000000000000007</v>
      </c>
      <c r="H381" s="3">
        <v>54.987804878048799</v>
      </c>
      <c r="I381" s="3">
        <v>5.0999999999999996</v>
      </c>
      <c r="J381" s="3">
        <f t="shared" si="27"/>
        <v>69.89</v>
      </c>
      <c r="K381" s="3">
        <v>9.8000000000000007</v>
      </c>
      <c r="L381" s="3">
        <v>59.34</v>
      </c>
      <c r="M381" s="3">
        <v>5.2</v>
      </c>
      <c r="N381" s="3">
        <f t="shared" si="28"/>
        <v>74.34</v>
      </c>
      <c r="O381" s="3">
        <f t="shared" si="29"/>
        <v>144.22999999999999</v>
      </c>
      <c r="P381" s="2"/>
      <c r="Q381" s="5"/>
    </row>
    <row r="382" spans="1:17">
      <c r="A382" s="2">
        <f t="shared" si="25"/>
        <v>380</v>
      </c>
      <c r="B382" s="2">
        <f t="shared" si="26"/>
        <v>85</v>
      </c>
      <c r="C382" s="2" t="s">
        <v>24</v>
      </c>
      <c r="D382" s="2" t="s">
        <v>49</v>
      </c>
      <c r="E382" s="2" t="s">
        <v>822</v>
      </c>
      <c r="F382" s="2" t="s">
        <v>823</v>
      </c>
      <c r="G382" s="3">
        <v>9.8000000000000007</v>
      </c>
      <c r="H382" s="3">
        <v>61.402439024390198</v>
      </c>
      <c r="I382" s="3">
        <v>3</v>
      </c>
      <c r="J382" s="3">
        <f t="shared" si="27"/>
        <v>74.2</v>
      </c>
      <c r="K382" s="3">
        <v>9</v>
      </c>
      <c r="L382" s="3">
        <v>57.48</v>
      </c>
      <c r="M382" s="3">
        <v>3.5</v>
      </c>
      <c r="N382" s="3">
        <f t="shared" si="28"/>
        <v>69.98</v>
      </c>
      <c r="O382" s="3">
        <f t="shared" si="29"/>
        <v>144.18</v>
      </c>
      <c r="P382" s="2"/>
      <c r="Q382" s="5"/>
    </row>
    <row r="383" spans="1:17">
      <c r="A383" s="2">
        <f t="shared" si="25"/>
        <v>381</v>
      </c>
      <c r="B383" s="2">
        <f t="shared" si="26"/>
        <v>111</v>
      </c>
      <c r="C383" s="2" t="s">
        <v>45</v>
      </c>
      <c r="D383" s="2" t="s">
        <v>54</v>
      </c>
      <c r="E383" s="2" t="s">
        <v>824</v>
      </c>
      <c r="F383" s="2" t="s">
        <v>825</v>
      </c>
      <c r="G383" s="3">
        <v>10.8</v>
      </c>
      <c r="H383" s="3">
        <v>62.58</v>
      </c>
      <c r="I383" s="3">
        <v>3</v>
      </c>
      <c r="J383" s="3">
        <f t="shared" si="27"/>
        <v>76.38</v>
      </c>
      <c r="K383" s="3">
        <v>9.8000000000000007</v>
      </c>
      <c r="L383" s="3">
        <v>54.46</v>
      </c>
      <c r="M383" s="3">
        <v>3.5</v>
      </c>
      <c r="N383" s="3">
        <f t="shared" si="28"/>
        <v>67.760000000000005</v>
      </c>
      <c r="O383" s="3">
        <f t="shared" si="29"/>
        <v>144.13999999999999</v>
      </c>
      <c r="P383" s="2"/>
      <c r="Q383" s="5"/>
    </row>
    <row r="384" spans="1:17">
      <c r="A384" s="2">
        <f t="shared" si="25"/>
        <v>382</v>
      </c>
      <c r="B384" s="2">
        <f t="shared" si="26"/>
        <v>86</v>
      </c>
      <c r="C384" s="2" t="s">
        <v>24</v>
      </c>
      <c r="D384" s="2" t="s">
        <v>49</v>
      </c>
      <c r="E384" s="2" t="s">
        <v>826</v>
      </c>
      <c r="F384" s="2" t="s">
        <v>827</v>
      </c>
      <c r="G384" s="3">
        <v>10</v>
      </c>
      <c r="H384" s="3">
        <v>58.036585365853597</v>
      </c>
      <c r="I384" s="3">
        <v>3</v>
      </c>
      <c r="J384" s="3">
        <f t="shared" si="27"/>
        <v>71.040000000000006</v>
      </c>
      <c r="K384" s="3">
        <v>10</v>
      </c>
      <c r="L384" s="3">
        <v>59.53</v>
      </c>
      <c r="M384" s="3">
        <v>3.5</v>
      </c>
      <c r="N384" s="3">
        <f t="shared" si="28"/>
        <v>73.03</v>
      </c>
      <c r="O384" s="3">
        <f t="shared" si="29"/>
        <v>144.07</v>
      </c>
      <c r="P384" s="2"/>
      <c r="Q384" s="5"/>
    </row>
    <row r="385" spans="1:17">
      <c r="A385" s="2">
        <f t="shared" si="25"/>
        <v>383</v>
      </c>
      <c r="B385" s="2">
        <f t="shared" si="26"/>
        <v>112</v>
      </c>
      <c r="C385" s="2" t="s">
        <v>45</v>
      </c>
      <c r="D385" s="2" t="s">
        <v>232</v>
      </c>
      <c r="E385" s="2" t="s">
        <v>828</v>
      </c>
      <c r="F385" s="2" t="s">
        <v>829</v>
      </c>
      <c r="G385" s="3">
        <v>10</v>
      </c>
      <c r="H385" s="3">
        <v>59</v>
      </c>
      <c r="I385" s="3">
        <v>4.2</v>
      </c>
      <c r="J385" s="3">
        <f t="shared" si="27"/>
        <v>73.2</v>
      </c>
      <c r="K385" s="3">
        <v>10</v>
      </c>
      <c r="L385" s="3">
        <v>56.66</v>
      </c>
      <c r="M385" s="3">
        <v>4.2</v>
      </c>
      <c r="N385" s="3">
        <f t="shared" si="28"/>
        <v>70.86</v>
      </c>
      <c r="O385" s="3">
        <f t="shared" si="29"/>
        <v>144.06</v>
      </c>
      <c r="P385" s="2"/>
      <c r="Q385" s="5"/>
    </row>
    <row r="386" spans="1:17">
      <c r="A386" s="2">
        <f t="shared" si="25"/>
        <v>384</v>
      </c>
      <c r="B386" s="2">
        <f t="shared" si="26"/>
        <v>87</v>
      </c>
      <c r="C386" s="2" t="s">
        <v>24</v>
      </c>
      <c r="D386" s="2" t="s">
        <v>25</v>
      </c>
      <c r="E386" s="2" t="s">
        <v>830</v>
      </c>
      <c r="F386" s="2" t="s">
        <v>831</v>
      </c>
      <c r="G386" s="3">
        <v>10</v>
      </c>
      <c r="H386" s="3">
        <v>62.024390243902403</v>
      </c>
      <c r="I386" s="3">
        <v>3</v>
      </c>
      <c r="J386" s="3">
        <f t="shared" si="27"/>
        <v>75.02</v>
      </c>
      <c r="K386" s="3">
        <v>10</v>
      </c>
      <c r="L386" s="3">
        <v>56.02</v>
      </c>
      <c r="M386" s="3">
        <v>3</v>
      </c>
      <c r="N386" s="3">
        <f t="shared" si="28"/>
        <v>69.02</v>
      </c>
      <c r="O386" s="3">
        <f t="shared" si="29"/>
        <v>144.04</v>
      </c>
      <c r="P386" s="2"/>
      <c r="Q386" s="5"/>
    </row>
    <row r="387" spans="1:17">
      <c r="A387" s="2">
        <f t="shared" ref="A387:A450" si="30">COUNTIFS($C$3:$C$1025,"&lt;&gt;大数据",$O$3:$O$1025,"&gt;"&amp;O387)+1</f>
        <v>385</v>
      </c>
      <c r="B387" s="2">
        <f t="shared" ref="B387:B450" si="31">COUNTIFS($C$3:$C$1025,C387,$O$3:$O$1025,"&gt;"&amp;O387)+1</f>
        <v>113</v>
      </c>
      <c r="C387" s="2" t="s">
        <v>45</v>
      </c>
      <c r="D387" s="2" t="s">
        <v>54</v>
      </c>
      <c r="E387" s="2" t="s">
        <v>832</v>
      </c>
      <c r="F387" s="2" t="s">
        <v>833</v>
      </c>
      <c r="G387" s="3">
        <v>10</v>
      </c>
      <c r="H387" s="3">
        <v>58.38</v>
      </c>
      <c r="I387" s="3">
        <v>4.5</v>
      </c>
      <c r="J387" s="3">
        <f t="shared" ref="J387:J450" si="32">ROUND(SUM(G387:I387),2)</f>
        <v>72.88</v>
      </c>
      <c r="K387" s="3">
        <v>10</v>
      </c>
      <c r="L387" s="3">
        <v>55.97</v>
      </c>
      <c r="M387" s="3">
        <v>5.0999999999999996</v>
      </c>
      <c r="N387" s="3">
        <f t="shared" ref="N387:N450" si="33">ROUND(SUM(K387:M387),2)</f>
        <v>71.069999999999993</v>
      </c>
      <c r="O387" s="3">
        <f t="shared" ref="O387:O450" si="34">ROUND(SUM(J387,N387),2)</f>
        <v>143.94999999999999</v>
      </c>
      <c r="P387" s="2"/>
      <c r="Q387" s="5"/>
    </row>
    <row r="388" spans="1:17">
      <c r="A388" s="2">
        <f t="shared" si="30"/>
        <v>386</v>
      </c>
      <c r="B388" s="2">
        <f t="shared" si="31"/>
        <v>88</v>
      </c>
      <c r="C388" s="2" t="s">
        <v>24</v>
      </c>
      <c r="D388" s="2" t="s">
        <v>76</v>
      </c>
      <c r="E388" s="2" t="s">
        <v>834</v>
      </c>
      <c r="F388" s="2" t="s">
        <v>835</v>
      </c>
      <c r="G388" s="3">
        <v>9.8000000000000007</v>
      </c>
      <c r="H388" s="3">
        <v>59.317073170731703</v>
      </c>
      <c r="I388" s="3">
        <v>3</v>
      </c>
      <c r="J388" s="3">
        <f t="shared" si="32"/>
        <v>72.12</v>
      </c>
      <c r="K388" s="3">
        <v>9</v>
      </c>
      <c r="L388" s="3">
        <v>57.93</v>
      </c>
      <c r="M388" s="3">
        <v>4.8</v>
      </c>
      <c r="N388" s="3">
        <f t="shared" si="33"/>
        <v>71.73</v>
      </c>
      <c r="O388" s="3">
        <f t="shared" si="34"/>
        <v>143.85</v>
      </c>
      <c r="P388" s="2"/>
      <c r="Q388" s="5"/>
    </row>
    <row r="389" spans="1:17">
      <c r="A389" s="2">
        <f t="shared" si="30"/>
        <v>386</v>
      </c>
      <c r="B389" s="2">
        <f t="shared" si="31"/>
        <v>114</v>
      </c>
      <c r="C389" s="2" t="s">
        <v>45</v>
      </c>
      <c r="D389" s="2" t="s">
        <v>114</v>
      </c>
      <c r="E389" s="2" t="s">
        <v>836</v>
      </c>
      <c r="F389" s="2" t="s">
        <v>837</v>
      </c>
      <c r="G389" s="3">
        <v>9.8000000000000007</v>
      </c>
      <c r="H389" s="3">
        <v>55.71</v>
      </c>
      <c r="I389" s="3">
        <v>5.2</v>
      </c>
      <c r="J389" s="3">
        <f t="shared" si="32"/>
        <v>70.709999999999994</v>
      </c>
      <c r="K389" s="3">
        <v>9.8000000000000007</v>
      </c>
      <c r="L389" s="3">
        <v>58.34</v>
      </c>
      <c r="M389" s="3">
        <v>5</v>
      </c>
      <c r="N389" s="3">
        <f t="shared" si="33"/>
        <v>73.14</v>
      </c>
      <c r="O389" s="3">
        <f t="shared" si="34"/>
        <v>143.85</v>
      </c>
      <c r="P389" s="2"/>
      <c r="Q389" s="5"/>
    </row>
    <row r="390" spans="1:17">
      <c r="A390" s="2">
        <f t="shared" si="30"/>
        <v>388</v>
      </c>
      <c r="B390" s="2">
        <f t="shared" si="31"/>
        <v>134</v>
      </c>
      <c r="C390" s="2" t="s">
        <v>20</v>
      </c>
      <c r="D390" s="2" t="s">
        <v>117</v>
      </c>
      <c r="E390" s="2" t="s">
        <v>838</v>
      </c>
      <c r="F390" s="2" t="s">
        <v>839</v>
      </c>
      <c r="G390" s="3">
        <v>10</v>
      </c>
      <c r="H390" s="3">
        <v>61.19</v>
      </c>
      <c r="I390" s="3">
        <v>3</v>
      </c>
      <c r="J390" s="3">
        <f t="shared" si="32"/>
        <v>74.19</v>
      </c>
      <c r="K390" s="3">
        <v>10</v>
      </c>
      <c r="L390" s="3">
        <v>56.63</v>
      </c>
      <c r="M390" s="3">
        <v>3</v>
      </c>
      <c r="N390" s="3">
        <f t="shared" si="33"/>
        <v>69.63</v>
      </c>
      <c r="O390" s="3">
        <f t="shared" si="34"/>
        <v>143.82</v>
      </c>
      <c r="P390" s="2"/>
      <c r="Q390" s="5"/>
    </row>
    <row r="391" spans="1:17">
      <c r="A391" s="2">
        <f t="shared" si="30"/>
        <v>389</v>
      </c>
      <c r="B391" s="2">
        <f t="shared" si="31"/>
        <v>115</v>
      </c>
      <c r="C391" s="2" t="s">
        <v>45</v>
      </c>
      <c r="D391" s="2" t="s">
        <v>114</v>
      </c>
      <c r="E391" s="2" t="s">
        <v>840</v>
      </c>
      <c r="F391" s="2" t="s">
        <v>841</v>
      </c>
      <c r="G391" s="3">
        <v>10.5</v>
      </c>
      <c r="H391" s="3">
        <v>59.2</v>
      </c>
      <c r="I391" s="3">
        <v>3</v>
      </c>
      <c r="J391" s="3">
        <f t="shared" si="32"/>
        <v>72.7</v>
      </c>
      <c r="K391" s="3">
        <v>10</v>
      </c>
      <c r="L391" s="3">
        <v>57.41</v>
      </c>
      <c r="M391" s="3">
        <v>3.5</v>
      </c>
      <c r="N391" s="3">
        <f t="shared" si="33"/>
        <v>70.91</v>
      </c>
      <c r="O391" s="3">
        <f t="shared" si="34"/>
        <v>143.61000000000001</v>
      </c>
      <c r="P391" s="2"/>
      <c r="Q391" s="5"/>
    </row>
    <row r="392" spans="1:17">
      <c r="A392" s="2">
        <f t="shared" si="30"/>
        <v>390</v>
      </c>
      <c r="B392" s="2">
        <f t="shared" si="31"/>
        <v>53</v>
      </c>
      <c r="C392" s="2" t="s">
        <v>15</v>
      </c>
      <c r="D392" s="2" t="s">
        <v>257</v>
      </c>
      <c r="E392" s="2" t="s">
        <v>842</v>
      </c>
      <c r="F392" s="2" t="s">
        <v>843</v>
      </c>
      <c r="G392" s="3">
        <v>10.3</v>
      </c>
      <c r="H392" s="3">
        <v>58.56</v>
      </c>
      <c r="I392" s="3">
        <v>4</v>
      </c>
      <c r="J392" s="3">
        <f t="shared" si="32"/>
        <v>72.86</v>
      </c>
      <c r="K392" s="3">
        <v>8.8000000000000007</v>
      </c>
      <c r="L392" s="3">
        <v>56.33</v>
      </c>
      <c r="M392" s="3">
        <v>5.6</v>
      </c>
      <c r="N392" s="3">
        <f t="shared" si="33"/>
        <v>70.73</v>
      </c>
      <c r="O392" s="3">
        <f t="shared" si="34"/>
        <v>143.59</v>
      </c>
      <c r="P392" s="4" t="s">
        <v>758</v>
      </c>
      <c r="Q392" s="5"/>
    </row>
    <row r="393" spans="1:17">
      <c r="A393" s="2">
        <f t="shared" si="30"/>
        <v>391</v>
      </c>
      <c r="B393" s="2">
        <f t="shared" si="31"/>
        <v>135</v>
      </c>
      <c r="C393" s="2" t="s">
        <v>20</v>
      </c>
      <c r="D393" s="2" t="s">
        <v>42</v>
      </c>
      <c r="E393" s="2" t="s">
        <v>844</v>
      </c>
      <c r="F393" s="2" t="s">
        <v>845</v>
      </c>
      <c r="G393" s="3">
        <v>11.8</v>
      </c>
      <c r="H393" s="3">
        <v>51.887755102040799</v>
      </c>
      <c r="I393" s="3">
        <v>4.9000000000000004</v>
      </c>
      <c r="J393" s="3">
        <f t="shared" si="32"/>
        <v>68.59</v>
      </c>
      <c r="K393" s="3">
        <v>10</v>
      </c>
      <c r="L393" s="3">
        <v>59.14</v>
      </c>
      <c r="M393" s="3">
        <v>5.85</v>
      </c>
      <c r="N393" s="3">
        <f t="shared" si="33"/>
        <v>74.989999999999995</v>
      </c>
      <c r="O393" s="3">
        <f t="shared" si="34"/>
        <v>143.58000000000001</v>
      </c>
      <c r="P393" s="2"/>
      <c r="Q393" s="5"/>
    </row>
    <row r="394" spans="1:17">
      <c r="A394" s="2">
        <f t="shared" si="30"/>
        <v>392</v>
      </c>
      <c r="B394" s="2">
        <f t="shared" si="31"/>
        <v>116</v>
      </c>
      <c r="C394" s="2" t="s">
        <v>45</v>
      </c>
      <c r="D394" s="2" t="s">
        <v>54</v>
      </c>
      <c r="E394" s="2" t="s">
        <v>846</v>
      </c>
      <c r="F394" s="2" t="s">
        <v>847</v>
      </c>
      <c r="G394" s="3">
        <v>12</v>
      </c>
      <c r="H394" s="3">
        <v>60.4</v>
      </c>
      <c r="I394" s="3">
        <v>6.7</v>
      </c>
      <c r="J394" s="3">
        <f t="shared" si="32"/>
        <v>79.099999999999994</v>
      </c>
      <c r="K394" s="3">
        <v>10</v>
      </c>
      <c r="L394" s="3">
        <v>47.64</v>
      </c>
      <c r="M394" s="3">
        <v>6.8</v>
      </c>
      <c r="N394" s="3">
        <f t="shared" si="33"/>
        <v>64.44</v>
      </c>
      <c r="O394" s="3">
        <f t="shared" si="34"/>
        <v>143.54</v>
      </c>
      <c r="P394" s="2"/>
      <c r="Q394" s="5"/>
    </row>
    <row r="395" spans="1:17">
      <c r="A395" s="2">
        <f t="shared" si="30"/>
        <v>393</v>
      </c>
      <c r="B395" s="2">
        <f t="shared" si="31"/>
        <v>89</v>
      </c>
      <c r="C395" s="2" t="s">
        <v>24</v>
      </c>
      <c r="D395" s="2" t="s">
        <v>49</v>
      </c>
      <c r="E395" s="2" t="s">
        <v>848</v>
      </c>
      <c r="F395" s="2" t="s">
        <v>849</v>
      </c>
      <c r="G395" s="3">
        <v>9.8000000000000007</v>
      </c>
      <c r="H395" s="3">
        <v>60.451219512195102</v>
      </c>
      <c r="I395" s="3">
        <v>3</v>
      </c>
      <c r="J395" s="3">
        <f t="shared" si="32"/>
        <v>73.25</v>
      </c>
      <c r="K395" s="3">
        <v>9.8000000000000007</v>
      </c>
      <c r="L395" s="3">
        <v>57.47</v>
      </c>
      <c r="M395" s="3">
        <v>3</v>
      </c>
      <c r="N395" s="3">
        <f t="shared" si="33"/>
        <v>70.27</v>
      </c>
      <c r="O395" s="3">
        <f t="shared" si="34"/>
        <v>143.52000000000001</v>
      </c>
      <c r="P395" s="2"/>
      <c r="Q395" s="5"/>
    </row>
    <row r="396" spans="1:17">
      <c r="A396" s="2">
        <f t="shared" si="30"/>
        <v>394</v>
      </c>
      <c r="B396" s="2">
        <f t="shared" si="31"/>
        <v>90</v>
      </c>
      <c r="C396" s="2" t="s">
        <v>24</v>
      </c>
      <c r="D396" s="2" t="s">
        <v>76</v>
      </c>
      <c r="E396" s="2" t="s">
        <v>850</v>
      </c>
      <c r="F396" s="2" t="s">
        <v>851</v>
      </c>
      <c r="G396" s="3">
        <v>9.8000000000000007</v>
      </c>
      <c r="H396" s="3">
        <v>57.219512195122</v>
      </c>
      <c r="I396" s="3">
        <v>3.6</v>
      </c>
      <c r="J396" s="3">
        <f t="shared" si="32"/>
        <v>70.62</v>
      </c>
      <c r="K396" s="3">
        <v>9</v>
      </c>
      <c r="L396" s="3">
        <v>59.58</v>
      </c>
      <c r="M396" s="3">
        <v>4.3</v>
      </c>
      <c r="N396" s="3">
        <f t="shared" si="33"/>
        <v>72.88</v>
      </c>
      <c r="O396" s="3">
        <f t="shared" si="34"/>
        <v>143.5</v>
      </c>
      <c r="P396" s="2"/>
      <c r="Q396" s="5"/>
    </row>
    <row r="397" spans="1:17">
      <c r="A397" s="2">
        <f t="shared" si="30"/>
        <v>395</v>
      </c>
      <c r="B397" s="2">
        <f t="shared" si="31"/>
        <v>54</v>
      </c>
      <c r="C397" s="2" t="s">
        <v>15</v>
      </c>
      <c r="D397" s="2" t="s">
        <v>39</v>
      </c>
      <c r="E397" s="2" t="s">
        <v>852</v>
      </c>
      <c r="F397" s="2" t="s">
        <v>853</v>
      </c>
      <c r="G397" s="3">
        <v>9.8000000000000007</v>
      </c>
      <c r="H397" s="3">
        <v>58.66</v>
      </c>
      <c r="I397" s="3">
        <v>3</v>
      </c>
      <c r="J397" s="3">
        <f t="shared" si="32"/>
        <v>71.459999999999994</v>
      </c>
      <c r="K397" s="3">
        <v>7.3000000000000007</v>
      </c>
      <c r="L397" s="3">
        <v>61.19</v>
      </c>
      <c r="M397" s="3">
        <v>3.5</v>
      </c>
      <c r="N397" s="3">
        <f t="shared" si="33"/>
        <v>71.989999999999995</v>
      </c>
      <c r="O397" s="3">
        <f t="shared" si="34"/>
        <v>143.44999999999999</v>
      </c>
      <c r="P397" s="2"/>
      <c r="Q397" s="5"/>
    </row>
    <row r="398" spans="1:17">
      <c r="A398" s="2">
        <f t="shared" si="30"/>
        <v>396</v>
      </c>
      <c r="B398" s="2">
        <f t="shared" si="31"/>
        <v>91</v>
      </c>
      <c r="C398" s="2" t="s">
        <v>24</v>
      </c>
      <c r="D398" s="2" t="s">
        <v>58</v>
      </c>
      <c r="E398" s="2" t="s">
        <v>854</v>
      </c>
      <c r="F398" s="2" t="s">
        <v>855</v>
      </c>
      <c r="G398" s="3">
        <v>10</v>
      </c>
      <c r="H398" s="3">
        <v>60.231707317073202</v>
      </c>
      <c r="I398" s="3">
        <v>3.7</v>
      </c>
      <c r="J398" s="3">
        <f t="shared" si="32"/>
        <v>73.930000000000007</v>
      </c>
      <c r="K398" s="3">
        <v>9.8000000000000007</v>
      </c>
      <c r="L398" s="3">
        <v>55.5</v>
      </c>
      <c r="M398" s="3">
        <v>4.2</v>
      </c>
      <c r="N398" s="3">
        <f t="shared" si="33"/>
        <v>69.5</v>
      </c>
      <c r="O398" s="3">
        <f t="shared" si="34"/>
        <v>143.43</v>
      </c>
      <c r="P398" s="2"/>
      <c r="Q398" s="5"/>
    </row>
    <row r="399" spans="1:17">
      <c r="A399" s="2">
        <f t="shared" si="30"/>
        <v>396</v>
      </c>
      <c r="B399" s="2">
        <f t="shared" si="31"/>
        <v>55</v>
      </c>
      <c r="C399" s="2" t="s">
        <v>15</v>
      </c>
      <c r="D399" s="2" t="s">
        <v>16</v>
      </c>
      <c r="E399" s="2" t="s">
        <v>856</v>
      </c>
      <c r="F399" s="2" t="s">
        <v>857</v>
      </c>
      <c r="G399" s="3">
        <v>10</v>
      </c>
      <c r="H399" s="3">
        <v>62.23</v>
      </c>
      <c r="I399" s="3">
        <v>3</v>
      </c>
      <c r="J399" s="3">
        <f t="shared" si="32"/>
        <v>75.23</v>
      </c>
      <c r="K399" s="3">
        <v>7.5</v>
      </c>
      <c r="L399" s="3">
        <v>57.2</v>
      </c>
      <c r="M399" s="3">
        <v>3.5</v>
      </c>
      <c r="N399" s="3">
        <f t="shared" si="33"/>
        <v>68.2</v>
      </c>
      <c r="O399" s="3">
        <f t="shared" si="34"/>
        <v>143.43</v>
      </c>
      <c r="P399" s="2"/>
      <c r="Q399" s="5"/>
    </row>
    <row r="400" spans="1:17">
      <c r="A400" s="2">
        <f t="shared" si="30"/>
        <v>398</v>
      </c>
      <c r="B400" s="2">
        <f t="shared" si="31"/>
        <v>117</v>
      </c>
      <c r="C400" s="2" t="s">
        <v>45</v>
      </c>
      <c r="D400" s="2" t="s">
        <v>46</v>
      </c>
      <c r="E400" s="2" t="s">
        <v>858</v>
      </c>
      <c r="F400" s="2" t="s">
        <v>859</v>
      </c>
      <c r="G400" s="3">
        <v>9.8000000000000007</v>
      </c>
      <c r="H400" s="3">
        <v>58.8</v>
      </c>
      <c r="I400" s="3">
        <v>4.2</v>
      </c>
      <c r="J400" s="3">
        <f t="shared" si="32"/>
        <v>72.8</v>
      </c>
      <c r="K400" s="3">
        <v>7.3000000000000007</v>
      </c>
      <c r="L400" s="3">
        <v>57.62</v>
      </c>
      <c r="M400" s="3">
        <v>5.7</v>
      </c>
      <c r="N400" s="3">
        <f t="shared" si="33"/>
        <v>70.62</v>
      </c>
      <c r="O400" s="3">
        <f t="shared" si="34"/>
        <v>143.41999999999999</v>
      </c>
      <c r="P400" s="2"/>
      <c r="Q400" s="5"/>
    </row>
    <row r="401" spans="1:17">
      <c r="A401" s="2">
        <f t="shared" si="30"/>
        <v>399</v>
      </c>
      <c r="B401" s="2">
        <f t="shared" si="31"/>
        <v>136</v>
      </c>
      <c r="C401" s="2" t="s">
        <v>20</v>
      </c>
      <c r="D401" s="2" t="s">
        <v>29</v>
      </c>
      <c r="E401" s="2" t="s">
        <v>860</v>
      </c>
      <c r="F401" s="2" t="s">
        <v>861</v>
      </c>
      <c r="G401" s="3">
        <v>9.8000000000000007</v>
      </c>
      <c r="H401" s="3">
        <v>61.29</v>
      </c>
      <c r="I401" s="3">
        <v>3.4</v>
      </c>
      <c r="J401" s="3">
        <f t="shared" si="32"/>
        <v>74.489999999999995</v>
      </c>
      <c r="K401" s="3">
        <v>9.8000000000000007</v>
      </c>
      <c r="L401" s="3">
        <v>55.62</v>
      </c>
      <c r="M401" s="3">
        <v>3.5</v>
      </c>
      <c r="N401" s="3">
        <f t="shared" si="33"/>
        <v>68.92</v>
      </c>
      <c r="O401" s="3">
        <f t="shared" si="34"/>
        <v>143.41</v>
      </c>
      <c r="P401" s="2"/>
      <c r="Q401" s="5"/>
    </row>
    <row r="402" spans="1:17">
      <c r="A402" s="2">
        <f t="shared" si="30"/>
        <v>400</v>
      </c>
      <c r="B402" s="2">
        <f t="shared" si="31"/>
        <v>92</v>
      </c>
      <c r="C402" s="2" t="s">
        <v>24</v>
      </c>
      <c r="D402" s="2" t="s">
        <v>76</v>
      </c>
      <c r="E402" s="2" t="s">
        <v>862</v>
      </c>
      <c r="F402" s="2" t="s">
        <v>863</v>
      </c>
      <c r="G402" s="3">
        <v>9.8000000000000007</v>
      </c>
      <c r="H402" s="3">
        <v>59.487804878048799</v>
      </c>
      <c r="I402" s="3">
        <v>4.2</v>
      </c>
      <c r="J402" s="3">
        <f t="shared" si="32"/>
        <v>73.489999999999995</v>
      </c>
      <c r="K402" s="3">
        <v>9</v>
      </c>
      <c r="L402" s="3">
        <v>57.7</v>
      </c>
      <c r="M402" s="3">
        <v>3.2</v>
      </c>
      <c r="N402" s="3">
        <f t="shared" si="33"/>
        <v>69.900000000000006</v>
      </c>
      <c r="O402" s="3">
        <f t="shared" si="34"/>
        <v>143.38999999999999</v>
      </c>
      <c r="P402" s="2"/>
      <c r="Q402" s="5"/>
    </row>
    <row r="403" spans="1:17">
      <c r="A403" s="2">
        <f t="shared" si="30"/>
        <v>401</v>
      </c>
      <c r="B403" s="2">
        <f t="shared" si="31"/>
        <v>118</v>
      </c>
      <c r="C403" s="2" t="s">
        <v>45</v>
      </c>
      <c r="D403" s="2" t="s">
        <v>109</v>
      </c>
      <c r="E403" s="2" t="s">
        <v>864</v>
      </c>
      <c r="F403" s="2" t="s">
        <v>865</v>
      </c>
      <c r="G403" s="3">
        <v>9.8000000000000007</v>
      </c>
      <c r="H403" s="3">
        <v>59.5</v>
      </c>
      <c r="I403" s="3">
        <v>4</v>
      </c>
      <c r="J403" s="3">
        <f t="shared" si="32"/>
        <v>73.3</v>
      </c>
      <c r="K403" s="3">
        <v>9.8000000000000007</v>
      </c>
      <c r="L403" s="3">
        <v>55.88</v>
      </c>
      <c r="M403" s="3">
        <v>4.4000000000000004</v>
      </c>
      <c r="N403" s="3">
        <f t="shared" si="33"/>
        <v>70.08</v>
      </c>
      <c r="O403" s="3">
        <f t="shared" si="34"/>
        <v>143.38</v>
      </c>
      <c r="P403" s="2"/>
      <c r="Q403" s="5"/>
    </row>
    <row r="404" spans="1:17">
      <c r="A404" s="2">
        <f t="shared" si="30"/>
        <v>402</v>
      </c>
      <c r="B404" s="2">
        <f t="shared" si="31"/>
        <v>137</v>
      </c>
      <c r="C404" s="2" t="s">
        <v>20</v>
      </c>
      <c r="D404" s="2" t="s">
        <v>36</v>
      </c>
      <c r="E404" s="2" t="s">
        <v>866</v>
      </c>
      <c r="F404" s="2" t="s">
        <v>867</v>
      </c>
      <c r="G404" s="3">
        <v>10.5</v>
      </c>
      <c r="H404" s="3">
        <v>59.32</v>
      </c>
      <c r="I404" s="3">
        <v>3</v>
      </c>
      <c r="J404" s="3">
        <f t="shared" si="32"/>
        <v>72.819999999999993</v>
      </c>
      <c r="K404" s="3">
        <v>10</v>
      </c>
      <c r="L404" s="3">
        <v>56.31</v>
      </c>
      <c r="M404" s="3">
        <v>4.2</v>
      </c>
      <c r="N404" s="3">
        <f t="shared" si="33"/>
        <v>70.510000000000005</v>
      </c>
      <c r="O404" s="3">
        <f t="shared" si="34"/>
        <v>143.33000000000001</v>
      </c>
      <c r="P404" s="2"/>
      <c r="Q404" s="5"/>
    </row>
    <row r="405" spans="1:17">
      <c r="A405" s="2">
        <f t="shared" si="30"/>
        <v>403</v>
      </c>
      <c r="B405" s="2">
        <f t="shared" si="31"/>
        <v>119</v>
      </c>
      <c r="C405" s="2" t="s">
        <v>45</v>
      </c>
      <c r="D405" s="2" t="s">
        <v>54</v>
      </c>
      <c r="E405" s="2" t="s">
        <v>868</v>
      </c>
      <c r="F405" s="2" t="s">
        <v>869</v>
      </c>
      <c r="G405" s="3">
        <v>10.3</v>
      </c>
      <c r="H405" s="3">
        <v>61.13</v>
      </c>
      <c r="I405" s="3">
        <v>4.2</v>
      </c>
      <c r="J405" s="3">
        <f t="shared" si="32"/>
        <v>75.63</v>
      </c>
      <c r="K405" s="3">
        <v>7.3000000000000007</v>
      </c>
      <c r="L405" s="3">
        <v>57.39</v>
      </c>
      <c r="M405" s="3">
        <v>3</v>
      </c>
      <c r="N405" s="3">
        <f t="shared" si="33"/>
        <v>67.69</v>
      </c>
      <c r="O405" s="3">
        <f t="shared" si="34"/>
        <v>143.32</v>
      </c>
      <c r="P405" s="2"/>
      <c r="Q405" s="5"/>
    </row>
    <row r="406" spans="1:17">
      <c r="A406" s="2">
        <f t="shared" si="30"/>
        <v>404</v>
      </c>
      <c r="B406" s="2">
        <f t="shared" si="31"/>
        <v>138</v>
      </c>
      <c r="C406" s="2" t="s">
        <v>20</v>
      </c>
      <c r="D406" s="2" t="s">
        <v>65</v>
      </c>
      <c r="E406" s="2" t="s">
        <v>870</v>
      </c>
      <c r="F406" s="2" t="s">
        <v>871</v>
      </c>
      <c r="G406" s="3">
        <v>9.8000000000000007</v>
      </c>
      <c r="H406" s="3">
        <v>62.86</v>
      </c>
      <c r="I406" s="3">
        <v>3</v>
      </c>
      <c r="J406" s="3">
        <f t="shared" si="32"/>
        <v>75.66</v>
      </c>
      <c r="K406" s="3">
        <v>7.3000000000000007</v>
      </c>
      <c r="L406" s="3">
        <v>57.28</v>
      </c>
      <c r="M406" s="3">
        <v>3</v>
      </c>
      <c r="N406" s="3">
        <f t="shared" si="33"/>
        <v>67.58</v>
      </c>
      <c r="O406" s="3">
        <f t="shared" si="34"/>
        <v>143.24</v>
      </c>
      <c r="P406" s="2"/>
      <c r="Q406" s="5"/>
    </row>
    <row r="407" spans="1:17">
      <c r="A407" s="2">
        <f t="shared" si="30"/>
        <v>405</v>
      </c>
      <c r="B407" s="2">
        <f t="shared" si="31"/>
        <v>139</v>
      </c>
      <c r="C407" s="2" t="s">
        <v>20</v>
      </c>
      <c r="D407" s="2" t="s">
        <v>117</v>
      </c>
      <c r="E407" s="2" t="s">
        <v>872</v>
      </c>
      <c r="F407" s="2" t="s">
        <v>873</v>
      </c>
      <c r="G407" s="3">
        <v>10</v>
      </c>
      <c r="H407" s="3">
        <v>61.53</v>
      </c>
      <c r="I407" s="3">
        <v>4.5</v>
      </c>
      <c r="J407" s="3">
        <f t="shared" si="32"/>
        <v>76.03</v>
      </c>
      <c r="K407" s="3">
        <v>10</v>
      </c>
      <c r="L407" s="3">
        <v>52.18</v>
      </c>
      <c r="M407" s="3">
        <v>5</v>
      </c>
      <c r="N407" s="3">
        <f t="shared" si="33"/>
        <v>67.180000000000007</v>
      </c>
      <c r="O407" s="3">
        <f t="shared" si="34"/>
        <v>143.21</v>
      </c>
      <c r="P407" s="2"/>
      <c r="Q407" s="5"/>
    </row>
    <row r="408" spans="1:17">
      <c r="A408" s="2">
        <f t="shared" si="30"/>
        <v>406</v>
      </c>
      <c r="B408" s="2">
        <f t="shared" si="31"/>
        <v>120</v>
      </c>
      <c r="C408" s="2" t="s">
        <v>45</v>
      </c>
      <c r="D408" s="2" t="s">
        <v>89</v>
      </c>
      <c r="E408" s="2" t="s">
        <v>874</v>
      </c>
      <c r="F408" s="2" t="s">
        <v>875</v>
      </c>
      <c r="G408" s="3">
        <v>10.5</v>
      </c>
      <c r="H408" s="3">
        <v>56.59</v>
      </c>
      <c r="I408" s="3">
        <v>4.5</v>
      </c>
      <c r="J408" s="3">
        <f t="shared" si="32"/>
        <v>71.59</v>
      </c>
      <c r="K408" s="3">
        <v>11.5</v>
      </c>
      <c r="L408" s="3">
        <v>55.33</v>
      </c>
      <c r="M408" s="3">
        <v>4.7</v>
      </c>
      <c r="N408" s="3">
        <f t="shared" si="33"/>
        <v>71.53</v>
      </c>
      <c r="O408" s="3">
        <f t="shared" si="34"/>
        <v>143.12</v>
      </c>
      <c r="P408" s="2"/>
      <c r="Q408" s="5"/>
    </row>
    <row r="409" spans="1:17">
      <c r="A409" s="2">
        <f t="shared" si="30"/>
        <v>407</v>
      </c>
      <c r="B409" s="2">
        <f t="shared" si="31"/>
        <v>140</v>
      </c>
      <c r="C409" s="2" t="s">
        <v>20</v>
      </c>
      <c r="D409" s="2" t="s">
        <v>32</v>
      </c>
      <c r="E409" s="2" t="s">
        <v>876</v>
      </c>
      <c r="F409" s="2" t="s">
        <v>877</v>
      </c>
      <c r="G409" s="3">
        <v>9.8000000000000007</v>
      </c>
      <c r="H409" s="3">
        <v>60.153061224489797</v>
      </c>
      <c r="I409" s="3">
        <v>3</v>
      </c>
      <c r="J409" s="3">
        <f t="shared" si="32"/>
        <v>72.95</v>
      </c>
      <c r="K409" s="3">
        <v>9.8000000000000007</v>
      </c>
      <c r="L409" s="3">
        <v>56.86</v>
      </c>
      <c r="M409" s="3">
        <v>3.5</v>
      </c>
      <c r="N409" s="3">
        <f t="shared" si="33"/>
        <v>70.16</v>
      </c>
      <c r="O409" s="3">
        <f t="shared" si="34"/>
        <v>143.11000000000001</v>
      </c>
      <c r="P409" s="2"/>
      <c r="Q409" s="5"/>
    </row>
    <row r="410" spans="1:17">
      <c r="A410" s="2">
        <f t="shared" si="30"/>
        <v>408</v>
      </c>
      <c r="B410" s="2">
        <f t="shared" si="31"/>
        <v>121</v>
      </c>
      <c r="C410" s="2" t="s">
        <v>45</v>
      </c>
      <c r="D410" s="2" t="s">
        <v>220</v>
      </c>
      <c r="E410" s="2" t="s">
        <v>878</v>
      </c>
      <c r="F410" s="2" t="s">
        <v>879</v>
      </c>
      <c r="G410" s="3">
        <v>10.6</v>
      </c>
      <c r="H410" s="3">
        <v>54.82</v>
      </c>
      <c r="I410" s="3">
        <v>5.65</v>
      </c>
      <c r="J410" s="3">
        <f t="shared" si="32"/>
        <v>71.069999999999993</v>
      </c>
      <c r="K410" s="3">
        <v>9.8000000000000007</v>
      </c>
      <c r="L410" s="3">
        <v>55.27</v>
      </c>
      <c r="M410" s="3">
        <v>6.9</v>
      </c>
      <c r="N410" s="3">
        <f t="shared" si="33"/>
        <v>71.97</v>
      </c>
      <c r="O410" s="3">
        <f t="shared" si="34"/>
        <v>143.04</v>
      </c>
      <c r="P410" s="2"/>
      <c r="Q410" s="5"/>
    </row>
    <row r="411" spans="1:17">
      <c r="A411" s="2">
        <f t="shared" si="30"/>
        <v>409</v>
      </c>
      <c r="B411" s="2">
        <f t="shared" si="31"/>
        <v>122</v>
      </c>
      <c r="C411" s="2" t="s">
        <v>45</v>
      </c>
      <c r="D411" s="2" t="s">
        <v>89</v>
      </c>
      <c r="E411" s="2" t="s">
        <v>880</v>
      </c>
      <c r="F411" s="2" t="s">
        <v>881</v>
      </c>
      <c r="G411" s="3">
        <v>9.8000000000000007</v>
      </c>
      <c r="H411" s="3">
        <v>57.4</v>
      </c>
      <c r="I411" s="3">
        <v>3</v>
      </c>
      <c r="J411" s="3">
        <f t="shared" si="32"/>
        <v>70.2</v>
      </c>
      <c r="K411" s="3">
        <v>9.8000000000000007</v>
      </c>
      <c r="L411" s="3">
        <v>60.03</v>
      </c>
      <c r="M411" s="3">
        <v>3</v>
      </c>
      <c r="N411" s="3">
        <f t="shared" si="33"/>
        <v>72.83</v>
      </c>
      <c r="O411" s="3">
        <f t="shared" si="34"/>
        <v>143.03</v>
      </c>
      <c r="P411" s="2"/>
      <c r="Q411" s="5"/>
    </row>
    <row r="412" spans="1:17">
      <c r="A412" s="2">
        <f t="shared" si="30"/>
        <v>410</v>
      </c>
      <c r="B412" s="2">
        <f t="shared" si="31"/>
        <v>56</v>
      </c>
      <c r="C412" s="2" t="s">
        <v>15</v>
      </c>
      <c r="D412" s="2" t="s">
        <v>257</v>
      </c>
      <c r="E412" s="2" t="s">
        <v>882</v>
      </c>
      <c r="F412" s="2" t="s">
        <v>883</v>
      </c>
      <c r="G412" s="3">
        <v>9.8000000000000007</v>
      </c>
      <c r="H412" s="3">
        <v>62.63</v>
      </c>
      <c r="I412" s="3">
        <v>3</v>
      </c>
      <c r="J412" s="3">
        <f t="shared" si="32"/>
        <v>75.430000000000007</v>
      </c>
      <c r="K412" s="3">
        <v>7.3000000000000007</v>
      </c>
      <c r="L412" s="3">
        <v>56.76</v>
      </c>
      <c r="M412" s="3">
        <v>3.5</v>
      </c>
      <c r="N412" s="3">
        <f t="shared" si="33"/>
        <v>67.56</v>
      </c>
      <c r="O412" s="3">
        <f t="shared" si="34"/>
        <v>142.99</v>
      </c>
      <c r="P412" s="2"/>
      <c r="Q412" s="5"/>
    </row>
    <row r="413" spans="1:17">
      <c r="A413" s="2">
        <f t="shared" si="30"/>
        <v>411</v>
      </c>
      <c r="B413" s="2">
        <f t="shared" si="31"/>
        <v>123</v>
      </c>
      <c r="C413" s="2" t="s">
        <v>45</v>
      </c>
      <c r="D413" s="2" t="s">
        <v>266</v>
      </c>
      <c r="E413" s="2" t="s">
        <v>884</v>
      </c>
      <c r="F413" s="2" t="s">
        <v>885</v>
      </c>
      <c r="G413" s="3">
        <v>9.8000000000000007</v>
      </c>
      <c r="H413" s="3">
        <v>57.25</v>
      </c>
      <c r="I413" s="3">
        <v>4</v>
      </c>
      <c r="J413" s="3">
        <f t="shared" si="32"/>
        <v>71.05</v>
      </c>
      <c r="K413" s="3">
        <v>9.8000000000000007</v>
      </c>
      <c r="L413" s="3">
        <v>58.13</v>
      </c>
      <c r="M413" s="3">
        <v>4</v>
      </c>
      <c r="N413" s="3">
        <f t="shared" si="33"/>
        <v>71.930000000000007</v>
      </c>
      <c r="O413" s="3">
        <f t="shared" si="34"/>
        <v>142.97999999999999</v>
      </c>
      <c r="P413" s="2"/>
      <c r="Q413" s="5"/>
    </row>
    <row r="414" spans="1:17">
      <c r="A414" s="2">
        <f t="shared" si="30"/>
        <v>412</v>
      </c>
      <c r="B414" s="2">
        <f t="shared" si="31"/>
        <v>124</v>
      </c>
      <c r="C414" s="2" t="s">
        <v>45</v>
      </c>
      <c r="D414" s="2" t="s">
        <v>232</v>
      </c>
      <c r="E414" s="2" t="s">
        <v>886</v>
      </c>
      <c r="F414" s="2" t="s">
        <v>887</v>
      </c>
      <c r="G414" s="3">
        <v>10.5</v>
      </c>
      <c r="H414" s="3">
        <v>56.21</v>
      </c>
      <c r="I414" s="3">
        <v>4.7</v>
      </c>
      <c r="J414" s="3">
        <f t="shared" si="32"/>
        <v>71.41</v>
      </c>
      <c r="K414" s="3">
        <v>10</v>
      </c>
      <c r="L414" s="3">
        <v>56.12</v>
      </c>
      <c r="M414" s="3">
        <v>5.4</v>
      </c>
      <c r="N414" s="3">
        <f t="shared" si="33"/>
        <v>71.52</v>
      </c>
      <c r="O414" s="3">
        <f t="shared" si="34"/>
        <v>142.93</v>
      </c>
      <c r="P414" s="2"/>
      <c r="Q414" s="5"/>
    </row>
    <row r="415" spans="1:17">
      <c r="A415" s="2">
        <f t="shared" si="30"/>
        <v>413</v>
      </c>
      <c r="B415" s="2">
        <f t="shared" si="31"/>
        <v>57</v>
      </c>
      <c r="C415" s="2" t="s">
        <v>15</v>
      </c>
      <c r="D415" s="2" t="s">
        <v>16</v>
      </c>
      <c r="E415" s="2" t="s">
        <v>888</v>
      </c>
      <c r="F415" s="2" t="s">
        <v>889</v>
      </c>
      <c r="G415" s="3">
        <v>11.8</v>
      </c>
      <c r="H415" s="3">
        <v>54.05</v>
      </c>
      <c r="I415" s="3">
        <v>4.9000000000000004</v>
      </c>
      <c r="J415" s="3">
        <f t="shared" si="32"/>
        <v>70.75</v>
      </c>
      <c r="K415" s="3">
        <v>10</v>
      </c>
      <c r="L415" s="3">
        <v>55.85</v>
      </c>
      <c r="M415" s="3">
        <v>6.3</v>
      </c>
      <c r="N415" s="3">
        <f t="shared" si="33"/>
        <v>72.150000000000006</v>
      </c>
      <c r="O415" s="3">
        <f t="shared" si="34"/>
        <v>142.9</v>
      </c>
      <c r="P415" s="2"/>
      <c r="Q415" s="5"/>
    </row>
    <row r="416" spans="1:17">
      <c r="A416" s="2">
        <f t="shared" si="30"/>
        <v>414</v>
      </c>
      <c r="B416" s="2">
        <f t="shared" si="31"/>
        <v>141</v>
      </c>
      <c r="C416" s="2" t="s">
        <v>20</v>
      </c>
      <c r="D416" s="2" t="s">
        <v>36</v>
      </c>
      <c r="E416" s="2" t="s">
        <v>890</v>
      </c>
      <c r="F416" s="2" t="s">
        <v>891</v>
      </c>
      <c r="G416" s="3">
        <v>10</v>
      </c>
      <c r="H416" s="3">
        <v>59.24</v>
      </c>
      <c r="I416" s="3">
        <v>3</v>
      </c>
      <c r="J416" s="3">
        <f t="shared" si="32"/>
        <v>72.239999999999995</v>
      </c>
      <c r="K416" s="3">
        <v>10</v>
      </c>
      <c r="L416" s="3">
        <v>57.13</v>
      </c>
      <c r="M416" s="3">
        <v>3.5</v>
      </c>
      <c r="N416" s="3">
        <f t="shared" si="33"/>
        <v>70.63</v>
      </c>
      <c r="O416" s="3">
        <f t="shared" si="34"/>
        <v>142.87</v>
      </c>
      <c r="P416" s="2"/>
      <c r="Q416" s="5"/>
    </row>
    <row r="417" spans="1:17">
      <c r="A417" s="2">
        <f t="shared" si="30"/>
        <v>415</v>
      </c>
      <c r="B417" s="2">
        <f t="shared" si="31"/>
        <v>142</v>
      </c>
      <c r="C417" s="2" t="s">
        <v>20</v>
      </c>
      <c r="D417" s="2" t="s">
        <v>32</v>
      </c>
      <c r="E417" s="2" t="s">
        <v>892</v>
      </c>
      <c r="F417" s="2" t="s">
        <v>893</v>
      </c>
      <c r="G417" s="3">
        <v>11</v>
      </c>
      <c r="H417" s="3">
        <v>58.867346938775498</v>
      </c>
      <c r="I417" s="3">
        <v>3.2</v>
      </c>
      <c r="J417" s="3">
        <f t="shared" si="32"/>
        <v>73.069999999999993</v>
      </c>
      <c r="K417" s="3">
        <v>10</v>
      </c>
      <c r="L417" s="3">
        <v>55.79</v>
      </c>
      <c r="M417" s="3">
        <v>4</v>
      </c>
      <c r="N417" s="3">
        <f t="shared" si="33"/>
        <v>69.790000000000006</v>
      </c>
      <c r="O417" s="3">
        <f t="shared" si="34"/>
        <v>142.86000000000001</v>
      </c>
      <c r="P417" s="2"/>
      <c r="Q417" s="5"/>
    </row>
    <row r="418" spans="1:17">
      <c r="A418" s="2">
        <f t="shared" si="30"/>
        <v>416</v>
      </c>
      <c r="B418" s="2">
        <f t="shared" si="31"/>
        <v>93</v>
      </c>
      <c r="C418" s="2" t="s">
        <v>24</v>
      </c>
      <c r="D418" s="2" t="s">
        <v>58</v>
      </c>
      <c r="E418" s="2" t="s">
        <v>894</v>
      </c>
      <c r="F418" s="2" t="s">
        <v>895</v>
      </c>
      <c r="G418" s="3">
        <v>10</v>
      </c>
      <c r="H418" s="3">
        <v>55.865853658536601</v>
      </c>
      <c r="I418" s="3">
        <v>4.4000000000000004</v>
      </c>
      <c r="J418" s="3">
        <f t="shared" si="32"/>
        <v>70.27</v>
      </c>
      <c r="K418" s="3">
        <v>10</v>
      </c>
      <c r="L418" s="3">
        <v>57.35</v>
      </c>
      <c r="M418" s="3">
        <v>5.2</v>
      </c>
      <c r="N418" s="3">
        <f t="shared" si="33"/>
        <v>72.55</v>
      </c>
      <c r="O418" s="3">
        <f t="shared" si="34"/>
        <v>142.82</v>
      </c>
      <c r="P418" s="2"/>
      <c r="Q418" s="5"/>
    </row>
    <row r="419" spans="1:17">
      <c r="A419" s="2">
        <f t="shared" si="30"/>
        <v>416</v>
      </c>
      <c r="B419" s="2">
        <f t="shared" si="31"/>
        <v>125</v>
      </c>
      <c r="C419" s="2" t="s">
        <v>45</v>
      </c>
      <c r="D419" s="2" t="s">
        <v>114</v>
      </c>
      <c r="E419" s="2" t="s">
        <v>896</v>
      </c>
      <c r="F419" s="2" t="s">
        <v>897</v>
      </c>
      <c r="G419" s="3">
        <v>10</v>
      </c>
      <c r="H419" s="3">
        <v>61.41</v>
      </c>
      <c r="I419" s="3">
        <v>3.2</v>
      </c>
      <c r="J419" s="3">
        <f t="shared" si="32"/>
        <v>74.61</v>
      </c>
      <c r="K419" s="3">
        <v>7.5</v>
      </c>
      <c r="L419" s="3">
        <v>54.41</v>
      </c>
      <c r="M419" s="3">
        <v>6.3</v>
      </c>
      <c r="N419" s="3">
        <f t="shared" si="33"/>
        <v>68.209999999999994</v>
      </c>
      <c r="O419" s="3">
        <f t="shared" si="34"/>
        <v>142.82</v>
      </c>
      <c r="P419" s="2"/>
      <c r="Q419" s="5"/>
    </row>
    <row r="420" spans="1:17">
      <c r="A420" s="2">
        <f t="shared" si="30"/>
        <v>418</v>
      </c>
      <c r="B420" s="2">
        <f t="shared" si="31"/>
        <v>94</v>
      </c>
      <c r="C420" s="2" t="s">
        <v>24</v>
      </c>
      <c r="D420" s="2" t="s">
        <v>49</v>
      </c>
      <c r="E420" s="2" t="s">
        <v>898</v>
      </c>
      <c r="F420" s="2" t="s">
        <v>899</v>
      </c>
      <c r="G420" s="3">
        <v>9.8000000000000007</v>
      </c>
      <c r="H420" s="3">
        <v>59.231707317073202</v>
      </c>
      <c r="I420" s="3">
        <v>3</v>
      </c>
      <c r="J420" s="3">
        <f t="shared" si="32"/>
        <v>72.03</v>
      </c>
      <c r="K420" s="3">
        <v>9.8000000000000007</v>
      </c>
      <c r="L420" s="3">
        <v>57.98</v>
      </c>
      <c r="M420" s="3">
        <v>3</v>
      </c>
      <c r="N420" s="3">
        <f t="shared" si="33"/>
        <v>70.78</v>
      </c>
      <c r="O420" s="3">
        <f t="shared" si="34"/>
        <v>142.81</v>
      </c>
      <c r="P420" s="4" t="s">
        <v>758</v>
      </c>
      <c r="Q420" s="5"/>
    </row>
    <row r="421" spans="1:17">
      <c r="A421" s="2">
        <f t="shared" si="30"/>
        <v>419</v>
      </c>
      <c r="B421" s="2">
        <f t="shared" si="31"/>
        <v>143</v>
      </c>
      <c r="C421" s="2" t="s">
        <v>20</v>
      </c>
      <c r="D421" s="2" t="s">
        <v>117</v>
      </c>
      <c r="E421" s="2" t="s">
        <v>900</v>
      </c>
      <c r="F421" s="2" t="s">
        <v>901</v>
      </c>
      <c r="G421" s="3">
        <v>9.8000000000000007</v>
      </c>
      <c r="H421" s="3">
        <v>58.12</v>
      </c>
      <c r="I421" s="3">
        <v>4</v>
      </c>
      <c r="J421" s="3">
        <f t="shared" si="32"/>
        <v>71.92</v>
      </c>
      <c r="K421" s="3">
        <v>10.8</v>
      </c>
      <c r="L421" s="3">
        <v>55.57</v>
      </c>
      <c r="M421" s="3">
        <v>4.5</v>
      </c>
      <c r="N421" s="3">
        <f t="shared" si="33"/>
        <v>70.87</v>
      </c>
      <c r="O421" s="3">
        <f t="shared" si="34"/>
        <v>142.79</v>
      </c>
      <c r="P421" s="2"/>
      <c r="Q421" s="5"/>
    </row>
    <row r="422" spans="1:17">
      <c r="A422" s="2">
        <f t="shared" si="30"/>
        <v>420</v>
      </c>
      <c r="B422" s="2">
        <f t="shared" si="31"/>
        <v>144</v>
      </c>
      <c r="C422" s="2" t="s">
        <v>20</v>
      </c>
      <c r="D422" s="2" t="s">
        <v>164</v>
      </c>
      <c r="E422" s="2" t="s">
        <v>902</v>
      </c>
      <c r="F422" s="2" t="s">
        <v>903</v>
      </c>
      <c r="G422" s="3">
        <v>10.3</v>
      </c>
      <c r="H422" s="3">
        <v>60.08</v>
      </c>
      <c r="I422" s="3">
        <v>3.5</v>
      </c>
      <c r="J422" s="3">
        <f t="shared" si="32"/>
        <v>73.88</v>
      </c>
      <c r="K422" s="3">
        <v>9.8000000000000007</v>
      </c>
      <c r="L422" s="3">
        <v>54.9</v>
      </c>
      <c r="M422" s="3">
        <v>4.2</v>
      </c>
      <c r="N422" s="3">
        <f t="shared" si="33"/>
        <v>68.900000000000006</v>
      </c>
      <c r="O422" s="3">
        <f t="shared" si="34"/>
        <v>142.78</v>
      </c>
      <c r="P422" s="2"/>
      <c r="Q422" s="5"/>
    </row>
    <row r="423" spans="1:17">
      <c r="A423" s="2">
        <f t="shared" si="30"/>
        <v>421</v>
      </c>
      <c r="B423" s="2">
        <f t="shared" si="31"/>
        <v>126</v>
      </c>
      <c r="C423" s="2" t="s">
        <v>45</v>
      </c>
      <c r="D423" s="2" t="s">
        <v>46</v>
      </c>
      <c r="E423" s="2" t="s">
        <v>904</v>
      </c>
      <c r="F423" s="2" t="s">
        <v>905</v>
      </c>
      <c r="G423" s="3">
        <v>9.8000000000000007</v>
      </c>
      <c r="H423" s="3">
        <v>59.01</v>
      </c>
      <c r="I423" s="3">
        <v>4</v>
      </c>
      <c r="J423" s="3">
        <f t="shared" si="32"/>
        <v>72.81</v>
      </c>
      <c r="K423" s="3">
        <v>7.3000000000000007</v>
      </c>
      <c r="L423" s="3">
        <v>58.45</v>
      </c>
      <c r="M423" s="3">
        <v>4.2</v>
      </c>
      <c r="N423" s="3">
        <f t="shared" si="33"/>
        <v>69.95</v>
      </c>
      <c r="O423" s="3">
        <f t="shared" si="34"/>
        <v>142.76</v>
      </c>
      <c r="P423" s="4" t="s">
        <v>799</v>
      </c>
      <c r="Q423" s="5"/>
    </row>
    <row r="424" spans="1:17">
      <c r="A424" s="2">
        <f t="shared" si="30"/>
        <v>422</v>
      </c>
      <c r="B424" s="2">
        <f t="shared" si="31"/>
        <v>127</v>
      </c>
      <c r="C424" s="2" t="s">
        <v>45</v>
      </c>
      <c r="D424" s="2" t="s">
        <v>96</v>
      </c>
      <c r="E424" s="2" t="s">
        <v>906</v>
      </c>
      <c r="F424" s="2" t="s">
        <v>907</v>
      </c>
      <c r="G424" s="3">
        <v>9.8000000000000007</v>
      </c>
      <c r="H424" s="3">
        <v>62.01</v>
      </c>
      <c r="I424" s="3">
        <v>4.2</v>
      </c>
      <c r="J424" s="3">
        <f t="shared" si="32"/>
        <v>76.010000000000005</v>
      </c>
      <c r="K424" s="3">
        <v>7.3000000000000007</v>
      </c>
      <c r="L424" s="3">
        <v>53.79</v>
      </c>
      <c r="M424" s="3">
        <v>5.65</v>
      </c>
      <c r="N424" s="3">
        <f t="shared" si="33"/>
        <v>66.739999999999995</v>
      </c>
      <c r="O424" s="3">
        <f t="shared" si="34"/>
        <v>142.75</v>
      </c>
      <c r="P424" s="2"/>
      <c r="Q424" s="5"/>
    </row>
    <row r="425" spans="1:17">
      <c r="A425" s="2">
        <f t="shared" si="30"/>
        <v>423</v>
      </c>
      <c r="B425" s="2">
        <f t="shared" si="31"/>
        <v>58</v>
      </c>
      <c r="C425" s="2" t="s">
        <v>15</v>
      </c>
      <c r="D425" s="2" t="s">
        <v>16</v>
      </c>
      <c r="E425" s="2" t="s">
        <v>908</v>
      </c>
      <c r="F425" s="2" t="s">
        <v>909</v>
      </c>
      <c r="G425" s="3">
        <v>9.8000000000000007</v>
      </c>
      <c r="H425" s="3">
        <v>60.74</v>
      </c>
      <c r="I425" s="3">
        <v>4.5</v>
      </c>
      <c r="J425" s="3">
        <f t="shared" si="32"/>
        <v>75.040000000000006</v>
      </c>
      <c r="K425" s="3">
        <v>7.3000000000000007</v>
      </c>
      <c r="L425" s="3">
        <v>54.45</v>
      </c>
      <c r="M425" s="3">
        <v>5.65</v>
      </c>
      <c r="N425" s="3">
        <f t="shared" si="33"/>
        <v>67.400000000000006</v>
      </c>
      <c r="O425" s="3">
        <f t="shared" si="34"/>
        <v>142.44</v>
      </c>
      <c r="P425" s="2"/>
      <c r="Q425" s="5"/>
    </row>
    <row r="426" spans="1:17">
      <c r="A426" s="2">
        <f t="shared" si="30"/>
        <v>424</v>
      </c>
      <c r="B426" s="2">
        <f t="shared" si="31"/>
        <v>95</v>
      </c>
      <c r="C426" s="2" t="s">
        <v>24</v>
      </c>
      <c r="D426" s="2" t="s">
        <v>49</v>
      </c>
      <c r="E426" s="2" t="s">
        <v>910</v>
      </c>
      <c r="F426" s="2" t="s">
        <v>911</v>
      </c>
      <c r="G426" s="3">
        <v>10.3</v>
      </c>
      <c r="H426" s="3">
        <v>55.975609756097597</v>
      </c>
      <c r="I426" s="3">
        <v>4.5</v>
      </c>
      <c r="J426" s="3">
        <f t="shared" si="32"/>
        <v>70.78</v>
      </c>
      <c r="K426" s="3">
        <v>9.8000000000000007</v>
      </c>
      <c r="L426" s="3">
        <v>57.27</v>
      </c>
      <c r="M426" s="3">
        <v>4.5</v>
      </c>
      <c r="N426" s="3">
        <f t="shared" si="33"/>
        <v>71.569999999999993</v>
      </c>
      <c r="O426" s="3">
        <f t="shared" si="34"/>
        <v>142.35</v>
      </c>
      <c r="P426" s="2"/>
      <c r="Q426" s="5"/>
    </row>
    <row r="427" spans="1:17">
      <c r="A427" s="2">
        <f t="shared" si="30"/>
        <v>425</v>
      </c>
      <c r="B427" s="2">
        <f t="shared" si="31"/>
        <v>128</v>
      </c>
      <c r="C427" s="2" t="s">
        <v>45</v>
      </c>
      <c r="D427" s="2" t="s">
        <v>232</v>
      </c>
      <c r="E427" s="2" t="s">
        <v>912</v>
      </c>
      <c r="F427" s="2" t="s">
        <v>913</v>
      </c>
      <c r="G427" s="3">
        <v>9.8000000000000007</v>
      </c>
      <c r="H427" s="3">
        <v>59.29</v>
      </c>
      <c r="I427" s="3">
        <v>4.8499999999999996</v>
      </c>
      <c r="J427" s="3">
        <f t="shared" si="32"/>
        <v>73.94</v>
      </c>
      <c r="K427" s="3">
        <v>9.8000000000000007</v>
      </c>
      <c r="L427" s="3">
        <v>52.75</v>
      </c>
      <c r="M427" s="3">
        <v>5.85</v>
      </c>
      <c r="N427" s="3">
        <f t="shared" si="33"/>
        <v>68.400000000000006</v>
      </c>
      <c r="O427" s="3">
        <f t="shared" si="34"/>
        <v>142.34</v>
      </c>
      <c r="P427" s="2"/>
      <c r="Q427" s="5"/>
    </row>
    <row r="428" spans="1:17">
      <c r="A428" s="2">
        <f t="shared" si="30"/>
        <v>425</v>
      </c>
      <c r="B428" s="2">
        <f t="shared" si="31"/>
        <v>128</v>
      </c>
      <c r="C428" s="2" t="s">
        <v>45</v>
      </c>
      <c r="D428" s="2" t="s">
        <v>54</v>
      </c>
      <c r="E428" s="2" t="s">
        <v>914</v>
      </c>
      <c r="F428" s="2" t="s">
        <v>915</v>
      </c>
      <c r="G428" s="3">
        <v>9.8000000000000007</v>
      </c>
      <c r="H428" s="3">
        <v>59.85</v>
      </c>
      <c r="I428" s="3">
        <v>4.2</v>
      </c>
      <c r="J428" s="3">
        <f t="shared" si="32"/>
        <v>73.849999999999994</v>
      </c>
      <c r="K428" s="3">
        <v>7.3000000000000007</v>
      </c>
      <c r="L428" s="3">
        <v>57.69</v>
      </c>
      <c r="M428" s="3">
        <v>3.5</v>
      </c>
      <c r="N428" s="3">
        <f t="shared" si="33"/>
        <v>68.489999999999995</v>
      </c>
      <c r="O428" s="3">
        <f t="shared" si="34"/>
        <v>142.34</v>
      </c>
      <c r="P428" s="2"/>
      <c r="Q428" s="5"/>
    </row>
    <row r="429" spans="1:17">
      <c r="A429" s="2">
        <f t="shared" si="30"/>
        <v>427</v>
      </c>
      <c r="B429" s="2">
        <f t="shared" si="31"/>
        <v>96</v>
      </c>
      <c r="C429" s="2" t="s">
        <v>24</v>
      </c>
      <c r="D429" s="2" t="s">
        <v>76</v>
      </c>
      <c r="E429" s="2" t="s">
        <v>916</v>
      </c>
      <c r="F429" s="2" t="s">
        <v>917</v>
      </c>
      <c r="G429" s="3">
        <v>9.8000000000000007</v>
      </c>
      <c r="H429" s="3">
        <v>56.8333333333333</v>
      </c>
      <c r="I429" s="3">
        <v>3.9</v>
      </c>
      <c r="J429" s="3">
        <f t="shared" si="32"/>
        <v>70.53</v>
      </c>
      <c r="K429" s="3">
        <v>9</v>
      </c>
      <c r="L429" s="3">
        <v>58.79</v>
      </c>
      <c r="M429" s="3">
        <v>4</v>
      </c>
      <c r="N429" s="3">
        <f t="shared" si="33"/>
        <v>71.790000000000006</v>
      </c>
      <c r="O429" s="3">
        <f t="shared" si="34"/>
        <v>142.32</v>
      </c>
      <c r="P429" s="2"/>
      <c r="Q429" s="5"/>
    </row>
    <row r="430" spans="1:17">
      <c r="A430" s="2">
        <f t="shared" si="30"/>
        <v>427</v>
      </c>
      <c r="B430" s="2">
        <f t="shared" si="31"/>
        <v>96</v>
      </c>
      <c r="C430" s="2" t="s">
        <v>24</v>
      </c>
      <c r="D430" s="2" t="s">
        <v>58</v>
      </c>
      <c r="E430" s="2" t="s">
        <v>918</v>
      </c>
      <c r="F430" s="2" t="s">
        <v>919</v>
      </c>
      <c r="G430" s="3">
        <v>10.6</v>
      </c>
      <c r="H430" s="3">
        <v>57.658536585365901</v>
      </c>
      <c r="I430" s="3">
        <v>4.5</v>
      </c>
      <c r="J430" s="3">
        <f t="shared" si="32"/>
        <v>72.760000000000005</v>
      </c>
      <c r="K430" s="3">
        <v>9.8000000000000007</v>
      </c>
      <c r="L430" s="3">
        <v>54.36</v>
      </c>
      <c r="M430" s="3">
        <v>5.4</v>
      </c>
      <c r="N430" s="3">
        <f t="shared" si="33"/>
        <v>69.56</v>
      </c>
      <c r="O430" s="3">
        <f t="shared" si="34"/>
        <v>142.32</v>
      </c>
      <c r="P430" s="2"/>
      <c r="Q430" s="5"/>
    </row>
    <row r="431" spans="1:17">
      <c r="A431" s="2">
        <f t="shared" si="30"/>
        <v>429</v>
      </c>
      <c r="B431" s="2">
        <f t="shared" si="31"/>
        <v>59</v>
      </c>
      <c r="C431" s="2" t="s">
        <v>15</v>
      </c>
      <c r="D431" s="2" t="s">
        <v>16</v>
      </c>
      <c r="E431" s="2" t="s">
        <v>920</v>
      </c>
      <c r="F431" s="2" t="s">
        <v>921</v>
      </c>
      <c r="G431" s="3">
        <v>9.8000000000000007</v>
      </c>
      <c r="H431" s="3">
        <v>57.3</v>
      </c>
      <c r="I431" s="3">
        <v>4.5</v>
      </c>
      <c r="J431" s="3">
        <f t="shared" si="32"/>
        <v>71.599999999999994</v>
      </c>
      <c r="K431" s="3">
        <v>7.3000000000000007</v>
      </c>
      <c r="L431" s="3">
        <v>58.91</v>
      </c>
      <c r="M431" s="3">
        <v>4.5</v>
      </c>
      <c r="N431" s="3">
        <f t="shared" si="33"/>
        <v>70.709999999999994</v>
      </c>
      <c r="O431" s="3">
        <f t="shared" si="34"/>
        <v>142.31</v>
      </c>
      <c r="P431" s="2"/>
      <c r="Q431" s="5"/>
    </row>
    <row r="432" spans="1:17">
      <c r="A432" s="2">
        <f t="shared" si="30"/>
        <v>430</v>
      </c>
      <c r="B432" s="2">
        <f t="shared" si="31"/>
        <v>145</v>
      </c>
      <c r="C432" s="2" t="s">
        <v>20</v>
      </c>
      <c r="D432" s="2" t="s">
        <v>21</v>
      </c>
      <c r="E432" s="2" t="s">
        <v>922</v>
      </c>
      <c r="F432" s="2" t="s">
        <v>923</v>
      </c>
      <c r="G432" s="3">
        <v>9.8000000000000007</v>
      </c>
      <c r="H432" s="3">
        <v>58.96</v>
      </c>
      <c r="I432" s="3">
        <v>3</v>
      </c>
      <c r="J432" s="3">
        <f t="shared" si="32"/>
        <v>71.760000000000005</v>
      </c>
      <c r="K432" s="3">
        <v>9.8000000000000007</v>
      </c>
      <c r="L432" s="3">
        <v>56.24</v>
      </c>
      <c r="M432" s="3">
        <v>4.5</v>
      </c>
      <c r="N432" s="3">
        <f t="shared" si="33"/>
        <v>70.540000000000006</v>
      </c>
      <c r="O432" s="3">
        <f t="shared" si="34"/>
        <v>142.30000000000001</v>
      </c>
      <c r="P432" s="2"/>
      <c r="Q432" s="5"/>
    </row>
    <row r="433" spans="1:17">
      <c r="A433" s="2">
        <f t="shared" si="30"/>
        <v>431</v>
      </c>
      <c r="B433" s="2">
        <f t="shared" si="31"/>
        <v>130</v>
      </c>
      <c r="C433" s="2" t="s">
        <v>45</v>
      </c>
      <c r="D433" s="2" t="s">
        <v>54</v>
      </c>
      <c r="E433" s="2" t="s">
        <v>924</v>
      </c>
      <c r="F433" s="2" t="s">
        <v>925</v>
      </c>
      <c r="G433" s="3">
        <v>10</v>
      </c>
      <c r="H433" s="3">
        <v>58.49</v>
      </c>
      <c r="I433" s="3">
        <v>4.7</v>
      </c>
      <c r="J433" s="3">
        <f t="shared" si="32"/>
        <v>73.19</v>
      </c>
      <c r="K433" s="3">
        <v>7.5</v>
      </c>
      <c r="L433" s="3">
        <v>56.2</v>
      </c>
      <c r="M433" s="3">
        <v>5.4</v>
      </c>
      <c r="N433" s="3">
        <f t="shared" si="33"/>
        <v>69.099999999999994</v>
      </c>
      <c r="O433" s="3">
        <f t="shared" si="34"/>
        <v>142.29</v>
      </c>
      <c r="P433" s="2"/>
      <c r="Q433" s="5"/>
    </row>
    <row r="434" spans="1:17">
      <c r="A434" s="2">
        <f t="shared" si="30"/>
        <v>432</v>
      </c>
      <c r="B434" s="2">
        <f t="shared" si="31"/>
        <v>131</v>
      </c>
      <c r="C434" s="2" t="s">
        <v>45</v>
      </c>
      <c r="D434" s="2" t="s">
        <v>54</v>
      </c>
      <c r="E434" s="2" t="s">
        <v>926</v>
      </c>
      <c r="F434" s="2" t="s">
        <v>927</v>
      </c>
      <c r="G434" s="3">
        <v>9.8000000000000007</v>
      </c>
      <c r="H434" s="3">
        <v>61.81</v>
      </c>
      <c r="I434" s="3">
        <v>3</v>
      </c>
      <c r="J434" s="3">
        <f t="shared" si="32"/>
        <v>74.61</v>
      </c>
      <c r="K434" s="3">
        <v>7.3000000000000007</v>
      </c>
      <c r="L434" s="3">
        <v>57.35</v>
      </c>
      <c r="M434" s="3">
        <v>3</v>
      </c>
      <c r="N434" s="3">
        <f t="shared" si="33"/>
        <v>67.650000000000006</v>
      </c>
      <c r="O434" s="3">
        <f t="shared" si="34"/>
        <v>142.26</v>
      </c>
      <c r="P434" s="2"/>
      <c r="Q434" s="5"/>
    </row>
    <row r="435" spans="1:17">
      <c r="A435" s="2">
        <f t="shared" si="30"/>
        <v>433</v>
      </c>
      <c r="B435" s="2">
        <f t="shared" si="31"/>
        <v>146</v>
      </c>
      <c r="C435" s="2" t="s">
        <v>20</v>
      </c>
      <c r="D435" s="2" t="s">
        <v>65</v>
      </c>
      <c r="E435" s="2" t="s">
        <v>928</v>
      </c>
      <c r="F435" s="2" t="s">
        <v>929</v>
      </c>
      <c r="G435" s="3">
        <v>9.8000000000000007</v>
      </c>
      <c r="H435" s="3">
        <v>62.49</v>
      </c>
      <c r="I435" s="3">
        <v>3</v>
      </c>
      <c r="J435" s="3">
        <f t="shared" si="32"/>
        <v>75.290000000000006</v>
      </c>
      <c r="K435" s="3">
        <v>9.8000000000000007</v>
      </c>
      <c r="L435" s="3">
        <v>54.16</v>
      </c>
      <c r="M435" s="3">
        <v>3</v>
      </c>
      <c r="N435" s="3">
        <f t="shared" si="33"/>
        <v>66.959999999999994</v>
      </c>
      <c r="O435" s="3">
        <f t="shared" si="34"/>
        <v>142.25</v>
      </c>
      <c r="P435" s="2"/>
      <c r="Q435" s="5"/>
    </row>
    <row r="436" spans="1:17">
      <c r="A436" s="2">
        <f t="shared" si="30"/>
        <v>434</v>
      </c>
      <c r="B436" s="2">
        <f t="shared" si="31"/>
        <v>132</v>
      </c>
      <c r="C436" s="2" t="s">
        <v>45</v>
      </c>
      <c r="D436" s="2" t="s">
        <v>232</v>
      </c>
      <c r="E436" s="2" t="s">
        <v>930</v>
      </c>
      <c r="F436" s="2" t="s">
        <v>931</v>
      </c>
      <c r="G436" s="3">
        <v>9.8000000000000007</v>
      </c>
      <c r="H436" s="3">
        <v>58.29</v>
      </c>
      <c r="I436" s="3">
        <v>3</v>
      </c>
      <c r="J436" s="3">
        <f t="shared" si="32"/>
        <v>71.09</v>
      </c>
      <c r="K436" s="3">
        <v>9.8000000000000007</v>
      </c>
      <c r="L436" s="3">
        <v>57.49</v>
      </c>
      <c r="M436" s="3">
        <v>3.8</v>
      </c>
      <c r="N436" s="3">
        <f t="shared" si="33"/>
        <v>71.09</v>
      </c>
      <c r="O436" s="3">
        <f t="shared" si="34"/>
        <v>142.18</v>
      </c>
      <c r="P436" s="2"/>
      <c r="Q436" s="5"/>
    </row>
    <row r="437" spans="1:17">
      <c r="A437" s="2">
        <f t="shared" si="30"/>
        <v>435</v>
      </c>
      <c r="B437" s="2">
        <f t="shared" si="31"/>
        <v>147</v>
      </c>
      <c r="C437" s="2" t="s">
        <v>20</v>
      </c>
      <c r="D437" s="2" t="s">
        <v>42</v>
      </c>
      <c r="E437" s="2" t="s">
        <v>932</v>
      </c>
      <c r="F437" s="2" t="s">
        <v>933</v>
      </c>
      <c r="G437" s="3">
        <v>9.8000000000000007</v>
      </c>
      <c r="H437" s="3">
        <v>57.033333333333303</v>
      </c>
      <c r="I437" s="3">
        <v>3</v>
      </c>
      <c r="J437" s="3">
        <f t="shared" si="32"/>
        <v>69.83</v>
      </c>
      <c r="K437" s="3">
        <v>9.8000000000000007</v>
      </c>
      <c r="L437" s="3">
        <v>57.67</v>
      </c>
      <c r="M437" s="3">
        <v>4.8000000000000007</v>
      </c>
      <c r="N437" s="3">
        <f t="shared" si="33"/>
        <v>72.27</v>
      </c>
      <c r="O437" s="3">
        <f t="shared" si="34"/>
        <v>142.1</v>
      </c>
      <c r="P437" s="2"/>
      <c r="Q437" s="5"/>
    </row>
    <row r="438" spans="1:17">
      <c r="A438" s="2">
        <f t="shared" si="30"/>
        <v>436</v>
      </c>
      <c r="B438" s="2">
        <f t="shared" si="31"/>
        <v>133</v>
      </c>
      <c r="C438" s="2" t="s">
        <v>45</v>
      </c>
      <c r="D438" s="2" t="s">
        <v>232</v>
      </c>
      <c r="E438" s="2" t="s">
        <v>934</v>
      </c>
      <c r="F438" s="2" t="s">
        <v>935</v>
      </c>
      <c r="G438" s="3">
        <v>9.8000000000000007</v>
      </c>
      <c r="H438" s="3">
        <v>60.32</v>
      </c>
      <c r="I438" s="3">
        <v>3</v>
      </c>
      <c r="J438" s="3">
        <f t="shared" si="32"/>
        <v>73.12</v>
      </c>
      <c r="K438" s="3">
        <v>9.8000000000000007</v>
      </c>
      <c r="L438" s="3">
        <v>56.13</v>
      </c>
      <c r="M438" s="3">
        <v>3</v>
      </c>
      <c r="N438" s="3">
        <f t="shared" si="33"/>
        <v>68.930000000000007</v>
      </c>
      <c r="O438" s="3">
        <f t="shared" si="34"/>
        <v>142.05000000000001</v>
      </c>
      <c r="P438" s="2"/>
      <c r="Q438" s="5"/>
    </row>
    <row r="439" spans="1:17">
      <c r="A439" s="2">
        <f t="shared" si="30"/>
        <v>437</v>
      </c>
      <c r="B439" s="2">
        <f t="shared" si="31"/>
        <v>134</v>
      </c>
      <c r="C439" s="2" t="s">
        <v>45</v>
      </c>
      <c r="D439" s="2" t="s">
        <v>220</v>
      </c>
      <c r="E439" s="2" t="s">
        <v>936</v>
      </c>
      <c r="F439" s="2" t="s">
        <v>937</v>
      </c>
      <c r="G439" s="3">
        <v>9.6</v>
      </c>
      <c r="H439" s="3">
        <v>57.34</v>
      </c>
      <c r="I439" s="3">
        <v>4.4000000000000004</v>
      </c>
      <c r="J439" s="3">
        <f t="shared" si="32"/>
        <v>71.34</v>
      </c>
      <c r="K439" s="3">
        <v>10</v>
      </c>
      <c r="L439" s="3">
        <v>55.6</v>
      </c>
      <c r="M439" s="3">
        <v>5.0999999999999996</v>
      </c>
      <c r="N439" s="3">
        <f t="shared" si="33"/>
        <v>70.7</v>
      </c>
      <c r="O439" s="3">
        <f t="shared" si="34"/>
        <v>142.04</v>
      </c>
      <c r="P439" s="2"/>
      <c r="Q439" s="5"/>
    </row>
    <row r="440" spans="1:17">
      <c r="A440" s="2">
        <f t="shared" si="30"/>
        <v>438</v>
      </c>
      <c r="B440" s="2">
        <f t="shared" si="31"/>
        <v>148</v>
      </c>
      <c r="C440" s="2" t="s">
        <v>20</v>
      </c>
      <c r="D440" s="2" t="s">
        <v>21</v>
      </c>
      <c r="E440" s="2" t="s">
        <v>938</v>
      </c>
      <c r="F440" s="2" t="s">
        <v>939</v>
      </c>
      <c r="G440" s="3">
        <v>10</v>
      </c>
      <c r="H440" s="3">
        <v>53.69</v>
      </c>
      <c r="I440" s="3">
        <v>5</v>
      </c>
      <c r="J440" s="3">
        <f t="shared" si="32"/>
        <v>68.69</v>
      </c>
      <c r="K440" s="3">
        <v>10</v>
      </c>
      <c r="L440" s="3">
        <v>56.56</v>
      </c>
      <c r="M440" s="3">
        <v>6.75</v>
      </c>
      <c r="N440" s="3">
        <f t="shared" si="33"/>
        <v>73.31</v>
      </c>
      <c r="O440" s="3">
        <f t="shared" si="34"/>
        <v>142</v>
      </c>
      <c r="P440" s="2"/>
      <c r="Q440" s="5"/>
    </row>
    <row r="441" spans="1:17">
      <c r="A441" s="2">
        <f t="shared" si="30"/>
        <v>439</v>
      </c>
      <c r="B441" s="2">
        <f t="shared" si="31"/>
        <v>149</v>
      </c>
      <c r="C441" s="2" t="s">
        <v>20</v>
      </c>
      <c r="D441" s="2" t="s">
        <v>65</v>
      </c>
      <c r="E441" s="2" t="s">
        <v>940</v>
      </c>
      <c r="F441" s="2" t="s">
        <v>941</v>
      </c>
      <c r="G441" s="3">
        <v>9.8000000000000007</v>
      </c>
      <c r="H441" s="3">
        <v>60.48</v>
      </c>
      <c r="I441" s="3">
        <v>4</v>
      </c>
      <c r="J441" s="3">
        <f t="shared" si="32"/>
        <v>74.28</v>
      </c>
      <c r="K441" s="3">
        <v>7.3000000000000007</v>
      </c>
      <c r="L441" s="3">
        <v>56.1</v>
      </c>
      <c r="M441" s="3">
        <v>4.3</v>
      </c>
      <c r="N441" s="3">
        <f t="shared" si="33"/>
        <v>67.7</v>
      </c>
      <c r="O441" s="3">
        <f t="shared" si="34"/>
        <v>141.97999999999999</v>
      </c>
      <c r="P441" s="2"/>
      <c r="Q441" s="5"/>
    </row>
    <row r="442" spans="1:17">
      <c r="A442" s="2">
        <f t="shared" si="30"/>
        <v>440</v>
      </c>
      <c r="B442" s="2">
        <f t="shared" si="31"/>
        <v>60</v>
      </c>
      <c r="C442" s="2" t="s">
        <v>15</v>
      </c>
      <c r="D442" s="2" t="s">
        <v>16</v>
      </c>
      <c r="E442" s="2" t="s">
        <v>942</v>
      </c>
      <c r="F442" s="2" t="s">
        <v>943</v>
      </c>
      <c r="G442" s="3">
        <v>9.8000000000000007</v>
      </c>
      <c r="H442" s="3">
        <v>57.04</v>
      </c>
      <c r="I442" s="3">
        <v>4</v>
      </c>
      <c r="J442" s="3">
        <f t="shared" si="32"/>
        <v>70.84</v>
      </c>
      <c r="K442" s="3">
        <v>9.8000000000000007</v>
      </c>
      <c r="L442" s="3">
        <v>57.81</v>
      </c>
      <c r="M442" s="3">
        <v>3.5</v>
      </c>
      <c r="N442" s="3">
        <f t="shared" si="33"/>
        <v>71.11</v>
      </c>
      <c r="O442" s="3">
        <f t="shared" si="34"/>
        <v>141.94999999999999</v>
      </c>
      <c r="P442" s="2"/>
      <c r="Q442" s="5"/>
    </row>
    <row r="443" spans="1:17">
      <c r="A443" s="2">
        <f t="shared" si="30"/>
        <v>441</v>
      </c>
      <c r="B443" s="2">
        <f t="shared" si="31"/>
        <v>135</v>
      </c>
      <c r="C443" s="2" t="s">
        <v>45</v>
      </c>
      <c r="D443" s="2" t="s">
        <v>89</v>
      </c>
      <c r="E443" s="2" t="s">
        <v>944</v>
      </c>
      <c r="F443" s="2" t="s">
        <v>945</v>
      </c>
      <c r="G443" s="3">
        <v>9.8000000000000007</v>
      </c>
      <c r="H443" s="3">
        <v>55.76</v>
      </c>
      <c r="I443" s="3">
        <v>4</v>
      </c>
      <c r="J443" s="3">
        <f t="shared" si="32"/>
        <v>69.56</v>
      </c>
      <c r="K443" s="3">
        <v>9.8000000000000007</v>
      </c>
      <c r="L443" s="3">
        <v>58.16</v>
      </c>
      <c r="M443" s="3">
        <v>4.4000000000000004</v>
      </c>
      <c r="N443" s="3">
        <f t="shared" si="33"/>
        <v>72.36</v>
      </c>
      <c r="O443" s="3">
        <f t="shared" si="34"/>
        <v>141.91999999999999</v>
      </c>
      <c r="P443" s="2"/>
      <c r="Q443" s="5"/>
    </row>
    <row r="444" spans="1:17">
      <c r="A444" s="2">
        <f t="shared" si="30"/>
        <v>442</v>
      </c>
      <c r="B444" s="2">
        <f t="shared" si="31"/>
        <v>150</v>
      </c>
      <c r="C444" s="2" t="s">
        <v>20</v>
      </c>
      <c r="D444" s="2" t="s">
        <v>82</v>
      </c>
      <c r="E444" s="2" t="s">
        <v>946</v>
      </c>
      <c r="F444" s="2" t="s">
        <v>947</v>
      </c>
      <c r="G444" s="3">
        <v>9</v>
      </c>
      <c r="H444" s="3">
        <v>62.659574468085097</v>
      </c>
      <c r="I444" s="3">
        <v>3</v>
      </c>
      <c r="J444" s="3">
        <f t="shared" si="32"/>
        <v>74.66</v>
      </c>
      <c r="K444" s="3">
        <v>7.5</v>
      </c>
      <c r="L444" s="3">
        <v>56.23</v>
      </c>
      <c r="M444" s="3">
        <v>3.5</v>
      </c>
      <c r="N444" s="3">
        <f t="shared" si="33"/>
        <v>67.23</v>
      </c>
      <c r="O444" s="3">
        <f t="shared" si="34"/>
        <v>141.88999999999999</v>
      </c>
      <c r="P444" s="2"/>
      <c r="Q444" s="5"/>
    </row>
    <row r="445" spans="1:17">
      <c r="A445" s="2">
        <f t="shared" si="30"/>
        <v>443</v>
      </c>
      <c r="B445" s="2">
        <f t="shared" si="31"/>
        <v>136</v>
      </c>
      <c r="C445" s="2" t="s">
        <v>45</v>
      </c>
      <c r="D445" s="2" t="s">
        <v>266</v>
      </c>
      <c r="E445" s="2" t="s">
        <v>948</v>
      </c>
      <c r="F445" s="2" t="s">
        <v>949</v>
      </c>
      <c r="G445" s="3">
        <v>10</v>
      </c>
      <c r="H445" s="3">
        <v>53.55</v>
      </c>
      <c r="I445" s="3">
        <v>5</v>
      </c>
      <c r="J445" s="3">
        <f t="shared" si="32"/>
        <v>68.55</v>
      </c>
      <c r="K445" s="3">
        <v>10</v>
      </c>
      <c r="L445" s="3">
        <v>57.23</v>
      </c>
      <c r="M445" s="3">
        <v>6.1</v>
      </c>
      <c r="N445" s="3">
        <f t="shared" si="33"/>
        <v>73.33</v>
      </c>
      <c r="O445" s="3">
        <f t="shared" si="34"/>
        <v>141.88</v>
      </c>
      <c r="P445" s="2"/>
      <c r="Q445" s="5"/>
    </row>
    <row r="446" spans="1:17">
      <c r="A446" s="2">
        <f t="shared" si="30"/>
        <v>444</v>
      </c>
      <c r="B446" s="2">
        <f t="shared" si="31"/>
        <v>151</v>
      </c>
      <c r="C446" s="2" t="s">
        <v>20</v>
      </c>
      <c r="D446" s="2" t="s">
        <v>164</v>
      </c>
      <c r="E446" s="2" t="s">
        <v>950</v>
      </c>
      <c r="F446" s="2" t="s">
        <v>951</v>
      </c>
      <c r="G446" s="3">
        <v>9.8000000000000007</v>
      </c>
      <c r="H446" s="3">
        <v>59.95</v>
      </c>
      <c r="I446" s="3">
        <v>3</v>
      </c>
      <c r="J446" s="3">
        <f t="shared" si="32"/>
        <v>72.75</v>
      </c>
      <c r="K446" s="3">
        <v>9.8000000000000007</v>
      </c>
      <c r="L446" s="3">
        <v>56.29</v>
      </c>
      <c r="M446" s="3">
        <v>3</v>
      </c>
      <c r="N446" s="3">
        <f t="shared" si="33"/>
        <v>69.09</v>
      </c>
      <c r="O446" s="3">
        <f t="shared" si="34"/>
        <v>141.84</v>
      </c>
      <c r="P446" s="2"/>
      <c r="Q446" s="5"/>
    </row>
    <row r="447" spans="1:17">
      <c r="A447" s="2">
        <f t="shared" si="30"/>
        <v>445</v>
      </c>
      <c r="B447" s="2">
        <f t="shared" si="31"/>
        <v>152</v>
      </c>
      <c r="C447" s="2" t="s">
        <v>20</v>
      </c>
      <c r="D447" s="2" t="s">
        <v>229</v>
      </c>
      <c r="E447" s="2" t="s">
        <v>952</v>
      </c>
      <c r="F447" s="2" t="s">
        <v>953</v>
      </c>
      <c r="G447" s="3">
        <v>9.8000000000000007</v>
      </c>
      <c r="H447" s="3">
        <v>58.71</v>
      </c>
      <c r="I447" s="3">
        <v>4.5</v>
      </c>
      <c r="J447" s="3">
        <f t="shared" si="32"/>
        <v>73.010000000000005</v>
      </c>
      <c r="K447" s="3">
        <v>9.8000000000000007</v>
      </c>
      <c r="L447" s="3">
        <v>55.51</v>
      </c>
      <c r="M447" s="3">
        <v>3.5</v>
      </c>
      <c r="N447" s="3">
        <f t="shared" si="33"/>
        <v>68.81</v>
      </c>
      <c r="O447" s="3">
        <f t="shared" si="34"/>
        <v>141.82</v>
      </c>
      <c r="P447" s="2"/>
      <c r="Q447" s="5"/>
    </row>
    <row r="448" spans="1:17">
      <c r="A448" s="2">
        <f t="shared" si="30"/>
        <v>446</v>
      </c>
      <c r="B448" s="2">
        <f t="shared" si="31"/>
        <v>153</v>
      </c>
      <c r="C448" s="2" t="s">
        <v>20</v>
      </c>
      <c r="D448" s="2" t="s">
        <v>164</v>
      </c>
      <c r="E448" s="2" t="s">
        <v>954</v>
      </c>
      <c r="F448" s="2" t="s">
        <v>955</v>
      </c>
      <c r="G448" s="3">
        <v>9.8000000000000007</v>
      </c>
      <c r="H448" s="3">
        <v>59.29</v>
      </c>
      <c r="I448" s="3">
        <v>4.5</v>
      </c>
      <c r="J448" s="3">
        <f t="shared" si="32"/>
        <v>73.59</v>
      </c>
      <c r="K448" s="3">
        <v>9.8000000000000007</v>
      </c>
      <c r="L448" s="3">
        <v>53.89</v>
      </c>
      <c r="M448" s="3">
        <v>4.5</v>
      </c>
      <c r="N448" s="3">
        <f t="shared" si="33"/>
        <v>68.19</v>
      </c>
      <c r="O448" s="3">
        <f t="shared" si="34"/>
        <v>141.78</v>
      </c>
      <c r="P448" s="2"/>
      <c r="Q448" s="5"/>
    </row>
    <row r="449" spans="1:17">
      <c r="A449" s="2">
        <f t="shared" si="30"/>
        <v>447</v>
      </c>
      <c r="B449" s="2">
        <f t="shared" si="31"/>
        <v>137</v>
      </c>
      <c r="C449" s="2" t="s">
        <v>45</v>
      </c>
      <c r="D449" s="2" t="s">
        <v>46</v>
      </c>
      <c r="E449" s="2" t="s">
        <v>956</v>
      </c>
      <c r="F449" s="2" t="s">
        <v>957</v>
      </c>
      <c r="G449" s="3">
        <v>10</v>
      </c>
      <c r="H449" s="3">
        <v>57.46</v>
      </c>
      <c r="I449" s="3">
        <v>5.5</v>
      </c>
      <c r="J449" s="3">
        <f t="shared" si="32"/>
        <v>72.959999999999994</v>
      </c>
      <c r="K449" s="3">
        <v>7.5</v>
      </c>
      <c r="L449" s="3">
        <v>54</v>
      </c>
      <c r="M449" s="3">
        <v>7.3</v>
      </c>
      <c r="N449" s="3">
        <f t="shared" si="33"/>
        <v>68.8</v>
      </c>
      <c r="O449" s="3">
        <f t="shared" si="34"/>
        <v>141.76</v>
      </c>
      <c r="P449" s="4" t="s">
        <v>758</v>
      </c>
      <c r="Q449" s="5"/>
    </row>
    <row r="450" spans="1:17">
      <c r="A450" s="2">
        <f t="shared" si="30"/>
        <v>448</v>
      </c>
      <c r="B450" s="2">
        <f t="shared" si="31"/>
        <v>154</v>
      </c>
      <c r="C450" s="2" t="s">
        <v>20</v>
      </c>
      <c r="D450" s="2" t="s">
        <v>21</v>
      </c>
      <c r="E450" s="2" t="s">
        <v>958</v>
      </c>
      <c r="F450" s="2" t="s">
        <v>959</v>
      </c>
      <c r="G450" s="3">
        <v>9.8000000000000007</v>
      </c>
      <c r="H450" s="3">
        <v>54.37</v>
      </c>
      <c r="I450" s="3">
        <v>4.2</v>
      </c>
      <c r="J450" s="3">
        <f t="shared" si="32"/>
        <v>68.37</v>
      </c>
      <c r="K450" s="3">
        <v>9.8000000000000007</v>
      </c>
      <c r="L450" s="3">
        <v>59.85</v>
      </c>
      <c r="M450" s="3">
        <v>3.7</v>
      </c>
      <c r="N450" s="3">
        <f t="shared" si="33"/>
        <v>73.349999999999994</v>
      </c>
      <c r="O450" s="3">
        <f t="shared" si="34"/>
        <v>141.72</v>
      </c>
      <c r="P450" s="2"/>
      <c r="Q450" s="5"/>
    </row>
    <row r="451" spans="1:17">
      <c r="A451" s="2">
        <f t="shared" ref="A451:A514" si="35">COUNTIFS($C$3:$C$1025,"&lt;&gt;大数据",$O$3:$O$1025,"&gt;"&amp;O451)+1</f>
        <v>448</v>
      </c>
      <c r="B451" s="2">
        <f t="shared" ref="B451:B514" si="36">COUNTIFS($C$3:$C$1025,C451,$O$3:$O$1025,"&gt;"&amp;O451)+1</f>
        <v>138</v>
      </c>
      <c r="C451" s="2" t="s">
        <v>45</v>
      </c>
      <c r="D451" s="2" t="s">
        <v>114</v>
      </c>
      <c r="E451" s="2" t="s">
        <v>960</v>
      </c>
      <c r="F451" s="2" t="s">
        <v>961</v>
      </c>
      <c r="G451" s="3">
        <v>10.3</v>
      </c>
      <c r="H451" s="3">
        <v>57.37</v>
      </c>
      <c r="I451" s="3">
        <v>3</v>
      </c>
      <c r="J451" s="3">
        <f t="shared" ref="J451:J514" si="37">ROUND(SUM(G451:I451),2)</f>
        <v>70.67</v>
      </c>
      <c r="K451" s="3">
        <v>9.8000000000000007</v>
      </c>
      <c r="L451" s="3">
        <v>57.75</v>
      </c>
      <c r="M451" s="3">
        <v>3.5</v>
      </c>
      <c r="N451" s="3">
        <f t="shared" ref="N451:N514" si="38">ROUND(SUM(K451:M451),2)</f>
        <v>71.05</v>
      </c>
      <c r="O451" s="3">
        <f t="shared" ref="O451:O514" si="39">ROUND(SUM(J451,N451),2)</f>
        <v>141.72</v>
      </c>
      <c r="P451" s="2"/>
      <c r="Q451" s="5"/>
    </row>
    <row r="452" spans="1:17">
      <c r="A452" s="2">
        <f t="shared" si="35"/>
        <v>450</v>
      </c>
      <c r="B452" s="2">
        <f t="shared" si="36"/>
        <v>139</v>
      </c>
      <c r="C452" s="2" t="s">
        <v>45</v>
      </c>
      <c r="D452" s="2" t="s">
        <v>266</v>
      </c>
      <c r="E452" s="2" t="s">
        <v>962</v>
      </c>
      <c r="F452" s="2" t="s">
        <v>963</v>
      </c>
      <c r="G452" s="3">
        <v>9.8000000000000007</v>
      </c>
      <c r="H452" s="3">
        <v>57.46</v>
      </c>
      <c r="I452" s="3">
        <v>3</v>
      </c>
      <c r="J452" s="3">
        <f t="shared" si="37"/>
        <v>70.260000000000005</v>
      </c>
      <c r="K452" s="3">
        <v>9.8000000000000007</v>
      </c>
      <c r="L452" s="3">
        <v>58.14</v>
      </c>
      <c r="M452" s="3">
        <v>3.5</v>
      </c>
      <c r="N452" s="3">
        <f t="shared" si="38"/>
        <v>71.44</v>
      </c>
      <c r="O452" s="3">
        <f t="shared" si="39"/>
        <v>141.69999999999999</v>
      </c>
      <c r="P452" s="2"/>
      <c r="Q452" s="5"/>
    </row>
    <row r="453" spans="1:17">
      <c r="A453" s="2">
        <f t="shared" si="35"/>
        <v>451</v>
      </c>
      <c r="B453" s="2">
        <f t="shared" si="36"/>
        <v>61</v>
      </c>
      <c r="C453" s="2" t="s">
        <v>15</v>
      </c>
      <c r="D453" s="2" t="s">
        <v>39</v>
      </c>
      <c r="E453" s="2" t="s">
        <v>964</v>
      </c>
      <c r="F453" s="2" t="s">
        <v>965</v>
      </c>
      <c r="G453" s="3">
        <v>9.8000000000000007</v>
      </c>
      <c r="H453" s="3">
        <v>60.17</v>
      </c>
      <c r="I453" s="3">
        <v>4</v>
      </c>
      <c r="J453" s="3">
        <f t="shared" si="37"/>
        <v>73.97</v>
      </c>
      <c r="K453" s="3">
        <v>7.3000000000000007</v>
      </c>
      <c r="L453" s="3">
        <v>55.89</v>
      </c>
      <c r="M453" s="3">
        <v>4.5</v>
      </c>
      <c r="N453" s="3">
        <f t="shared" si="38"/>
        <v>67.69</v>
      </c>
      <c r="O453" s="3">
        <f t="shared" si="39"/>
        <v>141.66</v>
      </c>
      <c r="P453" s="2"/>
      <c r="Q453" s="5"/>
    </row>
    <row r="454" spans="1:17">
      <c r="A454" s="2">
        <f t="shared" si="35"/>
        <v>451</v>
      </c>
      <c r="B454" s="2">
        <f t="shared" si="36"/>
        <v>140</v>
      </c>
      <c r="C454" s="2" t="s">
        <v>45</v>
      </c>
      <c r="D454" s="2" t="s">
        <v>54</v>
      </c>
      <c r="E454" s="2" t="s">
        <v>966</v>
      </c>
      <c r="F454" s="2" t="s">
        <v>967</v>
      </c>
      <c r="G454" s="3">
        <v>9.8000000000000007</v>
      </c>
      <c r="H454" s="3">
        <v>61.22</v>
      </c>
      <c r="I454" s="3">
        <v>3</v>
      </c>
      <c r="J454" s="3">
        <f t="shared" si="37"/>
        <v>74.02</v>
      </c>
      <c r="K454" s="3">
        <v>7.3000000000000007</v>
      </c>
      <c r="L454" s="3">
        <v>57.34</v>
      </c>
      <c r="M454" s="3">
        <v>3</v>
      </c>
      <c r="N454" s="3">
        <f t="shared" si="38"/>
        <v>67.64</v>
      </c>
      <c r="O454" s="3">
        <f t="shared" si="39"/>
        <v>141.66</v>
      </c>
      <c r="P454" s="2"/>
      <c r="Q454" s="5"/>
    </row>
    <row r="455" spans="1:17">
      <c r="A455" s="2">
        <f t="shared" si="35"/>
        <v>453</v>
      </c>
      <c r="B455" s="2">
        <f t="shared" si="36"/>
        <v>155</v>
      </c>
      <c r="C455" s="2" t="s">
        <v>20</v>
      </c>
      <c r="D455" s="2" t="s">
        <v>164</v>
      </c>
      <c r="E455" s="2" t="s">
        <v>968</v>
      </c>
      <c r="F455" s="2" t="s">
        <v>969</v>
      </c>
      <c r="G455" s="3">
        <v>10.3</v>
      </c>
      <c r="H455" s="3">
        <v>61.3</v>
      </c>
      <c r="I455" s="3">
        <v>3</v>
      </c>
      <c r="J455" s="3">
        <f t="shared" si="37"/>
        <v>74.599999999999994</v>
      </c>
      <c r="K455" s="3">
        <v>9.4</v>
      </c>
      <c r="L455" s="3">
        <v>54.15</v>
      </c>
      <c r="M455" s="3">
        <v>3.5</v>
      </c>
      <c r="N455" s="3">
        <f t="shared" si="38"/>
        <v>67.05</v>
      </c>
      <c r="O455" s="3">
        <f t="shared" si="39"/>
        <v>141.65</v>
      </c>
      <c r="P455" s="2"/>
      <c r="Q455" s="5"/>
    </row>
    <row r="456" spans="1:17">
      <c r="A456" s="2">
        <f t="shared" si="35"/>
        <v>454</v>
      </c>
      <c r="B456" s="2">
        <f t="shared" si="36"/>
        <v>156</v>
      </c>
      <c r="C456" s="2" t="s">
        <v>20</v>
      </c>
      <c r="D456" s="2" t="s">
        <v>164</v>
      </c>
      <c r="E456" s="2" t="s">
        <v>970</v>
      </c>
      <c r="F456" s="2" t="s">
        <v>971</v>
      </c>
      <c r="G456" s="3">
        <v>9.8000000000000007</v>
      </c>
      <c r="H456" s="3">
        <v>58.13</v>
      </c>
      <c r="I456" s="3">
        <v>3.6</v>
      </c>
      <c r="J456" s="3">
        <f t="shared" si="37"/>
        <v>71.53</v>
      </c>
      <c r="K456" s="3">
        <v>9.8000000000000007</v>
      </c>
      <c r="L456" s="3">
        <v>57.3</v>
      </c>
      <c r="M456" s="3">
        <v>3</v>
      </c>
      <c r="N456" s="3">
        <f t="shared" si="38"/>
        <v>70.099999999999994</v>
      </c>
      <c r="O456" s="3">
        <f t="shared" si="39"/>
        <v>141.63</v>
      </c>
      <c r="P456" s="2"/>
      <c r="Q456" s="5"/>
    </row>
    <row r="457" spans="1:17">
      <c r="A457" s="2">
        <f t="shared" si="35"/>
        <v>455</v>
      </c>
      <c r="B457" s="2">
        <f t="shared" si="36"/>
        <v>157</v>
      </c>
      <c r="C457" s="2" t="s">
        <v>20</v>
      </c>
      <c r="D457" s="2" t="s">
        <v>32</v>
      </c>
      <c r="E457" s="2" t="s">
        <v>972</v>
      </c>
      <c r="F457" s="2" t="s">
        <v>973</v>
      </c>
      <c r="G457" s="3">
        <v>10</v>
      </c>
      <c r="H457" s="3">
        <v>57.428571428571402</v>
      </c>
      <c r="I457" s="3">
        <v>4</v>
      </c>
      <c r="J457" s="3">
        <f t="shared" si="37"/>
        <v>71.430000000000007</v>
      </c>
      <c r="K457" s="3">
        <v>10</v>
      </c>
      <c r="L457" s="3">
        <v>55.49</v>
      </c>
      <c r="M457" s="3">
        <v>4.7</v>
      </c>
      <c r="N457" s="3">
        <f t="shared" si="38"/>
        <v>70.19</v>
      </c>
      <c r="O457" s="3">
        <f t="shared" si="39"/>
        <v>141.62</v>
      </c>
      <c r="P457" s="2"/>
      <c r="Q457" s="5"/>
    </row>
    <row r="458" spans="1:17">
      <c r="A458" s="2">
        <f t="shared" si="35"/>
        <v>456</v>
      </c>
      <c r="B458" s="2">
        <f t="shared" si="36"/>
        <v>98</v>
      </c>
      <c r="C458" s="2" t="s">
        <v>24</v>
      </c>
      <c r="D458" s="2" t="s">
        <v>76</v>
      </c>
      <c r="E458" s="2" t="s">
        <v>974</v>
      </c>
      <c r="F458" s="2" t="s">
        <v>975</v>
      </c>
      <c r="G458" s="3">
        <v>9.8000000000000007</v>
      </c>
      <c r="H458" s="3">
        <v>56.357142857142797</v>
      </c>
      <c r="I458" s="3">
        <v>4.7</v>
      </c>
      <c r="J458" s="3">
        <f t="shared" si="37"/>
        <v>70.86</v>
      </c>
      <c r="K458" s="3">
        <v>9</v>
      </c>
      <c r="L458" s="3">
        <v>56.34</v>
      </c>
      <c r="M458" s="3">
        <v>5.4</v>
      </c>
      <c r="N458" s="3">
        <f t="shared" si="38"/>
        <v>70.739999999999995</v>
      </c>
      <c r="O458" s="3">
        <f t="shared" si="39"/>
        <v>141.6</v>
      </c>
      <c r="P458" s="2"/>
      <c r="Q458" s="5"/>
    </row>
    <row r="459" spans="1:17">
      <c r="A459" s="2">
        <f t="shared" si="35"/>
        <v>457</v>
      </c>
      <c r="B459" s="2">
        <f t="shared" si="36"/>
        <v>158</v>
      </c>
      <c r="C459" s="2" t="s">
        <v>20</v>
      </c>
      <c r="D459" s="2" t="s">
        <v>82</v>
      </c>
      <c r="E459" s="2" t="s">
        <v>976</v>
      </c>
      <c r="F459" s="2" t="s">
        <v>977</v>
      </c>
      <c r="G459" s="3">
        <v>10.3</v>
      </c>
      <c r="H459" s="3">
        <v>57.927272727272701</v>
      </c>
      <c r="I459" s="3">
        <v>4.3499999999999996</v>
      </c>
      <c r="J459" s="3">
        <f t="shared" si="37"/>
        <v>72.58</v>
      </c>
      <c r="K459" s="3">
        <v>9.8000000000000007</v>
      </c>
      <c r="L459" s="3">
        <v>54.07</v>
      </c>
      <c r="M459" s="3">
        <v>5.0999999999999996</v>
      </c>
      <c r="N459" s="3">
        <f t="shared" si="38"/>
        <v>68.97</v>
      </c>
      <c r="O459" s="3">
        <f t="shared" si="39"/>
        <v>141.55000000000001</v>
      </c>
      <c r="P459" s="2"/>
      <c r="Q459" s="5"/>
    </row>
    <row r="460" spans="1:17">
      <c r="A460" s="2">
        <f t="shared" si="35"/>
        <v>458</v>
      </c>
      <c r="B460" s="2">
        <f t="shared" si="36"/>
        <v>159</v>
      </c>
      <c r="C460" s="2" t="s">
        <v>20</v>
      </c>
      <c r="D460" s="2" t="s">
        <v>29</v>
      </c>
      <c r="E460" s="2" t="s">
        <v>978</v>
      </c>
      <c r="F460" s="2" t="s">
        <v>979</v>
      </c>
      <c r="G460" s="3">
        <v>9.8000000000000007</v>
      </c>
      <c r="H460" s="3">
        <v>57.43</v>
      </c>
      <c r="I460" s="3">
        <v>3</v>
      </c>
      <c r="J460" s="3">
        <f t="shared" si="37"/>
        <v>70.23</v>
      </c>
      <c r="K460" s="3">
        <v>9.8000000000000007</v>
      </c>
      <c r="L460" s="3">
        <v>57.48</v>
      </c>
      <c r="M460" s="3">
        <v>4</v>
      </c>
      <c r="N460" s="3">
        <f t="shared" si="38"/>
        <v>71.28</v>
      </c>
      <c r="O460" s="3">
        <f t="shared" si="39"/>
        <v>141.51</v>
      </c>
      <c r="P460" s="2"/>
      <c r="Q460" s="5"/>
    </row>
    <row r="461" spans="1:17">
      <c r="A461" s="2">
        <f t="shared" si="35"/>
        <v>459</v>
      </c>
      <c r="B461" s="2">
        <f t="shared" si="36"/>
        <v>99</v>
      </c>
      <c r="C461" s="2" t="s">
        <v>24</v>
      </c>
      <c r="D461" s="2" t="s">
        <v>58</v>
      </c>
      <c r="E461" s="2" t="s">
        <v>980</v>
      </c>
      <c r="F461" s="2" t="s">
        <v>981</v>
      </c>
      <c r="G461" s="3">
        <v>9.8000000000000007</v>
      </c>
      <c r="H461" s="3">
        <v>58.219512195122</v>
      </c>
      <c r="I461" s="3">
        <v>4.2</v>
      </c>
      <c r="J461" s="3">
        <f t="shared" si="37"/>
        <v>72.22</v>
      </c>
      <c r="K461" s="3">
        <v>9.8000000000000007</v>
      </c>
      <c r="L461" s="3">
        <v>55.48</v>
      </c>
      <c r="M461" s="3">
        <v>4</v>
      </c>
      <c r="N461" s="3">
        <f t="shared" si="38"/>
        <v>69.28</v>
      </c>
      <c r="O461" s="3">
        <f t="shared" si="39"/>
        <v>141.5</v>
      </c>
      <c r="P461" s="2"/>
      <c r="Q461" s="5"/>
    </row>
    <row r="462" spans="1:17">
      <c r="A462" s="2">
        <f t="shared" si="35"/>
        <v>460</v>
      </c>
      <c r="B462" s="2">
        <f t="shared" si="36"/>
        <v>141</v>
      </c>
      <c r="C462" s="2" t="s">
        <v>45</v>
      </c>
      <c r="D462" s="2" t="s">
        <v>96</v>
      </c>
      <c r="E462" s="2" t="s">
        <v>982</v>
      </c>
      <c r="F462" s="2" t="s">
        <v>983</v>
      </c>
      <c r="G462" s="3">
        <v>10</v>
      </c>
      <c r="H462" s="3">
        <v>60.67</v>
      </c>
      <c r="I462" s="3">
        <v>5.4</v>
      </c>
      <c r="J462" s="3">
        <f t="shared" si="37"/>
        <v>76.069999999999993</v>
      </c>
      <c r="K462" s="3">
        <v>7.3000000000000007</v>
      </c>
      <c r="L462" s="3">
        <v>51.84</v>
      </c>
      <c r="M462" s="3">
        <v>6.25</v>
      </c>
      <c r="N462" s="3">
        <f t="shared" si="38"/>
        <v>65.39</v>
      </c>
      <c r="O462" s="3">
        <f t="shared" si="39"/>
        <v>141.46</v>
      </c>
      <c r="P462" s="2"/>
      <c r="Q462" s="5"/>
    </row>
    <row r="463" spans="1:17">
      <c r="A463" s="2">
        <f t="shared" si="35"/>
        <v>461</v>
      </c>
      <c r="B463" s="2">
        <f t="shared" si="36"/>
        <v>142</v>
      </c>
      <c r="C463" s="2" t="s">
        <v>45</v>
      </c>
      <c r="D463" s="2" t="s">
        <v>46</v>
      </c>
      <c r="E463" s="2" t="s">
        <v>984</v>
      </c>
      <c r="F463" s="2" t="s">
        <v>985</v>
      </c>
      <c r="G463" s="3">
        <v>9.8000000000000007</v>
      </c>
      <c r="H463" s="3">
        <v>56.39</v>
      </c>
      <c r="I463" s="3">
        <v>4</v>
      </c>
      <c r="J463" s="3">
        <f t="shared" si="37"/>
        <v>70.19</v>
      </c>
      <c r="K463" s="3">
        <v>9.8000000000000007</v>
      </c>
      <c r="L463" s="3">
        <v>56.08</v>
      </c>
      <c r="M463" s="3">
        <v>5.3</v>
      </c>
      <c r="N463" s="3">
        <f t="shared" si="38"/>
        <v>71.180000000000007</v>
      </c>
      <c r="O463" s="3">
        <f t="shared" si="39"/>
        <v>141.37</v>
      </c>
      <c r="P463" s="2"/>
      <c r="Q463" s="5"/>
    </row>
    <row r="464" spans="1:17">
      <c r="A464" s="2">
        <f t="shared" si="35"/>
        <v>462</v>
      </c>
      <c r="B464" s="2">
        <f t="shared" si="36"/>
        <v>62</v>
      </c>
      <c r="C464" s="2" t="s">
        <v>15</v>
      </c>
      <c r="D464" s="2" t="s">
        <v>39</v>
      </c>
      <c r="E464" s="2" t="s">
        <v>986</v>
      </c>
      <c r="F464" s="2" t="s">
        <v>987</v>
      </c>
      <c r="G464" s="3">
        <v>10</v>
      </c>
      <c r="H464" s="3">
        <v>58.26</v>
      </c>
      <c r="I464" s="3">
        <v>4.3</v>
      </c>
      <c r="J464" s="3">
        <f t="shared" si="37"/>
        <v>72.56</v>
      </c>
      <c r="K464" s="3">
        <v>7.5</v>
      </c>
      <c r="L464" s="3">
        <v>57.09</v>
      </c>
      <c r="M464" s="3">
        <v>4.0999999999999996</v>
      </c>
      <c r="N464" s="3">
        <f t="shared" si="38"/>
        <v>68.69</v>
      </c>
      <c r="O464" s="3">
        <f t="shared" si="39"/>
        <v>141.25</v>
      </c>
      <c r="P464" s="2"/>
      <c r="Q464" s="5"/>
    </row>
    <row r="465" spans="1:17">
      <c r="A465" s="2">
        <f t="shared" si="35"/>
        <v>462</v>
      </c>
      <c r="B465" s="2">
        <f t="shared" si="36"/>
        <v>143</v>
      </c>
      <c r="C465" s="2" t="s">
        <v>45</v>
      </c>
      <c r="D465" s="2" t="s">
        <v>114</v>
      </c>
      <c r="E465" s="2" t="s">
        <v>988</v>
      </c>
      <c r="F465" s="2" t="s">
        <v>989</v>
      </c>
      <c r="G465" s="3">
        <v>10</v>
      </c>
      <c r="H465" s="3">
        <v>60.72</v>
      </c>
      <c r="I465" s="3">
        <v>3.7</v>
      </c>
      <c r="J465" s="3">
        <f t="shared" si="37"/>
        <v>74.42</v>
      </c>
      <c r="K465" s="3">
        <v>10</v>
      </c>
      <c r="L465" s="3">
        <v>53.03</v>
      </c>
      <c r="M465" s="3">
        <v>3.8</v>
      </c>
      <c r="N465" s="3">
        <f t="shared" si="38"/>
        <v>66.83</v>
      </c>
      <c r="O465" s="3">
        <f t="shared" si="39"/>
        <v>141.25</v>
      </c>
      <c r="P465" s="2"/>
      <c r="Q465" s="5"/>
    </row>
    <row r="466" spans="1:17">
      <c r="A466" s="2">
        <f t="shared" si="35"/>
        <v>464</v>
      </c>
      <c r="B466" s="2">
        <f t="shared" si="36"/>
        <v>100</v>
      </c>
      <c r="C466" s="2" t="s">
        <v>24</v>
      </c>
      <c r="D466" s="2" t="s">
        <v>58</v>
      </c>
      <c r="E466" s="2" t="s">
        <v>990</v>
      </c>
      <c r="F466" s="2" t="s">
        <v>991</v>
      </c>
      <c r="G466" s="3">
        <v>10</v>
      </c>
      <c r="H466" s="3">
        <v>55.646341463414601</v>
      </c>
      <c r="I466" s="3">
        <v>5.0999999999999996</v>
      </c>
      <c r="J466" s="3">
        <f t="shared" si="37"/>
        <v>70.75</v>
      </c>
      <c r="K466" s="3">
        <v>10</v>
      </c>
      <c r="L466" s="3">
        <v>54.18</v>
      </c>
      <c r="M466" s="3">
        <v>6.3</v>
      </c>
      <c r="N466" s="3">
        <f t="shared" si="38"/>
        <v>70.48</v>
      </c>
      <c r="O466" s="3">
        <f t="shared" si="39"/>
        <v>141.22999999999999</v>
      </c>
      <c r="P466" s="2"/>
      <c r="Q466" s="5"/>
    </row>
    <row r="467" spans="1:17">
      <c r="A467" s="2">
        <f t="shared" si="35"/>
        <v>465</v>
      </c>
      <c r="B467" s="2">
        <f t="shared" si="36"/>
        <v>160</v>
      </c>
      <c r="C467" s="2" t="s">
        <v>20</v>
      </c>
      <c r="D467" s="2" t="s">
        <v>65</v>
      </c>
      <c r="E467" s="2" t="s">
        <v>992</v>
      </c>
      <c r="F467" s="2" t="s">
        <v>993</v>
      </c>
      <c r="G467" s="3">
        <v>9.8000000000000007</v>
      </c>
      <c r="H467" s="3">
        <v>60.15</v>
      </c>
      <c r="I467" s="3">
        <v>3.8</v>
      </c>
      <c r="J467" s="3">
        <f t="shared" si="37"/>
        <v>73.75</v>
      </c>
      <c r="K467" s="3">
        <v>9.8000000000000007</v>
      </c>
      <c r="L467" s="3">
        <v>53.9</v>
      </c>
      <c r="M467" s="3">
        <v>3.7</v>
      </c>
      <c r="N467" s="3">
        <f t="shared" si="38"/>
        <v>67.400000000000006</v>
      </c>
      <c r="O467" s="3">
        <f t="shared" si="39"/>
        <v>141.15</v>
      </c>
      <c r="P467" s="2"/>
      <c r="Q467" s="5"/>
    </row>
    <row r="468" spans="1:17">
      <c r="A468" s="2">
        <f t="shared" si="35"/>
        <v>466</v>
      </c>
      <c r="B468" s="2">
        <f t="shared" si="36"/>
        <v>63</v>
      </c>
      <c r="C468" s="2" t="s">
        <v>15</v>
      </c>
      <c r="D468" s="2" t="s">
        <v>181</v>
      </c>
      <c r="E468" s="2" t="s">
        <v>994</v>
      </c>
      <c r="F468" s="2" t="s">
        <v>995</v>
      </c>
      <c r="G468" s="3">
        <v>12.5</v>
      </c>
      <c r="H468" s="3">
        <v>51.28</v>
      </c>
      <c r="I468" s="3">
        <v>7.5</v>
      </c>
      <c r="J468" s="3">
        <f t="shared" si="37"/>
        <v>71.28</v>
      </c>
      <c r="K468" s="3">
        <v>13.5</v>
      </c>
      <c r="L468" s="3">
        <v>49.98</v>
      </c>
      <c r="M468" s="3">
        <v>6.35</v>
      </c>
      <c r="N468" s="3">
        <f t="shared" si="38"/>
        <v>69.83</v>
      </c>
      <c r="O468" s="3">
        <f t="shared" si="39"/>
        <v>141.11000000000001</v>
      </c>
      <c r="P468" s="2"/>
      <c r="Q468" s="5"/>
    </row>
    <row r="469" spans="1:17">
      <c r="A469" s="2">
        <f t="shared" si="35"/>
        <v>467</v>
      </c>
      <c r="B469" s="2">
        <f t="shared" si="36"/>
        <v>144</v>
      </c>
      <c r="C469" s="2" t="s">
        <v>45</v>
      </c>
      <c r="D469" s="2" t="s">
        <v>73</v>
      </c>
      <c r="E469" s="2" t="s">
        <v>996</v>
      </c>
      <c r="F469" s="2" t="s">
        <v>997</v>
      </c>
      <c r="G469" s="3">
        <v>9.8000000000000007</v>
      </c>
      <c r="H469" s="3">
        <v>59.91</v>
      </c>
      <c r="I469" s="3">
        <v>3</v>
      </c>
      <c r="J469" s="3">
        <f t="shared" si="37"/>
        <v>72.709999999999994</v>
      </c>
      <c r="K469" s="3">
        <v>9.8000000000000007</v>
      </c>
      <c r="L469" s="3">
        <v>55.43</v>
      </c>
      <c r="M469" s="3">
        <v>3</v>
      </c>
      <c r="N469" s="3">
        <f t="shared" si="38"/>
        <v>68.23</v>
      </c>
      <c r="O469" s="3">
        <f t="shared" si="39"/>
        <v>140.94</v>
      </c>
      <c r="P469" s="2"/>
      <c r="Q469" s="5"/>
    </row>
    <row r="470" spans="1:17">
      <c r="A470" s="2">
        <f t="shared" si="35"/>
        <v>468</v>
      </c>
      <c r="B470" s="2">
        <f t="shared" si="36"/>
        <v>145</v>
      </c>
      <c r="C470" s="2" t="s">
        <v>45</v>
      </c>
      <c r="D470" s="2" t="s">
        <v>266</v>
      </c>
      <c r="E470" s="2" t="s">
        <v>998</v>
      </c>
      <c r="F470" s="2" t="s">
        <v>999</v>
      </c>
      <c r="G470" s="3">
        <v>9.8000000000000007</v>
      </c>
      <c r="H470" s="3">
        <v>56.53</v>
      </c>
      <c r="I470" s="3">
        <v>3</v>
      </c>
      <c r="J470" s="3">
        <f t="shared" si="37"/>
        <v>69.33</v>
      </c>
      <c r="K470" s="3">
        <v>9.8000000000000007</v>
      </c>
      <c r="L470" s="3">
        <v>58.8</v>
      </c>
      <c r="M470" s="3">
        <v>3</v>
      </c>
      <c r="N470" s="3">
        <f t="shared" si="38"/>
        <v>71.599999999999994</v>
      </c>
      <c r="O470" s="3">
        <f t="shared" si="39"/>
        <v>140.93</v>
      </c>
      <c r="P470" s="2"/>
      <c r="Q470" s="5"/>
    </row>
    <row r="471" spans="1:17">
      <c r="A471" s="2">
        <f t="shared" si="35"/>
        <v>469</v>
      </c>
      <c r="B471" s="2">
        <f t="shared" si="36"/>
        <v>101</v>
      </c>
      <c r="C471" s="2" t="s">
        <v>24</v>
      </c>
      <c r="D471" s="2" t="s">
        <v>49</v>
      </c>
      <c r="E471" s="2" t="s">
        <v>1000</v>
      </c>
      <c r="F471" s="2" t="s">
        <v>1001</v>
      </c>
      <c r="G471" s="3">
        <v>10.8</v>
      </c>
      <c r="H471" s="3">
        <v>58.658536585365901</v>
      </c>
      <c r="I471" s="3">
        <v>3.6</v>
      </c>
      <c r="J471" s="3">
        <f t="shared" si="37"/>
        <v>73.06</v>
      </c>
      <c r="K471" s="3">
        <v>9.8000000000000007</v>
      </c>
      <c r="L471" s="3">
        <v>54.56</v>
      </c>
      <c r="M471" s="3">
        <v>3.5</v>
      </c>
      <c r="N471" s="3">
        <f t="shared" si="38"/>
        <v>67.86</v>
      </c>
      <c r="O471" s="3">
        <f t="shared" si="39"/>
        <v>140.91999999999999</v>
      </c>
      <c r="P471" s="2"/>
      <c r="Q471" s="5"/>
    </row>
    <row r="472" spans="1:17">
      <c r="A472" s="2">
        <f t="shared" si="35"/>
        <v>470</v>
      </c>
      <c r="B472" s="2">
        <f t="shared" si="36"/>
        <v>146</v>
      </c>
      <c r="C472" s="2" t="s">
        <v>45</v>
      </c>
      <c r="D472" s="2" t="s">
        <v>220</v>
      </c>
      <c r="E472" s="2" t="s">
        <v>1002</v>
      </c>
      <c r="F472" s="2" t="s">
        <v>1003</v>
      </c>
      <c r="G472" s="3">
        <v>10.6</v>
      </c>
      <c r="H472" s="3">
        <v>55.15</v>
      </c>
      <c r="I472" s="3">
        <v>4.5999999999999996</v>
      </c>
      <c r="J472" s="3">
        <f t="shared" si="37"/>
        <v>70.349999999999994</v>
      </c>
      <c r="K472" s="3">
        <v>9.8000000000000007</v>
      </c>
      <c r="L472" s="3">
        <v>55.01</v>
      </c>
      <c r="M472" s="3">
        <v>5.7</v>
      </c>
      <c r="N472" s="3">
        <f t="shared" si="38"/>
        <v>70.510000000000005</v>
      </c>
      <c r="O472" s="3">
        <f t="shared" si="39"/>
        <v>140.86000000000001</v>
      </c>
      <c r="P472" s="2"/>
      <c r="Q472" s="5"/>
    </row>
    <row r="473" spans="1:17">
      <c r="A473" s="2">
        <f t="shared" si="35"/>
        <v>470</v>
      </c>
      <c r="B473" s="2">
        <f t="shared" si="36"/>
        <v>146</v>
      </c>
      <c r="C473" s="2" t="s">
        <v>45</v>
      </c>
      <c r="D473" s="2" t="s">
        <v>109</v>
      </c>
      <c r="E473" s="2" t="s">
        <v>1004</v>
      </c>
      <c r="F473" s="2" t="s">
        <v>1005</v>
      </c>
      <c r="G473" s="3">
        <v>10</v>
      </c>
      <c r="H473" s="3">
        <v>62.33</v>
      </c>
      <c r="I473" s="3">
        <v>3</v>
      </c>
      <c r="J473" s="3">
        <f t="shared" si="37"/>
        <v>75.33</v>
      </c>
      <c r="K473" s="3">
        <v>10</v>
      </c>
      <c r="L473" s="3">
        <v>51.83</v>
      </c>
      <c r="M473" s="3">
        <v>3.7</v>
      </c>
      <c r="N473" s="3">
        <f t="shared" si="38"/>
        <v>65.53</v>
      </c>
      <c r="O473" s="3">
        <f t="shared" si="39"/>
        <v>140.86000000000001</v>
      </c>
      <c r="P473" s="2"/>
      <c r="Q473" s="5"/>
    </row>
    <row r="474" spans="1:17">
      <c r="A474" s="2">
        <f t="shared" si="35"/>
        <v>472</v>
      </c>
      <c r="B474" s="2">
        <f t="shared" si="36"/>
        <v>102</v>
      </c>
      <c r="C474" s="2" t="s">
        <v>24</v>
      </c>
      <c r="D474" s="2" t="s">
        <v>76</v>
      </c>
      <c r="E474" s="2" t="s">
        <v>1006</v>
      </c>
      <c r="F474" s="2" t="s">
        <v>1007</v>
      </c>
      <c r="G474" s="3">
        <v>10.3</v>
      </c>
      <c r="H474" s="3">
        <v>54.439024390243901</v>
      </c>
      <c r="I474" s="3">
        <v>4</v>
      </c>
      <c r="J474" s="3">
        <f t="shared" si="37"/>
        <v>68.739999999999995</v>
      </c>
      <c r="K474" s="3">
        <v>9</v>
      </c>
      <c r="L474" s="3">
        <v>57.61</v>
      </c>
      <c r="M474" s="3">
        <v>5.5</v>
      </c>
      <c r="N474" s="3">
        <f t="shared" si="38"/>
        <v>72.11</v>
      </c>
      <c r="O474" s="3">
        <f t="shared" si="39"/>
        <v>140.85</v>
      </c>
      <c r="P474" s="2"/>
      <c r="Q474" s="5"/>
    </row>
    <row r="475" spans="1:17">
      <c r="A475" s="2">
        <f t="shared" si="35"/>
        <v>473</v>
      </c>
      <c r="B475" s="2">
        <f t="shared" si="36"/>
        <v>148</v>
      </c>
      <c r="C475" s="2" t="s">
        <v>45</v>
      </c>
      <c r="D475" s="2" t="s">
        <v>96</v>
      </c>
      <c r="E475" s="2" t="s">
        <v>1008</v>
      </c>
      <c r="F475" s="2" t="s">
        <v>1009</v>
      </c>
      <c r="G475" s="3">
        <v>10.6</v>
      </c>
      <c r="H475" s="3">
        <v>63.79</v>
      </c>
      <c r="I475" s="3">
        <v>3.2</v>
      </c>
      <c r="J475" s="3">
        <f t="shared" si="37"/>
        <v>77.59</v>
      </c>
      <c r="K475" s="3">
        <v>7.3000000000000007</v>
      </c>
      <c r="L475" s="3">
        <v>51.92</v>
      </c>
      <c r="M475" s="3">
        <v>4</v>
      </c>
      <c r="N475" s="3">
        <f t="shared" si="38"/>
        <v>63.22</v>
      </c>
      <c r="O475" s="3">
        <f t="shared" si="39"/>
        <v>140.81</v>
      </c>
      <c r="P475" s="2"/>
      <c r="Q475" s="5"/>
    </row>
    <row r="476" spans="1:17">
      <c r="A476" s="2">
        <f t="shared" si="35"/>
        <v>474</v>
      </c>
      <c r="B476" s="2">
        <f t="shared" si="36"/>
        <v>161</v>
      </c>
      <c r="C476" s="2" t="s">
        <v>20</v>
      </c>
      <c r="D476" s="2" t="s">
        <v>82</v>
      </c>
      <c r="E476" s="2" t="s">
        <v>1010</v>
      </c>
      <c r="F476" s="2" t="s">
        <v>1011</v>
      </c>
      <c r="G476" s="3">
        <v>9.8000000000000007</v>
      </c>
      <c r="H476" s="3">
        <v>59.387755102040799</v>
      </c>
      <c r="I476" s="3">
        <v>3</v>
      </c>
      <c r="J476" s="3">
        <f t="shared" si="37"/>
        <v>72.19</v>
      </c>
      <c r="K476" s="3">
        <v>9.8000000000000007</v>
      </c>
      <c r="L476" s="3">
        <v>55.31</v>
      </c>
      <c r="M476" s="3">
        <v>3.5</v>
      </c>
      <c r="N476" s="3">
        <f t="shared" si="38"/>
        <v>68.61</v>
      </c>
      <c r="O476" s="3">
        <f t="shared" si="39"/>
        <v>140.80000000000001</v>
      </c>
      <c r="P476" s="2"/>
      <c r="Q476" s="5"/>
    </row>
    <row r="477" spans="1:17">
      <c r="A477" s="2">
        <f t="shared" si="35"/>
        <v>475</v>
      </c>
      <c r="B477" s="2">
        <f t="shared" si="36"/>
        <v>162</v>
      </c>
      <c r="C477" s="2" t="s">
        <v>20</v>
      </c>
      <c r="D477" s="2" t="s">
        <v>36</v>
      </c>
      <c r="E477" s="2" t="s">
        <v>1012</v>
      </c>
      <c r="F477" s="2" t="s">
        <v>1013</v>
      </c>
      <c r="G477" s="3">
        <v>10</v>
      </c>
      <c r="H477" s="3">
        <v>57.31</v>
      </c>
      <c r="I477" s="3">
        <v>3</v>
      </c>
      <c r="J477" s="3">
        <f t="shared" si="37"/>
        <v>70.31</v>
      </c>
      <c r="K477" s="3">
        <v>10</v>
      </c>
      <c r="L477" s="3">
        <v>56.98</v>
      </c>
      <c r="M477" s="3">
        <v>3.5</v>
      </c>
      <c r="N477" s="3">
        <f t="shared" si="38"/>
        <v>70.48</v>
      </c>
      <c r="O477" s="3">
        <f t="shared" si="39"/>
        <v>140.79</v>
      </c>
      <c r="P477" s="2"/>
      <c r="Q477" s="5"/>
    </row>
    <row r="478" spans="1:17">
      <c r="A478" s="2">
        <f t="shared" si="35"/>
        <v>476</v>
      </c>
      <c r="B478" s="2">
        <f t="shared" si="36"/>
        <v>163</v>
      </c>
      <c r="C478" s="2" t="s">
        <v>20</v>
      </c>
      <c r="D478" s="2" t="s">
        <v>164</v>
      </c>
      <c r="E478" s="2" t="s">
        <v>1014</v>
      </c>
      <c r="F478" s="2" t="s">
        <v>1015</v>
      </c>
      <c r="G478" s="3">
        <v>10</v>
      </c>
      <c r="H478" s="3">
        <v>62.88</v>
      </c>
      <c r="I478" s="3">
        <v>3</v>
      </c>
      <c r="J478" s="3">
        <f t="shared" si="37"/>
        <v>75.88</v>
      </c>
      <c r="K478" s="3">
        <v>10</v>
      </c>
      <c r="L478" s="3">
        <v>51.89</v>
      </c>
      <c r="M478" s="3">
        <v>3</v>
      </c>
      <c r="N478" s="3">
        <f t="shared" si="38"/>
        <v>64.89</v>
      </c>
      <c r="O478" s="3">
        <f t="shared" si="39"/>
        <v>140.77000000000001</v>
      </c>
      <c r="P478" s="2"/>
      <c r="Q478" s="5"/>
    </row>
    <row r="479" spans="1:17">
      <c r="A479" s="2">
        <f t="shared" si="35"/>
        <v>477</v>
      </c>
      <c r="B479" s="2">
        <f t="shared" si="36"/>
        <v>64</v>
      </c>
      <c r="C479" s="2" t="s">
        <v>15</v>
      </c>
      <c r="D479" s="2" t="s">
        <v>257</v>
      </c>
      <c r="E479" s="2" t="s">
        <v>1016</v>
      </c>
      <c r="F479" s="2" t="s">
        <v>1017</v>
      </c>
      <c r="G479" s="3">
        <v>11.8</v>
      </c>
      <c r="H479" s="3">
        <v>56.2</v>
      </c>
      <c r="I479" s="3">
        <v>3.2</v>
      </c>
      <c r="J479" s="3">
        <f t="shared" si="37"/>
        <v>71.2</v>
      </c>
      <c r="K479" s="3">
        <v>9.3000000000000007</v>
      </c>
      <c r="L479" s="3">
        <v>56.75</v>
      </c>
      <c r="M479" s="3">
        <v>3.5</v>
      </c>
      <c r="N479" s="3">
        <f t="shared" si="38"/>
        <v>69.55</v>
      </c>
      <c r="O479" s="3">
        <f t="shared" si="39"/>
        <v>140.75</v>
      </c>
      <c r="P479" s="2"/>
      <c r="Q479" s="5"/>
    </row>
    <row r="480" spans="1:17">
      <c r="A480" s="2">
        <f t="shared" si="35"/>
        <v>477</v>
      </c>
      <c r="B480" s="2">
        <f t="shared" si="36"/>
        <v>149</v>
      </c>
      <c r="C480" s="2" t="s">
        <v>45</v>
      </c>
      <c r="D480" s="2" t="s">
        <v>266</v>
      </c>
      <c r="E480" s="2" t="s">
        <v>1018</v>
      </c>
      <c r="F480" s="2" t="s">
        <v>1019</v>
      </c>
      <c r="G480" s="3">
        <v>9.8000000000000007</v>
      </c>
      <c r="H480" s="3">
        <v>59.77</v>
      </c>
      <c r="I480" s="3">
        <v>3</v>
      </c>
      <c r="J480" s="3">
        <f t="shared" si="37"/>
        <v>72.569999999999993</v>
      </c>
      <c r="K480" s="3">
        <v>9.8000000000000007</v>
      </c>
      <c r="L480" s="3">
        <v>55.38</v>
      </c>
      <c r="M480" s="3">
        <v>3</v>
      </c>
      <c r="N480" s="3">
        <f t="shared" si="38"/>
        <v>68.180000000000007</v>
      </c>
      <c r="O480" s="3">
        <f t="shared" si="39"/>
        <v>140.75</v>
      </c>
      <c r="P480" s="2"/>
      <c r="Q480" s="5"/>
    </row>
    <row r="481" spans="1:17">
      <c r="A481" s="2">
        <f t="shared" si="35"/>
        <v>479</v>
      </c>
      <c r="B481" s="2">
        <f t="shared" si="36"/>
        <v>164</v>
      </c>
      <c r="C481" s="2" t="s">
        <v>20</v>
      </c>
      <c r="D481" s="2" t="s">
        <v>82</v>
      </c>
      <c r="E481" s="2" t="s">
        <v>1020</v>
      </c>
      <c r="F481" s="2" t="s">
        <v>1021</v>
      </c>
      <c r="G481" s="3">
        <v>9.8000000000000007</v>
      </c>
      <c r="H481" s="3">
        <v>58.653061224489797</v>
      </c>
      <c r="I481" s="3">
        <v>3.7</v>
      </c>
      <c r="J481" s="3">
        <f t="shared" si="37"/>
        <v>72.150000000000006</v>
      </c>
      <c r="K481" s="3">
        <v>9.8000000000000007</v>
      </c>
      <c r="L481" s="3">
        <v>55.23</v>
      </c>
      <c r="M481" s="3">
        <v>3.5</v>
      </c>
      <c r="N481" s="3">
        <f t="shared" si="38"/>
        <v>68.53</v>
      </c>
      <c r="O481" s="3">
        <f t="shared" si="39"/>
        <v>140.68</v>
      </c>
      <c r="P481" s="2"/>
      <c r="Q481" s="5"/>
    </row>
    <row r="482" spans="1:17">
      <c r="A482" s="2">
        <f t="shared" si="35"/>
        <v>480</v>
      </c>
      <c r="B482" s="2">
        <f t="shared" si="36"/>
        <v>165</v>
      </c>
      <c r="C482" s="2" t="s">
        <v>20</v>
      </c>
      <c r="D482" s="2" t="s">
        <v>32</v>
      </c>
      <c r="E482" s="2" t="s">
        <v>1022</v>
      </c>
      <c r="F482" s="2" t="s">
        <v>1023</v>
      </c>
      <c r="G482" s="3">
        <v>10.6</v>
      </c>
      <c r="H482" s="3">
        <v>57.265306122448997</v>
      </c>
      <c r="I482" s="3">
        <v>4.5</v>
      </c>
      <c r="J482" s="3">
        <f t="shared" si="37"/>
        <v>72.37</v>
      </c>
      <c r="K482" s="3">
        <v>9.8000000000000007</v>
      </c>
      <c r="L482" s="3">
        <v>53.48</v>
      </c>
      <c r="M482" s="3">
        <v>5</v>
      </c>
      <c r="N482" s="3">
        <f t="shared" si="38"/>
        <v>68.28</v>
      </c>
      <c r="O482" s="3">
        <f t="shared" si="39"/>
        <v>140.65</v>
      </c>
      <c r="P482" s="2"/>
      <c r="Q482" s="5"/>
    </row>
    <row r="483" spans="1:17">
      <c r="A483" s="2">
        <f t="shared" si="35"/>
        <v>481</v>
      </c>
      <c r="B483" s="2">
        <f t="shared" si="36"/>
        <v>150</v>
      </c>
      <c r="C483" s="2" t="s">
        <v>45</v>
      </c>
      <c r="D483" s="2" t="s">
        <v>220</v>
      </c>
      <c r="E483" s="2" t="s">
        <v>1024</v>
      </c>
      <c r="F483" s="2" t="s">
        <v>1025</v>
      </c>
      <c r="G483" s="3">
        <v>9.8000000000000007</v>
      </c>
      <c r="H483" s="3">
        <v>57.15</v>
      </c>
      <c r="I483" s="3">
        <v>4.2</v>
      </c>
      <c r="J483" s="3">
        <f t="shared" si="37"/>
        <v>71.150000000000006</v>
      </c>
      <c r="K483" s="3">
        <v>9.8000000000000007</v>
      </c>
      <c r="L483" s="3">
        <v>54.67</v>
      </c>
      <c r="M483" s="3">
        <v>5</v>
      </c>
      <c r="N483" s="3">
        <f t="shared" si="38"/>
        <v>69.47</v>
      </c>
      <c r="O483" s="3">
        <f t="shared" si="39"/>
        <v>140.62</v>
      </c>
      <c r="P483" s="2"/>
      <c r="Q483" s="5"/>
    </row>
    <row r="484" spans="1:17">
      <c r="A484" s="2">
        <f t="shared" si="35"/>
        <v>481</v>
      </c>
      <c r="B484" s="2">
        <f t="shared" si="36"/>
        <v>150</v>
      </c>
      <c r="C484" s="2" t="s">
        <v>45</v>
      </c>
      <c r="D484" s="2" t="s">
        <v>96</v>
      </c>
      <c r="E484" s="2" t="s">
        <v>1026</v>
      </c>
      <c r="F484" s="2" t="s">
        <v>1027</v>
      </c>
      <c r="G484" s="3">
        <v>10.5</v>
      </c>
      <c r="H484" s="3">
        <v>61.19</v>
      </c>
      <c r="I484" s="3">
        <v>4.2</v>
      </c>
      <c r="J484" s="3">
        <f t="shared" si="37"/>
        <v>75.89</v>
      </c>
      <c r="K484" s="3">
        <v>7.3000000000000007</v>
      </c>
      <c r="L484" s="3">
        <v>53.13</v>
      </c>
      <c r="M484" s="3">
        <v>4.3</v>
      </c>
      <c r="N484" s="3">
        <f t="shared" si="38"/>
        <v>64.73</v>
      </c>
      <c r="O484" s="3">
        <f t="shared" si="39"/>
        <v>140.62</v>
      </c>
      <c r="P484" s="2"/>
      <c r="Q484" s="5"/>
    </row>
    <row r="485" spans="1:17">
      <c r="A485" s="2">
        <f t="shared" si="35"/>
        <v>483</v>
      </c>
      <c r="B485" s="2">
        <f t="shared" si="36"/>
        <v>103</v>
      </c>
      <c r="C485" s="2" t="s">
        <v>24</v>
      </c>
      <c r="D485" s="2" t="s">
        <v>58</v>
      </c>
      <c r="E485" s="2" t="s">
        <v>1028</v>
      </c>
      <c r="F485" s="2" t="s">
        <v>1029</v>
      </c>
      <c r="G485" s="3">
        <v>9.8000000000000007</v>
      </c>
      <c r="H485" s="3">
        <v>58</v>
      </c>
      <c r="I485" s="3">
        <v>3</v>
      </c>
      <c r="J485" s="3">
        <f t="shared" si="37"/>
        <v>70.8</v>
      </c>
      <c r="K485" s="3">
        <v>9.8000000000000007</v>
      </c>
      <c r="L485" s="3">
        <v>56.45</v>
      </c>
      <c r="M485" s="3">
        <v>3.5</v>
      </c>
      <c r="N485" s="3">
        <f t="shared" si="38"/>
        <v>69.75</v>
      </c>
      <c r="O485" s="3">
        <f t="shared" si="39"/>
        <v>140.55000000000001</v>
      </c>
      <c r="P485" s="2"/>
      <c r="Q485" s="5"/>
    </row>
    <row r="486" spans="1:17">
      <c r="A486" s="2">
        <f t="shared" si="35"/>
        <v>484</v>
      </c>
      <c r="B486" s="2">
        <f t="shared" si="36"/>
        <v>166</v>
      </c>
      <c r="C486" s="2" t="s">
        <v>20</v>
      </c>
      <c r="D486" s="2" t="s">
        <v>42</v>
      </c>
      <c r="E486" s="2" t="s">
        <v>1030</v>
      </c>
      <c r="F486" s="2" t="s">
        <v>1031</v>
      </c>
      <c r="G486" s="3">
        <v>9.8000000000000007</v>
      </c>
      <c r="H486" s="3">
        <v>55.533333333333303</v>
      </c>
      <c r="I486" s="3">
        <v>4.4000000000000004</v>
      </c>
      <c r="J486" s="3">
        <f t="shared" si="37"/>
        <v>69.73</v>
      </c>
      <c r="K486" s="3">
        <v>9.8000000000000007</v>
      </c>
      <c r="L486" s="3">
        <v>55.82</v>
      </c>
      <c r="M486" s="3">
        <v>5.0999999999999996</v>
      </c>
      <c r="N486" s="3">
        <f t="shared" si="38"/>
        <v>70.72</v>
      </c>
      <c r="O486" s="3">
        <f t="shared" si="39"/>
        <v>140.44999999999999</v>
      </c>
      <c r="P486" s="2"/>
      <c r="Q486" s="5"/>
    </row>
    <row r="487" spans="1:17">
      <c r="A487" s="2">
        <f t="shared" si="35"/>
        <v>485</v>
      </c>
      <c r="B487" s="2">
        <f t="shared" si="36"/>
        <v>152</v>
      </c>
      <c r="C487" s="2" t="s">
        <v>45</v>
      </c>
      <c r="D487" s="2" t="s">
        <v>46</v>
      </c>
      <c r="E487" s="2" t="s">
        <v>1032</v>
      </c>
      <c r="F487" s="2" t="s">
        <v>1033</v>
      </c>
      <c r="G487" s="3">
        <v>10</v>
      </c>
      <c r="H487" s="3">
        <v>57.88</v>
      </c>
      <c r="I487" s="3">
        <v>3</v>
      </c>
      <c r="J487" s="3">
        <f t="shared" si="37"/>
        <v>70.88</v>
      </c>
      <c r="K487" s="3">
        <v>7.5</v>
      </c>
      <c r="L487" s="3">
        <v>59.06</v>
      </c>
      <c r="M487" s="3">
        <v>3</v>
      </c>
      <c r="N487" s="3">
        <f t="shared" si="38"/>
        <v>69.56</v>
      </c>
      <c r="O487" s="3">
        <f t="shared" si="39"/>
        <v>140.44</v>
      </c>
      <c r="P487" s="2"/>
      <c r="Q487" s="5"/>
    </row>
    <row r="488" spans="1:17">
      <c r="A488" s="2">
        <f t="shared" si="35"/>
        <v>486</v>
      </c>
      <c r="B488" s="2">
        <f t="shared" si="36"/>
        <v>153</v>
      </c>
      <c r="C488" s="2" t="s">
        <v>45</v>
      </c>
      <c r="D488" s="2" t="s">
        <v>232</v>
      </c>
      <c r="E488" s="2" t="s">
        <v>1034</v>
      </c>
      <c r="F488" s="2" t="s">
        <v>1035</v>
      </c>
      <c r="G488" s="3">
        <v>9.8000000000000007</v>
      </c>
      <c r="H488" s="3">
        <v>57.36</v>
      </c>
      <c r="I488" s="3">
        <v>4</v>
      </c>
      <c r="J488" s="3">
        <f t="shared" si="37"/>
        <v>71.16</v>
      </c>
      <c r="K488" s="3">
        <v>9.8000000000000007</v>
      </c>
      <c r="L488" s="3">
        <v>53.22</v>
      </c>
      <c r="M488" s="3">
        <v>6.2</v>
      </c>
      <c r="N488" s="3">
        <f t="shared" si="38"/>
        <v>69.22</v>
      </c>
      <c r="O488" s="3">
        <f t="shared" si="39"/>
        <v>140.38</v>
      </c>
      <c r="P488" s="2"/>
      <c r="Q488" s="5"/>
    </row>
    <row r="489" spans="1:17">
      <c r="A489" s="2">
        <f t="shared" si="35"/>
        <v>486</v>
      </c>
      <c r="B489" s="2">
        <f t="shared" si="36"/>
        <v>153</v>
      </c>
      <c r="C489" s="2" t="s">
        <v>45</v>
      </c>
      <c r="D489" s="2" t="s">
        <v>232</v>
      </c>
      <c r="E489" s="2" t="s">
        <v>1036</v>
      </c>
      <c r="F489" s="2" t="s">
        <v>1037</v>
      </c>
      <c r="G489" s="3">
        <v>9.8000000000000007</v>
      </c>
      <c r="H489" s="3">
        <v>60.17</v>
      </c>
      <c r="I489" s="3">
        <v>3</v>
      </c>
      <c r="J489" s="3">
        <f t="shared" si="37"/>
        <v>72.97</v>
      </c>
      <c r="K489" s="3">
        <v>9.8000000000000007</v>
      </c>
      <c r="L489" s="3">
        <v>54.61</v>
      </c>
      <c r="M489" s="3">
        <v>3</v>
      </c>
      <c r="N489" s="3">
        <f t="shared" si="38"/>
        <v>67.41</v>
      </c>
      <c r="O489" s="3">
        <f t="shared" si="39"/>
        <v>140.38</v>
      </c>
      <c r="P489" s="2"/>
      <c r="Q489" s="5"/>
    </row>
    <row r="490" spans="1:17">
      <c r="A490" s="2">
        <f t="shared" si="35"/>
        <v>488</v>
      </c>
      <c r="B490" s="2">
        <f t="shared" si="36"/>
        <v>167</v>
      </c>
      <c r="C490" s="2" t="s">
        <v>20</v>
      </c>
      <c r="D490" s="2" t="s">
        <v>164</v>
      </c>
      <c r="E490" s="2" t="s">
        <v>1038</v>
      </c>
      <c r="F490" s="2" t="s">
        <v>1039</v>
      </c>
      <c r="G490" s="3">
        <v>10.5</v>
      </c>
      <c r="H490" s="3">
        <v>59.95</v>
      </c>
      <c r="I490" s="3">
        <v>3</v>
      </c>
      <c r="J490" s="3">
        <f t="shared" si="37"/>
        <v>73.45</v>
      </c>
      <c r="K490" s="3">
        <v>10</v>
      </c>
      <c r="L490" s="3">
        <v>52.2</v>
      </c>
      <c r="M490" s="3">
        <v>4.7</v>
      </c>
      <c r="N490" s="3">
        <f t="shared" si="38"/>
        <v>66.900000000000006</v>
      </c>
      <c r="O490" s="3">
        <f t="shared" si="39"/>
        <v>140.35</v>
      </c>
      <c r="P490" s="2"/>
      <c r="Q490" s="5"/>
    </row>
    <row r="491" spans="1:17">
      <c r="A491" s="2">
        <f t="shared" si="35"/>
        <v>489</v>
      </c>
      <c r="B491" s="2">
        <f t="shared" si="36"/>
        <v>104</v>
      </c>
      <c r="C491" s="2" t="s">
        <v>24</v>
      </c>
      <c r="D491" s="2" t="s">
        <v>49</v>
      </c>
      <c r="E491" s="2" t="s">
        <v>1040</v>
      </c>
      <c r="F491" s="2" t="s">
        <v>1041</v>
      </c>
      <c r="G491" s="3">
        <v>9.6</v>
      </c>
      <c r="H491" s="3">
        <v>60.817073170731703</v>
      </c>
      <c r="I491" s="3">
        <v>4.5999999999999996</v>
      </c>
      <c r="J491" s="3">
        <f t="shared" si="37"/>
        <v>75.02</v>
      </c>
      <c r="K491" s="3">
        <v>10</v>
      </c>
      <c r="L491" s="3">
        <v>51.31</v>
      </c>
      <c r="M491" s="3">
        <v>4</v>
      </c>
      <c r="N491" s="3">
        <f t="shared" si="38"/>
        <v>65.31</v>
      </c>
      <c r="O491" s="3">
        <f t="shared" si="39"/>
        <v>140.33000000000001</v>
      </c>
      <c r="P491" s="2"/>
      <c r="Q491" s="5"/>
    </row>
    <row r="492" spans="1:17">
      <c r="A492" s="2">
        <f t="shared" si="35"/>
        <v>490</v>
      </c>
      <c r="B492" s="2">
        <f t="shared" si="36"/>
        <v>155</v>
      </c>
      <c r="C492" s="2" t="s">
        <v>45</v>
      </c>
      <c r="D492" s="2" t="s">
        <v>109</v>
      </c>
      <c r="E492" s="2" t="s">
        <v>1042</v>
      </c>
      <c r="F492" s="2" t="s">
        <v>1043</v>
      </c>
      <c r="G492" s="3">
        <v>10.5</v>
      </c>
      <c r="H492" s="3">
        <v>59.68</v>
      </c>
      <c r="I492" s="3">
        <v>3</v>
      </c>
      <c r="J492" s="3">
        <f t="shared" si="37"/>
        <v>73.180000000000007</v>
      </c>
      <c r="K492" s="3">
        <v>7.5</v>
      </c>
      <c r="L492" s="3">
        <v>56.12</v>
      </c>
      <c r="M492" s="3">
        <v>3.5</v>
      </c>
      <c r="N492" s="3">
        <f t="shared" si="38"/>
        <v>67.12</v>
      </c>
      <c r="O492" s="3">
        <f t="shared" si="39"/>
        <v>140.30000000000001</v>
      </c>
      <c r="P492" s="2"/>
      <c r="Q492" s="5"/>
    </row>
    <row r="493" spans="1:17">
      <c r="A493" s="2">
        <f t="shared" si="35"/>
        <v>491</v>
      </c>
      <c r="B493" s="2">
        <f t="shared" si="36"/>
        <v>168</v>
      </c>
      <c r="C493" s="2" t="s">
        <v>20</v>
      </c>
      <c r="D493" s="2" t="s">
        <v>36</v>
      </c>
      <c r="E493" s="2" t="s">
        <v>1044</v>
      </c>
      <c r="F493" s="2" t="s">
        <v>1045</v>
      </c>
      <c r="G493" s="3">
        <v>10</v>
      </c>
      <c r="H493" s="3">
        <v>58.65</v>
      </c>
      <c r="I493" s="3">
        <v>3</v>
      </c>
      <c r="J493" s="3">
        <f t="shared" si="37"/>
        <v>71.650000000000006</v>
      </c>
      <c r="K493" s="3">
        <v>10</v>
      </c>
      <c r="L493" s="3">
        <v>55.1</v>
      </c>
      <c r="M493" s="3">
        <v>3.5</v>
      </c>
      <c r="N493" s="3">
        <f t="shared" si="38"/>
        <v>68.599999999999994</v>
      </c>
      <c r="O493" s="3">
        <f t="shared" si="39"/>
        <v>140.25</v>
      </c>
      <c r="P493" s="2"/>
      <c r="Q493" s="5"/>
    </row>
    <row r="494" spans="1:17">
      <c r="A494" s="2">
        <f t="shared" si="35"/>
        <v>492</v>
      </c>
      <c r="B494" s="2">
        <f t="shared" si="36"/>
        <v>156</v>
      </c>
      <c r="C494" s="2" t="s">
        <v>45</v>
      </c>
      <c r="D494" s="2" t="s">
        <v>54</v>
      </c>
      <c r="E494" s="2" t="s">
        <v>1046</v>
      </c>
      <c r="F494" s="2" t="s">
        <v>1047</v>
      </c>
      <c r="G494" s="3">
        <v>9.4</v>
      </c>
      <c r="H494" s="3">
        <v>57.32</v>
      </c>
      <c r="I494" s="3">
        <v>4</v>
      </c>
      <c r="J494" s="3">
        <f t="shared" si="37"/>
        <v>70.72</v>
      </c>
      <c r="K494" s="3">
        <v>7.3000000000000007</v>
      </c>
      <c r="L494" s="3">
        <v>57.72</v>
      </c>
      <c r="M494" s="3">
        <v>4.5</v>
      </c>
      <c r="N494" s="3">
        <f t="shared" si="38"/>
        <v>69.52</v>
      </c>
      <c r="O494" s="3">
        <f t="shared" si="39"/>
        <v>140.24</v>
      </c>
      <c r="P494" s="2"/>
      <c r="Q494" s="5"/>
    </row>
    <row r="495" spans="1:17">
      <c r="A495" s="2">
        <f t="shared" si="35"/>
        <v>493</v>
      </c>
      <c r="B495" s="2">
        <f t="shared" si="36"/>
        <v>157</v>
      </c>
      <c r="C495" s="2" t="s">
        <v>45</v>
      </c>
      <c r="D495" s="2" t="s">
        <v>73</v>
      </c>
      <c r="E495" s="2" t="s">
        <v>1048</v>
      </c>
      <c r="F495" s="2" t="s">
        <v>1049</v>
      </c>
      <c r="G495" s="3">
        <v>9.8000000000000007</v>
      </c>
      <c r="H495" s="3">
        <v>55.19</v>
      </c>
      <c r="I495" s="3">
        <v>4.4000000000000004</v>
      </c>
      <c r="J495" s="3">
        <f t="shared" si="37"/>
        <v>69.39</v>
      </c>
      <c r="K495" s="3">
        <v>7.3000000000000007</v>
      </c>
      <c r="L495" s="3">
        <v>57.96</v>
      </c>
      <c r="M495" s="3">
        <v>5.5</v>
      </c>
      <c r="N495" s="3">
        <f t="shared" si="38"/>
        <v>70.760000000000005</v>
      </c>
      <c r="O495" s="3">
        <f t="shared" si="39"/>
        <v>140.15</v>
      </c>
      <c r="P495" s="4" t="s">
        <v>799</v>
      </c>
      <c r="Q495" s="5"/>
    </row>
    <row r="496" spans="1:17">
      <c r="A496" s="2">
        <f t="shared" si="35"/>
        <v>494</v>
      </c>
      <c r="B496" s="2">
        <f t="shared" si="36"/>
        <v>158</v>
      </c>
      <c r="C496" s="2" t="s">
        <v>45</v>
      </c>
      <c r="D496" s="2" t="s">
        <v>114</v>
      </c>
      <c r="E496" s="2" t="s">
        <v>1050</v>
      </c>
      <c r="F496" s="2" t="s">
        <v>1051</v>
      </c>
      <c r="G496" s="3">
        <v>10.5</v>
      </c>
      <c r="H496" s="3">
        <v>56.46</v>
      </c>
      <c r="I496" s="3">
        <v>5.4</v>
      </c>
      <c r="J496" s="3">
        <f t="shared" si="37"/>
        <v>72.36</v>
      </c>
      <c r="K496" s="3">
        <v>10</v>
      </c>
      <c r="L496" s="3">
        <v>52.47</v>
      </c>
      <c r="M496" s="3">
        <v>5.3</v>
      </c>
      <c r="N496" s="3">
        <f t="shared" si="38"/>
        <v>67.77</v>
      </c>
      <c r="O496" s="3">
        <f t="shared" si="39"/>
        <v>140.13</v>
      </c>
      <c r="P496" s="2"/>
      <c r="Q496" s="5"/>
    </row>
    <row r="497" spans="1:17">
      <c r="A497" s="2">
        <f t="shared" si="35"/>
        <v>495</v>
      </c>
      <c r="B497" s="2">
        <f t="shared" si="36"/>
        <v>159</v>
      </c>
      <c r="C497" s="2" t="s">
        <v>45</v>
      </c>
      <c r="D497" s="2" t="s">
        <v>54</v>
      </c>
      <c r="E497" s="2" t="s">
        <v>1052</v>
      </c>
      <c r="F497" s="2" t="s">
        <v>1053</v>
      </c>
      <c r="G497" s="3">
        <v>9.8000000000000007</v>
      </c>
      <c r="H497" s="3">
        <v>53.92</v>
      </c>
      <c r="I497" s="3">
        <v>5.2</v>
      </c>
      <c r="J497" s="3">
        <f t="shared" si="37"/>
        <v>68.92</v>
      </c>
      <c r="K497" s="3">
        <v>9.8000000000000007</v>
      </c>
      <c r="L497" s="3">
        <v>54.82</v>
      </c>
      <c r="M497" s="3">
        <v>6.5</v>
      </c>
      <c r="N497" s="3">
        <f t="shared" si="38"/>
        <v>71.12</v>
      </c>
      <c r="O497" s="3">
        <f t="shared" si="39"/>
        <v>140.04</v>
      </c>
      <c r="P497" s="2"/>
      <c r="Q497" s="5"/>
    </row>
    <row r="498" spans="1:17">
      <c r="A498" s="2">
        <f t="shared" si="35"/>
        <v>496</v>
      </c>
      <c r="B498" s="2">
        <f t="shared" si="36"/>
        <v>169</v>
      </c>
      <c r="C498" s="2" t="s">
        <v>20</v>
      </c>
      <c r="D498" s="2" t="s">
        <v>229</v>
      </c>
      <c r="E498" s="2" t="s">
        <v>1054</v>
      </c>
      <c r="F498" s="2" t="s">
        <v>1055</v>
      </c>
      <c r="G498" s="3">
        <v>9.8000000000000007</v>
      </c>
      <c r="H498" s="3">
        <v>59.66</v>
      </c>
      <c r="I498" s="3">
        <v>3</v>
      </c>
      <c r="J498" s="3">
        <f t="shared" si="37"/>
        <v>72.459999999999994</v>
      </c>
      <c r="K498" s="3">
        <v>9.4</v>
      </c>
      <c r="L498" s="3">
        <v>54.67</v>
      </c>
      <c r="M498" s="3">
        <v>3.5</v>
      </c>
      <c r="N498" s="3">
        <f t="shared" si="38"/>
        <v>67.569999999999993</v>
      </c>
      <c r="O498" s="3">
        <f t="shared" si="39"/>
        <v>140.03</v>
      </c>
      <c r="P498" s="2"/>
      <c r="Q498" s="5"/>
    </row>
    <row r="499" spans="1:17">
      <c r="A499" s="2">
        <f t="shared" si="35"/>
        <v>496</v>
      </c>
      <c r="B499" s="2">
        <f t="shared" si="36"/>
        <v>160</v>
      </c>
      <c r="C499" s="2" t="s">
        <v>45</v>
      </c>
      <c r="D499" s="2" t="s">
        <v>266</v>
      </c>
      <c r="E499" s="2" t="s">
        <v>1056</v>
      </c>
      <c r="F499" s="2" t="s">
        <v>1057</v>
      </c>
      <c r="G499" s="3">
        <v>9.8000000000000007</v>
      </c>
      <c r="H499" s="3">
        <v>53.46</v>
      </c>
      <c r="I499" s="3">
        <v>4</v>
      </c>
      <c r="J499" s="3">
        <f t="shared" si="37"/>
        <v>67.260000000000005</v>
      </c>
      <c r="K499" s="3">
        <v>9.8000000000000007</v>
      </c>
      <c r="L499" s="3">
        <v>58.47</v>
      </c>
      <c r="M499" s="3">
        <v>4.5</v>
      </c>
      <c r="N499" s="3">
        <f t="shared" si="38"/>
        <v>72.77</v>
      </c>
      <c r="O499" s="3">
        <f t="shared" si="39"/>
        <v>140.03</v>
      </c>
      <c r="P499" s="2"/>
      <c r="Q499" s="5"/>
    </row>
    <row r="500" spans="1:17">
      <c r="A500" s="2">
        <f t="shared" si="35"/>
        <v>498</v>
      </c>
      <c r="B500" s="2">
        <f t="shared" si="36"/>
        <v>170</v>
      </c>
      <c r="C500" s="2" t="s">
        <v>20</v>
      </c>
      <c r="D500" s="2" t="s">
        <v>65</v>
      </c>
      <c r="E500" s="2" t="s">
        <v>1058</v>
      </c>
      <c r="F500" s="2" t="s">
        <v>1059</v>
      </c>
      <c r="G500" s="3">
        <v>10</v>
      </c>
      <c r="H500" s="3">
        <v>62.18</v>
      </c>
      <c r="I500" s="3">
        <v>3</v>
      </c>
      <c r="J500" s="3">
        <f t="shared" si="37"/>
        <v>75.180000000000007</v>
      </c>
      <c r="K500" s="3">
        <v>7.5</v>
      </c>
      <c r="L500" s="3">
        <v>54.34</v>
      </c>
      <c r="M500" s="3">
        <v>3</v>
      </c>
      <c r="N500" s="3">
        <f t="shared" si="38"/>
        <v>64.84</v>
      </c>
      <c r="O500" s="3">
        <f t="shared" si="39"/>
        <v>140.02000000000001</v>
      </c>
      <c r="P500" s="2"/>
      <c r="Q500" s="5"/>
    </row>
    <row r="501" spans="1:17">
      <c r="A501" s="2">
        <f t="shared" si="35"/>
        <v>499</v>
      </c>
      <c r="B501" s="2">
        <f t="shared" si="36"/>
        <v>65</v>
      </c>
      <c r="C501" s="2" t="s">
        <v>15</v>
      </c>
      <c r="D501" s="2" t="s">
        <v>16</v>
      </c>
      <c r="E501" s="2" t="s">
        <v>1060</v>
      </c>
      <c r="F501" s="2" t="s">
        <v>1061</v>
      </c>
      <c r="G501" s="3">
        <v>9.8000000000000007</v>
      </c>
      <c r="H501" s="3">
        <v>57.77</v>
      </c>
      <c r="I501" s="3">
        <v>3.6</v>
      </c>
      <c r="J501" s="3">
        <f t="shared" si="37"/>
        <v>71.17</v>
      </c>
      <c r="K501" s="3">
        <v>7.3000000000000007</v>
      </c>
      <c r="L501" s="3">
        <v>57.39</v>
      </c>
      <c r="M501" s="3">
        <v>4.0999999999999996</v>
      </c>
      <c r="N501" s="3">
        <f t="shared" si="38"/>
        <v>68.790000000000006</v>
      </c>
      <c r="O501" s="3">
        <f t="shared" si="39"/>
        <v>139.96</v>
      </c>
      <c r="P501" s="2"/>
      <c r="Q501" s="5"/>
    </row>
    <row r="502" spans="1:17">
      <c r="A502" s="2">
        <f t="shared" si="35"/>
        <v>500</v>
      </c>
      <c r="B502" s="2">
        <f t="shared" si="36"/>
        <v>66</v>
      </c>
      <c r="C502" s="2" t="s">
        <v>15</v>
      </c>
      <c r="D502" s="2" t="s">
        <v>257</v>
      </c>
      <c r="E502" s="2" t="s">
        <v>1062</v>
      </c>
      <c r="F502" s="2" t="s">
        <v>1063</v>
      </c>
      <c r="G502" s="3">
        <v>9.8000000000000007</v>
      </c>
      <c r="H502" s="3">
        <v>56.99</v>
      </c>
      <c r="I502" s="3">
        <v>4.2</v>
      </c>
      <c r="J502" s="3">
        <f t="shared" si="37"/>
        <v>70.989999999999995</v>
      </c>
      <c r="K502" s="3">
        <v>7.3000000000000007</v>
      </c>
      <c r="L502" s="3">
        <v>57.94</v>
      </c>
      <c r="M502" s="3">
        <v>3.7</v>
      </c>
      <c r="N502" s="3">
        <f t="shared" si="38"/>
        <v>68.94</v>
      </c>
      <c r="O502" s="3">
        <f t="shared" si="39"/>
        <v>139.93</v>
      </c>
      <c r="P502" s="2"/>
      <c r="Q502" s="5"/>
    </row>
    <row r="503" spans="1:17">
      <c r="A503" s="2">
        <f t="shared" si="35"/>
        <v>501</v>
      </c>
      <c r="B503" s="2">
        <f t="shared" si="36"/>
        <v>67</v>
      </c>
      <c r="C503" s="2" t="s">
        <v>15</v>
      </c>
      <c r="D503" s="2" t="s">
        <v>16</v>
      </c>
      <c r="E503" s="2" t="s">
        <v>1064</v>
      </c>
      <c r="F503" s="2" t="s">
        <v>1065</v>
      </c>
      <c r="G503" s="3">
        <v>9.8000000000000007</v>
      </c>
      <c r="H503" s="3">
        <v>59.23</v>
      </c>
      <c r="I503" s="3">
        <v>5</v>
      </c>
      <c r="J503" s="3">
        <f t="shared" si="37"/>
        <v>74.03</v>
      </c>
      <c r="K503" s="3">
        <v>9.8000000000000007</v>
      </c>
      <c r="L503" s="3">
        <v>50.77</v>
      </c>
      <c r="M503" s="3">
        <v>5.3</v>
      </c>
      <c r="N503" s="3">
        <f t="shared" si="38"/>
        <v>65.87</v>
      </c>
      <c r="O503" s="3">
        <f t="shared" si="39"/>
        <v>139.9</v>
      </c>
      <c r="P503" s="2"/>
      <c r="Q503" s="5"/>
    </row>
    <row r="504" spans="1:17">
      <c r="A504" s="2">
        <f t="shared" si="35"/>
        <v>502</v>
      </c>
      <c r="B504" s="2">
        <f t="shared" si="36"/>
        <v>171</v>
      </c>
      <c r="C504" s="2" t="s">
        <v>20</v>
      </c>
      <c r="D504" s="2" t="s">
        <v>36</v>
      </c>
      <c r="E504" s="2" t="s">
        <v>1066</v>
      </c>
      <c r="F504" s="2" t="s">
        <v>1067</v>
      </c>
      <c r="G504" s="3">
        <v>10.3</v>
      </c>
      <c r="H504" s="3">
        <v>58.64</v>
      </c>
      <c r="I504" s="3">
        <v>4.5999999999999996</v>
      </c>
      <c r="J504" s="3">
        <f t="shared" si="37"/>
        <v>73.540000000000006</v>
      </c>
      <c r="K504" s="3">
        <v>9.4</v>
      </c>
      <c r="L504" s="3">
        <v>52.44</v>
      </c>
      <c r="M504" s="3">
        <v>4.5</v>
      </c>
      <c r="N504" s="3">
        <f t="shared" si="38"/>
        <v>66.34</v>
      </c>
      <c r="O504" s="3">
        <f t="shared" si="39"/>
        <v>139.88</v>
      </c>
      <c r="P504" s="2"/>
      <c r="Q504" s="5"/>
    </row>
    <row r="505" spans="1:17">
      <c r="A505" s="2">
        <f t="shared" si="35"/>
        <v>503</v>
      </c>
      <c r="B505" s="2">
        <f t="shared" si="36"/>
        <v>172</v>
      </c>
      <c r="C505" s="2" t="s">
        <v>20</v>
      </c>
      <c r="D505" s="2" t="s">
        <v>29</v>
      </c>
      <c r="E505" s="2" t="s">
        <v>1068</v>
      </c>
      <c r="F505" s="2" t="s">
        <v>1069</v>
      </c>
      <c r="G505" s="3">
        <v>13.3</v>
      </c>
      <c r="H505" s="3">
        <v>53.48</v>
      </c>
      <c r="I505" s="3">
        <v>4.2</v>
      </c>
      <c r="J505" s="3">
        <f t="shared" si="37"/>
        <v>70.98</v>
      </c>
      <c r="K505" s="3">
        <v>12.8</v>
      </c>
      <c r="L505" s="3">
        <v>51.04</v>
      </c>
      <c r="M505" s="3">
        <v>5</v>
      </c>
      <c r="N505" s="3">
        <f t="shared" si="38"/>
        <v>68.84</v>
      </c>
      <c r="O505" s="3">
        <f t="shared" si="39"/>
        <v>139.82</v>
      </c>
      <c r="P505" s="2"/>
      <c r="Q505" s="5"/>
    </row>
    <row r="506" spans="1:17">
      <c r="A506" s="2">
        <f t="shared" si="35"/>
        <v>504</v>
      </c>
      <c r="B506" s="2">
        <f t="shared" si="36"/>
        <v>161</v>
      </c>
      <c r="C506" s="2" t="s">
        <v>45</v>
      </c>
      <c r="D506" s="2" t="s">
        <v>46</v>
      </c>
      <c r="E506" s="2" t="s">
        <v>1070</v>
      </c>
      <c r="F506" s="2" t="s">
        <v>1071</v>
      </c>
      <c r="G506" s="3">
        <v>9.4</v>
      </c>
      <c r="H506" s="3">
        <v>59.13</v>
      </c>
      <c r="I506" s="3">
        <v>4</v>
      </c>
      <c r="J506" s="3">
        <f t="shared" si="37"/>
        <v>72.53</v>
      </c>
      <c r="K506" s="3">
        <v>7.3000000000000007</v>
      </c>
      <c r="L506" s="3">
        <v>55.78</v>
      </c>
      <c r="M506" s="3">
        <v>4.2</v>
      </c>
      <c r="N506" s="3">
        <f t="shared" si="38"/>
        <v>67.28</v>
      </c>
      <c r="O506" s="3">
        <f t="shared" si="39"/>
        <v>139.81</v>
      </c>
      <c r="P506" s="2"/>
      <c r="Q506" s="5"/>
    </row>
    <row r="507" spans="1:17">
      <c r="A507" s="2">
        <f t="shared" si="35"/>
        <v>505</v>
      </c>
      <c r="B507" s="2">
        <f t="shared" si="36"/>
        <v>162</v>
      </c>
      <c r="C507" s="2" t="s">
        <v>45</v>
      </c>
      <c r="D507" s="2" t="s">
        <v>109</v>
      </c>
      <c r="E507" s="2" t="s">
        <v>1072</v>
      </c>
      <c r="F507" s="2" t="s">
        <v>1073</v>
      </c>
      <c r="G507" s="3">
        <v>7.3</v>
      </c>
      <c r="H507" s="3">
        <v>62.54</v>
      </c>
      <c r="I507" s="3">
        <v>3</v>
      </c>
      <c r="J507" s="3">
        <f t="shared" si="37"/>
        <v>72.84</v>
      </c>
      <c r="K507" s="3">
        <v>7.3000000000000007</v>
      </c>
      <c r="L507" s="3">
        <v>56.64</v>
      </c>
      <c r="M507" s="3">
        <v>3</v>
      </c>
      <c r="N507" s="3">
        <f t="shared" si="38"/>
        <v>66.94</v>
      </c>
      <c r="O507" s="3">
        <f t="shared" si="39"/>
        <v>139.78</v>
      </c>
      <c r="P507" s="2"/>
      <c r="Q507" s="5"/>
    </row>
    <row r="508" spans="1:17">
      <c r="A508" s="2">
        <f t="shared" si="35"/>
        <v>506</v>
      </c>
      <c r="B508" s="2">
        <f t="shared" si="36"/>
        <v>173</v>
      </c>
      <c r="C508" s="2" t="s">
        <v>20</v>
      </c>
      <c r="D508" s="2" t="s">
        <v>164</v>
      </c>
      <c r="E508" s="2" t="s">
        <v>1074</v>
      </c>
      <c r="F508" s="2" t="s">
        <v>1075</v>
      </c>
      <c r="G508" s="3">
        <v>9.8000000000000007</v>
      </c>
      <c r="H508" s="3">
        <v>58.77</v>
      </c>
      <c r="I508" s="3">
        <v>3</v>
      </c>
      <c r="J508" s="3">
        <f t="shared" si="37"/>
        <v>71.569999999999993</v>
      </c>
      <c r="K508" s="3">
        <v>9.8000000000000007</v>
      </c>
      <c r="L508" s="3">
        <v>53.9</v>
      </c>
      <c r="M508" s="3">
        <v>4.5</v>
      </c>
      <c r="N508" s="3">
        <f t="shared" si="38"/>
        <v>68.2</v>
      </c>
      <c r="O508" s="3">
        <f t="shared" si="39"/>
        <v>139.77000000000001</v>
      </c>
      <c r="P508" s="2"/>
      <c r="Q508" s="5"/>
    </row>
    <row r="509" spans="1:17">
      <c r="A509" s="2">
        <f t="shared" si="35"/>
        <v>507</v>
      </c>
      <c r="B509" s="2">
        <f t="shared" si="36"/>
        <v>174</v>
      </c>
      <c r="C509" s="2" t="s">
        <v>20</v>
      </c>
      <c r="D509" s="2" t="s">
        <v>229</v>
      </c>
      <c r="E509" s="2" t="s">
        <v>1076</v>
      </c>
      <c r="F509" s="2" t="s">
        <v>1077</v>
      </c>
      <c r="G509" s="3">
        <v>9.8000000000000007</v>
      </c>
      <c r="H509" s="3">
        <v>55.17</v>
      </c>
      <c r="I509" s="3">
        <v>3.7</v>
      </c>
      <c r="J509" s="3">
        <f t="shared" si="37"/>
        <v>68.67</v>
      </c>
      <c r="K509" s="3">
        <v>9.8000000000000007</v>
      </c>
      <c r="L509" s="3">
        <v>56.94</v>
      </c>
      <c r="M509" s="3">
        <v>4.3</v>
      </c>
      <c r="N509" s="3">
        <f t="shared" si="38"/>
        <v>71.040000000000006</v>
      </c>
      <c r="O509" s="3">
        <f t="shared" si="39"/>
        <v>139.71</v>
      </c>
      <c r="P509" s="2"/>
      <c r="Q509" s="5"/>
    </row>
    <row r="510" spans="1:17">
      <c r="A510" s="2">
        <f t="shared" si="35"/>
        <v>507</v>
      </c>
      <c r="B510" s="2">
        <f t="shared" si="36"/>
        <v>174</v>
      </c>
      <c r="C510" s="2" t="s">
        <v>20</v>
      </c>
      <c r="D510" s="2" t="s">
        <v>21</v>
      </c>
      <c r="E510" s="2" t="s">
        <v>1078</v>
      </c>
      <c r="F510" s="2" t="s">
        <v>1079</v>
      </c>
      <c r="G510" s="3">
        <v>10</v>
      </c>
      <c r="H510" s="3">
        <v>62.95</v>
      </c>
      <c r="I510" s="3">
        <v>3.2</v>
      </c>
      <c r="J510" s="3">
        <f t="shared" si="37"/>
        <v>76.150000000000006</v>
      </c>
      <c r="K510" s="3">
        <v>10</v>
      </c>
      <c r="L510" s="3">
        <v>49.06</v>
      </c>
      <c r="M510" s="3">
        <v>4.5</v>
      </c>
      <c r="N510" s="3">
        <f t="shared" si="38"/>
        <v>63.56</v>
      </c>
      <c r="O510" s="3">
        <f t="shared" si="39"/>
        <v>139.71</v>
      </c>
      <c r="P510" s="2"/>
      <c r="Q510" s="5"/>
    </row>
    <row r="511" spans="1:17">
      <c r="A511" s="2">
        <f t="shared" si="35"/>
        <v>509</v>
      </c>
      <c r="B511" s="2">
        <f t="shared" si="36"/>
        <v>176</v>
      </c>
      <c r="C511" s="2" t="s">
        <v>20</v>
      </c>
      <c r="D511" s="2" t="s">
        <v>29</v>
      </c>
      <c r="E511" s="2" t="s">
        <v>1080</v>
      </c>
      <c r="F511" s="2" t="s">
        <v>1081</v>
      </c>
      <c r="G511" s="3">
        <v>10</v>
      </c>
      <c r="H511" s="3">
        <v>55.99</v>
      </c>
      <c r="I511" s="3">
        <v>3</v>
      </c>
      <c r="J511" s="3">
        <f t="shared" si="37"/>
        <v>68.989999999999995</v>
      </c>
      <c r="K511" s="3">
        <v>9.8000000000000007</v>
      </c>
      <c r="L511" s="3">
        <v>57.28</v>
      </c>
      <c r="M511" s="3">
        <v>3.5</v>
      </c>
      <c r="N511" s="3">
        <f t="shared" si="38"/>
        <v>70.58</v>
      </c>
      <c r="O511" s="3">
        <f t="shared" si="39"/>
        <v>139.57</v>
      </c>
      <c r="P511" s="2"/>
      <c r="Q511" s="5"/>
    </row>
    <row r="512" spans="1:17">
      <c r="A512" s="2">
        <f t="shared" si="35"/>
        <v>510</v>
      </c>
      <c r="B512" s="2">
        <f t="shared" si="36"/>
        <v>177</v>
      </c>
      <c r="C512" s="2" t="s">
        <v>20</v>
      </c>
      <c r="D512" s="2" t="s">
        <v>164</v>
      </c>
      <c r="E512" s="2" t="s">
        <v>1082</v>
      </c>
      <c r="F512" s="2" t="s">
        <v>1083</v>
      </c>
      <c r="G512" s="3">
        <v>10.3</v>
      </c>
      <c r="H512" s="3">
        <v>61.74</v>
      </c>
      <c r="I512" s="3">
        <v>3</v>
      </c>
      <c r="J512" s="3">
        <f t="shared" si="37"/>
        <v>75.040000000000006</v>
      </c>
      <c r="K512" s="3">
        <v>9.4</v>
      </c>
      <c r="L512" s="3">
        <v>50.62</v>
      </c>
      <c r="M512" s="3">
        <v>4.5</v>
      </c>
      <c r="N512" s="3">
        <f t="shared" si="38"/>
        <v>64.52</v>
      </c>
      <c r="O512" s="3">
        <f t="shared" si="39"/>
        <v>139.56</v>
      </c>
      <c r="P512" s="2"/>
      <c r="Q512" s="5"/>
    </row>
    <row r="513" spans="1:17">
      <c r="A513" s="2">
        <f t="shared" si="35"/>
        <v>511</v>
      </c>
      <c r="B513" s="2">
        <f t="shared" si="36"/>
        <v>163</v>
      </c>
      <c r="C513" s="2" t="s">
        <v>45</v>
      </c>
      <c r="D513" s="2" t="s">
        <v>109</v>
      </c>
      <c r="E513" s="2" t="s">
        <v>1084</v>
      </c>
      <c r="F513" s="2" t="s">
        <v>1085</v>
      </c>
      <c r="G513" s="3">
        <v>10.6</v>
      </c>
      <c r="H513" s="3">
        <v>53.45</v>
      </c>
      <c r="I513" s="3">
        <v>4.5</v>
      </c>
      <c r="J513" s="3">
        <f t="shared" si="37"/>
        <v>68.55</v>
      </c>
      <c r="K513" s="3">
        <v>9.8000000000000007</v>
      </c>
      <c r="L513" s="3">
        <v>56.35</v>
      </c>
      <c r="M513" s="3">
        <v>4.8</v>
      </c>
      <c r="N513" s="3">
        <f t="shared" si="38"/>
        <v>70.95</v>
      </c>
      <c r="O513" s="3">
        <f t="shared" si="39"/>
        <v>139.5</v>
      </c>
      <c r="P513" s="2"/>
      <c r="Q513" s="5"/>
    </row>
    <row r="514" spans="1:17">
      <c r="A514" s="2">
        <f t="shared" si="35"/>
        <v>512</v>
      </c>
      <c r="B514" s="2">
        <f t="shared" si="36"/>
        <v>178</v>
      </c>
      <c r="C514" s="2" t="s">
        <v>20</v>
      </c>
      <c r="D514" s="2" t="s">
        <v>229</v>
      </c>
      <c r="E514" s="2" t="s">
        <v>1086</v>
      </c>
      <c r="F514" s="2" t="s">
        <v>1087</v>
      </c>
      <c r="G514" s="3">
        <v>10</v>
      </c>
      <c r="H514" s="3">
        <v>56.5</v>
      </c>
      <c r="I514" s="3">
        <v>4</v>
      </c>
      <c r="J514" s="3">
        <f t="shared" si="37"/>
        <v>70.5</v>
      </c>
      <c r="K514" s="3">
        <v>10</v>
      </c>
      <c r="L514" s="3">
        <v>54.33</v>
      </c>
      <c r="M514" s="3">
        <v>4.5</v>
      </c>
      <c r="N514" s="3">
        <f t="shared" si="38"/>
        <v>68.83</v>
      </c>
      <c r="O514" s="3">
        <f t="shared" si="39"/>
        <v>139.33000000000001</v>
      </c>
      <c r="P514" s="2"/>
      <c r="Q514" s="5"/>
    </row>
    <row r="515" spans="1:17">
      <c r="A515" s="2">
        <f t="shared" ref="A515:A578" si="40">COUNTIFS($C$3:$C$1025,"&lt;&gt;大数据",$O$3:$O$1025,"&gt;"&amp;O515)+1</f>
        <v>513</v>
      </c>
      <c r="B515" s="2">
        <f t="shared" ref="B515:B578" si="41">COUNTIFS($C$3:$C$1025,C515,$O$3:$O$1025,"&gt;"&amp;O515)+1</f>
        <v>164</v>
      </c>
      <c r="C515" s="2" t="s">
        <v>45</v>
      </c>
      <c r="D515" s="2" t="s">
        <v>109</v>
      </c>
      <c r="E515" s="2" t="s">
        <v>1088</v>
      </c>
      <c r="F515" s="2" t="s">
        <v>1089</v>
      </c>
      <c r="G515" s="3">
        <v>11.1</v>
      </c>
      <c r="H515" s="3">
        <v>56.33</v>
      </c>
      <c r="I515" s="3">
        <v>5</v>
      </c>
      <c r="J515" s="3">
        <f t="shared" ref="J515:J578" si="42">ROUND(SUM(G515:I515),2)</f>
        <v>72.430000000000007</v>
      </c>
      <c r="K515" s="3">
        <v>8.8000000000000007</v>
      </c>
      <c r="L515" s="3">
        <v>51.97</v>
      </c>
      <c r="M515" s="3">
        <v>6.1</v>
      </c>
      <c r="N515" s="3">
        <f t="shared" ref="N515:N578" si="43">ROUND(SUM(K515:M515),2)</f>
        <v>66.87</v>
      </c>
      <c r="O515" s="3">
        <f t="shared" ref="O515:O578" si="44">ROUND(SUM(J515,N515),2)</f>
        <v>139.30000000000001</v>
      </c>
      <c r="P515" s="2"/>
      <c r="Q515" s="5"/>
    </row>
    <row r="516" spans="1:17">
      <c r="A516" s="2">
        <f t="shared" si="40"/>
        <v>514</v>
      </c>
      <c r="B516" s="2">
        <f t="shared" si="41"/>
        <v>165</v>
      </c>
      <c r="C516" s="2" t="s">
        <v>45</v>
      </c>
      <c r="D516" s="2" t="s">
        <v>232</v>
      </c>
      <c r="E516" s="2" t="s">
        <v>1090</v>
      </c>
      <c r="F516" s="2" t="s">
        <v>1091</v>
      </c>
      <c r="G516" s="3">
        <v>9.8000000000000007</v>
      </c>
      <c r="H516" s="3">
        <v>57.14</v>
      </c>
      <c r="I516" s="3">
        <v>3</v>
      </c>
      <c r="J516" s="3">
        <f t="shared" si="42"/>
        <v>69.94</v>
      </c>
      <c r="K516" s="3">
        <v>9.8000000000000007</v>
      </c>
      <c r="L516" s="3">
        <v>55.84</v>
      </c>
      <c r="M516" s="3">
        <v>3.7</v>
      </c>
      <c r="N516" s="3">
        <f t="shared" si="43"/>
        <v>69.34</v>
      </c>
      <c r="O516" s="3">
        <f t="shared" si="44"/>
        <v>139.28</v>
      </c>
      <c r="P516" s="2"/>
      <c r="Q516" s="5"/>
    </row>
    <row r="517" spans="1:17">
      <c r="A517" s="2">
        <f t="shared" si="40"/>
        <v>515</v>
      </c>
      <c r="B517" s="2">
        <f t="shared" si="41"/>
        <v>166</v>
      </c>
      <c r="C517" s="2" t="s">
        <v>45</v>
      </c>
      <c r="D517" s="2" t="s">
        <v>89</v>
      </c>
      <c r="E517" s="2" t="s">
        <v>1092</v>
      </c>
      <c r="F517" s="2" t="s">
        <v>1093</v>
      </c>
      <c r="G517" s="3">
        <v>9.8000000000000007</v>
      </c>
      <c r="H517" s="3">
        <v>54.67</v>
      </c>
      <c r="I517" s="3">
        <v>4</v>
      </c>
      <c r="J517" s="3">
        <f t="shared" si="42"/>
        <v>68.47</v>
      </c>
      <c r="K517" s="3">
        <v>9.8000000000000007</v>
      </c>
      <c r="L517" s="3">
        <v>56.28</v>
      </c>
      <c r="M517" s="3">
        <v>4.7</v>
      </c>
      <c r="N517" s="3">
        <f t="shared" si="43"/>
        <v>70.78</v>
      </c>
      <c r="O517" s="3">
        <f t="shared" si="44"/>
        <v>139.25</v>
      </c>
      <c r="P517" s="2"/>
      <c r="Q517" s="5"/>
    </row>
    <row r="518" spans="1:17">
      <c r="A518" s="2">
        <f t="shared" si="40"/>
        <v>516</v>
      </c>
      <c r="B518" s="2">
        <f t="shared" si="41"/>
        <v>105</v>
      </c>
      <c r="C518" s="2" t="s">
        <v>24</v>
      </c>
      <c r="D518" s="2" t="s">
        <v>58</v>
      </c>
      <c r="E518" s="2" t="s">
        <v>1094</v>
      </c>
      <c r="F518" s="2" t="s">
        <v>1095</v>
      </c>
      <c r="G518" s="3">
        <v>9.8000000000000007</v>
      </c>
      <c r="H518" s="3">
        <v>59.536585365853597</v>
      </c>
      <c r="I518" s="3">
        <v>4</v>
      </c>
      <c r="J518" s="3">
        <f t="shared" si="42"/>
        <v>73.34</v>
      </c>
      <c r="K518" s="3">
        <v>9.8000000000000007</v>
      </c>
      <c r="L518" s="3">
        <v>51.59</v>
      </c>
      <c r="M518" s="3">
        <v>4.5</v>
      </c>
      <c r="N518" s="3">
        <f t="shared" si="43"/>
        <v>65.89</v>
      </c>
      <c r="O518" s="3">
        <f t="shared" si="44"/>
        <v>139.22999999999999</v>
      </c>
      <c r="P518" s="2"/>
      <c r="Q518" s="5"/>
    </row>
    <row r="519" spans="1:17">
      <c r="A519" s="2">
        <f t="shared" si="40"/>
        <v>517</v>
      </c>
      <c r="B519" s="2">
        <f t="shared" si="41"/>
        <v>167</v>
      </c>
      <c r="C519" s="2" t="s">
        <v>45</v>
      </c>
      <c r="D519" s="2" t="s">
        <v>73</v>
      </c>
      <c r="E519" s="2" t="s">
        <v>1096</v>
      </c>
      <c r="F519" s="2" t="s">
        <v>1097</v>
      </c>
      <c r="G519" s="3">
        <v>10.3</v>
      </c>
      <c r="H519" s="3">
        <v>58.93</v>
      </c>
      <c r="I519" s="3">
        <v>3.6</v>
      </c>
      <c r="J519" s="3">
        <f t="shared" si="42"/>
        <v>72.83</v>
      </c>
      <c r="K519" s="3">
        <v>7.3000000000000007</v>
      </c>
      <c r="L519" s="3">
        <v>54.96</v>
      </c>
      <c r="M519" s="3">
        <v>4.0999999999999996</v>
      </c>
      <c r="N519" s="3">
        <f t="shared" si="43"/>
        <v>66.36</v>
      </c>
      <c r="O519" s="3">
        <f t="shared" si="44"/>
        <v>139.19</v>
      </c>
      <c r="P519" s="2"/>
      <c r="Q519" s="5"/>
    </row>
    <row r="520" spans="1:17">
      <c r="A520" s="2">
        <f t="shared" si="40"/>
        <v>518</v>
      </c>
      <c r="B520" s="2">
        <f t="shared" si="41"/>
        <v>179</v>
      </c>
      <c r="C520" s="2" t="s">
        <v>20</v>
      </c>
      <c r="D520" s="2" t="s">
        <v>117</v>
      </c>
      <c r="E520" s="2" t="s">
        <v>1098</v>
      </c>
      <c r="F520" s="2" t="s">
        <v>1099</v>
      </c>
      <c r="G520" s="3">
        <v>9.8000000000000007</v>
      </c>
      <c r="H520" s="3">
        <v>61.87</v>
      </c>
      <c r="I520" s="3">
        <v>3</v>
      </c>
      <c r="J520" s="3">
        <f t="shared" si="42"/>
        <v>74.67</v>
      </c>
      <c r="K520" s="3">
        <v>10</v>
      </c>
      <c r="L520" s="3">
        <v>51.5</v>
      </c>
      <c r="M520" s="3">
        <v>3</v>
      </c>
      <c r="N520" s="3">
        <f t="shared" si="43"/>
        <v>64.5</v>
      </c>
      <c r="O520" s="3">
        <f t="shared" si="44"/>
        <v>139.16999999999999</v>
      </c>
      <c r="P520" s="2"/>
      <c r="Q520" s="5"/>
    </row>
    <row r="521" spans="1:17">
      <c r="A521" s="2">
        <f t="shared" si="40"/>
        <v>519</v>
      </c>
      <c r="B521" s="2">
        <f t="shared" si="41"/>
        <v>168</v>
      </c>
      <c r="C521" s="2" t="s">
        <v>45</v>
      </c>
      <c r="D521" s="2" t="s">
        <v>109</v>
      </c>
      <c r="E521" s="2" t="s">
        <v>1100</v>
      </c>
      <c r="F521" s="2" t="s">
        <v>1101</v>
      </c>
      <c r="G521" s="3">
        <v>10</v>
      </c>
      <c r="H521" s="3">
        <v>54.18</v>
      </c>
      <c r="I521" s="3">
        <v>4</v>
      </c>
      <c r="J521" s="3">
        <f t="shared" si="42"/>
        <v>68.180000000000007</v>
      </c>
      <c r="K521" s="3">
        <v>10</v>
      </c>
      <c r="L521" s="3">
        <v>55.86</v>
      </c>
      <c r="M521" s="3">
        <v>5.0999999999999996</v>
      </c>
      <c r="N521" s="3">
        <f t="shared" si="43"/>
        <v>70.959999999999994</v>
      </c>
      <c r="O521" s="3">
        <f t="shared" si="44"/>
        <v>139.13999999999999</v>
      </c>
      <c r="P521" s="2"/>
      <c r="Q521" s="5"/>
    </row>
    <row r="522" spans="1:17">
      <c r="A522" s="2">
        <f t="shared" si="40"/>
        <v>520</v>
      </c>
      <c r="B522" s="2">
        <f t="shared" si="41"/>
        <v>169</v>
      </c>
      <c r="C522" s="2" t="s">
        <v>45</v>
      </c>
      <c r="D522" s="2" t="s">
        <v>46</v>
      </c>
      <c r="E522" s="2" t="s">
        <v>1102</v>
      </c>
      <c r="F522" s="2" t="s">
        <v>1103</v>
      </c>
      <c r="G522" s="3">
        <v>10</v>
      </c>
      <c r="H522" s="3">
        <v>59.09</v>
      </c>
      <c r="I522" s="3">
        <v>3</v>
      </c>
      <c r="J522" s="3">
        <f t="shared" si="42"/>
        <v>72.09</v>
      </c>
      <c r="K522" s="3">
        <v>7.5</v>
      </c>
      <c r="L522" s="3">
        <v>56.5</v>
      </c>
      <c r="M522" s="3">
        <v>3</v>
      </c>
      <c r="N522" s="3">
        <f t="shared" si="43"/>
        <v>67</v>
      </c>
      <c r="O522" s="3">
        <f t="shared" si="44"/>
        <v>139.09</v>
      </c>
      <c r="P522" s="2"/>
      <c r="Q522" s="5"/>
    </row>
    <row r="523" spans="1:17">
      <c r="A523" s="2">
        <f t="shared" si="40"/>
        <v>521</v>
      </c>
      <c r="B523" s="2">
        <f t="shared" si="41"/>
        <v>68</v>
      </c>
      <c r="C523" s="2" t="s">
        <v>15</v>
      </c>
      <c r="D523" s="2" t="s">
        <v>39</v>
      </c>
      <c r="E523" s="2" t="s">
        <v>1104</v>
      </c>
      <c r="F523" s="2" t="s">
        <v>1105</v>
      </c>
      <c r="G523" s="3">
        <v>9.8000000000000007</v>
      </c>
      <c r="H523" s="3">
        <v>57.11</v>
      </c>
      <c r="I523" s="3">
        <v>3</v>
      </c>
      <c r="J523" s="3">
        <f t="shared" si="42"/>
        <v>69.91</v>
      </c>
      <c r="K523" s="3">
        <v>7.3000000000000007</v>
      </c>
      <c r="L523" s="3">
        <v>57.61</v>
      </c>
      <c r="M523" s="3">
        <v>4.2</v>
      </c>
      <c r="N523" s="3">
        <f t="shared" si="43"/>
        <v>69.11</v>
      </c>
      <c r="O523" s="3">
        <f t="shared" si="44"/>
        <v>139.02000000000001</v>
      </c>
      <c r="P523" s="2"/>
      <c r="Q523" s="5"/>
    </row>
    <row r="524" spans="1:17">
      <c r="A524" s="2">
        <f t="shared" si="40"/>
        <v>521</v>
      </c>
      <c r="B524" s="2">
        <f t="shared" si="41"/>
        <v>68</v>
      </c>
      <c r="C524" s="2" t="s">
        <v>15</v>
      </c>
      <c r="D524" s="2" t="s">
        <v>181</v>
      </c>
      <c r="E524" s="2" t="s">
        <v>1106</v>
      </c>
      <c r="F524" s="2" t="s">
        <v>1107</v>
      </c>
      <c r="G524" s="3">
        <v>9.8000000000000007</v>
      </c>
      <c r="H524" s="3">
        <v>59.79</v>
      </c>
      <c r="I524" s="3">
        <v>4</v>
      </c>
      <c r="J524" s="3">
        <f t="shared" si="42"/>
        <v>73.59</v>
      </c>
      <c r="K524" s="3">
        <v>7.3000000000000007</v>
      </c>
      <c r="L524" s="3">
        <v>54.13</v>
      </c>
      <c r="M524" s="3">
        <v>4</v>
      </c>
      <c r="N524" s="3">
        <f t="shared" si="43"/>
        <v>65.430000000000007</v>
      </c>
      <c r="O524" s="3">
        <f t="shared" si="44"/>
        <v>139.02000000000001</v>
      </c>
      <c r="P524" s="2"/>
      <c r="Q524" s="5"/>
    </row>
    <row r="525" spans="1:17">
      <c r="A525" s="2">
        <f t="shared" si="40"/>
        <v>523</v>
      </c>
      <c r="B525" s="2">
        <f t="shared" si="41"/>
        <v>180</v>
      </c>
      <c r="C525" s="2" t="s">
        <v>20</v>
      </c>
      <c r="D525" s="2" t="s">
        <v>164</v>
      </c>
      <c r="E525" s="2" t="s">
        <v>1108</v>
      </c>
      <c r="F525" s="2" t="s">
        <v>1109</v>
      </c>
      <c r="G525" s="3">
        <v>10.5</v>
      </c>
      <c r="H525" s="3">
        <v>61.25</v>
      </c>
      <c r="I525" s="3">
        <v>4</v>
      </c>
      <c r="J525" s="3">
        <f t="shared" si="42"/>
        <v>75.75</v>
      </c>
      <c r="K525" s="3">
        <v>10</v>
      </c>
      <c r="L525" s="3">
        <v>49.52</v>
      </c>
      <c r="M525" s="3">
        <v>3.7</v>
      </c>
      <c r="N525" s="3">
        <f t="shared" si="43"/>
        <v>63.22</v>
      </c>
      <c r="O525" s="3">
        <f t="shared" si="44"/>
        <v>138.97</v>
      </c>
      <c r="P525" s="2"/>
      <c r="Q525" s="5"/>
    </row>
    <row r="526" spans="1:17">
      <c r="A526" s="2">
        <f t="shared" si="40"/>
        <v>524</v>
      </c>
      <c r="B526" s="2">
        <f t="shared" si="41"/>
        <v>181</v>
      </c>
      <c r="C526" s="2" t="s">
        <v>20</v>
      </c>
      <c r="D526" s="2" t="s">
        <v>32</v>
      </c>
      <c r="E526" s="2" t="s">
        <v>1110</v>
      </c>
      <c r="F526" s="2" t="s">
        <v>1111</v>
      </c>
      <c r="G526" s="3">
        <v>7.3</v>
      </c>
      <c r="H526" s="3">
        <v>58.5</v>
      </c>
      <c r="I526" s="3">
        <v>3</v>
      </c>
      <c r="J526" s="3">
        <f t="shared" si="42"/>
        <v>68.8</v>
      </c>
      <c r="K526" s="3">
        <v>9.8000000000000007</v>
      </c>
      <c r="L526" s="3">
        <v>56.85</v>
      </c>
      <c r="M526" s="3">
        <v>3.5</v>
      </c>
      <c r="N526" s="3">
        <f t="shared" si="43"/>
        <v>70.150000000000006</v>
      </c>
      <c r="O526" s="3">
        <f t="shared" si="44"/>
        <v>138.94999999999999</v>
      </c>
      <c r="P526" s="2"/>
      <c r="Q526" s="5"/>
    </row>
    <row r="527" spans="1:17">
      <c r="A527" s="2">
        <f t="shared" si="40"/>
        <v>524</v>
      </c>
      <c r="B527" s="2">
        <f t="shared" si="41"/>
        <v>170</v>
      </c>
      <c r="C527" s="2" t="s">
        <v>45</v>
      </c>
      <c r="D527" s="2" t="s">
        <v>89</v>
      </c>
      <c r="E527" s="2" t="s">
        <v>1112</v>
      </c>
      <c r="F527" s="2" t="s">
        <v>1113</v>
      </c>
      <c r="G527" s="3">
        <v>9.8000000000000007</v>
      </c>
      <c r="H527" s="3">
        <v>57.7</v>
      </c>
      <c r="I527" s="3">
        <v>3</v>
      </c>
      <c r="J527" s="3">
        <f t="shared" si="42"/>
        <v>70.5</v>
      </c>
      <c r="K527" s="3">
        <v>9.8000000000000007</v>
      </c>
      <c r="L527" s="3">
        <v>55.65</v>
      </c>
      <c r="M527" s="3">
        <v>3</v>
      </c>
      <c r="N527" s="3">
        <f t="shared" si="43"/>
        <v>68.45</v>
      </c>
      <c r="O527" s="3">
        <f t="shared" si="44"/>
        <v>138.94999999999999</v>
      </c>
      <c r="P527" s="2"/>
      <c r="Q527" s="5"/>
    </row>
    <row r="528" spans="1:17">
      <c r="A528" s="2">
        <f t="shared" si="40"/>
        <v>526</v>
      </c>
      <c r="B528" s="2">
        <f t="shared" si="41"/>
        <v>182</v>
      </c>
      <c r="C528" s="2" t="s">
        <v>20</v>
      </c>
      <c r="D528" s="2" t="s">
        <v>36</v>
      </c>
      <c r="E528" s="2" t="s">
        <v>1114</v>
      </c>
      <c r="F528" s="2" t="s">
        <v>1115</v>
      </c>
      <c r="G528" s="3">
        <v>10</v>
      </c>
      <c r="H528" s="3">
        <v>56.42</v>
      </c>
      <c r="I528" s="3">
        <v>3.7</v>
      </c>
      <c r="J528" s="3">
        <f t="shared" si="42"/>
        <v>70.12</v>
      </c>
      <c r="K528" s="3">
        <v>10</v>
      </c>
      <c r="L528" s="3">
        <v>55.3</v>
      </c>
      <c r="M528" s="3">
        <v>3.5</v>
      </c>
      <c r="N528" s="3">
        <f t="shared" si="43"/>
        <v>68.8</v>
      </c>
      <c r="O528" s="3">
        <f t="shared" si="44"/>
        <v>138.91999999999999</v>
      </c>
      <c r="P528" s="2"/>
      <c r="Q528" s="5"/>
    </row>
    <row r="529" spans="1:17">
      <c r="A529" s="2">
        <f t="shared" si="40"/>
        <v>527</v>
      </c>
      <c r="B529" s="2">
        <f t="shared" si="41"/>
        <v>70</v>
      </c>
      <c r="C529" s="2" t="s">
        <v>15</v>
      </c>
      <c r="D529" s="2" t="s">
        <v>257</v>
      </c>
      <c r="E529" s="2" t="s">
        <v>1116</v>
      </c>
      <c r="F529" s="2" t="s">
        <v>1117</v>
      </c>
      <c r="G529" s="3">
        <v>9.8000000000000007</v>
      </c>
      <c r="H529" s="3">
        <v>57.61</v>
      </c>
      <c r="I529" s="3">
        <v>3</v>
      </c>
      <c r="J529" s="3">
        <f t="shared" si="42"/>
        <v>70.41</v>
      </c>
      <c r="K529" s="3">
        <v>7.3000000000000007</v>
      </c>
      <c r="L529" s="3">
        <v>57.68</v>
      </c>
      <c r="M529" s="3">
        <v>3.5</v>
      </c>
      <c r="N529" s="3">
        <f t="shared" si="43"/>
        <v>68.48</v>
      </c>
      <c r="O529" s="3">
        <f t="shared" si="44"/>
        <v>138.88999999999999</v>
      </c>
      <c r="P529" s="2"/>
      <c r="Q529" s="5"/>
    </row>
    <row r="530" spans="1:17">
      <c r="A530" s="2">
        <f t="shared" si="40"/>
        <v>527</v>
      </c>
      <c r="B530" s="2">
        <f t="shared" si="41"/>
        <v>171</v>
      </c>
      <c r="C530" s="2" t="s">
        <v>45</v>
      </c>
      <c r="D530" s="2" t="s">
        <v>54</v>
      </c>
      <c r="E530" s="2" t="s">
        <v>1118</v>
      </c>
      <c r="F530" s="2" t="s">
        <v>1119</v>
      </c>
      <c r="G530" s="3">
        <v>9.8000000000000007</v>
      </c>
      <c r="H530" s="3">
        <v>62.2</v>
      </c>
      <c r="I530" s="3">
        <v>3</v>
      </c>
      <c r="J530" s="3">
        <f t="shared" si="42"/>
        <v>75</v>
      </c>
      <c r="K530" s="3">
        <v>7.3000000000000007</v>
      </c>
      <c r="L530" s="3">
        <v>53.59</v>
      </c>
      <c r="M530" s="3">
        <v>3</v>
      </c>
      <c r="N530" s="3">
        <f t="shared" si="43"/>
        <v>63.89</v>
      </c>
      <c r="O530" s="3">
        <f t="shared" si="44"/>
        <v>138.88999999999999</v>
      </c>
      <c r="P530" s="2"/>
      <c r="Q530" s="5"/>
    </row>
    <row r="531" spans="1:17">
      <c r="A531" s="2">
        <f t="shared" si="40"/>
        <v>529</v>
      </c>
      <c r="B531" s="2">
        <f t="shared" si="41"/>
        <v>106</v>
      </c>
      <c r="C531" s="2" t="s">
        <v>24</v>
      </c>
      <c r="D531" s="2" t="s">
        <v>58</v>
      </c>
      <c r="E531" s="2" t="s">
        <v>1120</v>
      </c>
      <c r="F531" s="2" t="s">
        <v>1121</v>
      </c>
      <c r="G531" s="3">
        <v>9.8000000000000007</v>
      </c>
      <c r="H531" s="3">
        <v>54.817073170731703</v>
      </c>
      <c r="I531" s="3">
        <v>3</v>
      </c>
      <c r="J531" s="3">
        <f t="shared" si="42"/>
        <v>67.62</v>
      </c>
      <c r="K531" s="3">
        <v>9.8000000000000007</v>
      </c>
      <c r="L531" s="3">
        <v>57.96</v>
      </c>
      <c r="M531" s="3">
        <v>3.5</v>
      </c>
      <c r="N531" s="3">
        <f t="shared" si="43"/>
        <v>71.260000000000005</v>
      </c>
      <c r="O531" s="3">
        <f t="shared" si="44"/>
        <v>138.88</v>
      </c>
      <c r="P531" s="2"/>
      <c r="Q531" s="5"/>
    </row>
    <row r="532" spans="1:17">
      <c r="A532" s="2">
        <f t="shared" si="40"/>
        <v>529</v>
      </c>
      <c r="B532" s="2">
        <f t="shared" si="41"/>
        <v>172</v>
      </c>
      <c r="C532" s="2" t="s">
        <v>45</v>
      </c>
      <c r="D532" s="2" t="s">
        <v>232</v>
      </c>
      <c r="E532" s="2" t="s">
        <v>1122</v>
      </c>
      <c r="F532" s="2" t="s">
        <v>1123</v>
      </c>
      <c r="G532" s="3">
        <v>9.6</v>
      </c>
      <c r="H532" s="3">
        <v>54.29</v>
      </c>
      <c r="I532" s="3">
        <v>5.2</v>
      </c>
      <c r="J532" s="3">
        <f t="shared" si="42"/>
        <v>69.09</v>
      </c>
      <c r="K532" s="3">
        <v>9.6</v>
      </c>
      <c r="L532" s="3">
        <v>54.19</v>
      </c>
      <c r="M532" s="3">
        <v>6</v>
      </c>
      <c r="N532" s="3">
        <f t="shared" si="43"/>
        <v>69.790000000000006</v>
      </c>
      <c r="O532" s="3">
        <f t="shared" si="44"/>
        <v>138.88</v>
      </c>
      <c r="P532" s="2"/>
      <c r="Q532" s="5"/>
    </row>
    <row r="533" spans="1:17">
      <c r="A533" s="2">
        <f t="shared" si="40"/>
        <v>531</v>
      </c>
      <c r="B533" s="2">
        <f t="shared" si="41"/>
        <v>173</v>
      </c>
      <c r="C533" s="2" t="s">
        <v>45</v>
      </c>
      <c r="D533" s="2" t="s">
        <v>89</v>
      </c>
      <c r="E533" s="2" t="s">
        <v>1124</v>
      </c>
      <c r="F533" s="2" t="s">
        <v>1125</v>
      </c>
      <c r="G533" s="3">
        <v>10.6</v>
      </c>
      <c r="H533" s="3">
        <v>52.59</v>
      </c>
      <c r="I533" s="3">
        <v>6.8</v>
      </c>
      <c r="J533" s="3">
        <f t="shared" si="42"/>
        <v>69.989999999999995</v>
      </c>
      <c r="K533" s="3">
        <v>9.8000000000000007</v>
      </c>
      <c r="L533" s="3">
        <v>52.67</v>
      </c>
      <c r="M533" s="3">
        <v>6.4</v>
      </c>
      <c r="N533" s="3">
        <f t="shared" si="43"/>
        <v>68.87</v>
      </c>
      <c r="O533" s="3">
        <f t="shared" si="44"/>
        <v>138.86000000000001</v>
      </c>
      <c r="P533" s="2"/>
      <c r="Q533" s="5"/>
    </row>
    <row r="534" spans="1:17">
      <c r="A534" s="2">
        <f t="shared" si="40"/>
        <v>532</v>
      </c>
      <c r="B534" s="2">
        <f t="shared" si="41"/>
        <v>71</v>
      </c>
      <c r="C534" s="2" t="s">
        <v>15</v>
      </c>
      <c r="D534" s="2" t="s">
        <v>181</v>
      </c>
      <c r="E534" s="2" t="s">
        <v>1126</v>
      </c>
      <c r="F534" s="2" t="s">
        <v>1127</v>
      </c>
      <c r="G534" s="3">
        <v>11.3</v>
      </c>
      <c r="H534" s="3">
        <v>53.55</v>
      </c>
      <c r="I534" s="3">
        <v>4.05</v>
      </c>
      <c r="J534" s="3">
        <f t="shared" si="42"/>
        <v>68.900000000000006</v>
      </c>
      <c r="K534" s="3">
        <v>10</v>
      </c>
      <c r="L534" s="3">
        <v>54.02</v>
      </c>
      <c r="M534" s="3">
        <v>5.8</v>
      </c>
      <c r="N534" s="3">
        <f t="shared" si="43"/>
        <v>69.819999999999993</v>
      </c>
      <c r="O534" s="3">
        <f t="shared" si="44"/>
        <v>138.72</v>
      </c>
      <c r="P534" s="2"/>
      <c r="Q534" s="5"/>
    </row>
    <row r="535" spans="1:17">
      <c r="A535" s="2">
        <f t="shared" si="40"/>
        <v>533</v>
      </c>
      <c r="B535" s="2">
        <f t="shared" si="41"/>
        <v>183</v>
      </c>
      <c r="C535" s="2" t="s">
        <v>20</v>
      </c>
      <c r="D535" s="2" t="s">
        <v>117</v>
      </c>
      <c r="E535" s="2" t="s">
        <v>1128</v>
      </c>
      <c r="F535" s="2" t="s">
        <v>1129</v>
      </c>
      <c r="G535" s="3">
        <v>10</v>
      </c>
      <c r="H535" s="3">
        <v>55.68</v>
      </c>
      <c r="I535" s="3">
        <v>4.4000000000000004</v>
      </c>
      <c r="J535" s="3">
        <f t="shared" si="42"/>
        <v>70.08</v>
      </c>
      <c r="K535" s="3">
        <v>10</v>
      </c>
      <c r="L535" s="3">
        <v>54.08</v>
      </c>
      <c r="M535" s="3">
        <v>4.5</v>
      </c>
      <c r="N535" s="3">
        <f t="shared" si="43"/>
        <v>68.58</v>
      </c>
      <c r="O535" s="3">
        <f t="shared" si="44"/>
        <v>138.66</v>
      </c>
      <c r="P535" s="2"/>
      <c r="Q535" s="5"/>
    </row>
    <row r="536" spans="1:17">
      <c r="A536" s="2">
        <f t="shared" si="40"/>
        <v>534</v>
      </c>
      <c r="B536" s="2">
        <f t="shared" si="41"/>
        <v>107</v>
      </c>
      <c r="C536" s="2" t="s">
        <v>24</v>
      </c>
      <c r="D536" s="2" t="s">
        <v>58</v>
      </c>
      <c r="E536" s="2" t="s">
        <v>1130</v>
      </c>
      <c r="F536" s="2" t="s">
        <v>1131</v>
      </c>
      <c r="G536" s="3">
        <v>10</v>
      </c>
      <c r="H536" s="3">
        <v>56.670731707317103</v>
      </c>
      <c r="I536" s="3">
        <v>4.5</v>
      </c>
      <c r="J536" s="3">
        <f t="shared" si="42"/>
        <v>71.17</v>
      </c>
      <c r="K536" s="3">
        <v>10</v>
      </c>
      <c r="L536" s="3">
        <v>53.48</v>
      </c>
      <c r="M536" s="3">
        <v>4</v>
      </c>
      <c r="N536" s="3">
        <f t="shared" si="43"/>
        <v>67.48</v>
      </c>
      <c r="O536" s="3">
        <f t="shared" si="44"/>
        <v>138.65</v>
      </c>
      <c r="P536" s="2"/>
      <c r="Q536" s="5"/>
    </row>
    <row r="537" spans="1:17">
      <c r="A537" s="2">
        <f t="shared" si="40"/>
        <v>535</v>
      </c>
      <c r="B537" s="2">
        <f t="shared" si="41"/>
        <v>174</v>
      </c>
      <c r="C537" s="2" t="s">
        <v>45</v>
      </c>
      <c r="D537" s="2" t="s">
        <v>220</v>
      </c>
      <c r="E537" s="2" t="s">
        <v>1132</v>
      </c>
      <c r="F537" s="2" t="s">
        <v>1133</v>
      </c>
      <c r="G537" s="3">
        <v>9.8000000000000007</v>
      </c>
      <c r="H537" s="3">
        <v>57.28</v>
      </c>
      <c r="I537" s="3">
        <v>3</v>
      </c>
      <c r="J537" s="3">
        <f t="shared" si="42"/>
        <v>70.08</v>
      </c>
      <c r="K537" s="3">
        <v>9.4</v>
      </c>
      <c r="L537" s="3">
        <v>55.63</v>
      </c>
      <c r="M537" s="3">
        <v>3.5</v>
      </c>
      <c r="N537" s="3">
        <f t="shared" si="43"/>
        <v>68.53</v>
      </c>
      <c r="O537" s="3">
        <f t="shared" si="44"/>
        <v>138.61000000000001</v>
      </c>
      <c r="P537" s="2"/>
      <c r="Q537" s="5"/>
    </row>
    <row r="538" spans="1:17">
      <c r="A538" s="2">
        <f t="shared" si="40"/>
        <v>536</v>
      </c>
      <c r="B538" s="2">
        <f t="shared" si="41"/>
        <v>108</v>
      </c>
      <c r="C538" s="2" t="s">
        <v>24</v>
      </c>
      <c r="D538" s="2" t="s">
        <v>58</v>
      </c>
      <c r="E538" s="2" t="s">
        <v>1134</v>
      </c>
      <c r="F538" s="2" t="s">
        <v>1135</v>
      </c>
      <c r="G538" s="3">
        <v>9.8000000000000007</v>
      </c>
      <c r="H538" s="3">
        <v>59.4268292682927</v>
      </c>
      <c r="I538" s="3">
        <v>3.2</v>
      </c>
      <c r="J538" s="3">
        <f t="shared" si="42"/>
        <v>72.430000000000007</v>
      </c>
      <c r="K538" s="3">
        <v>10</v>
      </c>
      <c r="L538" s="3">
        <v>53.17</v>
      </c>
      <c r="M538" s="3">
        <v>3</v>
      </c>
      <c r="N538" s="3">
        <f t="shared" si="43"/>
        <v>66.17</v>
      </c>
      <c r="O538" s="3">
        <f t="shared" si="44"/>
        <v>138.6</v>
      </c>
      <c r="P538" s="2"/>
      <c r="Q538" s="5"/>
    </row>
    <row r="539" spans="1:17">
      <c r="A539" s="2">
        <f t="shared" si="40"/>
        <v>537</v>
      </c>
      <c r="B539" s="2">
        <f t="shared" si="41"/>
        <v>109</v>
      </c>
      <c r="C539" s="2" t="s">
        <v>24</v>
      </c>
      <c r="D539" s="2" t="s">
        <v>76</v>
      </c>
      <c r="E539" s="2" t="s">
        <v>1136</v>
      </c>
      <c r="F539" s="2" t="s">
        <v>1137</v>
      </c>
      <c r="G539" s="3">
        <v>9.8000000000000007</v>
      </c>
      <c r="H539" s="3">
        <v>57.524390243902403</v>
      </c>
      <c r="I539" s="3">
        <v>3</v>
      </c>
      <c r="J539" s="3">
        <f t="shared" si="42"/>
        <v>70.319999999999993</v>
      </c>
      <c r="K539" s="3">
        <v>9</v>
      </c>
      <c r="L539" s="3">
        <v>56.25</v>
      </c>
      <c r="M539" s="3">
        <v>3</v>
      </c>
      <c r="N539" s="3">
        <f t="shared" si="43"/>
        <v>68.25</v>
      </c>
      <c r="O539" s="3">
        <f t="shared" si="44"/>
        <v>138.57</v>
      </c>
      <c r="P539" s="2"/>
      <c r="Q539" s="5"/>
    </row>
    <row r="540" spans="1:17">
      <c r="A540" s="2">
        <f t="shared" si="40"/>
        <v>537</v>
      </c>
      <c r="B540" s="2">
        <f t="shared" si="41"/>
        <v>175</v>
      </c>
      <c r="C540" s="2" t="s">
        <v>45</v>
      </c>
      <c r="D540" s="2" t="s">
        <v>89</v>
      </c>
      <c r="E540" s="2" t="s">
        <v>1138</v>
      </c>
      <c r="F540" s="2" t="s">
        <v>1139</v>
      </c>
      <c r="G540" s="3">
        <v>9.8000000000000007</v>
      </c>
      <c r="H540" s="3">
        <v>57.46</v>
      </c>
      <c r="I540" s="3">
        <v>3.6</v>
      </c>
      <c r="J540" s="3">
        <f t="shared" si="42"/>
        <v>70.86</v>
      </c>
      <c r="K540" s="3">
        <v>7.3000000000000007</v>
      </c>
      <c r="L540" s="3">
        <v>56.41</v>
      </c>
      <c r="M540" s="3">
        <v>4</v>
      </c>
      <c r="N540" s="3">
        <f t="shared" si="43"/>
        <v>67.709999999999994</v>
      </c>
      <c r="O540" s="3">
        <f t="shared" si="44"/>
        <v>138.57</v>
      </c>
      <c r="P540" s="2"/>
      <c r="Q540" s="5"/>
    </row>
    <row r="541" spans="1:17">
      <c r="A541" s="2">
        <f t="shared" si="40"/>
        <v>539</v>
      </c>
      <c r="B541" s="2">
        <f t="shared" si="41"/>
        <v>184</v>
      </c>
      <c r="C541" s="2" t="s">
        <v>20</v>
      </c>
      <c r="D541" s="2" t="s">
        <v>42</v>
      </c>
      <c r="E541" s="2" t="s">
        <v>1140</v>
      </c>
      <c r="F541" s="2" t="s">
        <v>1141</v>
      </c>
      <c r="G541" s="3">
        <v>8.3000000000000007</v>
      </c>
      <c r="H541" s="3">
        <v>52.877551020408198</v>
      </c>
      <c r="I541" s="3">
        <v>5.8</v>
      </c>
      <c r="J541" s="3">
        <f t="shared" si="42"/>
        <v>66.98</v>
      </c>
      <c r="K541" s="3">
        <v>10</v>
      </c>
      <c r="L541" s="3">
        <v>54.78</v>
      </c>
      <c r="M541" s="3">
        <v>6.8</v>
      </c>
      <c r="N541" s="3">
        <f t="shared" si="43"/>
        <v>71.58</v>
      </c>
      <c r="O541" s="3">
        <f t="shared" si="44"/>
        <v>138.56</v>
      </c>
      <c r="P541" s="2"/>
      <c r="Q541" s="5"/>
    </row>
    <row r="542" spans="1:17">
      <c r="A542" s="2">
        <f t="shared" si="40"/>
        <v>540</v>
      </c>
      <c r="B542" s="2">
        <f t="shared" si="41"/>
        <v>72</v>
      </c>
      <c r="C542" s="2" t="s">
        <v>15</v>
      </c>
      <c r="D542" s="2" t="s">
        <v>39</v>
      </c>
      <c r="E542" s="2" t="s">
        <v>1142</v>
      </c>
      <c r="F542" s="2" t="s">
        <v>1143</v>
      </c>
      <c r="G542" s="3">
        <v>9.8000000000000007</v>
      </c>
      <c r="H542" s="3">
        <v>52.65</v>
      </c>
      <c r="I542" s="3">
        <v>4</v>
      </c>
      <c r="J542" s="3">
        <f t="shared" si="42"/>
        <v>66.45</v>
      </c>
      <c r="K542" s="3">
        <v>7.3000000000000007</v>
      </c>
      <c r="L542" s="3">
        <v>60.57</v>
      </c>
      <c r="M542" s="3">
        <v>4.0999999999999996</v>
      </c>
      <c r="N542" s="3">
        <f t="shared" si="43"/>
        <v>71.97</v>
      </c>
      <c r="O542" s="3">
        <f t="shared" si="44"/>
        <v>138.41999999999999</v>
      </c>
      <c r="P542" s="2"/>
      <c r="Q542" s="5"/>
    </row>
    <row r="543" spans="1:17">
      <c r="A543" s="2">
        <f t="shared" si="40"/>
        <v>541</v>
      </c>
      <c r="B543" s="2">
        <f t="shared" si="41"/>
        <v>176</v>
      </c>
      <c r="C543" s="2" t="s">
        <v>45</v>
      </c>
      <c r="D543" s="2" t="s">
        <v>73</v>
      </c>
      <c r="E543" s="2" t="s">
        <v>1144</v>
      </c>
      <c r="F543" s="2" t="s">
        <v>1145</v>
      </c>
      <c r="G543" s="3">
        <v>10</v>
      </c>
      <c r="H543" s="3">
        <v>58.06</v>
      </c>
      <c r="I543" s="3">
        <v>4</v>
      </c>
      <c r="J543" s="3">
        <f t="shared" si="42"/>
        <v>72.06</v>
      </c>
      <c r="K543" s="3">
        <v>10</v>
      </c>
      <c r="L543" s="3">
        <v>52.65</v>
      </c>
      <c r="M543" s="3">
        <v>3.7</v>
      </c>
      <c r="N543" s="3">
        <f t="shared" si="43"/>
        <v>66.349999999999994</v>
      </c>
      <c r="O543" s="3">
        <f t="shared" si="44"/>
        <v>138.41</v>
      </c>
      <c r="P543" s="2"/>
      <c r="Q543" s="5"/>
    </row>
    <row r="544" spans="1:17">
      <c r="A544" s="2">
        <f t="shared" si="40"/>
        <v>542</v>
      </c>
      <c r="B544" s="2">
        <f t="shared" si="41"/>
        <v>110</v>
      </c>
      <c r="C544" s="2" t="s">
        <v>24</v>
      </c>
      <c r="D544" s="2" t="s">
        <v>49</v>
      </c>
      <c r="E544" s="2" t="s">
        <v>1146</v>
      </c>
      <c r="F544" s="2" t="s">
        <v>1147</v>
      </c>
      <c r="G544" s="3">
        <v>9.8000000000000007</v>
      </c>
      <c r="H544" s="3">
        <v>53.963414634146403</v>
      </c>
      <c r="I544" s="3">
        <v>4.3</v>
      </c>
      <c r="J544" s="3">
        <f t="shared" si="42"/>
        <v>68.06</v>
      </c>
      <c r="K544" s="3">
        <v>9.8000000000000007</v>
      </c>
      <c r="L544" s="3">
        <v>55.75</v>
      </c>
      <c r="M544" s="3">
        <v>4.5</v>
      </c>
      <c r="N544" s="3">
        <f t="shared" si="43"/>
        <v>70.05</v>
      </c>
      <c r="O544" s="3">
        <f t="shared" si="44"/>
        <v>138.11000000000001</v>
      </c>
      <c r="P544" s="2"/>
      <c r="Q544" s="5"/>
    </row>
    <row r="545" spans="1:17">
      <c r="A545" s="2">
        <f t="shared" si="40"/>
        <v>543</v>
      </c>
      <c r="B545" s="2">
        <f t="shared" si="41"/>
        <v>111</v>
      </c>
      <c r="C545" s="2" t="s">
        <v>24</v>
      </c>
      <c r="D545" s="2" t="s">
        <v>76</v>
      </c>
      <c r="E545" s="2" t="s">
        <v>1148</v>
      </c>
      <c r="F545" s="2" t="s">
        <v>1149</v>
      </c>
      <c r="G545" s="3">
        <v>9.8000000000000007</v>
      </c>
      <c r="H545" s="3">
        <v>57.036585365853597</v>
      </c>
      <c r="I545" s="3">
        <v>3</v>
      </c>
      <c r="J545" s="3">
        <f t="shared" si="42"/>
        <v>69.84</v>
      </c>
      <c r="K545" s="3">
        <v>9</v>
      </c>
      <c r="L545" s="3">
        <v>56.21</v>
      </c>
      <c r="M545" s="3">
        <v>3</v>
      </c>
      <c r="N545" s="3">
        <f t="shared" si="43"/>
        <v>68.209999999999994</v>
      </c>
      <c r="O545" s="3">
        <f t="shared" si="44"/>
        <v>138.05000000000001</v>
      </c>
      <c r="P545" s="2"/>
      <c r="Q545" s="5"/>
    </row>
    <row r="546" spans="1:17">
      <c r="A546" s="2">
        <f t="shared" si="40"/>
        <v>543</v>
      </c>
      <c r="B546" s="2">
        <f t="shared" si="41"/>
        <v>185</v>
      </c>
      <c r="C546" s="2" t="s">
        <v>20</v>
      </c>
      <c r="D546" s="2" t="s">
        <v>36</v>
      </c>
      <c r="E546" s="2" t="s">
        <v>1150</v>
      </c>
      <c r="F546" s="2" t="s">
        <v>1151</v>
      </c>
      <c r="G546" s="3">
        <v>10.3</v>
      </c>
      <c r="H546" s="3">
        <v>53.31</v>
      </c>
      <c r="I546" s="3">
        <v>3</v>
      </c>
      <c r="J546" s="3">
        <f t="shared" si="42"/>
        <v>66.61</v>
      </c>
      <c r="K546" s="3">
        <v>9.8000000000000007</v>
      </c>
      <c r="L546" s="3">
        <v>58.14</v>
      </c>
      <c r="M546" s="3">
        <v>3.5</v>
      </c>
      <c r="N546" s="3">
        <f t="shared" si="43"/>
        <v>71.44</v>
      </c>
      <c r="O546" s="3">
        <f t="shared" si="44"/>
        <v>138.05000000000001</v>
      </c>
      <c r="P546" s="2"/>
      <c r="Q546" s="5"/>
    </row>
    <row r="547" spans="1:17">
      <c r="A547" s="2">
        <f t="shared" si="40"/>
        <v>545</v>
      </c>
      <c r="B547" s="2">
        <f t="shared" si="41"/>
        <v>73</v>
      </c>
      <c r="C547" s="2" t="s">
        <v>15</v>
      </c>
      <c r="D547" s="2" t="s">
        <v>16</v>
      </c>
      <c r="E547" s="2" t="s">
        <v>1152</v>
      </c>
      <c r="F547" s="2" t="s">
        <v>1153</v>
      </c>
      <c r="G547" s="3">
        <v>9.8000000000000007</v>
      </c>
      <c r="H547" s="3">
        <v>58.99</v>
      </c>
      <c r="I547" s="3">
        <v>3</v>
      </c>
      <c r="J547" s="3">
        <f t="shared" si="42"/>
        <v>71.790000000000006</v>
      </c>
      <c r="K547" s="3">
        <v>7.3000000000000007</v>
      </c>
      <c r="L547" s="3">
        <v>55.23</v>
      </c>
      <c r="M547" s="3">
        <v>3.7</v>
      </c>
      <c r="N547" s="3">
        <f t="shared" si="43"/>
        <v>66.23</v>
      </c>
      <c r="O547" s="3">
        <f t="shared" si="44"/>
        <v>138.02000000000001</v>
      </c>
      <c r="P547" s="2"/>
      <c r="Q547" s="5"/>
    </row>
    <row r="548" spans="1:17">
      <c r="A548" s="2">
        <f t="shared" si="40"/>
        <v>546</v>
      </c>
      <c r="B548" s="2">
        <f t="shared" si="41"/>
        <v>74</v>
      </c>
      <c r="C548" s="2" t="s">
        <v>15</v>
      </c>
      <c r="D548" s="2" t="s">
        <v>257</v>
      </c>
      <c r="E548" s="2" t="s">
        <v>1154</v>
      </c>
      <c r="F548" s="2" t="s">
        <v>1155</v>
      </c>
      <c r="G548" s="3">
        <v>9.8000000000000007</v>
      </c>
      <c r="H548" s="3">
        <v>56.45</v>
      </c>
      <c r="I548" s="3">
        <v>3</v>
      </c>
      <c r="J548" s="3">
        <f t="shared" si="42"/>
        <v>69.25</v>
      </c>
      <c r="K548" s="3">
        <v>7.3000000000000007</v>
      </c>
      <c r="L548" s="3">
        <v>57.91</v>
      </c>
      <c r="M548" s="3">
        <v>3.5</v>
      </c>
      <c r="N548" s="3">
        <f t="shared" si="43"/>
        <v>68.709999999999994</v>
      </c>
      <c r="O548" s="3">
        <f t="shared" si="44"/>
        <v>137.96</v>
      </c>
      <c r="P548" s="2"/>
      <c r="Q548" s="5"/>
    </row>
    <row r="549" spans="1:17">
      <c r="A549" s="2">
        <f t="shared" si="40"/>
        <v>547</v>
      </c>
      <c r="B549" s="2">
        <f t="shared" si="41"/>
        <v>177</v>
      </c>
      <c r="C549" s="2" t="s">
        <v>45</v>
      </c>
      <c r="D549" s="2" t="s">
        <v>54</v>
      </c>
      <c r="E549" s="2" t="s">
        <v>1156</v>
      </c>
      <c r="F549" s="2" t="s">
        <v>1157</v>
      </c>
      <c r="G549" s="3">
        <v>9.8000000000000007</v>
      </c>
      <c r="H549" s="3">
        <v>59.36</v>
      </c>
      <c r="I549" s="3">
        <v>3</v>
      </c>
      <c r="J549" s="3">
        <f t="shared" si="42"/>
        <v>72.16</v>
      </c>
      <c r="K549" s="3">
        <v>7.3000000000000007</v>
      </c>
      <c r="L549" s="3">
        <v>54.53</v>
      </c>
      <c r="M549" s="3">
        <v>3.9</v>
      </c>
      <c r="N549" s="3">
        <f t="shared" si="43"/>
        <v>65.73</v>
      </c>
      <c r="O549" s="3">
        <f t="shared" si="44"/>
        <v>137.88999999999999</v>
      </c>
      <c r="P549" s="2"/>
      <c r="Q549" s="5"/>
    </row>
    <row r="550" spans="1:17">
      <c r="A550" s="2">
        <f t="shared" si="40"/>
        <v>548</v>
      </c>
      <c r="B550" s="2">
        <f t="shared" si="41"/>
        <v>186</v>
      </c>
      <c r="C550" s="2" t="s">
        <v>20</v>
      </c>
      <c r="D550" s="2" t="s">
        <v>164</v>
      </c>
      <c r="E550" s="2" t="s">
        <v>1158</v>
      </c>
      <c r="F550" s="2" t="s">
        <v>1159</v>
      </c>
      <c r="G550" s="3">
        <v>9.8000000000000007</v>
      </c>
      <c r="H550" s="3">
        <v>58.57</v>
      </c>
      <c r="I550" s="3">
        <v>4.5</v>
      </c>
      <c r="J550" s="3">
        <f t="shared" si="42"/>
        <v>72.87</v>
      </c>
      <c r="K550" s="3">
        <v>9.8000000000000007</v>
      </c>
      <c r="L550" s="3">
        <v>50.5</v>
      </c>
      <c r="M550" s="3">
        <v>4.7</v>
      </c>
      <c r="N550" s="3">
        <f t="shared" si="43"/>
        <v>65</v>
      </c>
      <c r="O550" s="3">
        <f t="shared" si="44"/>
        <v>137.87</v>
      </c>
      <c r="P550" s="2"/>
      <c r="Q550" s="5"/>
    </row>
    <row r="551" spans="1:17">
      <c r="A551" s="2">
        <f t="shared" si="40"/>
        <v>549</v>
      </c>
      <c r="B551" s="2">
        <f t="shared" si="41"/>
        <v>178</v>
      </c>
      <c r="C551" s="2" t="s">
        <v>45</v>
      </c>
      <c r="D551" s="2" t="s">
        <v>114</v>
      </c>
      <c r="E551" s="2" t="s">
        <v>1160</v>
      </c>
      <c r="F551" s="2" t="s">
        <v>1161</v>
      </c>
      <c r="G551" s="3">
        <v>10.6</v>
      </c>
      <c r="H551" s="3">
        <v>56.79</v>
      </c>
      <c r="I551" s="3">
        <v>3.75</v>
      </c>
      <c r="J551" s="3">
        <f t="shared" si="42"/>
        <v>71.14</v>
      </c>
      <c r="K551" s="3">
        <v>9.8000000000000007</v>
      </c>
      <c r="L551" s="3">
        <v>53.39</v>
      </c>
      <c r="M551" s="3">
        <v>3.5</v>
      </c>
      <c r="N551" s="3">
        <f t="shared" si="43"/>
        <v>66.69</v>
      </c>
      <c r="O551" s="3">
        <f t="shared" si="44"/>
        <v>137.83000000000001</v>
      </c>
      <c r="P551" s="2"/>
      <c r="Q551" s="5"/>
    </row>
    <row r="552" spans="1:17">
      <c r="A552" s="2">
        <f t="shared" si="40"/>
        <v>550</v>
      </c>
      <c r="B552" s="2">
        <f t="shared" si="41"/>
        <v>187</v>
      </c>
      <c r="C552" s="2" t="s">
        <v>20</v>
      </c>
      <c r="D552" s="2" t="s">
        <v>36</v>
      </c>
      <c r="E552" s="2" t="s">
        <v>1162</v>
      </c>
      <c r="F552" s="2" t="s">
        <v>1163</v>
      </c>
      <c r="G552" s="3">
        <v>9.8000000000000007</v>
      </c>
      <c r="H552" s="3">
        <v>57.59</v>
      </c>
      <c r="I552" s="3">
        <v>3</v>
      </c>
      <c r="J552" s="3">
        <f t="shared" si="42"/>
        <v>70.39</v>
      </c>
      <c r="K552" s="3">
        <v>9.8000000000000007</v>
      </c>
      <c r="L552" s="3">
        <v>54.11</v>
      </c>
      <c r="M552" s="3">
        <v>3.5</v>
      </c>
      <c r="N552" s="3">
        <f t="shared" si="43"/>
        <v>67.41</v>
      </c>
      <c r="O552" s="3">
        <f t="shared" si="44"/>
        <v>137.80000000000001</v>
      </c>
      <c r="P552" s="2"/>
      <c r="Q552" s="5"/>
    </row>
    <row r="553" spans="1:17">
      <c r="A553" s="2">
        <f t="shared" si="40"/>
        <v>551</v>
      </c>
      <c r="B553" s="2">
        <f t="shared" si="41"/>
        <v>75</v>
      </c>
      <c r="C553" s="2" t="s">
        <v>15</v>
      </c>
      <c r="D553" s="2" t="s">
        <v>39</v>
      </c>
      <c r="E553" s="2" t="s">
        <v>1164</v>
      </c>
      <c r="F553" s="2" t="s">
        <v>1165</v>
      </c>
      <c r="G553" s="3">
        <v>9.8000000000000007</v>
      </c>
      <c r="H553" s="3">
        <v>53.07</v>
      </c>
      <c r="I553" s="3">
        <v>4.2</v>
      </c>
      <c r="J553" s="3">
        <f t="shared" si="42"/>
        <v>67.069999999999993</v>
      </c>
      <c r="K553" s="3">
        <v>7.3000000000000007</v>
      </c>
      <c r="L553" s="3">
        <v>58.71</v>
      </c>
      <c r="M553" s="3">
        <v>4.7</v>
      </c>
      <c r="N553" s="3">
        <f t="shared" si="43"/>
        <v>70.709999999999994</v>
      </c>
      <c r="O553" s="3">
        <f t="shared" si="44"/>
        <v>137.78</v>
      </c>
      <c r="P553" s="2"/>
      <c r="Q553" s="5"/>
    </row>
    <row r="554" spans="1:17">
      <c r="A554" s="2">
        <f t="shared" si="40"/>
        <v>552</v>
      </c>
      <c r="B554" s="2">
        <f t="shared" si="41"/>
        <v>179</v>
      </c>
      <c r="C554" s="2" t="s">
        <v>45</v>
      </c>
      <c r="D554" s="2" t="s">
        <v>220</v>
      </c>
      <c r="E554" s="2" t="s">
        <v>1166</v>
      </c>
      <c r="F554" s="2" t="s">
        <v>1167</v>
      </c>
      <c r="G554" s="3">
        <v>9.8000000000000007</v>
      </c>
      <c r="H554" s="3">
        <v>52.84</v>
      </c>
      <c r="I554" s="3">
        <v>4.7</v>
      </c>
      <c r="J554" s="3">
        <f t="shared" si="42"/>
        <v>67.34</v>
      </c>
      <c r="K554" s="3">
        <v>9.8000000000000007</v>
      </c>
      <c r="L554" s="3">
        <v>54.83</v>
      </c>
      <c r="M554" s="3">
        <v>5.8</v>
      </c>
      <c r="N554" s="3">
        <f t="shared" si="43"/>
        <v>70.430000000000007</v>
      </c>
      <c r="O554" s="3">
        <f t="shared" si="44"/>
        <v>137.77000000000001</v>
      </c>
      <c r="P554" s="2"/>
      <c r="Q554" s="5"/>
    </row>
    <row r="555" spans="1:17">
      <c r="A555" s="2">
        <f t="shared" si="40"/>
        <v>553</v>
      </c>
      <c r="B555" s="2">
        <f t="shared" si="41"/>
        <v>180</v>
      </c>
      <c r="C555" s="2" t="s">
        <v>45</v>
      </c>
      <c r="D555" s="2" t="s">
        <v>89</v>
      </c>
      <c r="E555" s="2" t="s">
        <v>1168</v>
      </c>
      <c r="F555" s="2" t="s">
        <v>1169</v>
      </c>
      <c r="G555" s="3">
        <v>9.8000000000000007</v>
      </c>
      <c r="H555" s="3">
        <v>49.82</v>
      </c>
      <c r="I555" s="3">
        <v>5.8</v>
      </c>
      <c r="J555" s="3">
        <f t="shared" si="42"/>
        <v>65.42</v>
      </c>
      <c r="K555" s="3">
        <v>9.8000000000000007</v>
      </c>
      <c r="L555" s="3">
        <v>54.32</v>
      </c>
      <c r="M555" s="3">
        <v>8.1</v>
      </c>
      <c r="N555" s="3">
        <f t="shared" si="43"/>
        <v>72.22</v>
      </c>
      <c r="O555" s="3">
        <f t="shared" si="44"/>
        <v>137.63999999999999</v>
      </c>
      <c r="P555" s="2"/>
      <c r="Q555" s="5"/>
    </row>
    <row r="556" spans="1:17">
      <c r="A556" s="2">
        <f t="shared" si="40"/>
        <v>553</v>
      </c>
      <c r="B556" s="2">
        <f t="shared" si="41"/>
        <v>180</v>
      </c>
      <c r="C556" s="2" t="s">
        <v>45</v>
      </c>
      <c r="D556" s="2" t="s">
        <v>54</v>
      </c>
      <c r="E556" s="2" t="s">
        <v>1170</v>
      </c>
      <c r="F556" s="2" t="s">
        <v>1171</v>
      </c>
      <c r="G556" s="3">
        <v>9.6</v>
      </c>
      <c r="H556" s="3">
        <v>54.86</v>
      </c>
      <c r="I556" s="3">
        <v>3.2</v>
      </c>
      <c r="J556" s="3">
        <f t="shared" si="42"/>
        <v>67.66</v>
      </c>
      <c r="K556" s="3">
        <v>10</v>
      </c>
      <c r="L556" s="3">
        <v>56.48</v>
      </c>
      <c r="M556" s="3">
        <v>3.5</v>
      </c>
      <c r="N556" s="3">
        <f t="shared" si="43"/>
        <v>69.98</v>
      </c>
      <c r="O556" s="3">
        <f t="shared" si="44"/>
        <v>137.63999999999999</v>
      </c>
      <c r="P556" s="2"/>
      <c r="Q556" s="5"/>
    </row>
    <row r="557" spans="1:17">
      <c r="A557" s="2">
        <f t="shared" si="40"/>
        <v>555</v>
      </c>
      <c r="B557" s="2">
        <f t="shared" si="41"/>
        <v>182</v>
      </c>
      <c r="C557" s="2" t="s">
        <v>45</v>
      </c>
      <c r="D557" s="2" t="s">
        <v>220</v>
      </c>
      <c r="E557" s="2" t="s">
        <v>1172</v>
      </c>
      <c r="F557" s="2" t="s">
        <v>1173</v>
      </c>
      <c r="G557" s="3">
        <v>10</v>
      </c>
      <c r="H557" s="3">
        <v>56.16</v>
      </c>
      <c r="I557" s="3">
        <v>3.9</v>
      </c>
      <c r="J557" s="3">
        <f t="shared" si="42"/>
        <v>70.06</v>
      </c>
      <c r="K557" s="3">
        <v>10</v>
      </c>
      <c r="L557" s="3">
        <v>52.95</v>
      </c>
      <c r="M557" s="3">
        <v>4.5999999999999996</v>
      </c>
      <c r="N557" s="3">
        <f t="shared" si="43"/>
        <v>67.55</v>
      </c>
      <c r="O557" s="3">
        <f t="shared" si="44"/>
        <v>137.61000000000001</v>
      </c>
      <c r="P557" s="2"/>
      <c r="Q557" s="5"/>
    </row>
    <row r="558" spans="1:17">
      <c r="A558" s="2">
        <f t="shared" si="40"/>
        <v>556</v>
      </c>
      <c r="B558" s="2">
        <f t="shared" si="41"/>
        <v>183</v>
      </c>
      <c r="C558" s="2" t="s">
        <v>45</v>
      </c>
      <c r="D558" s="2" t="s">
        <v>54</v>
      </c>
      <c r="E558" s="2" t="s">
        <v>1174</v>
      </c>
      <c r="F558" s="2" t="s">
        <v>1175</v>
      </c>
      <c r="G558" s="3">
        <v>9.8000000000000007</v>
      </c>
      <c r="H558" s="3">
        <v>55.99</v>
      </c>
      <c r="I558" s="3">
        <v>4.2</v>
      </c>
      <c r="J558" s="3">
        <f t="shared" si="42"/>
        <v>69.989999999999995</v>
      </c>
      <c r="K558" s="3">
        <v>9.8000000000000007</v>
      </c>
      <c r="L558" s="3">
        <v>51.89</v>
      </c>
      <c r="M558" s="3">
        <v>5.9</v>
      </c>
      <c r="N558" s="3">
        <f t="shared" si="43"/>
        <v>67.59</v>
      </c>
      <c r="O558" s="3">
        <f t="shared" si="44"/>
        <v>137.58000000000001</v>
      </c>
      <c r="P558" s="2"/>
      <c r="Q558" s="5"/>
    </row>
    <row r="559" spans="1:17">
      <c r="A559" s="2">
        <f t="shared" si="40"/>
        <v>557</v>
      </c>
      <c r="B559" s="2">
        <f t="shared" si="41"/>
        <v>76</v>
      </c>
      <c r="C559" s="2" t="s">
        <v>15</v>
      </c>
      <c r="D559" s="2" t="s">
        <v>39</v>
      </c>
      <c r="E559" s="2" t="s">
        <v>1176</v>
      </c>
      <c r="F559" s="2" t="s">
        <v>1177</v>
      </c>
      <c r="G559" s="3">
        <v>9.8000000000000007</v>
      </c>
      <c r="H559" s="3">
        <v>57.61</v>
      </c>
      <c r="I559" s="3">
        <v>3</v>
      </c>
      <c r="J559" s="3">
        <f t="shared" si="42"/>
        <v>70.41</v>
      </c>
      <c r="K559" s="3">
        <v>7.3000000000000007</v>
      </c>
      <c r="L559" s="3">
        <v>56.14</v>
      </c>
      <c r="M559" s="3">
        <v>3.7</v>
      </c>
      <c r="N559" s="3">
        <f t="shared" si="43"/>
        <v>67.14</v>
      </c>
      <c r="O559" s="3">
        <f t="shared" si="44"/>
        <v>137.55000000000001</v>
      </c>
      <c r="P559" s="4" t="s">
        <v>758</v>
      </c>
      <c r="Q559" s="5"/>
    </row>
    <row r="560" spans="1:17">
      <c r="A560" s="2">
        <f t="shared" si="40"/>
        <v>558</v>
      </c>
      <c r="B560" s="2">
        <f t="shared" si="41"/>
        <v>184</v>
      </c>
      <c r="C560" s="2" t="s">
        <v>45</v>
      </c>
      <c r="D560" s="2" t="s">
        <v>232</v>
      </c>
      <c r="E560" s="2" t="s">
        <v>1178</v>
      </c>
      <c r="F560" s="2" t="s">
        <v>1179</v>
      </c>
      <c r="G560" s="3">
        <v>9.6</v>
      </c>
      <c r="H560" s="3">
        <v>57.14</v>
      </c>
      <c r="I560" s="3">
        <v>4.2</v>
      </c>
      <c r="J560" s="3">
        <f t="shared" si="42"/>
        <v>70.94</v>
      </c>
      <c r="K560" s="3">
        <v>10</v>
      </c>
      <c r="L560" s="3">
        <v>51.1</v>
      </c>
      <c r="M560" s="3">
        <v>5.5</v>
      </c>
      <c r="N560" s="3">
        <f t="shared" si="43"/>
        <v>66.599999999999994</v>
      </c>
      <c r="O560" s="3">
        <f t="shared" si="44"/>
        <v>137.54</v>
      </c>
      <c r="P560" s="2"/>
      <c r="Q560" s="5"/>
    </row>
    <row r="561" spans="1:17">
      <c r="A561" s="2">
        <f t="shared" si="40"/>
        <v>559</v>
      </c>
      <c r="B561" s="2">
        <f t="shared" si="41"/>
        <v>188</v>
      </c>
      <c r="C561" s="2" t="s">
        <v>20</v>
      </c>
      <c r="D561" s="2" t="s">
        <v>29</v>
      </c>
      <c r="E561" s="2" t="s">
        <v>1180</v>
      </c>
      <c r="F561" s="2" t="s">
        <v>1181</v>
      </c>
      <c r="G561" s="3">
        <v>9.8000000000000007</v>
      </c>
      <c r="H561" s="3">
        <v>62.54</v>
      </c>
      <c r="I561" s="3">
        <v>4</v>
      </c>
      <c r="J561" s="3">
        <f t="shared" si="42"/>
        <v>76.34</v>
      </c>
      <c r="K561" s="3">
        <v>9.8000000000000007</v>
      </c>
      <c r="L561" s="3">
        <v>46.68</v>
      </c>
      <c r="M561" s="3">
        <v>4.7</v>
      </c>
      <c r="N561" s="3">
        <f t="shared" si="43"/>
        <v>61.18</v>
      </c>
      <c r="O561" s="3">
        <f t="shared" si="44"/>
        <v>137.52000000000001</v>
      </c>
      <c r="P561" s="2"/>
      <c r="Q561" s="5"/>
    </row>
    <row r="562" spans="1:17">
      <c r="A562" s="2">
        <f t="shared" si="40"/>
        <v>560</v>
      </c>
      <c r="B562" s="2">
        <f t="shared" si="41"/>
        <v>112</v>
      </c>
      <c r="C562" s="2" t="s">
        <v>24</v>
      </c>
      <c r="D562" s="2" t="s">
        <v>25</v>
      </c>
      <c r="E562" s="2" t="s">
        <v>1182</v>
      </c>
      <c r="F562" s="2" t="s">
        <v>1183</v>
      </c>
      <c r="G562" s="3">
        <v>10</v>
      </c>
      <c r="H562" s="3">
        <v>56.756097560975597</v>
      </c>
      <c r="I562" s="3">
        <v>4.3</v>
      </c>
      <c r="J562" s="3">
        <f t="shared" si="42"/>
        <v>71.06</v>
      </c>
      <c r="K562" s="3">
        <v>10</v>
      </c>
      <c r="L562" s="3">
        <v>51.67</v>
      </c>
      <c r="M562" s="3">
        <v>4.7</v>
      </c>
      <c r="N562" s="3">
        <f t="shared" si="43"/>
        <v>66.37</v>
      </c>
      <c r="O562" s="3">
        <f t="shared" si="44"/>
        <v>137.43</v>
      </c>
      <c r="P562" s="2"/>
      <c r="Q562" s="5"/>
    </row>
    <row r="563" spans="1:17">
      <c r="A563" s="2">
        <f t="shared" si="40"/>
        <v>561</v>
      </c>
      <c r="B563" s="2">
        <f t="shared" si="41"/>
        <v>189</v>
      </c>
      <c r="C563" s="2" t="s">
        <v>20</v>
      </c>
      <c r="D563" s="2" t="s">
        <v>32</v>
      </c>
      <c r="E563" s="2" t="s">
        <v>1184</v>
      </c>
      <c r="F563" s="2" t="s">
        <v>1185</v>
      </c>
      <c r="G563" s="3">
        <v>10.3</v>
      </c>
      <c r="H563" s="3">
        <v>51.918367346938801</v>
      </c>
      <c r="I563" s="3">
        <v>6</v>
      </c>
      <c r="J563" s="3">
        <f t="shared" si="42"/>
        <v>68.22</v>
      </c>
      <c r="K563" s="3">
        <v>9.8000000000000007</v>
      </c>
      <c r="L563" s="3">
        <v>53.69</v>
      </c>
      <c r="M563" s="3">
        <v>5.7</v>
      </c>
      <c r="N563" s="3">
        <f t="shared" si="43"/>
        <v>69.19</v>
      </c>
      <c r="O563" s="3">
        <f t="shared" si="44"/>
        <v>137.41</v>
      </c>
      <c r="P563" s="2"/>
      <c r="Q563" s="5"/>
    </row>
    <row r="564" spans="1:17">
      <c r="A564" s="2">
        <f t="shared" si="40"/>
        <v>562</v>
      </c>
      <c r="B564" s="2">
        <f t="shared" si="41"/>
        <v>185</v>
      </c>
      <c r="C564" s="2" t="s">
        <v>45</v>
      </c>
      <c r="D564" s="2" t="s">
        <v>46</v>
      </c>
      <c r="E564" s="2" t="s">
        <v>1186</v>
      </c>
      <c r="F564" s="2" t="s">
        <v>1187</v>
      </c>
      <c r="G564" s="3">
        <v>9.8000000000000007</v>
      </c>
      <c r="H564" s="3">
        <v>57.72</v>
      </c>
      <c r="I564" s="3">
        <v>3</v>
      </c>
      <c r="J564" s="3">
        <f t="shared" si="42"/>
        <v>70.52</v>
      </c>
      <c r="K564" s="3">
        <v>9.8000000000000007</v>
      </c>
      <c r="L564" s="3">
        <v>52.65</v>
      </c>
      <c r="M564" s="3">
        <v>4.4000000000000004</v>
      </c>
      <c r="N564" s="3">
        <f t="shared" si="43"/>
        <v>66.849999999999994</v>
      </c>
      <c r="O564" s="3">
        <f t="shared" si="44"/>
        <v>137.37</v>
      </c>
      <c r="P564" s="2"/>
      <c r="Q564" s="5"/>
    </row>
    <row r="565" spans="1:17">
      <c r="A565" s="2">
        <f t="shared" si="40"/>
        <v>562</v>
      </c>
      <c r="B565" s="2">
        <f t="shared" si="41"/>
        <v>185</v>
      </c>
      <c r="C565" s="2" t="s">
        <v>45</v>
      </c>
      <c r="D565" s="2" t="s">
        <v>96</v>
      </c>
      <c r="E565" s="2" t="s">
        <v>1188</v>
      </c>
      <c r="F565" s="2" t="s">
        <v>1189</v>
      </c>
      <c r="G565" s="3">
        <v>10.5</v>
      </c>
      <c r="H565" s="3">
        <v>55.84</v>
      </c>
      <c r="I565" s="3">
        <v>3.7</v>
      </c>
      <c r="J565" s="3">
        <f t="shared" si="42"/>
        <v>70.040000000000006</v>
      </c>
      <c r="K565" s="3">
        <v>7.3000000000000007</v>
      </c>
      <c r="L565" s="3">
        <v>55.83</v>
      </c>
      <c r="M565" s="3">
        <v>4.2</v>
      </c>
      <c r="N565" s="3">
        <f t="shared" si="43"/>
        <v>67.33</v>
      </c>
      <c r="O565" s="3">
        <f t="shared" si="44"/>
        <v>137.37</v>
      </c>
      <c r="P565" s="2"/>
      <c r="Q565" s="5"/>
    </row>
    <row r="566" spans="1:17">
      <c r="A566" s="2">
        <f t="shared" si="40"/>
        <v>564</v>
      </c>
      <c r="B566" s="2">
        <f t="shared" si="41"/>
        <v>190</v>
      </c>
      <c r="C566" s="2" t="s">
        <v>20</v>
      </c>
      <c r="D566" s="2" t="s">
        <v>229</v>
      </c>
      <c r="E566" s="2" t="s">
        <v>1190</v>
      </c>
      <c r="F566" s="2" t="s">
        <v>1191</v>
      </c>
      <c r="G566" s="3">
        <v>10</v>
      </c>
      <c r="H566" s="3">
        <v>56.1</v>
      </c>
      <c r="I566" s="3">
        <v>4</v>
      </c>
      <c r="J566" s="3">
        <f t="shared" si="42"/>
        <v>70.099999999999994</v>
      </c>
      <c r="K566" s="3">
        <v>10</v>
      </c>
      <c r="L566" s="3">
        <v>53.53</v>
      </c>
      <c r="M566" s="3">
        <v>3.7</v>
      </c>
      <c r="N566" s="3">
        <f t="shared" si="43"/>
        <v>67.23</v>
      </c>
      <c r="O566" s="3">
        <f t="shared" si="44"/>
        <v>137.33000000000001</v>
      </c>
      <c r="P566" s="2"/>
      <c r="Q566" s="5"/>
    </row>
    <row r="567" spans="1:17">
      <c r="A567" s="2">
        <f t="shared" si="40"/>
        <v>565</v>
      </c>
      <c r="B567" s="2">
        <f t="shared" si="41"/>
        <v>113</v>
      </c>
      <c r="C567" s="2" t="s">
        <v>24</v>
      </c>
      <c r="D567" s="2" t="s">
        <v>49</v>
      </c>
      <c r="E567" s="2" t="s">
        <v>1192</v>
      </c>
      <c r="F567" s="2" t="s">
        <v>308</v>
      </c>
      <c r="G567" s="3">
        <v>9.8000000000000007</v>
      </c>
      <c r="H567" s="3">
        <v>56.670731707317103</v>
      </c>
      <c r="I567" s="3">
        <v>3</v>
      </c>
      <c r="J567" s="3">
        <f t="shared" si="42"/>
        <v>69.47</v>
      </c>
      <c r="K567" s="3">
        <v>6.5</v>
      </c>
      <c r="L567" s="3">
        <v>58.34</v>
      </c>
      <c r="M567" s="3">
        <v>3</v>
      </c>
      <c r="N567" s="3">
        <f t="shared" si="43"/>
        <v>67.84</v>
      </c>
      <c r="O567" s="3">
        <f t="shared" si="44"/>
        <v>137.31</v>
      </c>
      <c r="P567" s="2"/>
      <c r="Q567" s="5"/>
    </row>
    <row r="568" spans="1:17">
      <c r="A568" s="2">
        <f t="shared" si="40"/>
        <v>566</v>
      </c>
      <c r="B568" s="2">
        <f t="shared" si="41"/>
        <v>187</v>
      </c>
      <c r="C568" s="2" t="s">
        <v>45</v>
      </c>
      <c r="D568" s="2" t="s">
        <v>109</v>
      </c>
      <c r="E568" s="2" t="s">
        <v>1193</v>
      </c>
      <c r="F568" s="2" t="s">
        <v>1194</v>
      </c>
      <c r="G568" s="3">
        <v>11.8</v>
      </c>
      <c r="H568" s="3">
        <v>53.69</v>
      </c>
      <c r="I568" s="3">
        <v>4.2</v>
      </c>
      <c r="J568" s="3">
        <f t="shared" si="42"/>
        <v>69.69</v>
      </c>
      <c r="K568" s="3">
        <v>9.8000000000000007</v>
      </c>
      <c r="L568" s="3">
        <v>52.03</v>
      </c>
      <c r="M568" s="3">
        <v>5.7</v>
      </c>
      <c r="N568" s="3">
        <f t="shared" si="43"/>
        <v>67.53</v>
      </c>
      <c r="O568" s="3">
        <f t="shared" si="44"/>
        <v>137.22</v>
      </c>
      <c r="P568" s="2"/>
      <c r="Q568" s="5"/>
    </row>
    <row r="569" spans="1:17">
      <c r="A569" s="2">
        <f t="shared" si="40"/>
        <v>567</v>
      </c>
      <c r="B569" s="2">
        <f t="shared" si="41"/>
        <v>191</v>
      </c>
      <c r="C569" s="2" t="s">
        <v>20</v>
      </c>
      <c r="D569" s="2" t="s">
        <v>36</v>
      </c>
      <c r="E569" s="2" t="s">
        <v>1195</v>
      </c>
      <c r="F569" s="2" t="s">
        <v>1196</v>
      </c>
      <c r="G569" s="3">
        <v>10.3</v>
      </c>
      <c r="H569" s="3">
        <v>57.55</v>
      </c>
      <c r="I569" s="3">
        <v>3.8</v>
      </c>
      <c r="J569" s="3">
        <f t="shared" si="42"/>
        <v>71.650000000000006</v>
      </c>
      <c r="K569" s="3">
        <v>9.4</v>
      </c>
      <c r="L569" s="3">
        <v>52.65</v>
      </c>
      <c r="M569" s="3">
        <v>3.5</v>
      </c>
      <c r="N569" s="3">
        <f t="shared" si="43"/>
        <v>65.55</v>
      </c>
      <c r="O569" s="3">
        <f t="shared" si="44"/>
        <v>137.19999999999999</v>
      </c>
      <c r="P569" s="2"/>
      <c r="Q569" s="5"/>
    </row>
    <row r="570" spans="1:17">
      <c r="A570" s="2">
        <f t="shared" si="40"/>
        <v>567</v>
      </c>
      <c r="B570" s="2">
        <f t="shared" si="41"/>
        <v>188</v>
      </c>
      <c r="C570" s="2" t="s">
        <v>45</v>
      </c>
      <c r="D570" s="2" t="s">
        <v>96</v>
      </c>
      <c r="E570" s="2" t="s">
        <v>1197</v>
      </c>
      <c r="F570" s="2" t="s">
        <v>1198</v>
      </c>
      <c r="G570" s="3">
        <v>10.8</v>
      </c>
      <c r="H570" s="3">
        <v>63.66</v>
      </c>
      <c r="I570" s="3">
        <v>3</v>
      </c>
      <c r="J570" s="3">
        <f t="shared" si="42"/>
        <v>77.459999999999994</v>
      </c>
      <c r="K570" s="3">
        <v>7.3000000000000007</v>
      </c>
      <c r="L570" s="3">
        <v>49.44</v>
      </c>
      <c r="M570" s="3">
        <v>3</v>
      </c>
      <c r="N570" s="3">
        <f t="shared" si="43"/>
        <v>59.74</v>
      </c>
      <c r="O570" s="3">
        <f t="shared" si="44"/>
        <v>137.19999999999999</v>
      </c>
      <c r="P570" s="2"/>
      <c r="Q570" s="5"/>
    </row>
    <row r="571" spans="1:17">
      <c r="A571" s="2">
        <f t="shared" si="40"/>
        <v>569</v>
      </c>
      <c r="B571" s="2">
        <f t="shared" si="41"/>
        <v>192</v>
      </c>
      <c r="C571" s="2" t="s">
        <v>20</v>
      </c>
      <c r="D571" s="2" t="s">
        <v>164</v>
      </c>
      <c r="E571" s="2" t="s">
        <v>1199</v>
      </c>
      <c r="F571" s="2" t="s">
        <v>1200</v>
      </c>
      <c r="G571" s="3">
        <v>9.8000000000000007</v>
      </c>
      <c r="H571" s="3">
        <v>59.48</v>
      </c>
      <c r="I571" s="3">
        <v>3</v>
      </c>
      <c r="J571" s="3">
        <f t="shared" si="42"/>
        <v>72.28</v>
      </c>
      <c r="K571" s="3">
        <v>9.8000000000000007</v>
      </c>
      <c r="L571" s="3">
        <v>51.87</v>
      </c>
      <c r="M571" s="3">
        <v>3</v>
      </c>
      <c r="N571" s="3">
        <f t="shared" si="43"/>
        <v>64.67</v>
      </c>
      <c r="O571" s="3">
        <f t="shared" si="44"/>
        <v>136.94999999999999</v>
      </c>
      <c r="P571" s="2"/>
      <c r="Q571" s="5"/>
    </row>
    <row r="572" spans="1:17">
      <c r="A572" s="2">
        <f t="shared" si="40"/>
        <v>570</v>
      </c>
      <c r="B572" s="2">
        <f t="shared" si="41"/>
        <v>189</v>
      </c>
      <c r="C572" s="2" t="s">
        <v>45</v>
      </c>
      <c r="D572" s="2" t="s">
        <v>73</v>
      </c>
      <c r="E572" s="2" t="s">
        <v>1201</v>
      </c>
      <c r="F572" s="2" t="s">
        <v>1202</v>
      </c>
      <c r="G572" s="3">
        <v>10</v>
      </c>
      <c r="H572" s="3">
        <v>56.02</v>
      </c>
      <c r="I572" s="3">
        <v>3.6</v>
      </c>
      <c r="J572" s="3">
        <f t="shared" si="42"/>
        <v>69.62</v>
      </c>
      <c r="K572" s="3">
        <v>10</v>
      </c>
      <c r="L572" s="3">
        <v>53.67</v>
      </c>
      <c r="M572" s="3">
        <v>3.6</v>
      </c>
      <c r="N572" s="3">
        <f t="shared" si="43"/>
        <v>67.27</v>
      </c>
      <c r="O572" s="3">
        <f t="shared" si="44"/>
        <v>136.88999999999999</v>
      </c>
      <c r="P572" s="2"/>
      <c r="Q572" s="5"/>
    </row>
    <row r="573" spans="1:17">
      <c r="A573" s="2">
        <f t="shared" si="40"/>
        <v>571</v>
      </c>
      <c r="B573" s="2">
        <f t="shared" si="41"/>
        <v>77</v>
      </c>
      <c r="C573" s="2" t="s">
        <v>15</v>
      </c>
      <c r="D573" s="2" t="s">
        <v>39</v>
      </c>
      <c r="E573" s="2" t="s">
        <v>1203</v>
      </c>
      <c r="F573" s="2" t="s">
        <v>1204</v>
      </c>
      <c r="G573" s="3">
        <v>9.8000000000000007</v>
      </c>
      <c r="H573" s="3">
        <v>55.28</v>
      </c>
      <c r="I573" s="3">
        <v>3</v>
      </c>
      <c r="J573" s="3">
        <f t="shared" si="42"/>
        <v>68.08</v>
      </c>
      <c r="K573" s="3">
        <v>7.3000000000000007</v>
      </c>
      <c r="L573" s="3">
        <v>57.78</v>
      </c>
      <c r="M573" s="3">
        <v>3.7</v>
      </c>
      <c r="N573" s="3">
        <f t="shared" si="43"/>
        <v>68.78</v>
      </c>
      <c r="O573" s="3">
        <f t="shared" si="44"/>
        <v>136.86000000000001</v>
      </c>
      <c r="P573" s="2"/>
      <c r="Q573" s="5"/>
    </row>
    <row r="574" spans="1:17">
      <c r="A574" s="2">
        <f t="shared" si="40"/>
        <v>572</v>
      </c>
      <c r="B574" s="2">
        <f t="shared" si="41"/>
        <v>114</v>
      </c>
      <c r="C574" s="2" t="s">
        <v>24</v>
      </c>
      <c r="D574" s="2" t="s">
        <v>58</v>
      </c>
      <c r="E574" s="2" t="s">
        <v>1205</v>
      </c>
      <c r="F574" s="2" t="s">
        <v>1206</v>
      </c>
      <c r="G574" s="3">
        <v>9.8000000000000007</v>
      </c>
      <c r="H574" s="3">
        <v>57.878048780487802</v>
      </c>
      <c r="I574" s="3">
        <v>3.6</v>
      </c>
      <c r="J574" s="3">
        <f t="shared" si="42"/>
        <v>71.28</v>
      </c>
      <c r="K574" s="3">
        <v>9.8000000000000007</v>
      </c>
      <c r="L574" s="3">
        <v>51.21</v>
      </c>
      <c r="M574" s="3">
        <v>4.5</v>
      </c>
      <c r="N574" s="3">
        <f t="shared" si="43"/>
        <v>65.510000000000005</v>
      </c>
      <c r="O574" s="3">
        <f t="shared" si="44"/>
        <v>136.79</v>
      </c>
      <c r="P574" s="2"/>
      <c r="Q574" s="5"/>
    </row>
    <row r="575" spans="1:17">
      <c r="A575" s="2">
        <f t="shared" si="40"/>
        <v>573</v>
      </c>
      <c r="B575" s="2">
        <f t="shared" si="41"/>
        <v>190</v>
      </c>
      <c r="C575" s="2" t="s">
        <v>45</v>
      </c>
      <c r="D575" s="2" t="s">
        <v>89</v>
      </c>
      <c r="E575" s="2" t="s">
        <v>1207</v>
      </c>
      <c r="F575" s="2" t="s">
        <v>1208</v>
      </c>
      <c r="G575" s="3">
        <v>9.8000000000000007</v>
      </c>
      <c r="H575" s="3">
        <v>58.5</v>
      </c>
      <c r="I575" s="3">
        <v>3</v>
      </c>
      <c r="J575" s="3">
        <f t="shared" si="42"/>
        <v>71.3</v>
      </c>
      <c r="K575" s="3">
        <v>9.8000000000000007</v>
      </c>
      <c r="L575" s="3">
        <v>52.68</v>
      </c>
      <c r="M575" s="3">
        <v>3</v>
      </c>
      <c r="N575" s="3">
        <f t="shared" si="43"/>
        <v>65.48</v>
      </c>
      <c r="O575" s="3">
        <f t="shared" si="44"/>
        <v>136.78</v>
      </c>
      <c r="P575" s="2"/>
      <c r="Q575" s="5"/>
    </row>
    <row r="576" spans="1:17">
      <c r="A576" s="2">
        <f t="shared" si="40"/>
        <v>574</v>
      </c>
      <c r="B576" s="2">
        <f t="shared" si="41"/>
        <v>78</v>
      </c>
      <c r="C576" s="2" t="s">
        <v>15</v>
      </c>
      <c r="D576" s="2" t="s">
        <v>181</v>
      </c>
      <c r="E576" s="2" t="s">
        <v>1209</v>
      </c>
      <c r="F576" s="2" t="s">
        <v>1210</v>
      </c>
      <c r="G576" s="3">
        <v>9.8000000000000007</v>
      </c>
      <c r="H576" s="3">
        <v>59.09</v>
      </c>
      <c r="I576" s="3">
        <v>4.9000000000000004</v>
      </c>
      <c r="J576" s="3">
        <f t="shared" si="42"/>
        <v>73.790000000000006</v>
      </c>
      <c r="K576" s="3">
        <v>7.3000000000000007</v>
      </c>
      <c r="L576" s="3">
        <v>50.8</v>
      </c>
      <c r="M576" s="3">
        <v>4.8499999999999996</v>
      </c>
      <c r="N576" s="3">
        <f t="shared" si="43"/>
        <v>62.95</v>
      </c>
      <c r="O576" s="3">
        <f t="shared" si="44"/>
        <v>136.74</v>
      </c>
      <c r="P576" s="2"/>
      <c r="Q576" s="5"/>
    </row>
    <row r="577" spans="1:17">
      <c r="A577" s="2">
        <f t="shared" si="40"/>
        <v>575</v>
      </c>
      <c r="B577" s="2">
        <f t="shared" si="41"/>
        <v>193</v>
      </c>
      <c r="C577" s="2" t="s">
        <v>20</v>
      </c>
      <c r="D577" s="2" t="s">
        <v>42</v>
      </c>
      <c r="E577" s="2" t="s">
        <v>1211</v>
      </c>
      <c r="F577" s="2" t="s">
        <v>1212</v>
      </c>
      <c r="G577" s="3">
        <v>9.8000000000000007</v>
      </c>
      <c r="H577" s="3">
        <v>56.112244897959201</v>
      </c>
      <c r="I577" s="3">
        <v>3</v>
      </c>
      <c r="J577" s="3">
        <f t="shared" si="42"/>
        <v>68.91</v>
      </c>
      <c r="K577" s="3">
        <v>9.8000000000000007</v>
      </c>
      <c r="L577" s="3">
        <v>55.01</v>
      </c>
      <c r="M577" s="3">
        <v>3</v>
      </c>
      <c r="N577" s="3">
        <f t="shared" si="43"/>
        <v>67.81</v>
      </c>
      <c r="O577" s="3">
        <f t="shared" si="44"/>
        <v>136.72</v>
      </c>
      <c r="P577" s="2"/>
      <c r="Q577" s="5"/>
    </row>
    <row r="578" spans="1:17">
      <c r="A578" s="2">
        <f t="shared" si="40"/>
        <v>575</v>
      </c>
      <c r="B578" s="2">
        <f t="shared" si="41"/>
        <v>193</v>
      </c>
      <c r="C578" s="2" t="s">
        <v>20</v>
      </c>
      <c r="D578" s="2" t="s">
        <v>65</v>
      </c>
      <c r="E578" s="2" t="s">
        <v>1213</v>
      </c>
      <c r="F578" s="2" t="s">
        <v>1214</v>
      </c>
      <c r="G578" s="3">
        <v>9.8000000000000007</v>
      </c>
      <c r="H578" s="3">
        <v>60.77</v>
      </c>
      <c r="I578" s="3">
        <v>3</v>
      </c>
      <c r="J578" s="3">
        <f t="shared" si="42"/>
        <v>73.569999999999993</v>
      </c>
      <c r="K578" s="3">
        <v>7.3000000000000007</v>
      </c>
      <c r="L578" s="3">
        <v>51.45</v>
      </c>
      <c r="M578" s="3">
        <v>4.4000000000000004</v>
      </c>
      <c r="N578" s="3">
        <f t="shared" si="43"/>
        <v>63.15</v>
      </c>
      <c r="O578" s="3">
        <f t="shared" si="44"/>
        <v>136.72</v>
      </c>
      <c r="P578" s="2"/>
      <c r="Q578" s="5"/>
    </row>
    <row r="579" spans="1:17">
      <c r="A579" s="2">
        <f t="shared" ref="A579:A642" si="45">COUNTIFS($C$3:$C$1025,"&lt;&gt;大数据",$O$3:$O$1025,"&gt;"&amp;O579)+1</f>
        <v>577</v>
      </c>
      <c r="B579" s="2">
        <f t="shared" ref="B579:B642" si="46">COUNTIFS($C$3:$C$1025,C579,$O$3:$O$1025,"&gt;"&amp;O579)+1</f>
        <v>195</v>
      </c>
      <c r="C579" s="2" t="s">
        <v>20</v>
      </c>
      <c r="D579" s="2" t="s">
        <v>32</v>
      </c>
      <c r="E579" s="2" t="s">
        <v>1215</v>
      </c>
      <c r="F579" s="2" t="s">
        <v>1216</v>
      </c>
      <c r="G579" s="3">
        <v>9.8000000000000007</v>
      </c>
      <c r="H579" s="3">
        <v>57.3061224489796</v>
      </c>
      <c r="I579" s="3">
        <v>3</v>
      </c>
      <c r="J579" s="3">
        <f t="shared" ref="J579:J642" si="47">ROUND(SUM(G579:I579),2)</f>
        <v>70.11</v>
      </c>
      <c r="K579" s="3">
        <v>7.3000000000000007</v>
      </c>
      <c r="L579" s="3">
        <v>55.64</v>
      </c>
      <c r="M579" s="3">
        <v>3.5</v>
      </c>
      <c r="N579" s="3">
        <f t="shared" ref="N579:N642" si="48">ROUND(SUM(K579:M579),2)</f>
        <v>66.44</v>
      </c>
      <c r="O579" s="3">
        <f t="shared" ref="O579:O642" si="49">ROUND(SUM(J579,N579),2)</f>
        <v>136.55000000000001</v>
      </c>
      <c r="P579" s="2"/>
      <c r="Q579" s="5"/>
    </row>
    <row r="580" spans="1:17">
      <c r="A580" s="2">
        <f t="shared" si="45"/>
        <v>578</v>
      </c>
      <c r="B580" s="2">
        <f t="shared" si="46"/>
        <v>79</v>
      </c>
      <c r="C580" s="2" t="s">
        <v>15</v>
      </c>
      <c r="D580" s="2" t="s">
        <v>181</v>
      </c>
      <c r="E580" s="2" t="s">
        <v>1217</v>
      </c>
      <c r="F580" s="2" t="s">
        <v>1218</v>
      </c>
      <c r="G580" s="3">
        <v>10.4</v>
      </c>
      <c r="H580" s="3">
        <v>55.88</v>
      </c>
      <c r="I580" s="3">
        <v>5.05</v>
      </c>
      <c r="J580" s="3">
        <f t="shared" si="47"/>
        <v>71.33</v>
      </c>
      <c r="K580" s="3">
        <v>7.3000000000000007</v>
      </c>
      <c r="L580" s="3">
        <v>52.26</v>
      </c>
      <c r="M580" s="3">
        <v>5.5</v>
      </c>
      <c r="N580" s="3">
        <f t="shared" si="48"/>
        <v>65.06</v>
      </c>
      <c r="O580" s="3">
        <f t="shared" si="49"/>
        <v>136.38999999999999</v>
      </c>
      <c r="P580" s="2"/>
      <c r="Q580" s="5"/>
    </row>
    <row r="581" spans="1:17">
      <c r="A581" s="2">
        <f t="shared" si="45"/>
        <v>579</v>
      </c>
      <c r="B581" s="2">
        <f t="shared" si="46"/>
        <v>191</v>
      </c>
      <c r="C581" s="2" t="s">
        <v>45</v>
      </c>
      <c r="D581" s="2" t="s">
        <v>266</v>
      </c>
      <c r="E581" s="2" t="s">
        <v>1219</v>
      </c>
      <c r="F581" s="2" t="s">
        <v>1220</v>
      </c>
      <c r="G581" s="3">
        <v>9.8000000000000007</v>
      </c>
      <c r="H581" s="3">
        <v>55.47</v>
      </c>
      <c r="I581" s="3">
        <v>3</v>
      </c>
      <c r="J581" s="3">
        <f t="shared" si="47"/>
        <v>68.27</v>
      </c>
      <c r="K581" s="3">
        <v>9.8000000000000007</v>
      </c>
      <c r="L581" s="3">
        <v>55.3</v>
      </c>
      <c r="M581" s="3">
        <v>3</v>
      </c>
      <c r="N581" s="3">
        <f t="shared" si="48"/>
        <v>68.099999999999994</v>
      </c>
      <c r="O581" s="3">
        <f t="shared" si="49"/>
        <v>136.37</v>
      </c>
      <c r="P581" s="2"/>
      <c r="Q581" s="5"/>
    </row>
    <row r="582" spans="1:17">
      <c r="A582" s="2">
        <f t="shared" si="45"/>
        <v>580</v>
      </c>
      <c r="B582" s="2">
        <f t="shared" si="46"/>
        <v>196</v>
      </c>
      <c r="C582" s="2" t="s">
        <v>20</v>
      </c>
      <c r="D582" s="2" t="s">
        <v>32</v>
      </c>
      <c r="E582" s="2" t="s">
        <v>1221</v>
      </c>
      <c r="F582" s="2" t="s">
        <v>1222</v>
      </c>
      <c r="G582" s="3">
        <v>9.8000000000000007</v>
      </c>
      <c r="H582" s="3">
        <v>54.642857142857203</v>
      </c>
      <c r="I582" s="3">
        <v>3</v>
      </c>
      <c r="J582" s="3">
        <f t="shared" si="47"/>
        <v>67.44</v>
      </c>
      <c r="K582" s="3">
        <v>7.3000000000000007</v>
      </c>
      <c r="L582" s="3">
        <v>58.08</v>
      </c>
      <c r="M582" s="3">
        <v>3.5</v>
      </c>
      <c r="N582" s="3">
        <f t="shared" si="48"/>
        <v>68.88</v>
      </c>
      <c r="O582" s="3">
        <f t="shared" si="49"/>
        <v>136.32</v>
      </c>
      <c r="P582" s="2"/>
      <c r="Q582" s="5"/>
    </row>
    <row r="583" spans="1:17">
      <c r="A583" s="2">
        <f t="shared" si="45"/>
        <v>581</v>
      </c>
      <c r="B583" s="2">
        <f t="shared" si="46"/>
        <v>197</v>
      </c>
      <c r="C583" s="2" t="s">
        <v>20</v>
      </c>
      <c r="D583" s="2" t="s">
        <v>32</v>
      </c>
      <c r="E583" s="2" t="s">
        <v>1223</v>
      </c>
      <c r="F583" s="2" t="s">
        <v>1224</v>
      </c>
      <c r="G583" s="3">
        <v>10.6</v>
      </c>
      <c r="H583" s="3">
        <v>50.469387755101998</v>
      </c>
      <c r="I583" s="3">
        <v>3</v>
      </c>
      <c r="J583" s="3">
        <f t="shared" si="47"/>
        <v>64.069999999999993</v>
      </c>
      <c r="K583" s="3">
        <v>9.8000000000000007</v>
      </c>
      <c r="L583" s="3">
        <v>57.94</v>
      </c>
      <c r="M583" s="3">
        <v>4.5</v>
      </c>
      <c r="N583" s="3">
        <f t="shared" si="48"/>
        <v>72.239999999999995</v>
      </c>
      <c r="O583" s="3">
        <f t="shared" si="49"/>
        <v>136.31</v>
      </c>
      <c r="P583" s="2"/>
      <c r="Q583" s="5"/>
    </row>
    <row r="584" spans="1:17">
      <c r="A584" s="2">
        <f t="shared" si="45"/>
        <v>581</v>
      </c>
      <c r="B584" s="2">
        <f t="shared" si="46"/>
        <v>192</v>
      </c>
      <c r="C584" s="2" t="s">
        <v>45</v>
      </c>
      <c r="D584" s="2" t="s">
        <v>114</v>
      </c>
      <c r="E584" s="2" t="s">
        <v>1225</v>
      </c>
      <c r="F584" s="2" t="s">
        <v>1226</v>
      </c>
      <c r="G584" s="3">
        <v>9.8000000000000007</v>
      </c>
      <c r="H584" s="3">
        <v>55.29</v>
      </c>
      <c r="I584" s="3">
        <v>3</v>
      </c>
      <c r="J584" s="3">
        <f t="shared" si="47"/>
        <v>68.09</v>
      </c>
      <c r="K584" s="3">
        <v>9.8000000000000007</v>
      </c>
      <c r="L584" s="3">
        <v>55.42</v>
      </c>
      <c r="M584" s="3">
        <v>3</v>
      </c>
      <c r="N584" s="3">
        <f t="shared" si="48"/>
        <v>68.22</v>
      </c>
      <c r="O584" s="3">
        <f t="shared" si="49"/>
        <v>136.31</v>
      </c>
      <c r="P584" s="2"/>
      <c r="Q584" s="5"/>
    </row>
    <row r="585" spans="1:17">
      <c r="A585" s="2">
        <f t="shared" si="45"/>
        <v>583</v>
      </c>
      <c r="B585" s="2">
        <f t="shared" si="46"/>
        <v>193</v>
      </c>
      <c r="C585" s="2" t="s">
        <v>45</v>
      </c>
      <c r="D585" s="2" t="s">
        <v>73</v>
      </c>
      <c r="E585" s="2" t="s">
        <v>1227</v>
      </c>
      <c r="F585" s="2" t="s">
        <v>1228</v>
      </c>
      <c r="G585" s="3">
        <v>10.3</v>
      </c>
      <c r="H585" s="3">
        <v>54.88</v>
      </c>
      <c r="I585" s="3">
        <v>4</v>
      </c>
      <c r="J585" s="3">
        <f t="shared" si="47"/>
        <v>69.180000000000007</v>
      </c>
      <c r="K585" s="3">
        <v>9.8000000000000007</v>
      </c>
      <c r="L585" s="3">
        <v>51.97</v>
      </c>
      <c r="M585" s="3">
        <v>5.3</v>
      </c>
      <c r="N585" s="3">
        <f t="shared" si="48"/>
        <v>67.069999999999993</v>
      </c>
      <c r="O585" s="3">
        <f t="shared" si="49"/>
        <v>136.25</v>
      </c>
      <c r="P585" s="2"/>
      <c r="Q585" s="5"/>
    </row>
    <row r="586" spans="1:17">
      <c r="A586" s="2">
        <f t="shared" si="45"/>
        <v>584</v>
      </c>
      <c r="B586" s="2">
        <f t="shared" si="46"/>
        <v>198</v>
      </c>
      <c r="C586" s="2" t="s">
        <v>20</v>
      </c>
      <c r="D586" s="2" t="s">
        <v>117</v>
      </c>
      <c r="E586" s="2" t="s">
        <v>1229</v>
      </c>
      <c r="F586" s="2" t="s">
        <v>1230</v>
      </c>
      <c r="G586" s="3">
        <v>9.8000000000000007</v>
      </c>
      <c r="H586" s="3">
        <v>57.65</v>
      </c>
      <c r="I586" s="3">
        <v>3</v>
      </c>
      <c r="J586" s="3">
        <f t="shared" si="47"/>
        <v>70.45</v>
      </c>
      <c r="K586" s="3">
        <v>9.8000000000000007</v>
      </c>
      <c r="L586" s="3">
        <v>52.98</v>
      </c>
      <c r="M586" s="3">
        <v>3</v>
      </c>
      <c r="N586" s="3">
        <f t="shared" si="48"/>
        <v>65.78</v>
      </c>
      <c r="O586" s="3">
        <f t="shared" si="49"/>
        <v>136.22999999999999</v>
      </c>
      <c r="P586" s="2"/>
      <c r="Q586" s="5"/>
    </row>
    <row r="587" spans="1:17">
      <c r="A587" s="2">
        <f t="shared" si="45"/>
        <v>585</v>
      </c>
      <c r="B587" s="2">
        <f t="shared" si="46"/>
        <v>80</v>
      </c>
      <c r="C587" s="2" t="s">
        <v>15</v>
      </c>
      <c r="D587" s="2" t="s">
        <v>39</v>
      </c>
      <c r="E587" s="2" t="s">
        <v>1231</v>
      </c>
      <c r="F587" s="2" t="s">
        <v>1232</v>
      </c>
      <c r="G587" s="3">
        <v>10</v>
      </c>
      <c r="H587" s="3">
        <v>51.52</v>
      </c>
      <c r="I587" s="3">
        <v>5.5</v>
      </c>
      <c r="J587" s="3">
        <f t="shared" si="47"/>
        <v>67.02</v>
      </c>
      <c r="K587" s="3">
        <v>7.5</v>
      </c>
      <c r="L587" s="3">
        <v>55.82</v>
      </c>
      <c r="M587" s="3">
        <v>5.8</v>
      </c>
      <c r="N587" s="3">
        <f t="shared" si="48"/>
        <v>69.12</v>
      </c>
      <c r="O587" s="3">
        <f t="shared" si="49"/>
        <v>136.13999999999999</v>
      </c>
      <c r="P587" s="2"/>
      <c r="Q587" s="5"/>
    </row>
    <row r="588" spans="1:17">
      <c r="A588" s="2">
        <f t="shared" si="45"/>
        <v>586</v>
      </c>
      <c r="B588" s="2">
        <f t="shared" si="46"/>
        <v>199</v>
      </c>
      <c r="C588" s="2" t="s">
        <v>20</v>
      </c>
      <c r="D588" s="2" t="s">
        <v>42</v>
      </c>
      <c r="E588" s="2" t="s">
        <v>1233</v>
      </c>
      <c r="F588" s="2" t="s">
        <v>1234</v>
      </c>
      <c r="G588" s="3">
        <v>9.8000000000000007</v>
      </c>
      <c r="H588" s="3">
        <v>53.566666666666698</v>
      </c>
      <c r="I588" s="3">
        <v>3</v>
      </c>
      <c r="J588" s="3">
        <f t="shared" si="47"/>
        <v>66.37</v>
      </c>
      <c r="K588" s="3">
        <v>9.8000000000000007</v>
      </c>
      <c r="L588" s="3">
        <v>55.8</v>
      </c>
      <c r="M588" s="3">
        <v>4.0999999999999996</v>
      </c>
      <c r="N588" s="3">
        <f t="shared" si="48"/>
        <v>69.7</v>
      </c>
      <c r="O588" s="3">
        <f t="shared" si="49"/>
        <v>136.07</v>
      </c>
      <c r="P588" s="2"/>
      <c r="Q588" s="5"/>
    </row>
    <row r="589" spans="1:17">
      <c r="A589" s="2">
        <f t="shared" si="45"/>
        <v>587</v>
      </c>
      <c r="B589" s="2">
        <f t="shared" si="46"/>
        <v>81</v>
      </c>
      <c r="C589" s="2" t="s">
        <v>15</v>
      </c>
      <c r="D589" s="2" t="s">
        <v>181</v>
      </c>
      <c r="E589" s="2" t="s">
        <v>1235</v>
      </c>
      <c r="F589" s="2" t="s">
        <v>1236</v>
      </c>
      <c r="G589" s="3">
        <v>10</v>
      </c>
      <c r="H589" s="3">
        <v>57.78</v>
      </c>
      <c r="I589" s="3">
        <v>3.7</v>
      </c>
      <c r="J589" s="3">
        <f t="shared" si="47"/>
        <v>71.48</v>
      </c>
      <c r="K589" s="3">
        <v>7.5</v>
      </c>
      <c r="L589" s="3">
        <v>52.86</v>
      </c>
      <c r="M589" s="3">
        <v>4.2</v>
      </c>
      <c r="N589" s="3">
        <f t="shared" si="48"/>
        <v>64.56</v>
      </c>
      <c r="O589" s="3">
        <f t="shared" si="49"/>
        <v>136.04</v>
      </c>
      <c r="P589" s="4" t="s">
        <v>758</v>
      </c>
      <c r="Q589" s="5"/>
    </row>
    <row r="590" spans="1:17">
      <c r="A590" s="2">
        <f t="shared" si="45"/>
        <v>588</v>
      </c>
      <c r="B590" s="2">
        <f t="shared" si="46"/>
        <v>194</v>
      </c>
      <c r="C590" s="2" t="s">
        <v>45</v>
      </c>
      <c r="D590" s="2" t="s">
        <v>73</v>
      </c>
      <c r="E590" s="2" t="s">
        <v>1237</v>
      </c>
      <c r="F590" s="2" t="s">
        <v>1238</v>
      </c>
      <c r="G590" s="3">
        <v>9.8000000000000007</v>
      </c>
      <c r="H590" s="3">
        <v>59.23</v>
      </c>
      <c r="I590" s="3">
        <v>3</v>
      </c>
      <c r="J590" s="3">
        <f t="shared" si="47"/>
        <v>72.03</v>
      </c>
      <c r="K590" s="3">
        <v>9.8000000000000007</v>
      </c>
      <c r="L590" s="3">
        <v>51.2</v>
      </c>
      <c r="M590" s="3">
        <v>3</v>
      </c>
      <c r="N590" s="3">
        <f t="shared" si="48"/>
        <v>64</v>
      </c>
      <c r="O590" s="3">
        <f t="shared" si="49"/>
        <v>136.03</v>
      </c>
      <c r="P590" s="2"/>
      <c r="Q590" s="5"/>
    </row>
    <row r="591" spans="1:17">
      <c r="A591" s="2">
        <f t="shared" si="45"/>
        <v>589</v>
      </c>
      <c r="B591" s="2">
        <f t="shared" si="46"/>
        <v>200</v>
      </c>
      <c r="C591" s="2" t="s">
        <v>20</v>
      </c>
      <c r="D591" s="2" t="s">
        <v>29</v>
      </c>
      <c r="E591" s="2" t="s">
        <v>1239</v>
      </c>
      <c r="F591" s="2" t="s">
        <v>1240</v>
      </c>
      <c r="G591" s="3">
        <v>9.4</v>
      </c>
      <c r="H591" s="3">
        <v>57.12</v>
      </c>
      <c r="I591" s="3">
        <v>3</v>
      </c>
      <c r="J591" s="3">
        <f t="shared" si="47"/>
        <v>69.52</v>
      </c>
      <c r="K591" s="3">
        <v>9.8000000000000007</v>
      </c>
      <c r="L591" s="3">
        <v>53.18</v>
      </c>
      <c r="M591" s="3">
        <v>3.5</v>
      </c>
      <c r="N591" s="3">
        <f t="shared" si="48"/>
        <v>66.48</v>
      </c>
      <c r="O591" s="3">
        <f t="shared" si="49"/>
        <v>136</v>
      </c>
      <c r="P591" s="2"/>
      <c r="Q591" s="5"/>
    </row>
    <row r="592" spans="1:17">
      <c r="A592" s="2">
        <f t="shared" si="45"/>
        <v>589</v>
      </c>
      <c r="B592" s="2">
        <f t="shared" si="46"/>
        <v>195</v>
      </c>
      <c r="C592" s="2" t="s">
        <v>45</v>
      </c>
      <c r="D592" s="2" t="s">
        <v>266</v>
      </c>
      <c r="E592" s="2" t="s">
        <v>1241</v>
      </c>
      <c r="F592" s="2" t="s">
        <v>1242</v>
      </c>
      <c r="G592" s="3">
        <v>9.8000000000000007</v>
      </c>
      <c r="H592" s="3">
        <v>52.9</v>
      </c>
      <c r="I592" s="3">
        <v>3.6</v>
      </c>
      <c r="J592" s="3">
        <f t="shared" si="47"/>
        <v>66.3</v>
      </c>
      <c r="K592" s="3">
        <v>9.8000000000000007</v>
      </c>
      <c r="L592" s="3">
        <v>55.8</v>
      </c>
      <c r="M592" s="3">
        <v>4.0999999999999996</v>
      </c>
      <c r="N592" s="3">
        <f t="shared" si="48"/>
        <v>69.7</v>
      </c>
      <c r="O592" s="3">
        <f t="shared" si="49"/>
        <v>136</v>
      </c>
      <c r="P592" s="2"/>
      <c r="Q592" s="5"/>
    </row>
    <row r="593" spans="1:17">
      <c r="A593" s="2">
        <f t="shared" si="45"/>
        <v>591</v>
      </c>
      <c r="B593" s="2">
        <f t="shared" si="46"/>
        <v>82</v>
      </c>
      <c r="C593" s="2" t="s">
        <v>15</v>
      </c>
      <c r="D593" s="2" t="s">
        <v>257</v>
      </c>
      <c r="E593" s="2" t="s">
        <v>1243</v>
      </c>
      <c r="F593" s="2" t="s">
        <v>1244</v>
      </c>
      <c r="G593" s="3">
        <v>9.8000000000000007</v>
      </c>
      <c r="H593" s="3">
        <v>55.88</v>
      </c>
      <c r="I593" s="3">
        <v>4</v>
      </c>
      <c r="J593" s="3">
        <f t="shared" si="47"/>
        <v>69.680000000000007</v>
      </c>
      <c r="K593" s="3">
        <v>7.3000000000000007</v>
      </c>
      <c r="L593" s="3">
        <v>55.5</v>
      </c>
      <c r="M593" s="3">
        <v>3.5</v>
      </c>
      <c r="N593" s="3">
        <f t="shared" si="48"/>
        <v>66.3</v>
      </c>
      <c r="O593" s="3">
        <f t="shared" si="49"/>
        <v>135.97999999999999</v>
      </c>
      <c r="P593" s="4" t="s">
        <v>758</v>
      </c>
      <c r="Q593" s="5"/>
    </row>
    <row r="594" spans="1:17">
      <c r="A594" s="2">
        <f t="shared" si="45"/>
        <v>592</v>
      </c>
      <c r="B594" s="2">
        <f t="shared" si="46"/>
        <v>201</v>
      </c>
      <c r="C594" s="2" t="s">
        <v>20</v>
      </c>
      <c r="D594" s="2" t="s">
        <v>32</v>
      </c>
      <c r="E594" s="2" t="s">
        <v>1245</v>
      </c>
      <c r="F594" s="2" t="s">
        <v>1246</v>
      </c>
      <c r="G594" s="3">
        <v>9.8000000000000007</v>
      </c>
      <c r="H594" s="3">
        <v>54.673469387755098</v>
      </c>
      <c r="I594" s="3">
        <v>3</v>
      </c>
      <c r="J594" s="3">
        <f t="shared" si="47"/>
        <v>67.47</v>
      </c>
      <c r="K594" s="3">
        <v>9.8000000000000007</v>
      </c>
      <c r="L594" s="3">
        <v>55.14</v>
      </c>
      <c r="M594" s="3">
        <v>3.5</v>
      </c>
      <c r="N594" s="3">
        <f t="shared" si="48"/>
        <v>68.44</v>
      </c>
      <c r="O594" s="3">
        <f t="shared" si="49"/>
        <v>135.91</v>
      </c>
      <c r="P594" s="2"/>
      <c r="Q594" s="5"/>
    </row>
    <row r="595" spans="1:17">
      <c r="A595" s="2">
        <f t="shared" si="45"/>
        <v>592</v>
      </c>
      <c r="B595" s="2">
        <f t="shared" si="46"/>
        <v>83</v>
      </c>
      <c r="C595" s="2" t="s">
        <v>15</v>
      </c>
      <c r="D595" s="2" t="s">
        <v>181</v>
      </c>
      <c r="E595" s="2" t="s">
        <v>1247</v>
      </c>
      <c r="F595" s="2" t="s">
        <v>1248</v>
      </c>
      <c r="G595" s="3">
        <v>10</v>
      </c>
      <c r="H595" s="3">
        <v>55.65</v>
      </c>
      <c r="I595" s="3">
        <v>3.7</v>
      </c>
      <c r="J595" s="3">
        <f t="shared" si="47"/>
        <v>69.349999999999994</v>
      </c>
      <c r="K595" s="3">
        <v>10</v>
      </c>
      <c r="L595" s="3">
        <v>49.86</v>
      </c>
      <c r="M595" s="3">
        <v>6.7</v>
      </c>
      <c r="N595" s="3">
        <f t="shared" si="48"/>
        <v>66.56</v>
      </c>
      <c r="O595" s="3">
        <f t="shared" si="49"/>
        <v>135.91</v>
      </c>
      <c r="P595" s="2"/>
      <c r="Q595" s="5"/>
    </row>
    <row r="596" spans="1:17">
      <c r="A596" s="2">
        <f t="shared" si="45"/>
        <v>594</v>
      </c>
      <c r="B596" s="2">
        <f t="shared" si="46"/>
        <v>202</v>
      </c>
      <c r="C596" s="2" t="s">
        <v>20</v>
      </c>
      <c r="D596" s="2" t="s">
        <v>36</v>
      </c>
      <c r="E596" s="2" t="s">
        <v>1249</v>
      </c>
      <c r="F596" s="2" t="s">
        <v>1250</v>
      </c>
      <c r="G596" s="3">
        <v>10.3</v>
      </c>
      <c r="H596" s="3">
        <v>59.18</v>
      </c>
      <c r="I596" s="3">
        <v>3.7</v>
      </c>
      <c r="J596" s="3">
        <f t="shared" si="47"/>
        <v>73.180000000000007</v>
      </c>
      <c r="K596" s="3">
        <v>9.4</v>
      </c>
      <c r="L596" s="3">
        <v>50.32</v>
      </c>
      <c r="M596" s="3">
        <v>3</v>
      </c>
      <c r="N596" s="3">
        <f t="shared" si="48"/>
        <v>62.72</v>
      </c>
      <c r="O596" s="3">
        <f t="shared" si="49"/>
        <v>135.9</v>
      </c>
      <c r="P596" s="2"/>
      <c r="Q596" s="5"/>
    </row>
    <row r="597" spans="1:17">
      <c r="A597" s="2">
        <f t="shared" si="45"/>
        <v>595</v>
      </c>
      <c r="B597" s="2">
        <f t="shared" si="46"/>
        <v>203</v>
      </c>
      <c r="C597" s="2" t="s">
        <v>20</v>
      </c>
      <c r="D597" s="2" t="s">
        <v>82</v>
      </c>
      <c r="E597" s="2" t="s">
        <v>1251</v>
      </c>
      <c r="F597" s="2" t="s">
        <v>1252</v>
      </c>
      <c r="G597" s="3">
        <v>7.3</v>
      </c>
      <c r="H597" s="3">
        <v>56.663265306122398</v>
      </c>
      <c r="I597" s="3">
        <v>3</v>
      </c>
      <c r="J597" s="3">
        <f t="shared" si="47"/>
        <v>66.959999999999994</v>
      </c>
      <c r="K597" s="3">
        <v>9.4</v>
      </c>
      <c r="L597" s="3">
        <v>56.03</v>
      </c>
      <c r="M597" s="3">
        <v>3.5</v>
      </c>
      <c r="N597" s="3">
        <f t="shared" si="48"/>
        <v>68.930000000000007</v>
      </c>
      <c r="O597" s="3">
        <f t="shared" si="49"/>
        <v>135.88999999999999</v>
      </c>
      <c r="P597" s="2"/>
      <c r="Q597" s="5"/>
    </row>
    <row r="598" spans="1:17">
      <c r="A598" s="2">
        <f t="shared" si="45"/>
        <v>596</v>
      </c>
      <c r="B598" s="2">
        <f t="shared" si="46"/>
        <v>204</v>
      </c>
      <c r="C598" s="2" t="s">
        <v>20</v>
      </c>
      <c r="D598" s="2" t="s">
        <v>82</v>
      </c>
      <c r="E598" s="2" t="s">
        <v>1253</v>
      </c>
      <c r="F598" s="2" t="s">
        <v>1254</v>
      </c>
      <c r="G598" s="3">
        <v>10</v>
      </c>
      <c r="H598" s="3">
        <v>57.191489361702097</v>
      </c>
      <c r="I598" s="3">
        <v>3</v>
      </c>
      <c r="J598" s="3">
        <f t="shared" si="47"/>
        <v>70.19</v>
      </c>
      <c r="K598" s="3">
        <v>10</v>
      </c>
      <c r="L598" s="3">
        <v>52.19</v>
      </c>
      <c r="M598" s="3">
        <v>3.5</v>
      </c>
      <c r="N598" s="3">
        <f t="shared" si="48"/>
        <v>65.69</v>
      </c>
      <c r="O598" s="3">
        <f t="shared" si="49"/>
        <v>135.88</v>
      </c>
      <c r="P598" s="2"/>
      <c r="Q598" s="5"/>
    </row>
    <row r="599" spans="1:17">
      <c r="A599" s="2">
        <f t="shared" si="45"/>
        <v>597</v>
      </c>
      <c r="B599" s="2">
        <f t="shared" si="46"/>
        <v>196</v>
      </c>
      <c r="C599" s="2" t="s">
        <v>45</v>
      </c>
      <c r="D599" s="2" t="s">
        <v>89</v>
      </c>
      <c r="E599" s="2" t="s">
        <v>1255</v>
      </c>
      <c r="F599" s="2" t="s">
        <v>1256</v>
      </c>
      <c r="G599" s="3">
        <v>10</v>
      </c>
      <c r="H599" s="3">
        <v>54.61</v>
      </c>
      <c r="I599" s="3">
        <v>3</v>
      </c>
      <c r="J599" s="3">
        <f t="shared" si="47"/>
        <v>67.61</v>
      </c>
      <c r="K599" s="3">
        <v>10</v>
      </c>
      <c r="L599" s="3">
        <v>54.99</v>
      </c>
      <c r="M599" s="3">
        <v>3</v>
      </c>
      <c r="N599" s="3">
        <f t="shared" si="48"/>
        <v>67.989999999999995</v>
      </c>
      <c r="O599" s="3">
        <f t="shared" si="49"/>
        <v>135.6</v>
      </c>
      <c r="P599" s="4" t="s">
        <v>758</v>
      </c>
      <c r="Q599" s="5"/>
    </row>
    <row r="600" spans="1:17">
      <c r="A600" s="2">
        <f t="shared" si="45"/>
        <v>598</v>
      </c>
      <c r="B600" s="2">
        <f t="shared" si="46"/>
        <v>205</v>
      </c>
      <c r="C600" s="2" t="s">
        <v>20</v>
      </c>
      <c r="D600" s="2" t="s">
        <v>29</v>
      </c>
      <c r="E600" s="2" t="s">
        <v>1257</v>
      </c>
      <c r="F600" s="2" t="s">
        <v>1258</v>
      </c>
      <c r="G600" s="3">
        <v>9.8000000000000007</v>
      </c>
      <c r="H600" s="3">
        <v>55.43</v>
      </c>
      <c r="I600" s="3">
        <v>4.5999999999999996</v>
      </c>
      <c r="J600" s="3">
        <f t="shared" si="47"/>
        <v>69.83</v>
      </c>
      <c r="K600" s="3">
        <v>9.8000000000000007</v>
      </c>
      <c r="L600" s="3">
        <v>51.36</v>
      </c>
      <c r="M600" s="3">
        <v>4.5999999999999996</v>
      </c>
      <c r="N600" s="3">
        <f t="shared" si="48"/>
        <v>65.760000000000005</v>
      </c>
      <c r="O600" s="3">
        <f t="shared" si="49"/>
        <v>135.59</v>
      </c>
      <c r="P600" s="2"/>
      <c r="Q600" s="5"/>
    </row>
    <row r="601" spans="1:17">
      <c r="A601" s="2">
        <f t="shared" si="45"/>
        <v>599</v>
      </c>
      <c r="B601" s="2">
        <f t="shared" si="46"/>
        <v>197</v>
      </c>
      <c r="C601" s="2" t="s">
        <v>45</v>
      </c>
      <c r="D601" s="2" t="s">
        <v>96</v>
      </c>
      <c r="E601" s="2" t="s">
        <v>1259</v>
      </c>
      <c r="F601" s="2" t="s">
        <v>1260</v>
      </c>
      <c r="G601" s="3">
        <v>9.8000000000000007</v>
      </c>
      <c r="H601" s="3">
        <v>60.62</v>
      </c>
      <c r="I601" s="3">
        <v>3</v>
      </c>
      <c r="J601" s="3">
        <f t="shared" si="47"/>
        <v>73.42</v>
      </c>
      <c r="K601" s="3">
        <v>7.5</v>
      </c>
      <c r="L601" s="3">
        <v>51.15</v>
      </c>
      <c r="M601" s="3">
        <v>3.5</v>
      </c>
      <c r="N601" s="3">
        <f t="shared" si="48"/>
        <v>62.15</v>
      </c>
      <c r="O601" s="3">
        <f t="shared" si="49"/>
        <v>135.57</v>
      </c>
      <c r="P601" s="2"/>
      <c r="Q601" s="5"/>
    </row>
    <row r="602" spans="1:17">
      <c r="A602" s="2">
        <f t="shared" si="45"/>
        <v>600</v>
      </c>
      <c r="B602" s="2">
        <f t="shared" si="46"/>
        <v>198</v>
      </c>
      <c r="C602" s="2" t="s">
        <v>45</v>
      </c>
      <c r="D602" s="2" t="s">
        <v>266</v>
      </c>
      <c r="E602" s="2" t="s">
        <v>1261</v>
      </c>
      <c r="F602" s="2" t="s">
        <v>1262</v>
      </c>
      <c r="G602" s="3">
        <v>10</v>
      </c>
      <c r="H602" s="3">
        <v>55.11</v>
      </c>
      <c r="I602" s="3">
        <v>3.9</v>
      </c>
      <c r="J602" s="3">
        <f t="shared" si="47"/>
        <v>69.010000000000005</v>
      </c>
      <c r="K602" s="3">
        <v>10</v>
      </c>
      <c r="L602" s="3">
        <v>51.31</v>
      </c>
      <c r="M602" s="3">
        <v>5.2</v>
      </c>
      <c r="N602" s="3">
        <f t="shared" si="48"/>
        <v>66.510000000000005</v>
      </c>
      <c r="O602" s="3">
        <f t="shared" si="49"/>
        <v>135.52000000000001</v>
      </c>
      <c r="P602" s="2"/>
      <c r="Q602" s="5"/>
    </row>
    <row r="603" spans="1:17">
      <c r="A603" s="2">
        <f t="shared" si="45"/>
        <v>601</v>
      </c>
      <c r="B603" s="2">
        <f t="shared" si="46"/>
        <v>206</v>
      </c>
      <c r="C603" s="2" t="s">
        <v>20</v>
      </c>
      <c r="D603" s="2" t="s">
        <v>65</v>
      </c>
      <c r="E603" s="2" t="s">
        <v>1263</v>
      </c>
      <c r="F603" s="2" t="s">
        <v>1264</v>
      </c>
      <c r="G603" s="3">
        <v>9.8000000000000007</v>
      </c>
      <c r="H603" s="3">
        <v>56.21</v>
      </c>
      <c r="I603" s="3">
        <v>4</v>
      </c>
      <c r="J603" s="3">
        <f t="shared" si="47"/>
        <v>70.010000000000005</v>
      </c>
      <c r="K603" s="3">
        <v>7.3000000000000007</v>
      </c>
      <c r="L603" s="3">
        <v>54.18</v>
      </c>
      <c r="M603" s="3">
        <v>4</v>
      </c>
      <c r="N603" s="3">
        <f t="shared" si="48"/>
        <v>65.48</v>
      </c>
      <c r="O603" s="3">
        <f t="shared" si="49"/>
        <v>135.49</v>
      </c>
      <c r="P603" s="2"/>
      <c r="Q603" s="5"/>
    </row>
    <row r="604" spans="1:17">
      <c r="A604" s="2">
        <f t="shared" si="45"/>
        <v>602</v>
      </c>
      <c r="B604" s="2">
        <f t="shared" si="46"/>
        <v>115</v>
      </c>
      <c r="C604" s="2" t="s">
        <v>24</v>
      </c>
      <c r="D604" s="2" t="s">
        <v>25</v>
      </c>
      <c r="E604" s="2" t="s">
        <v>1265</v>
      </c>
      <c r="F604" s="2" t="s">
        <v>1266</v>
      </c>
      <c r="G604" s="3">
        <v>9.8000000000000007</v>
      </c>
      <c r="H604" s="3">
        <v>55.756097560975597</v>
      </c>
      <c r="I604" s="3">
        <v>4.5</v>
      </c>
      <c r="J604" s="3">
        <f t="shared" si="47"/>
        <v>70.06</v>
      </c>
      <c r="K604" s="3">
        <v>9.8000000000000007</v>
      </c>
      <c r="L604" s="3">
        <v>50.62</v>
      </c>
      <c r="M604" s="3">
        <v>5</v>
      </c>
      <c r="N604" s="3">
        <f t="shared" si="48"/>
        <v>65.42</v>
      </c>
      <c r="O604" s="3">
        <f t="shared" si="49"/>
        <v>135.47999999999999</v>
      </c>
      <c r="P604" s="2"/>
      <c r="Q604" s="5"/>
    </row>
    <row r="605" spans="1:17">
      <c r="A605" s="2">
        <f t="shared" si="45"/>
        <v>603</v>
      </c>
      <c r="B605" s="2">
        <f t="shared" si="46"/>
        <v>207</v>
      </c>
      <c r="C605" s="2" t="s">
        <v>20</v>
      </c>
      <c r="D605" s="2" t="s">
        <v>82</v>
      </c>
      <c r="E605" s="2" t="s">
        <v>1267</v>
      </c>
      <c r="F605" s="2" t="s">
        <v>1268</v>
      </c>
      <c r="G605" s="3">
        <v>7.3</v>
      </c>
      <c r="H605" s="3">
        <v>56.617647058823501</v>
      </c>
      <c r="I605" s="3">
        <v>5</v>
      </c>
      <c r="J605" s="3">
        <f t="shared" si="47"/>
        <v>68.92</v>
      </c>
      <c r="K605" s="3">
        <v>9.8000000000000007</v>
      </c>
      <c r="L605" s="3">
        <v>51.25</v>
      </c>
      <c r="M605" s="3">
        <v>5.5</v>
      </c>
      <c r="N605" s="3">
        <f t="shared" si="48"/>
        <v>66.55</v>
      </c>
      <c r="O605" s="3">
        <f t="shared" si="49"/>
        <v>135.47</v>
      </c>
      <c r="P605" s="2"/>
      <c r="Q605" s="5"/>
    </row>
    <row r="606" spans="1:17">
      <c r="A606" s="2">
        <f t="shared" si="45"/>
        <v>604</v>
      </c>
      <c r="B606" s="2">
        <f t="shared" si="46"/>
        <v>116</v>
      </c>
      <c r="C606" s="2" t="s">
        <v>24</v>
      </c>
      <c r="D606" s="2" t="s">
        <v>25</v>
      </c>
      <c r="E606" s="2" t="s">
        <v>1269</v>
      </c>
      <c r="F606" s="2" t="s">
        <v>1270</v>
      </c>
      <c r="G606" s="3">
        <v>9.8000000000000007</v>
      </c>
      <c r="H606" s="3">
        <v>53.109756097560997</v>
      </c>
      <c r="I606" s="3">
        <v>3</v>
      </c>
      <c r="J606" s="3">
        <f t="shared" si="47"/>
        <v>65.91</v>
      </c>
      <c r="K606" s="3">
        <v>9.8000000000000007</v>
      </c>
      <c r="L606" s="3">
        <v>56.6</v>
      </c>
      <c r="M606" s="3">
        <v>3</v>
      </c>
      <c r="N606" s="3">
        <f t="shared" si="48"/>
        <v>69.400000000000006</v>
      </c>
      <c r="O606" s="3">
        <f t="shared" si="49"/>
        <v>135.31</v>
      </c>
      <c r="P606" s="2"/>
      <c r="Q606" s="5"/>
    </row>
    <row r="607" spans="1:17">
      <c r="A607" s="2">
        <f t="shared" si="45"/>
        <v>605</v>
      </c>
      <c r="B607" s="2">
        <f t="shared" si="46"/>
        <v>199</v>
      </c>
      <c r="C607" s="2" t="s">
        <v>45</v>
      </c>
      <c r="D607" s="2" t="s">
        <v>220</v>
      </c>
      <c r="E607" s="2" t="s">
        <v>1271</v>
      </c>
      <c r="F607" s="2" t="s">
        <v>1272</v>
      </c>
      <c r="G607" s="3">
        <v>9.8000000000000007</v>
      </c>
      <c r="H607" s="3">
        <v>54.61</v>
      </c>
      <c r="I607" s="3">
        <v>3.4</v>
      </c>
      <c r="J607" s="3">
        <f t="shared" si="47"/>
        <v>67.81</v>
      </c>
      <c r="K607" s="3">
        <v>10</v>
      </c>
      <c r="L607" s="3">
        <v>53.48</v>
      </c>
      <c r="M607" s="3">
        <v>3.9</v>
      </c>
      <c r="N607" s="3">
        <f t="shared" si="48"/>
        <v>67.38</v>
      </c>
      <c r="O607" s="3">
        <f t="shared" si="49"/>
        <v>135.19</v>
      </c>
      <c r="P607" s="2"/>
      <c r="Q607" s="5"/>
    </row>
    <row r="608" spans="1:17">
      <c r="A608" s="2">
        <f t="shared" si="45"/>
        <v>606</v>
      </c>
      <c r="B608" s="2">
        <f t="shared" si="46"/>
        <v>84</v>
      </c>
      <c r="C608" s="2" t="s">
        <v>15</v>
      </c>
      <c r="D608" s="2" t="s">
        <v>16</v>
      </c>
      <c r="E608" s="2" t="s">
        <v>1273</v>
      </c>
      <c r="F608" s="2" t="s">
        <v>1274</v>
      </c>
      <c r="G608" s="3">
        <v>10</v>
      </c>
      <c r="H608" s="3">
        <v>59.07</v>
      </c>
      <c r="I608" s="3">
        <v>3</v>
      </c>
      <c r="J608" s="3">
        <f t="shared" si="47"/>
        <v>72.069999999999993</v>
      </c>
      <c r="K608" s="3">
        <v>7.5</v>
      </c>
      <c r="L608" s="3">
        <v>51.58</v>
      </c>
      <c r="M608" s="3">
        <v>4</v>
      </c>
      <c r="N608" s="3">
        <f t="shared" si="48"/>
        <v>63.08</v>
      </c>
      <c r="O608" s="3">
        <f t="shared" si="49"/>
        <v>135.15</v>
      </c>
      <c r="P608" s="2"/>
      <c r="Q608" s="5"/>
    </row>
    <row r="609" spans="1:17">
      <c r="A609" s="2">
        <f t="shared" si="45"/>
        <v>607</v>
      </c>
      <c r="B609" s="2">
        <f t="shared" si="46"/>
        <v>208</v>
      </c>
      <c r="C609" s="2" t="s">
        <v>20</v>
      </c>
      <c r="D609" s="2" t="s">
        <v>82</v>
      </c>
      <c r="E609" s="2" t="s">
        <v>1275</v>
      </c>
      <c r="F609" s="2" t="s">
        <v>1276</v>
      </c>
      <c r="G609" s="3">
        <v>9.8000000000000007</v>
      </c>
      <c r="H609" s="3">
        <v>55.959183673469397</v>
      </c>
      <c r="I609" s="3">
        <v>3</v>
      </c>
      <c r="J609" s="3">
        <f t="shared" si="47"/>
        <v>68.760000000000005</v>
      </c>
      <c r="K609" s="3">
        <v>9.8000000000000007</v>
      </c>
      <c r="L609" s="3">
        <v>52.83</v>
      </c>
      <c r="M609" s="3">
        <v>3.7</v>
      </c>
      <c r="N609" s="3">
        <f t="shared" si="48"/>
        <v>66.33</v>
      </c>
      <c r="O609" s="3">
        <f t="shared" si="49"/>
        <v>135.09</v>
      </c>
      <c r="P609" s="2"/>
      <c r="Q609" s="5"/>
    </row>
    <row r="610" spans="1:17">
      <c r="A610" s="2">
        <f t="shared" si="45"/>
        <v>608</v>
      </c>
      <c r="B610" s="2">
        <f t="shared" si="46"/>
        <v>200</v>
      </c>
      <c r="C610" s="2" t="s">
        <v>45</v>
      </c>
      <c r="D610" s="2" t="s">
        <v>109</v>
      </c>
      <c r="E610" s="2" t="s">
        <v>1277</v>
      </c>
      <c r="F610" s="2" t="s">
        <v>1278</v>
      </c>
      <c r="G610" s="3">
        <v>9.8000000000000007</v>
      </c>
      <c r="H610" s="3">
        <v>57.58</v>
      </c>
      <c r="I610" s="3">
        <v>3</v>
      </c>
      <c r="J610" s="3">
        <f t="shared" si="47"/>
        <v>70.38</v>
      </c>
      <c r="K610" s="3">
        <v>7.3000000000000007</v>
      </c>
      <c r="L610" s="3">
        <v>52.84</v>
      </c>
      <c r="M610" s="3">
        <v>4.5</v>
      </c>
      <c r="N610" s="3">
        <f t="shared" si="48"/>
        <v>64.64</v>
      </c>
      <c r="O610" s="3">
        <f t="shared" si="49"/>
        <v>135.02000000000001</v>
      </c>
      <c r="P610" s="2"/>
      <c r="Q610" s="5"/>
    </row>
    <row r="611" spans="1:17">
      <c r="A611" s="2">
        <f t="shared" si="45"/>
        <v>609</v>
      </c>
      <c r="B611" s="2">
        <f t="shared" si="46"/>
        <v>201</v>
      </c>
      <c r="C611" s="2" t="s">
        <v>45</v>
      </c>
      <c r="D611" s="2" t="s">
        <v>96</v>
      </c>
      <c r="E611" s="2" t="s">
        <v>1279</v>
      </c>
      <c r="F611" s="2" t="s">
        <v>1280</v>
      </c>
      <c r="G611" s="3">
        <v>9.8000000000000007</v>
      </c>
      <c r="H611" s="3">
        <v>56.69</v>
      </c>
      <c r="I611" s="3">
        <v>3</v>
      </c>
      <c r="J611" s="3">
        <f t="shared" si="47"/>
        <v>69.489999999999995</v>
      </c>
      <c r="K611" s="3">
        <v>9.8000000000000007</v>
      </c>
      <c r="L611" s="3">
        <v>52.07</v>
      </c>
      <c r="M611" s="3">
        <v>3.5</v>
      </c>
      <c r="N611" s="3">
        <f t="shared" si="48"/>
        <v>65.37</v>
      </c>
      <c r="O611" s="3">
        <f t="shared" si="49"/>
        <v>134.86000000000001</v>
      </c>
      <c r="P611" s="2"/>
      <c r="Q611" s="5"/>
    </row>
    <row r="612" spans="1:17">
      <c r="A612" s="2">
        <f t="shared" si="45"/>
        <v>610</v>
      </c>
      <c r="B612" s="2">
        <f t="shared" si="46"/>
        <v>85</v>
      </c>
      <c r="C612" s="2" t="s">
        <v>15</v>
      </c>
      <c r="D612" s="2" t="s">
        <v>39</v>
      </c>
      <c r="E612" s="2" t="s">
        <v>1281</v>
      </c>
      <c r="F612" s="2" t="s">
        <v>1282</v>
      </c>
      <c r="G612" s="3">
        <v>9.8000000000000007</v>
      </c>
      <c r="H612" s="3">
        <v>56.9</v>
      </c>
      <c r="I612" s="3">
        <v>3</v>
      </c>
      <c r="J612" s="3">
        <f t="shared" si="47"/>
        <v>69.7</v>
      </c>
      <c r="K612" s="3">
        <v>7.3000000000000007</v>
      </c>
      <c r="L612" s="3">
        <v>54.27</v>
      </c>
      <c r="M612" s="3">
        <v>3.5</v>
      </c>
      <c r="N612" s="3">
        <f t="shared" si="48"/>
        <v>65.069999999999993</v>
      </c>
      <c r="O612" s="3">
        <f t="shared" si="49"/>
        <v>134.77000000000001</v>
      </c>
      <c r="P612" s="2"/>
      <c r="Q612" s="5"/>
    </row>
    <row r="613" spans="1:17">
      <c r="A613" s="2">
        <f t="shared" si="45"/>
        <v>611</v>
      </c>
      <c r="B613" s="2">
        <f t="shared" si="46"/>
        <v>202</v>
      </c>
      <c r="C613" s="2" t="s">
        <v>45</v>
      </c>
      <c r="D613" s="2" t="s">
        <v>54</v>
      </c>
      <c r="E613" s="2" t="s">
        <v>1283</v>
      </c>
      <c r="F613" s="2" t="s">
        <v>1284</v>
      </c>
      <c r="G613" s="3">
        <v>10.8</v>
      </c>
      <c r="H613" s="3">
        <v>57.12</v>
      </c>
      <c r="I613" s="3">
        <v>5.15</v>
      </c>
      <c r="J613" s="3">
        <f t="shared" si="47"/>
        <v>73.069999999999993</v>
      </c>
      <c r="K613" s="3">
        <v>7.3000000000000007</v>
      </c>
      <c r="L613" s="3">
        <v>49.99</v>
      </c>
      <c r="M613" s="3">
        <v>4.4000000000000004</v>
      </c>
      <c r="N613" s="3">
        <f t="shared" si="48"/>
        <v>61.69</v>
      </c>
      <c r="O613" s="3">
        <f t="shared" si="49"/>
        <v>134.76</v>
      </c>
      <c r="P613" s="2"/>
      <c r="Q613" s="5"/>
    </row>
    <row r="614" spans="1:17">
      <c r="A614" s="2">
        <f t="shared" si="45"/>
        <v>612</v>
      </c>
      <c r="B614" s="2">
        <f t="shared" si="46"/>
        <v>203</v>
      </c>
      <c r="C614" s="2" t="s">
        <v>45</v>
      </c>
      <c r="D614" s="2" t="s">
        <v>232</v>
      </c>
      <c r="E614" s="2" t="s">
        <v>1285</v>
      </c>
      <c r="F614" s="2" t="s">
        <v>1286</v>
      </c>
      <c r="G614" s="3">
        <v>10.3</v>
      </c>
      <c r="H614" s="3">
        <v>53.14</v>
      </c>
      <c r="I614" s="3">
        <v>5.3</v>
      </c>
      <c r="J614" s="3">
        <f t="shared" si="47"/>
        <v>68.739999999999995</v>
      </c>
      <c r="K614" s="3">
        <v>9.8000000000000007</v>
      </c>
      <c r="L614" s="3">
        <v>51.72</v>
      </c>
      <c r="M614" s="3">
        <v>4.4000000000000004</v>
      </c>
      <c r="N614" s="3">
        <f t="shared" si="48"/>
        <v>65.92</v>
      </c>
      <c r="O614" s="3">
        <f t="shared" si="49"/>
        <v>134.66</v>
      </c>
      <c r="P614" s="2"/>
      <c r="Q614" s="5"/>
    </row>
    <row r="615" spans="1:17">
      <c r="A615" s="2">
        <f t="shared" si="45"/>
        <v>613</v>
      </c>
      <c r="B615" s="2">
        <f t="shared" si="46"/>
        <v>209</v>
      </c>
      <c r="C615" s="2" t="s">
        <v>20</v>
      </c>
      <c r="D615" s="2" t="s">
        <v>117</v>
      </c>
      <c r="E615" s="2" t="s">
        <v>1287</v>
      </c>
      <c r="F615" s="2" t="s">
        <v>1288</v>
      </c>
      <c r="G615" s="3">
        <v>9.4</v>
      </c>
      <c r="H615" s="3">
        <v>55.78</v>
      </c>
      <c r="I615" s="3">
        <v>3</v>
      </c>
      <c r="J615" s="3">
        <f t="shared" si="47"/>
        <v>68.180000000000007</v>
      </c>
      <c r="K615" s="3">
        <v>9.8000000000000007</v>
      </c>
      <c r="L615" s="3">
        <v>53.64</v>
      </c>
      <c r="M615" s="3">
        <v>3</v>
      </c>
      <c r="N615" s="3">
        <f t="shared" si="48"/>
        <v>66.44</v>
      </c>
      <c r="O615" s="3">
        <f t="shared" si="49"/>
        <v>134.62</v>
      </c>
      <c r="P615" s="2"/>
      <c r="Q615" s="5"/>
    </row>
    <row r="616" spans="1:17">
      <c r="A616" s="2">
        <f t="shared" si="45"/>
        <v>613</v>
      </c>
      <c r="B616" s="2">
        <f t="shared" si="46"/>
        <v>86</v>
      </c>
      <c r="C616" s="2" t="s">
        <v>15</v>
      </c>
      <c r="D616" s="2" t="s">
        <v>181</v>
      </c>
      <c r="E616" s="2" t="s">
        <v>1289</v>
      </c>
      <c r="F616" s="2" t="s">
        <v>1290</v>
      </c>
      <c r="G616" s="3">
        <v>9.8000000000000007</v>
      </c>
      <c r="H616" s="3">
        <v>55.59</v>
      </c>
      <c r="I616" s="3">
        <v>3.95</v>
      </c>
      <c r="J616" s="3">
        <f t="shared" si="47"/>
        <v>69.34</v>
      </c>
      <c r="K616" s="3">
        <v>7.3000000000000007</v>
      </c>
      <c r="L616" s="3">
        <v>53.38</v>
      </c>
      <c r="M616" s="3">
        <v>4.5999999999999996</v>
      </c>
      <c r="N616" s="3">
        <f t="shared" si="48"/>
        <v>65.28</v>
      </c>
      <c r="O616" s="3">
        <f t="shared" si="49"/>
        <v>134.62</v>
      </c>
      <c r="P616" s="2"/>
      <c r="Q616" s="5"/>
    </row>
    <row r="617" spans="1:17">
      <c r="A617" s="2">
        <f t="shared" si="45"/>
        <v>615</v>
      </c>
      <c r="B617" s="2">
        <f t="shared" si="46"/>
        <v>204</v>
      </c>
      <c r="C617" s="2" t="s">
        <v>45</v>
      </c>
      <c r="D617" s="2" t="s">
        <v>96</v>
      </c>
      <c r="E617" s="2" t="s">
        <v>1291</v>
      </c>
      <c r="F617" s="2" t="s">
        <v>1292</v>
      </c>
      <c r="G617" s="3">
        <v>9.8000000000000007</v>
      </c>
      <c r="H617" s="3">
        <v>57.86</v>
      </c>
      <c r="I617" s="3">
        <v>3.8</v>
      </c>
      <c r="J617" s="3">
        <f t="shared" si="47"/>
        <v>71.459999999999994</v>
      </c>
      <c r="K617" s="3">
        <v>9.8000000000000007</v>
      </c>
      <c r="L617" s="3">
        <v>49.65</v>
      </c>
      <c r="M617" s="3">
        <v>3.7</v>
      </c>
      <c r="N617" s="3">
        <f t="shared" si="48"/>
        <v>63.15</v>
      </c>
      <c r="O617" s="3">
        <f t="shared" si="49"/>
        <v>134.61000000000001</v>
      </c>
      <c r="P617" s="2"/>
      <c r="Q617" s="5"/>
    </row>
    <row r="618" spans="1:17">
      <c r="A618" s="2">
        <f t="shared" si="45"/>
        <v>616</v>
      </c>
      <c r="B618" s="2">
        <f t="shared" si="46"/>
        <v>210</v>
      </c>
      <c r="C618" s="2" t="s">
        <v>20</v>
      </c>
      <c r="D618" s="2" t="s">
        <v>21</v>
      </c>
      <c r="E618" s="2" t="s">
        <v>1293</v>
      </c>
      <c r="F618" s="2" t="s">
        <v>1294</v>
      </c>
      <c r="G618" s="3">
        <v>9.8000000000000007</v>
      </c>
      <c r="H618" s="3">
        <v>58.71</v>
      </c>
      <c r="I618" s="3">
        <v>4</v>
      </c>
      <c r="J618" s="3">
        <f t="shared" si="47"/>
        <v>72.510000000000005</v>
      </c>
      <c r="K618" s="3">
        <v>9.8000000000000007</v>
      </c>
      <c r="L618" s="3">
        <v>47.48</v>
      </c>
      <c r="M618" s="3">
        <v>4.8</v>
      </c>
      <c r="N618" s="3">
        <f t="shared" si="48"/>
        <v>62.08</v>
      </c>
      <c r="O618" s="3">
        <f t="shared" si="49"/>
        <v>134.59</v>
      </c>
      <c r="P618" s="2"/>
      <c r="Q618" s="5"/>
    </row>
    <row r="619" spans="1:17">
      <c r="A619" s="2">
        <f t="shared" si="45"/>
        <v>617</v>
      </c>
      <c r="B619" s="2">
        <f t="shared" si="46"/>
        <v>211</v>
      </c>
      <c r="C619" s="2" t="s">
        <v>20</v>
      </c>
      <c r="D619" s="2" t="s">
        <v>82</v>
      </c>
      <c r="E619" s="2" t="s">
        <v>1295</v>
      </c>
      <c r="F619" s="2" t="s">
        <v>1296</v>
      </c>
      <c r="G619" s="3">
        <v>9</v>
      </c>
      <c r="H619" s="3">
        <v>56.936170212766001</v>
      </c>
      <c r="I619" s="3">
        <v>3</v>
      </c>
      <c r="J619" s="3">
        <f t="shared" si="47"/>
        <v>68.94</v>
      </c>
      <c r="K619" s="3">
        <v>7.3000000000000007</v>
      </c>
      <c r="L619" s="3">
        <v>54.54</v>
      </c>
      <c r="M619" s="3">
        <v>3.7</v>
      </c>
      <c r="N619" s="3">
        <f t="shared" si="48"/>
        <v>65.540000000000006</v>
      </c>
      <c r="O619" s="3">
        <f t="shared" si="49"/>
        <v>134.47999999999999</v>
      </c>
      <c r="P619" s="2"/>
      <c r="Q619" s="5"/>
    </row>
    <row r="620" spans="1:17">
      <c r="A620" s="2">
        <f t="shared" si="45"/>
        <v>618</v>
      </c>
      <c r="B620" s="2">
        <f t="shared" si="46"/>
        <v>212</v>
      </c>
      <c r="C620" s="2" t="s">
        <v>20</v>
      </c>
      <c r="D620" s="2" t="s">
        <v>164</v>
      </c>
      <c r="E620" s="2" t="s">
        <v>1297</v>
      </c>
      <c r="F620" s="2" t="s">
        <v>1298</v>
      </c>
      <c r="G620" s="3">
        <v>9.8000000000000007</v>
      </c>
      <c r="H620" s="3">
        <v>62.04</v>
      </c>
      <c r="I620" s="3">
        <v>3</v>
      </c>
      <c r="J620" s="3">
        <f t="shared" si="47"/>
        <v>74.84</v>
      </c>
      <c r="K620" s="3">
        <v>9.8000000000000007</v>
      </c>
      <c r="L620" s="3">
        <v>45.73</v>
      </c>
      <c r="M620" s="3">
        <v>4</v>
      </c>
      <c r="N620" s="3">
        <f t="shared" si="48"/>
        <v>59.53</v>
      </c>
      <c r="O620" s="3">
        <f t="shared" si="49"/>
        <v>134.37</v>
      </c>
      <c r="P620" s="2"/>
      <c r="Q620" s="5"/>
    </row>
    <row r="621" spans="1:17">
      <c r="A621" s="2">
        <f t="shared" si="45"/>
        <v>619</v>
      </c>
      <c r="B621" s="2">
        <f t="shared" si="46"/>
        <v>205</v>
      </c>
      <c r="C621" s="2" t="s">
        <v>45</v>
      </c>
      <c r="D621" s="2" t="s">
        <v>73</v>
      </c>
      <c r="E621" s="2" t="s">
        <v>1299</v>
      </c>
      <c r="F621" s="2" t="s">
        <v>1300</v>
      </c>
      <c r="G621" s="3">
        <v>9.8000000000000007</v>
      </c>
      <c r="H621" s="3">
        <v>58.26</v>
      </c>
      <c r="I621" s="3">
        <v>3.2</v>
      </c>
      <c r="J621" s="3">
        <f t="shared" si="47"/>
        <v>71.260000000000005</v>
      </c>
      <c r="K621" s="3">
        <v>9.8000000000000007</v>
      </c>
      <c r="L621" s="3">
        <v>49.76</v>
      </c>
      <c r="M621" s="3">
        <v>3.5</v>
      </c>
      <c r="N621" s="3">
        <f t="shared" si="48"/>
        <v>63.06</v>
      </c>
      <c r="O621" s="3">
        <f t="shared" si="49"/>
        <v>134.32</v>
      </c>
      <c r="P621" s="2"/>
      <c r="Q621" s="5"/>
    </row>
    <row r="622" spans="1:17">
      <c r="A622" s="2">
        <f t="shared" si="45"/>
        <v>620</v>
      </c>
      <c r="B622" s="2">
        <f t="shared" si="46"/>
        <v>213</v>
      </c>
      <c r="C622" s="2" t="s">
        <v>20</v>
      </c>
      <c r="D622" s="2" t="s">
        <v>65</v>
      </c>
      <c r="E622" s="2" t="s">
        <v>1301</v>
      </c>
      <c r="F622" s="2" t="s">
        <v>1302</v>
      </c>
      <c r="G622" s="3">
        <v>9.8000000000000007</v>
      </c>
      <c r="H622" s="3">
        <v>50.4</v>
      </c>
      <c r="I622" s="3">
        <v>4</v>
      </c>
      <c r="J622" s="3">
        <f t="shared" si="47"/>
        <v>64.2</v>
      </c>
      <c r="K622" s="3">
        <v>9.8000000000000007</v>
      </c>
      <c r="L622" s="3">
        <v>56.31</v>
      </c>
      <c r="M622" s="3">
        <v>4</v>
      </c>
      <c r="N622" s="3">
        <f t="shared" si="48"/>
        <v>70.11</v>
      </c>
      <c r="O622" s="3">
        <f t="shared" si="49"/>
        <v>134.31</v>
      </c>
      <c r="P622" s="2"/>
      <c r="Q622" s="5"/>
    </row>
    <row r="623" spans="1:17">
      <c r="A623" s="2">
        <f t="shared" si="45"/>
        <v>621</v>
      </c>
      <c r="B623" s="2">
        <f t="shared" si="46"/>
        <v>117</v>
      </c>
      <c r="C623" s="2" t="s">
        <v>24</v>
      </c>
      <c r="D623" s="2" t="s">
        <v>25</v>
      </c>
      <c r="E623" s="2" t="s">
        <v>1303</v>
      </c>
      <c r="F623" s="2" t="s">
        <v>1304</v>
      </c>
      <c r="G623" s="3">
        <v>9.8000000000000007</v>
      </c>
      <c r="H623" s="3">
        <v>54.670731707317103</v>
      </c>
      <c r="I623" s="3">
        <v>3</v>
      </c>
      <c r="J623" s="3">
        <f t="shared" si="47"/>
        <v>67.47</v>
      </c>
      <c r="K623" s="3">
        <v>9.8000000000000007</v>
      </c>
      <c r="L623" s="3">
        <v>53.53</v>
      </c>
      <c r="M623" s="3">
        <v>3.5</v>
      </c>
      <c r="N623" s="3">
        <f t="shared" si="48"/>
        <v>66.83</v>
      </c>
      <c r="O623" s="3">
        <f t="shared" si="49"/>
        <v>134.30000000000001</v>
      </c>
      <c r="P623" s="2"/>
      <c r="Q623" s="5"/>
    </row>
    <row r="624" spans="1:17">
      <c r="A624" s="2">
        <f t="shared" si="45"/>
        <v>621</v>
      </c>
      <c r="B624" s="2">
        <f t="shared" si="46"/>
        <v>206</v>
      </c>
      <c r="C624" s="2" t="s">
        <v>45</v>
      </c>
      <c r="D624" s="2" t="s">
        <v>89</v>
      </c>
      <c r="E624" s="2" t="s">
        <v>1305</v>
      </c>
      <c r="F624" s="2" t="s">
        <v>1306</v>
      </c>
      <c r="G624" s="3">
        <v>10.3</v>
      </c>
      <c r="H624" s="3">
        <v>52.68</v>
      </c>
      <c r="I624" s="3">
        <v>5.55</v>
      </c>
      <c r="J624" s="3">
        <f t="shared" si="47"/>
        <v>68.53</v>
      </c>
      <c r="K624" s="3">
        <v>9.8000000000000007</v>
      </c>
      <c r="L624" s="3">
        <v>50.87</v>
      </c>
      <c r="M624" s="3">
        <v>5.0999999999999996</v>
      </c>
      <c r="N624" s="3">
        <f t="shared" si="48"/>
        <v>65.77</v>
      </c>
      <c r="O624" s="3">
        <f t="shared" si="49"/>
        <v>134.30000000000001</v>
      </c>
      <c r="P624" s="2"/>
      <c r="Q624" s="5"/>
    </row>
    <row r="625" spans="1:17">
      <c r="A625" s="2">
        <f t="shared" si="45"/>
        <v>623</v>
      </c>
      <c r="B625" s="2">
        <f t="shared" si="46"/>
        <v>207</v>
      </c>
      <c r="C625" s="2" t="s">
        <v>45</v>
      </c>
      <c r="D625" s="2" t="s">
        <v>54</v>
      </c>
      <c r="E625" s="2" t="s">
        <v>1307</v>
      </c>
      <c r="F625" s="2" t="s">
        <v>1308</v>
      </c>
      <c r="G625" s="3">
        <v>10</v>
      </c>
      <c r="H625" s="3">
        <v>54.21</v>
      </c>
      <c r="I625" s="3">
        <v>5</v>
      </c>
      <c r="J625" s="3">
        <f t="shared" si="47"/>
        <v>69.209999999999994</v>
      </c>
      <c r="K625" s="3">
        <v>10</v>
      </c>
      <c r="L625" s="3">
        <v>49.34</v>
      </c>
      <c r="M625" s="3">
        <v>5.7</v>
      </c>
      <c r="N625" s="3">
        <f t="shared" si="48"/>
        <v>65.040000000000006</v>
      </c>
      <c r="O625" s="3">
        <f t="shared" si="49"/>
        <v>134.25</v>
      </c>
      <c r="P625" s="2"/>
      <c r="Q625" s="5"/>
    </row>
    <row r="626" spans="1:17">
      <c r="A626" s="2">
        <f t="shared" si="45"/>
        <v>624</v>
      </c>
      <c r="B626" s="2">
        <f t="shared" si="46"/>
        <v>208</v>
      </c>
      <c r="C626" s="2" t="s">
        <v>45</v>
      </c>
      <c r="D626" s="2" t="s">
        <v>220</v>
      </c>
      <c r="E626" s="2" t="s">
        <v>1309</v>
      </c>
      <c r="F626" s="2" t="s">
        <v>1310</v>
      </c>
      <c r="G626" s="3">
        <v>9.8000000000000007</v>
      </c>
      <c r="H626" s="3">
        <v>60.63</v>
      </c>
      <c r="I626" s="3">
        <v>4.9000000000000004</v>
      </c>
      <c r="J626" s="3">
        <f t="shared" si="47"/>
        <v>75.33</v>
      </c>
      <c r="K626" s="3">
        <v>6.9</v>
      </c>
      <c r="L626" s="3">
        <v>47.5</v>
      </c>
      <c r="M626" s="3">
        <v>4.5</v>
      </c>
      <c r="N626" s="3">
        <f t="shared" si="48"/>
        <v>58.9</v>
      </c>
      <c r="O626" s="3">
        <f t="shared" si="49"/>
        <v>134.22999999999999</v>
      </c>
      <c r="P626" s="2"/>
      <c r="Q626" s="5"/>
    </row>
    <row r="627" spans="1:17">
      <c r="A627" s="2">
        <f t="shared" si="45"/>
        <v>625</v>
      </c>
      <c r="B627" s="2">
        <f t="shared" si="46"/>
        <v>118</v>
      </c>
      <c r="C627" s="2" t="s">
        <v>24</v>
      </c>
      <c r="D627" s="2" t="s">
        <v>58</v>
      </c>
      <c r="E627" s="2" t="s">
        <v>1311</v>
      </c>
      <c r="F627" s="2" t="s">
        <v>1312</v>
      </c>
      <c r="G627" s="3">
        <v>10.8</v>
      </c>
      <c r="H627" s="3">
        <v>53.451219512195102</v>
      </c>
      <c r="I627" s="3">
        <v>4</v>
      </c>
      <c r="J627" s="3">
        <f t="shared" si="47"/>
        <v>68.25</v>
      </c>
      <c r="K627" s="3">
        <v>9.8000000000000007</v>
      </c>
      <c r="L627" s="3">
        <v>52.13</v>
      </c>
      <c r="M627" s="3">
        <v>4</v>
      </c>
      <c r="N627" s="3">
        <f t="shared" si="48"/>
        <v>65.930000000000007</v>
      </c>
      <c r="O627" s="3">
        <f t="shared" si="49"/>
        <v>134.18</v>
      </c>
      <c r="P627" s="2"/>
      <c r="Q627" s="5"/>
    </row>
    <row r="628" spans="1:17">
      <c r="A628" s="2">
        <f t="shared" si="45"/>
        <v>626</v>
      </c>
      <c r="B628" s="2">
        <f t="shared" si="46"/>
        <v>214</v>
      </c>
      <c r="C628" s="2" t="s">
        <v>20</v>
      </c>
      <c r="D628" s="2" t="s">
        <v>164</v>
      </c>
      <c r="E628" s="2" t="s">
        <v>1313</v>
      </c>
      <c r="F628" s="2" t="s">
        <v>1314</v>
      </c>
      <c r="G628" s="3">
        <v>10</v>
      </c>
      <c r="H628" s="3">
        <v>53.28</v>
      </c>
      <c r="I628" s="3">
        <v>3.7</v>
      </c>
      <c r="J628" s="3">
        <f t="shared" si="47"/>
        <v>66.98</v>
      </c>
      <c r="K628" s="3">
        <v>10</v>
      </c>
      <c r="L628" s="3">
        <v>52.54</v>
      </c>
      <c r="M628" s="3">
        <v>4.5999999999999996</v>
      </c>
      <c r="N628" s="3">
        <f t="shared" si="48"/>
        <v>67.14</v>
      </c>
      <c r="O628" s="3">
        <f t="shared" si="49"/>
        <v>134.12</v>
      </c>
      <c r="P628" s="2"/>
      <c r="Q628" s="5"/>
    </row>
    <row r="629" spans="1:17">
      <c r="A629" s="2">
        <f t="shared" si="45"/>
        <v>627</v>
      </c>
      <c r="B629" s="2">
        <f t="shared" si="46"/>
        <v>209</v>
      </c>
      <c r="C629" s="2" t="s">
        <v>45</v>
      </c>
      <c r="D629" s="2" t="s">
        <v>46</v>
      </c>
      <c r="E629" s="2" t="s">
        <v>1315</v>
      </c>
      <c r="F629" s="2" t="s">
        <v>1316</v>
      </c>
      <c r="G629" s="3">
        <v>11.6</v>
      </c>
      <c r="H629" s="3">
        <v>54.66</v>
      </c>
      <c r="I629" s="3">
        <v>4.5</v>
      </c>
      <c r="J629" s="3">
        <f t="shared" si="47"/>
        <v>70.760000000000005</v>
      </c>
      <c r="K629" s="3">
        <v>7.3000000000000007</v>
      </c>
      <c r="L629" s="3">
        <v>50.83</v>
      </c>
      <c r="M629" s="3">
        <v>5.2</v>
      </c>
      <c r="N629" s="3">
        <f t="shared" si="48"/>
        <v>63.33</v>
      </c>
      <c r="O629" s="3">
        <f t="shared" si="49"/>
        <v>134.09</v>
      </c>
      <c r="P629" s="2"/>
      <c r="Q629" s="5"/>
    </row>
    <row r="630" spans="1:17">
      <c r="A630" s="2">
        <f t="shared" si="45"/>
        <v>628</v>
      </c>
      <c r="B630" s="2">
        <f t="shared" si="46"/>
        <v>215</v>
      </c>
      <c r="C630" s="2" t="s">
        <v>20</v>
      </c>
      <c r="D630" s="2" t="s">
        <v>29</v>
      </c>
      <c r="E630" s="2" t="s">
        <v>1317</v>
      </c>
      <c r="F630" s="2" t="s">
        <v>1318</v>
      </c>
      <c r="G630" s="3">
        <v>9.6</v>
      </c>
      <c r="H630" s="3">
        <v>51.21</v>
      </c>
      <c r="I630" s="3">
        <v>3.6</v>
      </c>
      <c r="J630" s="3">
        <f t="shared" si="47"/>
        <v>64.41</v>
      </c>
      <c r="K630" s="3">
        <v>10</v>
      </c>
      <c r="L630" s="3">
        <v>54.95</v>
      </c>
      <c r="M630" s="3">
        <v>4.7</v>
      </c>
      <c r="N630" s="3">
        <f t="shared" si="48"/>
        <v>69.650000000000006</v>
      </c>
      <c r="O630" s="3">
        <f t="shared" si="49"/>
        <v>134.06</v>
      </c>
      <c r="P630" s="2"/>
      <c r="Q630" s="5"/>
    </row>
    <row r="631" spans="1:17">
      <c r="A631" s="2">
        <f t="shared" si="45"/>
        <v>629</v>
      </c>
      <c r="B631" s="2">
        <f t="shared" si="46"/>
        <v>87</v>
      </c>
      <c r="C631" s="2" t="s">
        <v>15</v>
      </c>
      <c r="D631" s="2" t="s">
        <v>181</v>
      </c>
      <c r="E631" s="2" t="s">
        <v>1319</v>
      </c>
      <c r="F631" s="2" t="s">
        <v>1320</v>
      </c>
      <c r="G631" s="3">
        <v>9.8000000000000007</v>
      </c>
      <c r="H631" s="3">
        <v>58.45</v>
      </c>
      <c r="I631" s="3">
        <v>4</v>
      </c>
      <c r="J631" s="3">
        <f t="shared" si="47"/>
        <v>72.25</v>
      </c>
      <c r="K631" s="3">
        <v>7.3000000000000007</v>
      </c>
      <c r="L631" s="3">
        <v>49.77</v>
      </c>
      <c r="M631" s="3">
        <v>4.7</v>
      </c>
      <c r="N631" s="3">
        <f t="shared" si="48"/>
        <v>61.77</v>
      </c>
      <c r="O631" s="3">
        <f t="shared" si="49"/>
        <v>134.02000000000001</v>
      </c>
      <c r="P631" s="2"/>
      <c r="Q631" s="5"/>
    </row>
    <row r="632" spans="1:17">
      <c r="A632" s="2">
        <f t="shared" si="45"/>
        <v>630</v>
      </c>
      <c r="B632" s="2">
        <f t="shared" si="46"/>
        <v>210</v>
      </c>
      <c r="C632" s="2" t="s">
        <v>45</v>
      </c>
      <c r="D632" s="2" t="s">
        <v>232</v>
      </c>
      <c r="E632" s="2" t="s">
        <v>1321</v>
      </c>
      <c r="F632" s="2" t="s">
        <v>1322</v>
      </c>
      <c r="G632" s="3">
        <v>9.8000000000000007</v>
      </c>
      <c r="H632" s="3">
        <v>52.57</v>
      </c>
      <c r="I632" s="3">
        <v>4.7</v>
      </c>
      <c r="J632" s="3">
        <f t="shared" si="47"/>
        <v>67.069999999999993</v>
      </c>
      <c r="K632" s="3">
        <v>9.8000000000000007</v>
      </c>
      <c r="L632" s="3">
        <v>51.24</v>
      </c>
      <c r="M632" s="3">
        <v>5.9</v>
      </c>
      <c r="N632" s="3">
        <f t="shared" si="48"/>
        <v>66.94</v>
      </c>
      <c r="O632" s="3">
        <f t="shared" si="49"/>
        <v>134.01</v>
      </c>
      <c r="P632" s="2"/>
      <c r="Q632" s="5"/>
    </row>
    <row r="633" spans="1:17">
      <c r="A633" s="2">
        <f t="shared" si="45"/>
        <v>631</v>
      </c>
      <c r="B633" s="2">
        <f t="shared" si="46"/>
        <v>88</v>
      </c>
      <c r="C633" s="2" t="s">
        <v>15</v>
      </c>
      <c r="D633" s="2" t="s">
        <v>16</v>
      </c>
      <c r="E633" s="2" t="s">
        <v>1323</v>
      </c>
      <c r="F633" s="2" t="s">
        <v>1324</v>
      </c>
      <c r="G633" s="3">
        <v>9.8000000000000007</v>
      </c>
      <c r="H633" s="3">
        <v>53.97</v>
      </c>
      <c r="I633" s="3">
        <v>3</v>
      </c>
      <c r="J633" s="3">
        <f t="shared" si="47"/>
        <v>66.77</v>
      </c>
      <c r="K633" s="3">
        <v>7.3000000000000007</v>
      </c>
      <c r="L633" s="3">
        <v>55.73</v>
      </c>
      <c r="M633" s="3">
        <v>4.2</v>
      </c>
      <c r="N633" s="3">
        <f t="shared" si="48"/>
        <v>67.23</v>
      </c>
      <c r="O633" s="3">
        <f t="shared" si="49"/>
        <v>134</v>
      </c>
      <c r="P633" s="2"/>
      <c r="Q633" s="5"/>
    </row>
    <row r="634" spans="1:17">
      <c r="A634" s="2">
        <f t="shared" si="45"/>
        <v>631</v>
      </c>
      <c r="B634" s="2">
        <f t="shared" si="46"/>
        <v>211</v>
      </c>
      <c r="C634" s="2" t="s">
        <v>45</v>
      </c>
      <c r="D634" s="2" t="s">
        <v>89</v>
      </c>
      <c r="E634" s="2" t="s">
        <v>1325</v>
      </c>
      <c r="F634" s="2" t="s">
        <v>1326</v>
      </c>
      <c r="G634" s="3">
        <v>11</v>
      </c>
      <c r="H634" s="3">
        <v>53.94</v>
      </c>
      <c r="I634" s="3">
        <v>4.4000000000000004</v>
      </c>
      <c r="J634" s="3">
        <f t="shared" si="47"/>
        <v>69.34</v>
      </c>
      <c r="K634" s="3">
        <v>10</v>
      </c>
      <c r="L634" s="3">
        <v>51.16</v>
      </c>
      <c r="M634" s="3">
        <v>3.5</v>
      </c>
      <c r="N634" s="3">
        <f t="shared" si="48"/>
        <v>64.66</v>
      </c>
      <c r="O634" s="3">
        <f t="shared" si="49"/>
        <v>134</v>
      </c>
      <c r="P634" s="2"/>
      <c r="Q634" s="5"/>
    </row>
    <row r="635" spans="1:17">
      <c r="A635" s="2">
        <f t="shared" si="45"/>
        <v>633</v>
      </c>
      <c r="B635" s="2">
        <f t="shared" si="46"/>
        <v>216</v>
      </c>
      <c r="C635" s="2" t="s">
        <v>20</v>
      </c>
      <c r="D635" s="2" t="s">
        <v>32</v>
      </c>
      <c r="E635" s="2" t="s">
        <v>1327</v>
      </c>
      <c r="F635" s="2" t="s">
        <v>1328</v>
      </c>
      <c r="G635" s="3">
        <v>10</v>
      </c>
      <c r="H635" s="3">
        <v>54.979591836734699</v>
      </c>
      <c r="I635" s="3">
        <v>3</v>
      </c>
      <c r="J635" s="3">
        <f t="shared" si="47"/>
        <v>67.98</v>
      </c>
      <c r="K635" s="3">
        <v>7.5</v>
      </c>
      <c r="L635" s="3">
        <v>55</v>
      </c>
      <c r="M635" s="3">
        <v>3.5</v>
      </c>
      <c r="N635" s="3">
        <f t="shared" si="48"/>
        <v>66</v>
      </c>
      <c r="O635" s="3">
        <f t="shared" si="49"/>
        <v>133.97999999999999</v>
      </c>
      <c r="P635" s="2"/>
      <c r="Q635" s="5"/>
    </row>
    <row r="636" spans="1:17">
      <c r="A636" s="2">
        <f t="shared" si="45"/>
        <v>633</v>
      </c>
      <c r="B636" s="2">
        <f t="shared" si="46"/>
        <v>89</v>
      </c>
      <c r="C636" s="2" t="s">
        <v>15</v>
      </c>
      <c r="D636" s="2" t="s">
        <v>257</v>
      </c>
      <c r="E636" s="2" t="s">
        <v>1329</v>
      </c>
      <c r="F636" s="2" t="s">
        <v>1330</v>
      </c>
      <c r="G636" s="3">
        <v>10</v>
      </c>
      <c r="H636" s="3">
        <v>51.69</v>
      </c>
      <c r="I636" s="3">
        <v>4</v>
      </c>
      <c r="J636" s="3">
        <f t="shared" si="47"/>
        <v>65.69</v>
      </c>
      <c r="K636" s="3">
        <v>7.5</v>
      </c>
      <c r="L636" s="3">
        <v>56.09</v>
      </c>
      <c r="M636" s="3">
        <v>4.7</v>
      </c>
      <c r="N636" s="3">
        <f t="shared" si="48"/>
        <v>68.290000000000006</v>
      </c>
      <c r="O636" s="3">
        <f t="shared" si="49"/>
        <v>133.97999999999999</v>
      </c>
      <c r="P636" s="2"/>
      <c r="Q636" s="5"/>
    </row>
    <row r="637" spans="1:17">
      <c r="A637" s="2">
        <f t="shared" si="45"/>
        <v>635</v>
      </c>
      <c r="B637" s="2">
        <f t="shared" si="46"/>
        <v>212</v>
      </c>
      <c r="C637" s="2" t="s">
        <v>45</v>
      </c>
      <c r="D637" s="2" t="s">
        <v>266</v>
      </c>
      <c r="E637" s="2" t="s">
        <v>1331</v>
      </c>
      <c r="F637" s="2" t="s">
        <v>1332</v>
      </c>
      <c r="G637" s="3">
        <v>9.8000000000000007</v>
      </c>
      <c r="H637" s="3">
        <v>55.33</v>
      </c>
      <c r="I637" s="3">
        <v>3</v>
      </c>
      <c r="J637" s="3">
        <f t="shared" si="47"/>
        <v>68.13</v>
      </c>
      <c r="K637" s="3">
        <v>9.8000000000000007</v>
      </c>
      <c r="L637" s="3">
        <v>52.53</v>
      </c>
      <c r="M637" s="3">
        <v>3.5</v>
      </c>
      <c r="N637" s="3">
        <f t="shared" si="48"/>
        <v>65.83</v>
      </c>
      <c r="O637" s="3">
        <f t="shared" si="49"/>
        <v>133.96</v>
      </c>
      <c r="P637" s="2"/>
      <c r="Q637" s="5"/>
    </row>
    <row r="638" spans="1:17">
      <c r="A638" s="2">
        <f t="shared" si="45"/>
        <v>636</v>
      </c>
      <c r="B638" s="2">
        <f t="shared" si="46"/>
        <v>217</v>
      </c>
      <c r="C638" s="2" t="s">
        <v>20</v>
      </c>
      <c r="D638" s="2" t="s">
        <v>36</v>
      </c>
      <c r="E638" s="2" t="s">
        <v>1333</v>
      </c>
      <c r="F638" s="2" t="s">
        <v>1334</v>
      </c>
      <c r="G638" s="3">
        <v>9.8000000000000007</v>
      </c>
      <c r="H638" s="3">
        <v>56.89</v>
      </c>
      <c r="I638" s="3">
        <v>3.2</v>
      </c>
      <c r="J638" s="3">
        <f t="shared" si="47"/>
        <v>69.89</v>
      </c>
      <c r="K638" s="3">
        <v>9.8000000000000007</v>
      </c>
      <c r="L638" s="3">
        <v>50.63</v>
      </c>
      <c r="M638" s="3">
        <v>3.5</v>
      </c>
      <c r="N638" s="3">
        <f t="shared" si="48"/>
        <v>63.93</v>
      </c>
      <c r="O638" s="3">
        <f t="shared" si="49"/>
        <v>133.82</v>
      </c>
      <c r="P638" s="2"/>
      <c r="Q638" s="5"/>
    </row>
    <row r="639" spans="1:17">
      <c r="A639" s="2">
        <f t="shared" si="45"/>
        <v>637</v>
      </c>
      <c r="B639" s="2">
        <f t="shared" si="46"/>
        <v>213</v>
      </c>
      <c r="C639" s="2" t="s">
        <v>45</v>
      </c>
      <c r="D639" s="2" t="s">
        <v>220</v>
      </c>
      <c r="E639" s="2" t="s">
        <v>1335</v>
      </c>
      <c r="F639" s="2" t="s">
        <v>1336</v>
      </c>
      <c r="G639" s="3">
        <v>10</v>
      </c>
      <c r="H639" s="3">
        <v>52.81</v>
      </c>
      <c r="I639" s="3">
        <v>4.4000000000000004</v>
      </c>
      <c r="J639" s="3">
        <f t="shared" si="47"/>
        <v>67.209999999999994</v>
      </c>
      <c r="K639" s="3">
        <v>10</v>
      </c>
      <c r="L639" s="3">
        <v>51.87</v>
      </c>
      <c r="M639" s="3">
        <v>4.7</v>
      </c>
      <c r="N639" s="3">
        <f t="shared" si="48"/>
        <v>66.569999999999993</v>
      </c>
      <c r="O639" s="3">
        <f t="shared" si="49"/>
        <v>133.78</v>
      </c>
      <c r="P639" s="2"/>
      <c r="Q639" s="5"/>
    </row>
    <row r="640" spans="1:17">
      <c r="A640" s="2">
        <f t="shared" si="45"/>
        <v>638</v>
      </c>
      <c r="B640" s="2">
        <f t="shared" si="46"/>
        <v>214</v>
      </c>
      <c r="C640" s="2" t="s">
        <v>45</v>
      </c>
      <c r="D640" s="2" t="s">
        <v>54</v>
      </c>
      <c r="E640" s="2" t="s">
        <v>1337</v>
      </c>
      <c r="F640" s="2" t="s">
        <v>1338</v>
      </c>
      <c r="G640" s="3">
        <v>9.8000000000000007</v>
      </c>
      <c r="H640" s="3">
        <v>54.13</v>
      </c>
      <c r="I640" s="3">
        <v>4.7</v>
      </c>
      <c r="J640" s="3">
        <f t="shared" si="47"/>
        <v>68.63</v>
      </c>
      <c r="K640" s="3">
        <v>7.3000000000000007</v>
      </c>
      <c r="L640" s="3">
        <v>53.92</v>
      </c>
      <c r="M640" s="3">
        <v>3.9</v>
      </c>
      <c r="N640" s="3">
        <f t="shared" si="48"/>
        <v>65.12</v>
      </c>
      <c r="O640" s="3">
        <f t="shared" si="49"/>
        <v>133.75</v>
      </c>
      <c r="P640" s="2"/>
      <c r="Q640" s="5"/>
    </row>
    <row r="641" spans="1:17">
      <c r="A641" s="2">
        <f t="shared" si="45"/>
        <v>639</v>
      </c>
      <c r="B641" s="2">
        <f t="shared" si="46"/>
        <v>218</v>
      </c>
      <c r="C641" s="2" t="s">
        <v>20</v>
      </c>
      <c r="D641" s="2" t="s">
        <v>164</v>
      </c>
      <c r="E641" s="2" t="s">
        <v>1339</v>
      </c>
      <c r="F641" s="2" t="s">
        <v>1340</v>
      </c>
      <c r="G641" s="3">
        <v>10</v>
      </c>
      <c r="H641" s="3">
        <v>48.29</v>
      </c>
      <c r="I641" s="3">
        <v>3.2</v>
      </c>
      <c r="J641" s="3">
        <f t="shared" si="47"/>
        <v>61.49</v>
      </c>
      <c r="K641" s="3">
        <v>9.8000000000000007</v>
      </c>
      <c r="L641" s="3">
        <v>58.91</v>
      </c>
      <c r="M641" s="3">
        <v>3.5</v>
      </c>
      <c r="N641" s="3">
        <f t="shared" si="48"/>
        <v>72.209999999999994</v>
      </c>
      <c r="O641" s="3">
        <f t="shared" si="49"/>
        <v>133.69999999999999</v>
      </c>
      <c r="P641" s="2"/>
      <c r="Q641" s="5"/>
    </row>
    <row r="642" spans="1:17">
      <c r="A642" s="2">
        <f t="shared" si="45"/>
        <v>640</v>
      </c>
      <c r="B642" s="2">
        <f t="shared" si="46"/>
        <v>215</v>
      </c>
      <c r="C642" s="2" t="s">
        <v>45</v>
      </c>
      <c r="D642" s="2" t="s">
        <v>220</v>
      </c>
      <c r="E642" s="2" t="s">
        <v>1341</v>
      </c>
      <c r="F642" s="2" t="s">
        <v>1342</v>
      </c>
      <c r="G642" s="3">
        <v>9.8000000000000007</v>
      </c>
      <c r="H642" s="3">
        <v>53.34</v>
      </c>
      <c r="I642" s="3">
        <v>4.9000000000000004</v>
      </c>
      <c r="J642" s="3">
        <f t="shared" si="47"/>
        <v>68.040000000000006</v>
      </c>
      <c r="K642" s="3">
        <v>9.8000000000000007</v>
      </c>
      <c r="L642" s="3">
        <v>50.38</v>
      </c>
      <c r="M642" s="3">
        <v>5.4</v>
      </c>
      <c r="N642" s="3">
        <f t="shared" si="48"/>
        <v>65.58</v>
      </c>
      <c r="O642" s="3">
        <f t="shared" si="49"/>
        <v>133.62</v>
      </c>
      <c r="P642" s="2"/>
      <c r="Q642" s="5"/>
    </row>
    <row r="643" spans="1:17">
      <c r="A643" s="2">
        <f t="shared" ref="A643:A706" si="50">COUNTIFS($C$3:$C$1025,"&lt;&gt;大数据",$O$3:$O$1025,"&gt;"&amp;O643)+1</f>
        <v>641</v>
      </c>
      <c r="B643" s="2">
        <f t="shared" ref="B643:B706" si="51">COUNTIFS($C$3:$C$1025,C643,$O$3:$O$1025,"&gt;"&amp;O643)+1</f>
        <v>219</v>
      </c>
      <c r="C643" s="2" t="s">
        <v>20</v>
      </c>
      <c r="D643" s="2" t="s">
        <v>65</v>
      </c>
      <c r="E643" s="2" t="s">
        <v>1343</v>
      </c>
      <c r="F643" s="2" t="s">
        <v>1344</v>
      </c>
      <c r="G643" s="3">
        <v>9.8000000000000007</v>
      </c>
      <c r="H643" s="3">
        <v>57.73</v>
      </c>
      <c r="I643" s="3">
        <v>4</v>
      </c>
      <c r="J643" s="3">
        <f t="shared" ref="J643:J706" si="52">ROUND(SUM(G643:I643),2)</f>
        <v>71.53</v>
      </c>
      <c r="K643" s="3">
        <v>9.8000000000000007</v>
      </c>
      <c r="L643" s="3">
        <v>49.28</v>
      </c>
      <c r="M643" s="3">
        <v>3</v>
      </c>
      <c r="N643" s="3">
        <f t="shared" ref="N643:N706" si="53">ROUND(SUM(K643:M643),2)</f>
        <v>62.08</v>
      </c>
      <c r="O643" s="3">
        <f t="shared" ref="O643:O706" si="54">ROUND(SUM(J643,N643),2)</f>
        <v>133.61000000000001</v>
      </c>
      <c r="P643" s="2"/>
      <c r="Q643" s="5"/>
    </row>
    <row r="644" spans="1:17">
      <c r="A644" s="2">
        <f t="shared" si="50"/>
        <v>642</v>
      </c>
      <c r="B644" s="2">
        <f t="shared" si="51"/>
        <v>119</v>
      </c>
      <c r="C644" s="2" t="s">
        <v>24</v>
      </c>
      <c r="D644" s="2" t="s">
        <v>76</v>
      </c>
      <c r="E644" s="2" t="s">
        <v>1345</v>
      </c>
      <c r="F644" s="2" t="s">
        <v>1346</v>
      </c>
      <c r="G644" s="3">
        <v>9.8000000000000007</v>
      </c>
      <c r="H644" s="3">
        <v>54.365853658536601</v>
      </c>
      <c r="I644" s="3">
        <v>3</v>
      </c>
      <c r="J644" s="3">
        <f t="shared" si="52"/>
        <v>67.17</v>
      </c>
      <c r="K644" s="3">
        <v>9</v>
      </c>
      <c r="L644" s="3">
        <v>54.35</v>
      </c>
      <c r="M644" s="3">
        <v>3</v>
      </c>
      <c r="N644" s="3">
        <f t="shared" si="53"/>
        <v>66.349999999999994</v>
      </c>
      <c r="O644" s="3">
        <f t="shared" si="54"/>
        <v>133.52000000000001</v>
      </c>
      <c r="P644" s="2"/>
      <c r="Q644" s="5"/>
    </row>
    <row r="645" spans="1:17">
      <c r="A645" s="2">
        <f t="shared" si="50"/>
        <v>643</v>
      </c>
      <c r="B645" s="2">
        <f t="shared" si="51"/>
        <v>120</v>
      </c>
      <c r="C645" s="2" t="s">
        <v>24</v>
      </c>
      <c r="D645" s="2" t="s">
        <v>58</v>
      </c>
      <c r="E645" s="2" t="s">
        <v>1347</v>
      </c>
      <c r="F645" s="2" t="s">
        <v>1348</v>
      </c>
      <c r="G645" s="3">
        <v>9.8000000000000007</v>
      </c>
      <c r="H645" s="3">
        <v>55</v>
      </c>
      <c r="I645" s="3">
        <v>3.7</v>
      </c>
      <c r="J645" s="3">
        <f t="shared" si="52"/>
        <v>68.5</v>
      </c>
      <c r="K645" s="3">
        <v>10</v>
      </c>
      <c r="L645" s="3">
        <v>50.76</v>
      </c>
      <c r="M645" s="3">
        <v>4.2</v>
      </c>
      <c r="N645" s="3">
        <f t="shared" si="53"/>
        <v>64.959999999999994</v>
      </c>
      <c r="O645" s="3">
        <f t="shared" si="54"/>
        <v>133.46</v>
      </c>
      <c r="P645" s="2"/>
      <c r="Q645" s="5"/>
    </row>
    <row r="646" spans="1:17">
      <c r="A646" s="2">
        <f t="shared" si="50"/>
        <v>644</v>
      </c>
      <c r="B646" s="2">
        <f t="shared" si="51"/>
        <v>220</v>
      </c>
      <c r="C646" s="2" t="s">
        <v>20</v>
      </c>
      <c r="D646" s="2" t="s">
        <v>29</v>
      </c>
      <c r="E646" s="2" t="s">
        <v>1349</v>
      </c>
      <c r="F646" s="2" t="s">
        <v>1350</v>
      </c>
      <c r="G646" s="3">
        <v>9.8000000000000007</v>
      </c>
      <c r="H646" s="3">
        <v>54.15</v>
      </c>
      <c r="I646" s="3">
        <v>4.3</v>
      </c>
      <c r="J646" s="3">
        <f t="shared" si="52"/>
        <v>68.25</v>
      </c>
      <c r="K646" s="3">
        <v>9.8000000000000007</v>
      </c>
      <c r="L646" s="3">
        <v>50.5</v>
      </c>
      <c r="M646" s="3">
        <v>4.9000000000000004</v>
      </c>
      <c r="N646" s="3">
        <f t="shared" si="53"/>
        <v>65.2</v>
      </c>
      <c r="O646" s="3">
        <f t="shared" si="54"/>
        <v>133.44999999999999</v>
      </c>
      <c r="P646" s="2"/>
      <c r="Q646" s="5"/>
    </row>
    <row r="647" spans="1:17">
      <c r="A647" s="2">
        <f t="shared" si="50"/>
        <v>644</v>
      </c>
      <c r="B647" s="2">
        <f t="shared" si="51"/>
        <v>216</v>
      </c>
      <c r="C647" s="2" t="s">
        <v>45</v>
      </c>
      <c r="D647" s="2" t="s">
        <v>220</v>
      </c>
      <c r="E647" s="2" t="s">
        <v>1351</v>
      </c>
      <c r="F647" s="2" t="s">
        <v>1352</v>
      </c>
      <c r="G647" s="3">
        <v>10</v>
      </c>
      <c r="H647" s="3">
        <v>52.53</v>
      </c>
      <c r="I647" s="3">
        <v>3.7</v>
      </c>
      <c r="J647" s="3">
        <f t="shared" si="52"/>
        <v>66.23</v>
      </c>
      <c r="K647" s="3">
        <v>10</v>
      </c>
      <c r="L647" s="3">
        <v>51.52</v>
      </c>
      <c r="M647" s="3">
        <v>5.7</v>
      </c>
      <c r="N647" s="3">
        <f t="shared" si="53"/>
        <v>67.22</v>
      </c>
      <c r="O647" s="3">
        <f t="shared" si="54"/>
        <v>133.44999999999999</v>
      </c>
      <c r="P647" s="2"/>
      <c r="Q647" s="5"/>
    </row>
    <row r="648" spans="1:17">
      <c r="A648" s="2">
        <f t="shared" si="50"/>
        <v>646</v>
      </c>
      <c r="B648" s="2">
        <f t="shared" si="51"/>
        <v>221</v>
      </c>
      <c r="C648" s="2" t="s">
        <v>20</v>
      </c>
      <c r="D648" s="2" t="s">
        <v>82</v>
      </c>
      <c r="E648" s="2" t="s">
        <v>1353</v>
      </c>
      <c r="F648" s="2" t="s">
        <v>1354</v>
      </c>
      <c r="G648" s="3">
        <v>9.8000000000000007</v>
      </c>
      <c r="H648" s="3">
        <v>54.446808510638299</v>
      </c>
      <c r="I648" s="3">
        <v>3</v>
      </c>
      <c r="J648" s="3">
        <f t="shared" si="52"/>
        <v>67.25</v>
      </c>
      <c r="K648" s="3">
        <v>9.8000000000000007</v>
      </c>
      <c r="L648" s="3">
        <v>51.81</v>
      </c>
      <c r="M648" s="3">
        <v>4.5</v>
      </c>
      <c r="N648" s="3">
        <f t="shared" si="53"/>
        <v>66.11</v>
      </c>
      <c r="O648" s="3">
        <f t="shared" si="54"/>
        <v>133.36000000000001</v>
      </c>
      <c r="P648" s="2"/>
      <c r="Q648" s="5"/>
    </row>
    <row r="649" spans="1:17">
      <c r="A649" s="2">
        <f t="shared" si="50"/>
        <v>647</v>
      </c>
      <c r="B649" s="2">
        <f t="shared" si="51"/>
        <v>222</v>
      </c>
      <c r="C649" s="2" t="s">
        <v>20</v>
      </c>
      <c r="D649" s="2" t="s">
        <v>29</v>
      </c>
      <c r="E649" s="2" t="s">
        <v>1355</v>
      </c>
      <c r="F649" s="2" t="s">
        <v>1356</v>
      </c>
      <c r="G649" s="3">
        <v>11.5</v>
      </c>
      <c r="H649" s="3">
        <v>54.67</v>
      </c>
      <c r="I649" s="3">
        <v>3</v>
      </c>
      <c r="J649" s="3">
        <f t="shared" si="52"/>
        <v>69.17</v>
      </c>
      <c r="K649" s="3">
        <v>10</v>
      </c>
      <c r="L649" s="3">
        <v>50.62</v>
      </c>
      <c r="M649" s="3">
        <v>3.5</v>
      </c>
      <c r="N649" s="3">
        <f t="shared" si="53"/>
        <v>64.12</v>
      </c>
      <c r="O649" s="3">
        <f t="shared" si="54"/>
        <v>133.29</v>
      </c>
      <c r="P649" s="2"/>
      <c r="Q649" s="5"/>
    </row>
    <row r="650" spans="1:17">
      <c r="A650" s="2">
        <f t="shared" si="50"/>
        <v>648</v>
      </c>
      <c r="B650" s="2">
        <f t="shared" si="51"/>
        <v>223</v>
      </c>
      <c r="C650" s="2" t="s">
        <v>20</v>
      </c>
      <c r="D650" s="2" t="s">
        <v>65</v>
      </c>
      <c r="E650" s="2" t="s">
        <v>1357</v>
      </c>
      <c r="F650" s="2" t="s">
        <v>1358</v>
      </c>
      <c r="G650" s="3">
        <v>9.4</v>
      </c>
      <c r="H650" s="3">
        <v>55.56</v>
      </c>
      <c r="I650" s="3">
        <v>3.2</v>
      </c>
      <c r="J650" s="3">
        <f t="shared" si="52"/>
        <v>68.16</v>
      </c>
      <c r="K650" s="3">
        <v>7.3000000000000007</v>
      </c>
      <c r="L650" s="3">
        <v>52.79</v>
      </c>
      <c r="M650" s="3">
        <v>5</v>
      </c>
      <c r="N650" s="3">
        <f t="shared" si="53"/>
        <v>65.09</v>
      </c>
      <c r="O650" s="3">
        <f t="shared" si="54"/>
        <v>133.25</v>
      </c>
      <c r="P650" s="2"/>
      <c r="Q650" s="5"/>
    </row>
    <row r="651" spans="1:17">
      <c r="A651" s="2">
        <f t="shared" si="50"/>
        <v>649</v>
      </c>
      <c r="B651" s="2">
        <f t="shared" si="51"/>
        <v>90</v>
      </c>
      <c r="C651" s="2" t="s">
        <v>15</v>
      </c>
      <c r="D651" s="2" t="s">
        <v>16</v>
      </c>
      <c r="E651" s="2" t="s">
        <v>1359</v>
      </c>
      <c r="F651" s="2" t="s">
        <v>1360</v>
      </c>
      <c r="G651" s="3">
        <v>9.8000000000000007</v>
      </c>
      <c r="H651" s="3">
        <v>50.53</v>
      </c>
      <c r="I651" s="3">
        <v>3</v>
      </c>
      <c r="J651" s="3">
        <f t="shared" si="52"/>
        <v>63.33</v>
      </c>
      <c r="K651" s="3">
        <v>7.3000000000000007</v>
      </c>
      <c r="L651" s="3">
        <v>59.06</v>
      </c>
      <c r="M651" s="3">
        <v>3.5</v>
      </c>
      <c r="N651" s="3">
        <f t="shared" si="53"/>
        <v>69.86</v>
      </c>
      <c r="O651" s="3">
        <f t="shared" si="54"/>
        <v>133.19</v>
      </c>
      <c r="P651" s="2"/>
      <c r="Q651" s="5"/>
    </row>
    <row r="652" spans="1:17">
      <c r="A652" s="2">
        <f t="shared" si="50"/>
        <v>650</v>
      </c>
      <c r="B652" s="2">
        <f t="shared" si="51"/>
        <v>91</v>
      </c>
      <c r="C652" s="2" t="s">
        <v>15</v>
      </c>
      <c r="D652" s="2" t="s">
        <v>181</v>
      </c>
      <c r="E652" s="2" t="s">
        <v>1361</v>
      </c>
      <c r="F652" s="2" t="s">
        <v>1362</v>
      </c>
      <c r="G652" s="3">
        <v>9.8000000000000007</v>
      </c>
      <c r="H652" s="3">
        <v>57.23</v>
      </c>
      <c r="I652" s="3">
        <v>3</v>
      </c>
      <c r="J652" s="3">
        <f t="shared" si="52"/>
        <v>70.03</v>
      </c>
      <c r="K652" s="3">
        <v>9.8000000000000007</v>
      </c>
      <c r="L652" s="3">
        <v>49.15</v>
      </c>
      <c r="M652" s="3">
        <v>4.2</v>
      </c>
      <c r="N652" s="3">
        <f t="shared" si="53"/>
        <v>63.15</v>
      </c>
      <c r="O652" s="3">
        <f t="shared" si="54"/>
        <v>133.18</v>
      </c>
      <c r="P652" s="2"/>
      <c r="Q652" s="5"/>
    </row>
    <row r="653" spans="1:17">
      <c r="A653" s="2">
        <f t="shared" si="50"/>
        <v>650</v>
      </c>
      <c r="B653" s="2">
        <f t="shared" si="51"/>
        <v>217</v>
      </c>
      <c r="C653" s="2" t="s">
        <v>45</v>
      </c>
      <c r="D653" s="2" t="s">
        <v>266</v>
      </c>
      <c r="E653" s="2" t="s">
        <v>1363</v>
      </c>
      <c r="F653" s="2" t="s">
        <v>1364</v>
      </c>
      <c r="G653" s="3">
        <v>9.8000000000000007</v>
      </c>
      <c r="H653" s="3">
        <v>54.92</v>
      </c>
      <c r="I653" s="3">
        <v>3</v>
      </c>
      <c r="J653" s="3">
        <f t="shared" si="52"/>
        <v>67.72</v>
      </c>
      <c r="K653" s="3">
        <v>9.8000000000000007</v>
      </c>
      <c r="L653" s="3">
        <v>52.66</v>
      </c>
      <c r="M653" s="3">
        <v>3</v>
      </c>
      <c r="N653" s="3">
        <f t="shared" si="53"/>
        <v>65.459999999999994</v>
      </c>
      <c r="O653" s="3">
        <f t="shared" si="54"/>
        <v>133.18</v>
      </c>
      <c r="P653" s="2"/>
      <c r="Q653" s="5"/>
    </row>
    <row r="654" spans="1:17">
      <c r="A654" s="2">
        <f t="shared" si="50"/>
        <v>652</v>
      </c>
      <c r="B654" s="2">
        <f t="shared" si="51"/>
        <v>218</v>
      </c>
      <c r="C654" s="2" t="s">
        <v>45</v>
      </c>
      <c r="D654" s="2" t="s">
        <v>109</v>
      </c>
      <c r="E654" s="2" t="s">
        <v>1365</v>
      </c>
      <c r="F654" s="2" t="s">
        <v>1366</v>
      </c>
      <c r="G654" s="3">
        <v>10</v>
      </c>
      <c r="H654" s="3">
        <v>55.74</v>
      </c>
      <c r="I654" s="3">
        <v>3.2</v>
      </c>
      <c r="J654" s="3">
        <f t="shared" si="52"/>
        <v>68.94</v>
      </c>
      <c r="K654" s="3">
        <v>7.5</v>
      </c>
      <c r="L654" s="3">
        <v>53.18</v>
      </c>
      <c r="M654" s="3">
        <v>3.5</v>
      </c>
      <c r="N654" s="3">
        <f t="shared" si="53"/>
        <v>64.180000000000007</v>
      </c>
      <c r="O654" s="3">
        <f t="shared" si="54"/>
        <v>133.12</v>
      </c>
      <c r="P654" s="2"/>
      <c r="Q654" s="5"/>
    </row>
    <row r="655" spans="1:17">
      <c r="A655" s="2">
        <f t="shared" si="50"/>
        <v>653</v>
      </c>
      <c r="B655" s="2">
        <f t="shared" si="51"/>
        <v>219</v>
      </c>
      <c r="C655" s="2" t="s">
        <v>45</v>
      </c>
      <c r="D655" s="2" t="s">
        <v>114</v>
      </c>
      <c r="E655" s="2" t="s">
        <v>1367</v>
      </c>
      <c r="F655" s="2" t="s">
        <v>1368</v>
      </c>
      <c r="G655" s="3">
        <v>10.8</v>
      </c>
      <c r="H655" s="3">
        <v>56.94</v>
      </c>
      <c r="I655" s="3">
        <v>3.6</v>
      </c>
      <c r="J655" s="3">
        <f t="shared" si="52"/>
        <v>71.34</v>
      </c>
      <c r="K655" s="3">
        <v>9.8000000000000007</v>
      </c>
      <c r="L655" s="3">
        <v>47.61</v>
      </c>
      <c r="M655" s="3">
        <v>4.3</v>
      </c>
      <c r="N655" s="3">
        <f t="shared" si="53"/>
        <v>61.71</v>
      </c>
      <c r="O655" s="3">
        <f t="shared" si="54"/>
        <v>133.05000000000001</v>
      </c>
      <c r="P655" s="2"/>
      <c r="Q655" s="5"/>
    </row>
    <row r="656" spans="1:17">
      <c r="A656" s="2">
        <f t="shared" si="50"/>
        <v>654</v>
      </c>
      <c r="B656" s="2">
        <f t="shared" si="51"/>
        <v>224</v>
      </c>
      <c r="C656" s="2" t="s">
        <v>20</v>
      </c>
      <c r="D656" s="2" t="s">
        <v>32</v>
      </c>
      <c r="E656" s="2" t="s">
        <v>1369</v>
      </c>
      <c r="F656" s="2" t="s">
        <v>1370</v>
      </c>
      <c r="G656" s="3">
        <v>9.8000000000000007</v>
      </c>
      <c r="H656" s="3">
        <v>55.036363636363603</v>
      </c>
      <c r="I656" s="3">
        <v>3</v>
      </c>
      <c r="J656" s="3">
        <f t="shared" si="52"/>
        <v>67.84</v>
      </c>
      <c r="K656" s="3">
        <v>7.3000000000000007</v>
      </c>
      <c r="L656" s="3">
        <v>54.24</v>
      </c>
      <c r="M656" s="3">
        <v>3.5</v>
      </c>
      <c r="N656" s="3">
        <f t="shared" si="53"/>
        <v>65.040000000000006</v>
      </c>
      <c r="O656" s="3">
        <f t="shared" si="54"/>
        <v>132.88</v>
      </c>
      <c r="P656" s="2"/>
      <c r="Q656" s="5"/>
    </row>
    <row r="657" spans="1:17">
      <c r="A657" s="2">
        <f t="shared" si="50"/>
        <v>655</v>
      </c>
      <c r="B657" s="2">
        <f t="shared" si="51"/>
        <v>225</v>
      </c>
      <c r="C657" s="2" t="s">
        <v>20</v>
      </c>
      <c r="D657" s="2" t="s">
        <v>21</v>
      </c>
      <c r="E657" s="2" t="s">
        <v>1371</v>
      </c>
      <c r="F657" s="2" t="s">
        <v>1372</v>
      </c>
      <c r="G657" s="3">
        <v>10</v>
      </c>
      <c r="H657" s="3">
        <v>54.34</v>
      </c>
      <c r="I657" s="3">
        <v>4.5999999999999996</v>
      </c>
      <c r="J657" s="3">
        <f t="shared" si="52"/>
        <v>68.94</v>
      </c>
      <c r="K657" s="3">
        <v>7.5</v>
      </c>
      <c r="L657" s="3">
        <v>51.03</v>
      </c>
      <c r="M657" s="3">
        <v>5.4</v>
      </c>
      <c r="N657" s="3">
        <f t="shared" si="53"/>
        <v>63.93</v>
      </c>
      <c r="O657" s="3">
        <f t="shared" si="54"/>
        <v>132.87</v>
      </c>
      <c r="P657" s="2"/>
      <c r="Q657" s="5"/>
    </row>
    <row r="658" spans="1:17">
      <c r="A658" s="2">
        <f t="shared" si="50"/>
        <v>656</v>
      </c>
      <c r="B658" s="2">
        <f t="shared" si="51"/>
        <v>226</v>
      </c>
      <c r="C658" s="2" t="s">
        <v>20</v>
      </c>
      <c r="D658" s="2" t="s">
        <v>42</v>
      </c>
      <c r="E658" s="2" t="s">
        <v>1373</v>
      </c>
      <c r="F658" s="2" t="s">
        <v>1374</v>
      </c>
      <c r="G658" s="3">
        <v>9.8000000000000007</v>
      </c>
      <c r="H658" s="3">
        <v>51.1666666666667</v>
      </c>
      <c r="I658" s="3">
        <v>4.3</v>
      </c>
      <c r="J658" s="3">
        <f t="shared" si="52"/>
        <v>65.27</v>
      </c>
      <c r="K658" s="3">
        <v>9.8000000000000007</v>
      </c>
      <c r="L658" s="3">
        <v>53.93</v>
      </c>
      <c r="M658" s="3">
        <v>3.8</v>
      </c>
      <c r="N658" s="3">
        <f t="shared" si="53"/>
        <v>67.53</v>
      </c>
      <c r="O658" s="3">
        <f t="shared" si="54"/>
        <v>132.80000000000001</v>
      </c>
      <c r="P658" s="2"/>
      <c r="Q658" s="5"/>
    </row>
    <row r="659" spans="1:17">
      <c r="A659" s="2">
        <f t="shared" si="50"/>
        <v>657</v>
      </c>
      <c r="B659" s="2">
        <f t="shared" si="51"/>
        <v>121</v>
      </c>
      <c r="C659" s="2" t="s">
        <v>24</v>
      </c>
      <c r="D659" s="2" t="s">
        <v>58</v>
      </c>
      <c r="E659" s="2" t="s">
        <v>1375</v>
      </c>
      <c r="F659" s="2" t="s">
        <v>1376</v>
      </c>
      <c r="G659" s="3">
        <v>9.8000000000000007</v>
      </c>
      <c r="H659" s="3">
        <v>53.829268292682897</v>
      </c>
      <c r="I659" s="3">
        <v>3</v>
      </c>
      <c r="J659" s="3">
        <f t="shared" si="52"/>
        <v>66.63</v>
      </c>
      <c r="K659" s="3">
        <v>9.8000000000000007</v>
      </c>
      <c r="L659" s="3">
        <v>52.65</v>
      </c>
      <c r="M659" s="3">
        <v>3.5</v>
      </c>
      <c r="N659" s="3">
        <f t="shared" si="53"/>
        <v>65.95</v>
      </c>
      <c r="O659" s="3">
        <f t="shared" si="54"/>
        <v>132.58000000000001</v>
      </c>
      <c r="P659" s="2"/>
      <c r="Q659" s="5"/>
    </row>
    <row r="660" spans="1:17">
      <c r="A660" s="2">
        <f t="shared" si="50"/>
        <v>658</v>
      </c>
      <c r="B660" s="2">
        <f t="shared" si="51"/>
        <v>220</v>
      </c>
      <c r="C660" s="2" t="s">
        <v>45</v>
      </c>
      <c r="D660" s="2" t="s">
        <v>96</v>
      </c>
      <c r="E660" s="2" t="s">
        <v>1377</v>
      </c>
      <c r="F660" s="2" t="s">
        <v>1378</v>
      </c>
      <c r="G660" s="3">
        <v>10</v>
      </c>
      <c r="H660" s="3">
        <v>56.54</v>
      </c>
      <c r="I660" s="3">
        <v>3.7</v>
      </c>
      <c r="J660" s="3">
        <f t="shared" si="52"/>
        <v>70.239999999999995</v>
      </c>
      <c r="K660" s="3">
        <v>7.3000000000000007</v>
      </c>
      <c r="L660" s="3">
        <v>50.43</v>
      </c>
      <c r="M660" s="3">
        <v>4.5</v>
      </c>
      <c r="N660" s="3">
        <f t="shared" si="53"/>
        <v>62.23</v>
      </c>
      <c r="O660" s="3">
        <f t="shared" si="54"/>
        <v>132.47</v>
      </c>
      <c r="P660" s="2"/>
      <c r="Q660" s="5"/>
    </row>
    <row r="661" spans="1:17">
      <c r="A661" s="2">
        <f t="shared" si="50"/>
        <v>659</v>
      </c>
      <c r="B661" s="2">
        <f t="shared" si="51"/>
        <v>227</v>
      </c>
      <c r="C661" s="2" t="s">
        <v>20</v>
      </c>
      <c r="D661" s="2" t="s">
        <v>117</v>
      </c>
      <c r="E661" s="2" t="s">
        <v>1379</v>
      </c>
      <c r="F661" s="2" t="s">
        <v>1380</v>
      </c>
      <c r="G661" s="3">
        <v>9.4</v>
      </c>
      <c r="H661" s="3">
        <v>53.66</v>
      </c>
      <c r="I661" s="3">
        <v>3</v>
      </c>
      <c r="J661" s="3">
        <f t="shared" si="52"/>
        <v>66.06</v>
      </c>
      <c r="K661" s="3">
        <v>9.8000000000000007</v>
      </c>
      <c r="L661" s="3">
        <v>53.6</v>
      </c>
      <c r="M661" s="3">
        <v>3</v>
      </c>
      <c r="N661" s="3">
        <f t="shared" si="53"/>
        <v>66.400000000000006</v>
      </c>
      <c r="O661" s="3">
        <f t="shared" si="54"/>
        <v>132.46</v>
      </c>
      <c r="P661" s="2"/>
      <c r="Q661" s="5"/>
    </row>
    <row r="662" spans="1:17">
      <c r="A662" s="2">
        <f t="shared" si="50"/>
        <v>660</v>
      </c>
      <c r="B662" s="2">
        <f t="shared" si="51"/>
        <v>228</v>
      </c>
      <c r="C662" s="2" t="s">
        <v>20</v>
      </c>
      <c r="D662" s="2" t="s">
        <v>82</v>
      </c>
      <c r="E662" s="2" t="s">
        <v>1381</v>
      </c>
      <c r="F662" s="2" t="s">
        <v>1382</v>
      </c>
      <c r="G662" s="3">
        <v>7.5</v>
      </c>
      <c r="H662" s="3">
        <v>56.840425531914903</v>
      </c>
      <c r="I662" s="3">
        <v>3</v>
      </c>
      <c r="J662" s="3">
        <f t="shared" si="52"/>
        <v>67.34</v>
      </c>
      <c r="K662" s="3">
        <v>9.6</v>
      </c>
      <c r="L662" s="3">
        <v>51.96</v>
      </c>
      <c r="M662" s="3">
        <v>3.5</v>
      </c>
      <c r="N662" s="3">
        <f t="shared" si="53"/>
        <v>65.06</v>
      </c>
      <c r="O662" s="3">
        <f t="shared" si="54"/>
        <v>132.4</v>
      </c>
      <c r="P662" s="2"/>
      <c r="Q662" s="5"/>
    </row>
    <row r="663" spans="1:17">
      <c r="A663" s="2">
        <f t="shared" si="50"/>
        <v>661</v>
      </c>
      <c r="B663" s="2">
        <f t="shared" si="51"/>
        <v>221</v>
      </c>
      <c r="C663" s="2" t="s">
        <v>45</v>
      </c>
      <c r="D663" s="2" t="s">
        <v>266</v>
      </c>
      <c r="E663" s="2" t="s">
        <v>1383</v>
      </c>
      <c r="F663" s="2" t="s">
        <v>1384</v>
      </c>
      <c r="G663" s="3">
        <v>9.8000000000000007</v>
      </c>
      <c r="H663" s="3">
        <v>56.57</v>
      </c>
      <c r="I663" s="3">
        <v>3</v>
      </c>
      <c r="J663" s="3">
        <f t="shared" si="52"/>
        <v>69.37</v>
      </c>
      <c r="K663" s="3">
        <v>9.8000000000000007</v>
      </c>
      <c r="L663" s="3">
        <v>50.22</v>
      </c>
      <c r="M663" s="3">
        <v>3</v>
      </c>
      <c r="N663" s="3">
        <f t="shared" si="53"/>
        <v>63.02</v>
      </c>
      <c r="O663" s="3">
        <f t="shared" si="54"/>
        <v>132.38999999999999</v>
      </c>
      <c r="P663" s="2"/>
      <c r="Q663" s="5"/>
    </row>
    <row r="664" spans="1:17">
      <c r="A664" s="2">
        <f t="shared" si="50"/>
        <v>662</v>
      </c>
      <c r="B664" s="2">
        <f t="shared" si="51"/>
        <v>222</v>
      </c>
      <c r="C664" s="2" t="s">
        <v>45</v>
      </c>
      <c r="D664" s="2" t="s">
        <v>73</v>
      </c>
      <c r="E664" s="2" t="s">
        <v>1385</v>
      </c>
      <c r="F664" s="2" t="s">
        <v>1386</v>
      </c>
      <c r="G664" s="3">
        <v>9.8000000000000007</v>
      </c>
      <c r="H664" s="3">
        <v>51.4</v>
      </c>
      <c r="I664" s="3">
        <v>3.9</v>
      </c>
      <c r="J664" s="3">
        <f t="shared" si="52"/>
        <v>65.099999999999994</v>
      </c>
      <c r="K664" s="3">
        <v>9.8000000000000007</v>
      </c>
      <c r="L664" s="3">
        <v>52.84</v>
      </c>
      <c r="M664" s="3">
        <v>4.6000000000000014</v>
      </c>
      <c r="N664" s="3">
        <f t="shared" si="53"/>
        <v>67.239999999999995</v>
      </c>
      <c r="O664" s="3">
        <f t="shared" si="54"/>
        <v>132.34</v>
      </c>
      <c r="P664" s="2"/>
      <c r="Q664" s="5"/>
    </row>
    <row r="665" spans="1:17">
      <c r="A665" s="2">
        <f t="shared" si="50"/>
        <v>663</v>
      </c>
      <c r="B665" s="2">
        <f t="shared" si="51"/>
        <v>223</v>
      </c>
      <c r="C665" s="2" t="s">
        <v>45</v>
      </c>
      <c r="D665" s="2" t="s">
        <v>96</v>
      </c>
      <c r="E665" s="2" t="s">
        <v>1387</v>
      </c>
      <c r="F665" s="2" t="s">
        <v>1388</v>
      </c>
      <c r="G665" s="3">
        <v>9.8000000000000007</v>
      </c>
      <c r="H665" s="3">
        <v>57.4</v>
      </c>
      <c r="I665" s="3">
        <v>4.55</v>
      </c>
      <c r="J665" s="3">
        <f t="shared" si="52"/>
        <v>71.75</v>
      </c>
      <c r="K665" s="3">
        <v>7.3000000000000007</v>
      </c>
      <c r="L665" s="3">
        <v>48.55</v>
      </c>
      <c r="M665" s="3">
        <v>4.7</v>
      </c>
      <c r="N665" s="3">
        <f t="shared" si="53"/>
        <v>60.55</v>
      </c>
      <c r="O665" s="3">
        <f t="shared" si="54"/>
        <v>132.30000000000001</v>
      </c>
      <c r="P665" s="2"/>
      <c r="Q665" s="5"/>
    </row>
    <row r="666" spans="1:17">
      <c r="A666" s="2">
        <f t="shared" si="50"/>
        <v>664</v>
      </c>
      <c r="B666" s="2">
        <f t="shared" si="51"/>
        <v>224</v>
      </c>
      <c r="C666" s="2" t="s">
        <v>45</v>
      </c>
      <c r="D666" s="2" t="s">
        <v>266</v>
      </c>
      <c r="E666" s="2" t="s">
        <v>1389</v>
      </c>
      <c r="F666" s="2" t="s">
        <v>1390</v>
      </c>
      <c r="G666" s="3">
        <v>9.8000000000000007</v>
      </c>
      <c r="H666" s="3">
        <v>55.04</v>
      </c>
      <c r="I666" s="3">
        <v>3</v>
      </c>
      <c r="J666" s="3">
        <f t="shared" si="52"/>
        <v>67.84</v>
      </c>
      <c r="K666" s="3">
        <v>9.8000000000000007</v>
      </c>
      <c r="L666" s="3">
        <v>51.64</v>
      </c>
      <c r="M666" s="3">
        <v>3</v>
      </c>
      <c r="N666" s="3">
        <f t="shared" si="53"/>
        <v>64.44</v>
      </c>
      <c r="O666" s="3">
        <f t="shared" si="54"/>
        <v>132.28</v>
      </c>
      <c r="P666" s="2"/>
      <c r="Q666" s="5"/>
    </row>
    <row r="667" spans="1:17">
      <c r="A667" s="2">
        <f t="shared" si="50"/>
        <v>665</v>
      </c>
      <c r="B667" s="2">
        <f t="shared" si="51"/>
        <v>225</v>
      </c>
      <c r="C667" s="2" t="s">
        <v>45</v>
      </c>
      <c r="D667" s="2" t="s">
        <v>109</v>
      </c>
      <c r="E667" s="2" t="s">
        <v>1391</v>
      </c>
      <c r="F667" s="2" t="s">
        <v>1392</v>
      </c>
      <c r="G667" s="3">
        <v>9.8000000000000007</v>
      </c>
      <c r="H667" s="3">
        <v>58.29</v>
      </c>
      <c r="I667" s="3">
        <v>3.9</v>
      </c>
      <c r="J667" s="3">
        <f t="shared" si="52"/>
        <v>71.989999999999995</v>
      </c>
      <c r="K667" s="3">
        <v>7.3000000000000007</v>
      </c>
      <c r="L667" s="3">
        <v>49.48</v>
      </c>
      <c r="M667" s="3">
        <v>3.5</v>
      </c>
      <c r="N667" s="3">
        <f t="shared" si="53"/>
        <v>60.28</v>
      </c>
      <c r="O667" s="3">
        <f t="shared" si="54"/>
        <v>132.27000000000001</v>
      </c>
      <c r="P667" s="2"/>
      <c r="Q667" s="5"/>
    </row>
    <row r="668" spans="1:17">
      <c r="A668" s="2">
        <f t="shared" si="50"/>
        <v>666</v>
      </c>
      <c r="B668" s="2">
        <f t="shared" si="51"/>
        <v>229</v>
      </c>
      <c r="C668" s="2" t="s">
        <v>20</v>
      </c>
      <c r="D668" s="2" t="s">
        <v>117</v>
      </c>
      <c r="E668" s="2" t="s">
        <v>1393</v>
      </c>
      <c r="F668" s="2" t="s">
        <v>1394</v>
      </c>
      <c r="G668" s="3">
        <v>9.8000000000000007</v>
      </c>
      <c r="H668" s="3">
        <v>53.61</v>
      </c>
      <c r="I668" s="3">
        <v>3</v>
      </c>
      <c r="J668" s="3">
        <f t="shared" si="52"/>
        <v>66.41</v>
      </c>
      <c r="K668" s="3">
        <v>9.4</v>
      </c>
      <c r="L668" s="3">
        <v>53.45</v>
      </c>
      <c r="M668" s="3">
        <v>3</v>
      </c>
      <c r="N668" s="3">
        <f t="shared" si="53"/>
        <v>65.849999999999994</v>
      </c>
      <c r="O668" s="3">
        <f t="shared" si="54"/>
        <v>132.26</v>
      </c>
      <c r="P668" s="2"/>
      <c r="Q668" s="5"/>
    </row>
    <row r="669" spans="1:17">
      <c r="A669" s="2">
        <f t="shared" si="50"/>
        <v>667</v>
      </c>
      <c r="B669" s="2">
        <f t="shared" si="51"/>
        <v>226</v>
      </c>
      <c r="C669" s="2" t="s">
        <v>45</v>
      </c>
      <c r="D669" s="2" t="s">
        <v>54</v>
      </c>
      <c r="E669" s="2" t="s">
        <v>1395</v>
      </c>
      <c r="F669" s="2" t="s">
        <v>1396</v>
      </c>
      <c r="G669" s="3">
        <v>9.8000000000000007</v>
      </c>
      <c r="H669" s="3">
        <v>53.63</v>
      </c>
      <c r="I669" s="3">
        <v>3.4</v>
      </c>
      <c r="J669" s="3">
        <f t="shared" si="52"/>
        <v>66.83</v>
      </c>
      <c r="K669" s="3">
        <v>9.8000000000000007</v>
      </c>
      <c r="L669" s="3">
        <v>52.01</v>
      </c>
      <c r="M669" s="3">
        <v>3.5</v>
      </c>
      <c r="N669" s="3">
        <f t="shared" si="53"/>
        <v>65.31</v>
      </c>
      <c r="O669" s="3">
        <f t="shared" si="54"/>
        <v>132.13999999999999</v>
      </c>
      <c r="P669" s="2"/>
      <c r="Q669" s="5"/>
    </row>
    <row r="670" spans="1:17">
      <c r="A670" s="2">
        <f t="shared" si="50"/>
        <v>668</v>
      </c>
      <c r="B670" s="2">
        <f t="shared" si="51"/>
        <v>230</v>
      </c>
      <c r="C670" s="2" t="s">
        <v>20</v>
      </c>
      <c r="D670" s="2" t="s">
        <v>82</v>
      </c>
      <c r="E670" s="2" t="s">
        <v>1397</v>
      </c>
      <c r="F670" s="2" t="s">
        <v>1398</v>
      </c>
      <c r="G670" s="3">
        <v>9.8000000000000007</v>
      </c>
      <c r="H670" s="3">
        <v>57.414893617021299</v>
      </c>
      <c r="I670" s="3">
        <v>3</v>
      </c>
      <c r="J670" s="3">
        <f t="shared" si="52"/>
        <v>70.209999999999994</v>
      </c>
      <c r="K670" s="3">
        <v>9.8000000000000007</v>
      </c>
      <c r="L670" s="3">
        <v>48.55</v>
      </c>
      <c r="M670" s="3">
        <v>3.5</v>
      </c>
      <c r="N670" s="3">
        <f t="shared" si="53"/>
        <v>61.85</v>
      </c>
      <c r="O670" s="3">
        <f t="shared" si="54"/>
        <v>132.06</v>
      </c>
      <c r="P670" s="2"/>
      <c r="Q670" s="5"/>
    </row>
    <row r="671" spans="1:17">
      <c r="A671" s="2">
        <f t="shared" si="50"/>
        <v>669</v>
      </c>
      <c r="B671" s="2">
        <f t="shared" si="51"/>
        <v>92</v>
      </c>
      <c r="C671" s="2" t="s">
        <v>15</v>
      </c>
      <c r="D671" s="2" t="s">
        <v>257</v>
      </c>
      <c r="E671" s="2" t="s">
        <v>1399</v>
      </c>
      <c r="F671" s="2" t="s">
        <v>1400</v>
      </c>
      <c r="G671" s="3">
        <v>9.8000000000000007</v>
      </c>
      <c r="H671" s="3">
        <v>55.69</v>
      </c>
      <c r="I671" s="3">
        <v>4.7</v>
      </c>
      <c r="J671" s="3">
        <f t="shared" si="52"/>
        <v>70.19</v>
      </c>
      <c r="K671" s="3">
        <v>7.3000000000000007</v>
      </c>
      <c r="L671" s="3">
        <v>49.28</v>
      </c>
      <c r="M671" s="3">
        <v>5.2</v>
      </c>
      <c r="N671" s="3">
        <f t="shared" si="53"/>
        <v>61.78</v>
      </c>
      <c r="O671" s="3">
        <f t="shared" si="54"/>
        <v>131.97</v>
      </c>
      <c r="P671" s="2"/>
      <c r="Q671" s="5"/>
    </row>
    <row r="672" spans="1:17">
      <c r="A672" s="2">
        <f t="shared" si="50"/>
        <v>669</v>
      </c>
      <c r="B672" s="2">
        <f t="shared" si="51"/>
        <v>92</v>
      </c>
      <c r="C672" s="2" t="s">
        <v>15</v>
      </c>
      <c r="D672" s="2" t="s">
        <v>181</v>
      </c>
      <c r="E672" s="2" t="s">
        <v>1401</v>
      </c>
      <c r="F672" s="2" t="s">
        <v>1402</v>
      </c>
      <c r="G672" s="3">
        <v>9.8000000000000007</v>
      </c>
      <c r="H672" s="3">
        <v>55.83</v>
      </c>
      <c r="I672" s="3">
        <v>5.5</v>
      </c>
      <c r="J672" s="3">
        <f t="shared" si="52"/>
        <v>71.13</v>
      </c>
      <c r="K672" s="3">
        <v>9.8000000000000007</v>
      </c>
      <c r="L672" s="3">
        <v>46.24</v>
      </c>
      <c r="M672" s="3">
        <v>4.8</v>
      </c>
      <c r="N672" s="3">
        <f t="shared" si="53"/>
        <v>60.84</v>
      </c>
      <c r="O672" s="3">
        <f t="shared" si="54"/>
        <v>131.97</v>
      </c>
      <c r="P672" s="2"/>
      <c r="Q672" s="5"/>
    </row>
    <row r="673" spans="1:17">
      <c r="A673" s="2">
        <f t="shared" si="50"/>
        <v>671</v>
      </c>
      <c r="B673" s="2">
        <f t="shared" si="51"/>
        <v>122</v>
      </c>
      <c r="C673" s="2" t="s">
        <v>24</v>
      </c>
      <c r="D673" s="2" t="s">
        <v>25</v>
      </c>
      <c r="E673" s="2" t="s">
        <v>1403</v>
      </c>
      <c r="F673" s="2" t="s">
        <v>1404</v>
      </c>
      <c r="G673" s="3">
        <v>9.8000000000000007</v>
      </c>
      <c r="H673" s="3">
        <v>54.914634146341498</v>
      </c>
      <c r="I673" s="3">
        <v>3</v>
      </c>
      <c r="J673" s="3">
        <f t="shared" si="52"/>
        <v>67.709999999999994</v>
      </c>
      <c r="K673" s="3">
        <v>9.8000000000000007</v>
      </c>
      <c r="L673" s="3">
        <v>50.95</v>
      </c>
      <c r="M673" s="3">
        <v>3.5</v>
      </c>
      <c r="N673" s="3">
        <f t="shared" si="53"/>
        <v>64.25</v>
      </c>
      <c r="O673" s="3">
        <f t="shared" si="54"/>
        <v>131.96</v>
      </c>
      <c r="P673" s="2"/>
      <c r="Q673" s="5"/>
    </row>
    <row r="674" spans="1:17">
      <c r="A674" s="2">
        <f t="shared" si="50"/>
        <v>672</v>
      </c>
      <c r="B674" s="2">
        <f t="shared" si="51"/>
        <v>227</v>
      </c>
      <c r="C674" s="2" t="s">
        <v>45</v>
      </c>
      <c r="D674" s="2" t="s">
        <v>96</v>
      </c>
      <c r="E674" s="2" t="s">
        <v>1405</v>
      </c>
      <c r="F674" s="2" t="s">
        <v>1406</v>
      </c>
      <c r="G674" s="3">
        <v>9.8000000000000007</v>
      </c>
      <c r="H674" s="3">
        <v>56.78</v>
      </c>
      <c r="I674" s="3">
        <v>3</v>
      </c>
      <c r="J674" s="3">
        <f t="shared" si="52"/>
        <v>69.58</v>
      </c>
      <c r="K674" s="3">
        <v>7.3000000000000007</v>
      </c>
      <c r="L674" s="3">
        <v>51.97</v>
      </c>
      <c r="M674" s="3">
        <v>3</v>
      </c>
      <c r="N674" s="3">
        <f t="shared" si="53"/>
        <v>62.27</v>
      </c>
      <c r="O674" s="3">
        <f t="shared" si="54"/>
        <v>131.85</v>
      </c>
      <c r="P674" s="2"/>
      <c r="Q674" s="5"/>
    </row>
    <row r="675" spans="1:17">
      <c r="A675" s="2">
        <f t="shared" si="50"/>
        <v>673</v>
      </c>
      <c r="B675" s="2">
        <f t="shared" si="51"/>
        <v>94</v>
      </c>
      <c r="C675" s="2" t="s">
        <v>15</v>
      </c>
      <c r="D675" s="2" t="s">
        <v>181</v>
      </c>
      <c r="E675" s="2" t="s">
        <v>1407</v>
      </c>
      <c r="F675" s="2" t="s">
        <v>1408</v>
      </c>
      <c r="G675" s="3">
        <v>9.8000000000000007</v>
      </c>
      <c r="H675" s="3">
        <v>54.64</v>
      </c>
      <c r="I675" s="3">
        <v>3</v>
      </c>
      <c r="J675" s="3">
        <f t="shared" si="52"/>
        <v>67.44</v>
      </c>
      <c r="K675" s="3">
        <v>7.3000000000000007</v>
      </c>
      <c r="L675" s="3">
        <v>53.28</v>
      </c>
      <c r="M675" s="3">
        <v>3.7</v>
      </c>
      <c r="N675" s="3">
        <f t="shared" si="53"/>
        <v>64.28</v>
      </c>
      <c r="O675" s="3">
        <f t="shared" si="54"/>
        <v>131.72</v>
      </c>
      <c r="P675" s="2"/>
      <c r="Q675" s="5"/>
    </row>
    <row r="676" spans="1:17">
      <c r="A676" s="2">
        <f t="shared" si="50"/>
        <v>674</v>
      </c>
      <c r="B676" s="2">
        <f t="shared" si="51"/>
        <v>231</v>
      </c>
      <c r="C676" s="2" t="s">
        <v>20</v>
      </c>
      <c r="D676" s="2" t="s">
        <v>36</v>
      </c>
      <c r="E676" s="2" t="s">
        <v>1409</v>
      </c>
      <c r="F676" s="2" t="s">
        <v>1410</v>
      </c>
      <c r="G676" s="3">
        <v>10.3</v>
      </c>
      <c r="H676" s="3">
        <v>56.66</v>
      </c>
      <c r="I676" s="3">
        <v>3</v>
      </c>
      <c r="J676" s="3">
        <f t="shared" si="52"/>
        <v>69.959999999999994</v>
      </c>
      <c r="K676" s="3">
        <v>9.8000000000000007</v>
      </c>
      <c r="L676" s="3">
        <v>48.44</v>
      </c>
      <c r="M676" s="3">
        <v>3.5</v>
      </c>
      <c r="N676" s="3">
        <f t="shared" si="53"/>
        <v>61.74</v>
      </c>
      <c r="O676" s="3">
        <f t="shared" si="54"/>
        <v>131.69999999999999</v>
      </c>
      <c r="P676" s="2"/>
      <c r="Q676" s="5"/>
    </row>
    <row r="677" spans="1:17">
      <c r="A677" s="2">
        <f t="shared" si="50"/>
        <v>675</v>
      </c>
      <c r="B677" s="2">
        <f t="shared" si="51"/>
        <v>232</v>
      </c>
      <c r="C677" s="2" t="s">
        <v>20</v>
      </c>
      <c r="D677" s="2" t="s">
        <v>65</v>
      </c>
      <c r="E677" s="2" t="s">
        <v>1411</v>
      </c>
      <c r="F677" s="2" t="s">
        <v>1412</v>
      </c>
      <c r="G677" s="3">
        <v>9.8000000000000007</v>
      </c>
      <c r="H677" s="3">
        <v>54.14</v>
      </c>
      <c r="I677" s="3">
        <v>5</v>
      </c>
      <c r="J677" s="3">
        <f t="shared" si="52"/>
        <v>68.94</v>
      </c>
      <c r="K677" s="3">
        <v>7.3000000000000007</v>
      </c>
      <c r="L677" s="3">
        <v>50.4</v>
      </c>
      <c r="M677" s="3">
        <v>5</v>
      </c>
      <c r="N677" s="3">
        <f t="shared" si="53"/>
        <v>62.7</v>
      </c>
      <c r="O677" s="3">
        <f t="shared" si="54"/>
        <v>131.63999999999999</v>
      </c>
      <c r="P677" s="2"/>
      <c r="Q677" s="5"/>
    </row>
    <row r="678" spans="1:17">
      <c r="A678" s="2">
        <f t="shared" si="50"/>
        <v>676</v>
      </c>
      <c r="B678" s="2">
        <f t="shared" si="51"/>
        <v>233</v>
      </c>
      <c r="C678" s="2" t="s">
        <v>20</v>
      </c>
      <c r="D678" s="2" t="s">
        <v>117</v>
      </c>
      <c r="E678" s="2" t="s">
        <v>1413</v>
      </c>
      <c r="F678" s="2" t="s">
        <v>1414</v>
      </c>
      <c r="G678" s="3">
        <v>9.8000000000000007</v>
      </c>
      <c r="H678" s="3">
        <v>55.04</v>
      </c>
      <c r="I678" s="3">
        <v>3</v>
      </c>
      <c r="J678" s="3">
        <f t="shared" si="52"/>
        <v>67.84</v>
      </c>
      <c r="K678" s="3">
        <v>9.8000000000000007</v>
      </c>
      <c r="L678" s="3">
        <v>50.81</v>
      </c>
      <c r="M678" s="3">
        <v>3</v>
      </c>
      <c r="N678" s="3">
        <f t="shared" si="53"/>
        <v>63.61</v>
      </c>
      <c r="O678" s="3">
        <f t="shared" si="54"/>
        <v>131.44999999999999</v>
      </c>
      <c r="P678" s="2"/>
      <c r="Q678" s="5"/>
    </row>
    <row r="679" spans="1:17">
      <c r="A679" s="2">
        <f t="shared" si="50"/>
        <v>677</v>
      </c>
      <c r="B679" s="2">
        <f t="shared" si="51"/>
        <v>228</v>
      </c>
      <c r="C679" s="2" t="s">
        <v>45</v>
      </c>
      <c r="D679" s="2" t="s">
        <v>266</v>
      </c>
      <c r="E679" s="2" t="s">
        <v>1415</v>
      </c>
      <c r="F679" s="2" t="s">
        <v>1416</v>
      </c>
      <c r="G679" s="3">
        <v>9.8000000000000007</v>
      </c>
      <c r="H679" s="3">
        <v>55.44</v>
      </c>
      <c r="I679" s="3">
        <v>3</v>
      </c>
      <c r="J679" s="3">
        <f t="shared" si="52"/>
        <v>68.239999999999995</v>
      </c>
      <c r="K679" s="3">
        <v>9.8000000000000007</v>
      </c>
      <c r="L679" s="3">
        <v>50.33</v>
      </c>
      <c r="M679" s="3">
        <v>3</v>
      </c>
      <c r="N679" s="3">
        <f t="shared" si="53"/>
        <v>63.13</v>
      </c>
      <c r="O679" s="3">
        <f t="shared" si="54"/>
        <v>131.37</v>
      </c>
      <c r="P679" s="2"/>
      <c r="Q679" s="5"/>
    </row>
    <row r="680" spans="1:17">
      <c r="A680" s="2">
        <f t="shared" si="50"/>
        <v>678</v>
      </c>
      <c r="B680" s="2">
        <f t="shared" si="51"/>
        <v>234</v>
      </c>
      <c r="C680" s="2" t="s">
        <v>20</v>
      </c>
      <c r="D680" s="2" t="s">
        <v>21</v>
      </c>
      <c r="E680" s="2" t="s">
        <v>1417</v>
      </c>
      <c r="F680" s="2" t="s">
        <v>1418</v>
      </c>
      <c r="G680" s="3">
        <v>9.8000000000000007</v>
      </c>
      <c r="H680" s="3">
        <v>51.1</v>
      </c>
      <c r="I680" s="3">
        <v>3</v>
      </c>
      <c r="J680" s="3">
        <f t="shared" si="52"/>
        <v>63.9</v>
      </c>
      <c r="K680" s="3">
        <v>9.8000000000000007</v>
      </c>
      <c r="L680" s="3">
        <v>54.09</v>
      </c>
      <c r="M680" s="3">
        <v>3.5</v>
      </c>
      <c r="N680" s="3">
        <f t="shared" si="53"/>
        <v>67.39</v>
      </c>
      <c r="O680" s="3">
        <f t="shared" si="54"/>
        <v>131.29</v>
      </c>
      <c r="P680" s="2"/>
      <c r="Q680" s="5"/>
    </row>
    <row r="681" spans="1:17">
      <c r="A681" s="2">
        <f t="shared" si="50"/>
        <v>679</v>
      </c>
      <c r="B681" s="2">
        <f t="shared" si="51"/>
        <v>235</v>
      </c>
      <c r="C681" s="2" t="s">
        <v>20</v>
      </c>
      <c r="D681" s="2" t="s">
        <v>32</v>
      </c>
      <c r="E681" s="2" t="s">
        <v>1419</v>
      </c>
      <c r="F681" s="2" t="s">
        <v>1420</v>
      </c>
      <c r="G681" s="3">
        <v>9.8000000000000007</v>
      </c>
      <c r="H681" s="3">
        <v>52.377551020408198</v>
      </c>
      <c r="I681" s="3">
        <v>3</v>
      </c>
      <c r="J681" s="3">
        <f t="shared" si="52"/>
        <v>65.180000000000007</v>
      </c>
      <c r="K681" s="3">
        <v>9.8000000000000007</v>
      </c>
      <c r="L681" s="3">
        <v>52.73</v>
      </c>
      <c r="M681" s="3">
        <v>3.5</v>
      </c>
      <c r="N681" s="3">
        <f t="shared" si="53"/>
        <v>66.03</v>
      </c>
      <c r="O681" s="3">
        <f t="shared" si="54"/>
        <v>131.21</v>
      </c>
      <c r="P681" s="2"/>
      <c r="Q681" s="5"/>
    </row>
    <row r="682" spans="1:17">
      <c r="A682" s="2">
        <f t="shared" si="50"/>
        <v>680</v>
      </c>
      <c r="B682" s="2">
        <f t="shared" si="51"/>
        <v>123</v>
      </c>
      <c r="C682" s="2" t="s">
        <v>24</v>
      </c>
      <c r="D682" s="2" t="s">
        <v>76</v>
      </c>
      <c r="E682" s="2" t="s">
        <v>1421</v>
      </c>
      <c r="F682" s="2" t="s">
        <v>1422</v>
      </c>
      <c r="G682" s="3">
        <v>10</v>
      </c>
      <c r="H682" s="3">
        <v>48.036585365853597</v>
      </c>
      <c r="I682" s="3">
        <v>3</v>
      </c>
      <c r="J682" s="3">
        <f t="shared" si="52"/>
        <v>61.04</v>
      </c>
      <c r="K682" s="3">
        <v>10</v>
      </c>
      <c r="L682" s="3">
        <v>57.15</v>
      </c>
      <c r="M682" s="3">
        <v>3</v>
      </c>
      <c r="N682" s="3">
        <f t="shared" si="53"/>
        <v>70.150000000000006</v>
      </c>
      <c r="O682" s="3">
        <f t="shared" si="54"/>
        <v>131.19</v>
      </c>
      <c r="P682" s="2"/>
      <c r="Q682" s="5"/>
    </row>
    <row r="683" spans="1:17">
      <c r="A683" s="2">
        <f t="shared" si="50"/>
        <v>681</v>
      </c>
      <c r="B683" s="2">
        <f t="shared" si="51"/>
        <v>95</v>
      </c>
      <c r="C683" s="2" t="s">
        <v>15</v>
      </c>
      <c r="D683" s="2" t="s">
        <v>257</v>
      </c>
      <c r="E683" s="2" t="s">
        <v>1423</v>
      </c>
      <c r="F683" s="2" t="s">
        <v>1424</v>
      </c>
      <c r="G683" s="3">
        <v>9.8000000000000007</v>
      </c>
      <c r="H683" s="3">
        <v>56.15</v>
      </c>
      <c r="I683" s="3">
        <v>4</v>
      </c>
      <c r="J683" s="3">
        <f t="shared" si="52"/>
        <v>69.95</v>
      </c>
      <c r="K683" s="3">
        <v>7.3000000000000007</v>
      </c>
      <c r="L683" s="3">
        <v>50.43</v>
      </c>
      <c r="M683" s="3">
        <v>3.5</v>
      </c>
      <c r="N683" s="3">
        <f t="shared" si="53"/>
        <v>61.23</v>
      </c>
      <c r="O683" s="3">
        <f t="shared" si="54"/>
        <v>131.18</v>
      </c>
      <c r="P683" s="2"/>
      <c r="Q683" s="5"/>
    </row>
    <row r="684" spans="1:17">
      <c r="A684" s="2">
        <f t="shared" si="50"/>
        <v>682</v>
      </c>
      <c r="B684" s="2">
        <f t="shared" si="51"/>
        <v>236</v>
      </c>
      <c r="C684" s="2" t="s">
        <v>20</v>
      </c>
      <c r="D684" s="2" t="s">
        <v>117</v>
      </c>
      <c r="E684" s="2" t="s">
        <v>1425</v>
      </c>
      <c r="F684" s="2" t="s">
        <v>1426</v>
      </c>
      <c r="G684" s="3">
        <v>9.8000000000000007</v>
      </c>
      <c r="H684" s="3">
        <v>52.31</v>
      </c>
      <c r="I684" s="3">
        <v>3</v>
      </c>
      <c r="J684" s="3">
        <f t="shared" si="52"/>
        <v>65.11</v>
      </c>
      <c r="K684" s="3">
        <v>9.8000000000000007</v>
      </c>
      <c r="L684" s="3">
        <v>53.24</v>
      </c>
      <c r="M684" s="3">
        <v>3</v>
      </c>
      <c r="N684" s="3">
        <f t="shared" si="53"/>
        <v>66.040000000000006</v>
      </c>
      <c r="O684" s="3">
        <f t="shared" si="54"/>
        <v>131.15</v>
      </c>
      <c r="P684" s="2"/>
      <c r="Q684" s="5"/>
    </row>
    <row r="685" spans="1:17">
      <c r="A685" s="2">
        <f t="shared" si="50"/>
        <v>683</v>
      </c>
      <c r="B685" s="2">
        <f t="shared" si="51"/>
        <v>124</v>
      </c>
      <c r="C685" s="2" t="s">
        <v>24</v>
      </c>
      <c r="D685" s="2" t="s">
        <v>49</v>
      </c>
      <c r="E685" s="2" t="s">
        <v>1427</v>
      </c>
      <c r="F685" s="2" t="s">
        <v>1428</v>
      </c>
      <c r="G685" s="3">
        <v>9.8000000000000007</v>
      </c>
      <c r="H685" s="3">
        <v>56.461538461538503</v>
      </c>
      <c r="I685" s="3">
        <v>3</v>
      </c>
      <c r="J685" s="3">
        <f t="shared" si="52"/>
        <v>69.260000000000005</v>
      </c>
      <c r="K685" s="3">
        <v>9</v>
      </c>
      <c r="L685" s="3">
        <v>49.88</v>
      </c>
      <c r="M685" s="3">
        <v>3</v>
      </c>
      <c r="N685" s="3">
        <f t="shared" si="53"/>
        <v>61.88</v>
      </c>
      <c r="O685" s="3">
        <f t="shared" si="54"/>
        <v>131.13999999999999</v>
      </c>
      <c r="P685" s="2"/>
      <c r="Q685" s="5"/>
    </row>
    <row r="686" spans="1:17">
      <c r="A686" s="2">
        <f t="shared" si="50"/>
        <v>684</v>
      </c>
      <c r="B686" s="2">
        <f t="shared" si="51"/>
        <v>96</v>
      </c>
      <c r="C686" s="2" t="s">
        <v>15</v>
      </c>
      <c r="D686" s="2" t="s">
        <v>257</v>
      </c>
      <c r="E686" s="2" t="s">
        <v>1429</v>
      </c>
      <c r="F686" s="2" t="s">
        <v>1430</v>
      </c>
      <c r="G686" s="3">
        <v>10</v>
      </c>
      <c r="H686" s="3">
        <v>50.54</v>
      </c>
      <c r="I686" s="3">
        <v>3</v>
      </c>
      <c r="J686" s="3">
        <f t="shared" si="52"/>
        <v>63.54</v>
      </c>
      <c r="K686" s="3">
        <v>7.5</v>
      </c>
      <c r="L686" s="3">
        <v>55.39</v>
      </c>
      <c r="M686" s="3">
        <v>4.7</v>
      </c>
      <c r="N686" s="3">
        <f t="shared" si="53"/>
        <v>67.59</v>
      </c>
      <c r="O686" s="3">
        <f t="shared" si="54"/>
        <v>131.13</v>
      </c>
      <c r="P686" s="2"/>
      <c r="Q686" s="5"/>
    </row>
    <row r="687" spans="1:17">
      <c r="A687" s="2">
        <f t="shared" si="50"/>
        <v>685</v>
      </c>
      <c r="B687" s="2">
        <f t="shared" si="51"/>
        <v>237</v>
      </c>
      <c r="C687" s="2" t="s">
        <v>20</v>
      </c>
      <c r="D687" s="2" t="s">
        <v>32</v>
      </c>
      <c r="E687" s="2" t="s">
        <v>1431</v>
      </c>
      <c r="F687" s="2" t="s">
        <v>1432</v>
      </c>
      <c r="G687" s="3">
        <v>9.8000000000000007</v>
      </c>
      <c r="H687" s="3">
        <v>53.571428571428598</v>
      </c>
      <c r="I687" s="3">
        <v>3</v>
      </c>
      <c r="J687" s="3">
        <f t="shared" si="52"/>
        <v>66.37</v>
      </c>
      <c r="K687" s="3">
        <v>7.3000000000000007</v>
      </c>
      <c r="L687" s="3">
        <v>53.93</v>
      </c>
      <c r="M687" s="3">
        <v>3.5</v>
      </c>
      <c r="N687" s="3">
        <f t="shared" si="53"/>
        <v>64.73</v>
      </c>
      <c r="O687" s="3">
        <f t="shared" si="54"/>
        <v>131.1</v>
      </c>
      <c r="P687" s="2"/>
      <c r="Q687" s="5"/>
    </row>
    <row r="688" spans="1:17">
      <c r="A688" s="2">
        <f t="shared" si="50"/>
        <v>685</v>
      </c>
      <c r="B688" s="2">
        <f t="shared" si="51"/>
        <v>237</v>
      </c>
      <c r="C688" s="2" t="s">
        <v>20</v>
      </c>
      <c r="D688" s="2" t="s">
        <v>164</v>
      </c>
      <c r="E688" s="2" t="s">
        <v>1433</v>
      </c>
      <c r="F688" s="2" t="s">
        <v>1434</v>
      </c>
      <c r="G688" s="3">
        <v>9.4</v>
      </c>
      <c r="H688" s="3">
        <v>57.65</v>
      </c>
      <c r="I688" s="3">
        <v>3</v>
      </c>
      <c r="J688" s="3">
        <f t="shared" si="52"/>
        <v>70.05</v>
      </c>
      <c r="K688" s="3">
        <v>9.4</v>
      </c>
      <c r="L688" s="3">
        <v>48.65</v>
      </c>
      <c r="M688" s="3">
        <v>3</v>
      </c>
      <c r="N688" s="3">
        <f t="shared" si="53"/>
        <v>61.05</v>
      </c>
      <c r="O688" s="3">
        <f t="shared" si="54"/>
        <v>131.1</v>
      </c>
      <c r="P688" s="2"/>
      <c r="Q688" s="5"/>
    </row>
    <row r="689" spans="1:17">
      <c r="A689" s="2">
        <f t="shared" si="50"/>
        <v>687</v>
      </c>
      <c r="B689" s="2">
        <f t="shared" si="51"/>
        <v>239</v>
      </c>
      <c r="C689" s="2" t="s">
        <v>20</v>
      </c>
      <c r="D689" s="2" t="s">
        <v>229</v>
      </c>
      <c r="E689" s="2" t="s">
        <v>1435</v>
      </c>
      <c r="F689" s="2" t="s">
        <v>1436</v>
      </c>
      <c r="G689" s="3">
        <v>9.5</v>
      </c>
      <c r="H689" s="3">
        <v>50</v>
      </c>
      <c r="I689" s="3">
        <v>3</v>
      </c>
      <c r="J689" s="3">
        <f t="shared" si="52"/>
        <v>62.5</v>
      </c>
      <c r="K689" s="3">
        <v>9.4</v>
      </c>
      <c r="L689" s="3">
        <v>55.57</v>
      </c>
      <c r="M689" s="3">
        <v>3.5</v>
      </c>
      <c r="N689" s="3">
        <f t="shared" si="53"/>
        <v>68.47</v>
      </c>
      <c r="O689" s="3">
        <f t="shared" si="54"/>
        <v>130.97</v>
      </c>
      <c r="P689" s="2"/>
      <c r="Q689" s="5"/>
    </row>
    <row r="690" spans="1:17">
      <c r="A690" s="2">
        <f t="shared" si="50"/>
        <v>688</v>
      </c>
      <c r="B690" s="2">
        <f t="shared" si="51"/>
        <v>240</v>
      </c>
      <c r="C690" s="2" t="s">
        <v>20</v>
      </c>
      <c r="D690" s="2" t="s">
        <v>65</v>
      </c>
      <c r="E690" s="2" t="s">
        <v>1437</v>
      </c>
      <c r="F690" s="2" t="s">
        <v>1438</v>
      </c>
      <c r="G690" s="3">
        <v>9.8000000000000007</v>
      </c>
      <c r="H690" s="3">
        <v>56.27</v>
      </c>
      <c r="I690" s="3">
        <v>3</v>
      </c>
      <c r="J690" s="3">
        <f t="shared" si="52"/>
        <v>69.069999999999993</v>
      </c>
      <c r="K690" s="3">
        <v>9.8000000000000007</v>
      </c>
      <c r="L690" s="3">
        <v>47.65</v>
      </c>
      <c r="M690" s="3">
        <v>4.4000000000000004</v>
      </c>
      <c r="N690" s="3">
        <f t="shared" si="53"/>
        <v>61.85</v>
      </c>
      <c r="O690" s="3">
        <f t="shared" si="54"/>
        <v>130.91999999999999</v>
      </c>
      <c r="P690" s="2"/>
      <c r="Q690" s="5"/>
    </row>
    <row r="691" spans="1:17">
      <c r="A691" s="2">
        <f t="shared" si="50"/>
        <v>689</v>
      </c>
      <c r="B691" s="2">
        <f t="shared" si="51"/>
        <v>241</v>
      </c>
      <c r="C691" s="2" t="s">
        <v>20</v>
      </c>
      <c r="D691" s="2" t="s">
        <v>21</v>
      </c>
      <c r="E691" s="2" t="s">
        <v>1439</v>
      </c>
      <c r="F691" s="2" t="s">
        <v>1440</v>
      </c>
      <c r="G691" s="3">
        <v>9.8000000000000007</v>
      </c>
      <c r="H691" s="3">
        <v>49.57</v>
      </c>
      <c r="I691" s="3">
        <v>3</v>
      </c>
      <c r="J691" s="3">
        <f t="shared" si="52"/>
        <v>62.37</v>
      </c>
      <c r="K691" s="3">
        <v>9.8000000000000007</v>
      </c>
      <c r="L691" s="3">
        <v>54.35</v>
      </c>
      <c r="M691" s="3">
        <v>4.3</v>
      </c>
      <c r="N691" s="3">
        <f t="shared" si="53"/>
        <v>68.45</v>
      </c>
      <c r="O691" s="3">
        <f t="shared" si="54"/>
        <v>130.82</v>
      </c>
      <c r="P691" s="2"/>
      <c r="Q691" s="5"/>
    </row>
    <row r="692" spans="1:17">
      <c r="A692" s="2">
        <f t="shared" si="50"/>
        <v>689</v>
      </c>
      <c r="B692" s="2">
        <f t="shared" si="51"/>
        <v>229</v>
      </c>
      <c r="C692" s="2" t="s">
        <v>45</v>
      </c>
      <c r="D692" s="2" t="s">
        <v>232</v>
      </c>
      <c r="E692" s="2" t="s">
        <v>1441</v>
      </c>
      <c r="F692" s="2" t="s">
        <v>1442</v>
      </c>
      <c r="G692" s="3">
        <v>9.8000000000000007</v>
      </c>
      <c r="H692" s="3">
        <v>51.71</v>
      </c>
      <c r="I692" s="3">
        <v>4.0999999999999996</v>
      </c>
      <c r="J692" s="3">
        <f t="shared" si="52"/>
        <v>65.61</v>
      </c>
      <c r="K692" s="3">
        <v>9.8000000000000007</v>
      </c>
      <c r="L692" s="3">
        <v>50.91</v>
      </c>
      <c r="M692" s="3">
        <v>4.5</v>
      </c>
      <c r="N692" s="3">
        <f t="shared" si="53"/>
        <v>65.209999999999994</v>
      </c>
      <c r="O692" s="3">
        <f t="shared" si="54"/>
        <v>130.82</v>
      </c>
      <c r="P692" s="2"/>
      <c r="Q692" s="5"/>
    </row>
    <row r="693" spans="1:17">
      <c r="A693" s="2">
        <f t="shared" si="50"/>
        <v>691</v>
      </c>
      <c r="B693" s="2">
        <f t="shared" si="51"/>
        <v>242</v>
      </c>
      <c r="C693" s="2" t="s">
        <v>20</v>
      </c>
      <c r="D693" s="2" t="s">
        <v>229</v>
      </c>
      <c r="E693" s="2" t="s">
        <v>1443</v>
      </c>
      <c r="F693" s="2" t="s">
        <v>1444</v>
      </c>
      <c r="G693" s="3">
        <v>9.8000000000000007</v>
      </c>
      <c r="H693" s="3">
        <v>51.06</v>
      </c>
      <c r="I693" s="3">
        <v>3.9</v>
      </c>
      <c r="J693" s="3">
        <f t="shared" si="52"/>
        <v>64.760000000000005</v>
      </c>
      <c r="K693" s="3">
        <v>9.8000000000000007</v>
      </c>
      <c r="L693" s="3">
        <v>51.82</v>
      </c>
      <c r="M693" s="3">
        <v>4.4000000000000004</v>
      </c>
      <c r="N693" s="3">
        <f t="shared" si="53"/>
        <v>66.02</v>
      </c>
      <c r="O693" s="3">
        <f t="shared" si="54"/>
        <v>130.78</v>
      </c>
      <c r="P693" s="2"/>
      <c r="Q693" s="5"/>
    </row>
    <row r="694" spans="1:17">
      <c r="A694" s="2">
        <f t="shared" si="50"/>
        <v>692</v>
      </c>
      <c r="B694" s="2">
        <f t="shared" si="51"/>
        <v>243</v>
      </c>
      <c r="C694" s="2" t="s">
        <v>20</v>
      </c>
      <c r="D694" s="2" t="s">
        <v>164</v>
      </c>
      <c r="E694" s="2" t="s">
        <v>1445</v>
      </c>
      <c r="F694" s="2" t="s">
        <v>1446</v>
      </c>
      <c r="G694" s="3">
        <v>9.8000000000000007</v>
      </c>
      <c r="H694" s="3">
        <v>55.48</v>
      </c>
      <c r="I694" s="3">
        <v>3.65</v>
      </c>
      <c r="J694" s="3">
        <f t="shared" si="52"/>
        <v>68.930000000000007</v>
      </c>
      <c r="K694" s="3">
        <v>9.8000000000000007</v>
      </c>
      <c r="L694" s="3">
        <v>48.77</v>
      </c>
      <c r="M694" s="3">
        <v>3.2</v>
      </c>
      <c r="N694" s="3">
        <f t="shared" si="53"/>
        <v>61.77</v>
      </c>
      <c r="O694" s="3">
        <f t="shared" si="54"/>
        <v>130.69999999999999</v>
      </c>
      <c r="P694" s="2"/>
      <c r="Q694" s="5"/>
    </row>
    <row r="695" spans="1:17">
      <c r="A695" s="2">
        <f t="shared" si="50"/>
        <v>693</v>
      </c>
      <c r="B695" s="2">
        <f t="shared" si="51"/>
        <v>125</v>
      </c>
      <c r="C695" s="2" t="s">
        <v>24</v>
      </c>
      <c r="D695" s="2" t="s">
        <v>76</v>
      </c>
      <c r="E695" s="2" t="s">
        <v>1447</v>
      </c>
      <c r="F695" s="2" t="s">
        <v>1448</v>
      </c>
      <c r="G695" s="3">
        <v>9.8000000000000007</v>
      </c>
      <c r="H695" s="3">
        <v>51.890243902439003</v>
      </c>
      <c r="I695" s="3">
        <v>3</v>
      </c>
      <c r="J695" s="3">
        <f t="shared" si="52"/>
        <v>64.69</v>
      </c>
      <c r="K695" s="3">
        <v>9</v>
      </c>
      <c r="L695" s="3">
        <v>53.92</v>
      </c>
      <c r="M695" s="3">
        <v>3</v>
      </c>
      <c r="N695" s="3">
        <f t="shared" si="53"/>
        <v>65.92</v>
      </c>
      <c r="O695" s="3">
        <f t="shared" si="54"/>
        <v>130.61000000000001</v>
      </c>
      <c r="P695" s="2"/>
      <c r="Q695" s="5"/>
    </row>
    <row r="696" spans="1:17">
      <c r="A696" s="2">
        <f t="shared" si="50"/>
        <v>694</v>
      </c>
      <c r="B696" s="2">
        <f t="shared" si="51"/>
        <v>230</v>
      </c>
      <c r="C696" s="2" t="s">
        <v>45</v>
      </c>
      <c r="D696" s="2" t="s">
        <v>220</v>
      </c>
      <c r="E696" s="2" t="s">
        <v>1449</v>
      </c>
      <c r="F696" s="2" t="s">
        <v>1450</v>
      </c>
      <c r="G696" s="3">
        <v>9.8000000000000007</v>
      </c>
      <c r="H696" s="3">
        <v>54.83</v>
      </c>
      <c r="I696" s="3">
        <v>4</v>
      </c>
      <c r="J696" s="3">
        <f t="shared" si="52"/>
        <v>68.63</v>
      </c>
      <c r="K696" s="3">
        <v>6.9</v>
      </c>
      <c r="L696" s="3">
        <v>50.57</v>
      </c>
      <c r="M696" s="3">
        <v>4.5</v>
      </c>
      <c r="N696" s="3">
        <f t="shared" si="53"/>
        <v>61.97</v>
      </c>
      <c r="O696" s="3">
        <f t="shared" si="54"/>
        <v>130.6</v>
      </c>
      <c r="P696" s="2"/>
      <c r="Q696" s="5"/>
    </row>
    <row r="697" spans="1:17">
      <c r="A697" s="2">
        <f t="shared" si="50"/>
        <v>695</v>
      </c>
      <c r="B697" s="2">
        <f t="shared" si="51"/>
        <v>231</v>
      </c>
      <c r="C697" s="2" t="s">
        <v>45</v>
      </c>
      <c r="D697" s="2" t="s">
        <v>220</v>
      </c>
      <c r="E697" s="2" t="s">
        <v>1451</v>
      </c>
      <c r="F697" s="2" t="s">
        <v>1452</v>
      </c>
      <c r="G697" s="3">
        <v>10</v>
      </c>
      <c r="H697" s="3">
        <v>53.32</v>
      </c>
      <c r="I697" s="3">
        <v>4.9000000000000004</v>
      </c>
      <c r="J697" s="3">
        <f t="shared" si="52"/>
        <v>68.22</v>
      </c>
      <c r="K697" s="3">
        <v>9.6</v>
      </c>
      <c r="L697" s="3">
        <v>48.26</v>
      </c>
      <c r="M697" s="3">
        <v>4.5</v>
      </c>
      <c r="N697" s="3">
        <f t="shared" si="53"/>
        <v>62.36</v>
      </c>
      <c r="O697" s="3">
        <f t="shared" si="54"/>
        <v>130.58000000000001</v>
      </c>
      <c r="P697" s="2"/>
      <c r="Q697" s="5"/>
    </row>
    <row r="698" spans="1:17">
      <c r="A698" s="2">
        <f t="shared" si="50"/>
        <v>696</v>
      </c>
      <c r="B698" s="2">
        <f t="shared" si="51"/>
        <v>232</v>
      </c>
      <c r="C698" s="2" t="s">
        <v>45</v>
      </c>
      <c r="D698" s="2" t="s">
        <v>73</v>
      </c>
      <c r="E698" s="2" t="s">
        <v>1453</v>
      </c>
      <c r="F698" s="2" t="s">
        <v>1454</v>
      </c>
      <c r="G698" s="3">
        <v>9.8000000000000007</v>
      </c>
      <c r="H698" s="3">
        <v>54.7</v>
      </c>
      <c r="I698" s="3">
        <v>3</v>
      </c>
      <c r="J698" s="3">
        <f t="shared" si="52"/>
        <v>67.5</v>
      </c>
      <c r="K698" s="3">
        <v>9.8000000000000007</v>
      </c>
      <c r="L698" s="3">
        <v>50.07</v>
      </c>
      <c r="M698" s="3">
        <v>3</v>
      </c>
      <c r="N698" s="3">
        <f t="shared" si="53"/>
        <v>62.87</v>
      </c>
      <c r="O698" s="3">
        <f t="shared" si="54"/>
        <v>130.37</v>
      </c>
      <c r="P698" s="2"/>
      <c r="Q698" s="5"/>
    </row>
    <row r="699" spans="1:17">
      <c r="A699" s="2">
        <f t="shared" si="50"/>
        <v>697</v>
      </c>
      <c r="B699" s="2">
        <f t="shared" si="51"/>
        <v>244</v>
      </c>
      <c r="C699" s="2" t="s">
        <v>20</v>
      </c>
      <c r="D699" s="2" t="s">
        <v>21</v>
      </c>
      <c r="E699" s="2" t="s">
        <v>1455</v>
      </c>
      <c r="F699" s="2" t="s">
        <v>1456</v>
      </c>
      <c r="G699" s="3">
        <v>9.8000000000000007</v>
      </c>
      <c r="H699" s="3">
        <v>52.56</v>
      </c>
      <c r="I699" s="3">
        <v>3</v>
      </c>
      <c r="J699" s="3">
        <f t="shared" si="52"/>
        <v>65.36</v>
      </c>
      <c r="K699" s="3">
        <v>9.8000000000000007</v>
      </c>
      <c r="L699" s="3">
        <v>51.82</v>
      </c>
      <c r="M699" s="3">
        <v>3.35</v>
      </c>
      <c r="N699" s="3">
        <f t="shared" si="53"/>
        <v>64.97</v>
      </c>
      <c r="O699" s="3">
        <f t="shared" si="54"/>
        <v>130.33000000000001</v>
      </c>
      <c r="P699" s="2"/>
      <c r="Q699" s="5"/>
    </row>
    <row r="700" spans="1:17">
      <c r="A700" s="2">
        <f t="shared" si="50"/>
        <v>698</v>
      </c>
      <c r="B700" s="2">
        <f t="shared" si="51"/>
        <v>233</v>
      </c>
      <c r="C700" s="2" t="s">
        <v>45</v>
      </c>
      <c r="D700" s="2" t="s">
        <v>96</v>
      </c>
      <c r="E700" s="2" t="s">
        <v>1457</v>
      </c>
      <c r="F700" s="2" t="s">
        <v>1458</v>
      </c>
      <c r="G700" s="3">
        <v>9.8000000000000007</v>
      </c>
      <c r="H700" s="3">
        <v>53.46</v>
      </c>
      <c r="I700" s="3">
        <v>5.3</v>
      </c>
      <c r="J700" s="3">
        <f t="shared" si="52"/>
        <v>68.56</v>
      </c>
      <c r="K700" s="3">
        <v>7.3000000000000007</v>
      </c>
      <c r="L700" s="3">
        <v>49.84</v>
      </c>
      <c r="M700" s="3">
        <v>4.5999999999999996</v>
      </c>
      <c r="N700" s="3">
        <f t="shared" si="53"/>
        <v>61.74</v>
      </c>
      <c r="O700" s="3">
        <f t="shared" si="54"/>
        <v>130.30000000000001</v>
      </c>
      <c r="P700" s="2"/>
      <c r="Q700" s="5"/>
    </row>
    <row r="701" spans="1:17">
      <c r="A701" s="2">
        <f t="shared" si="50"/>
        <v>699</v>
      </c>
      <c r="B701" s="2">
        <f t="shared" si="51"/>
        <v>234</v>
      </c>
      <c r="C701" s="2" t="s">
        <v>45</v>
      </c>
      <c r="D701" s="2" t="s">
        <v>54</v>
      </c>
      <c r="E701" s="2" t="s">
        <v>1459</v>
      </c>
      <c r="F701" s="2" t="s">
        <v>1460</v>
      </c>
      <c r="G701" s="3">
        <v>10</v>
      </c>
      <c r="H701" s="3">
        <v>56.63</v>
      </c>
      <c r="I701" s="3">
        <v>3</v>
      </c>
      <c r="J701" s="3">
        <f t="shared" si="52"/>
        <v>69.63</v>
      </c>
      <c r="K701" s="3">
        <v>7.5</v>
      </c>
      <c r="L701" s="3">
        <v>50.04</v>
      </c>
      <c r="M701" s="3">
        <v>3</v>
      </c>
      <c r="N701" s="3">
        <f t="shared" si="53"/>
        <v>60.54</v>
      </c>
      <c r="O701" s="3">
        <f t="shared" si="54"/>
        <v>130.16999999999999</v>
      </c>
      <c r="P701" s="2"/>
      <c r="Q701" s="5"/>
    </row>
    <row r="702" spans="1:17">
      <c r="A702" s="2">
        <f t="shared" si="50"/>
        <v>700</v>
      </c>
      <c r="B702" s="2">
        <f t="shared" si="51"/>
        <v>235</v>
      </c>
      <c r="C702" s="2" t="s">
        <v>45</v>
      </c>
      <c r="D702" s="2" t="s">
        <v>46</v>
      </c>
      <c r="E702" s="2" t="s">
        <v>1461</v>
      </c>
      <c r="F702" s="2" t="s">
        <v>1462</v>
      </c>
      <c r="G702" s="3">
        <v>10</v>
      </c>
      <c r="H702" s="3">
        <v>48.47</v>
      </c>
      <c r="I702" s="3">
        <v>4.5</v>
      </c>
      <c r="J702" s="3">
        <f t="shared" si="52"/>
        <v>62.97</v>
      </c>
      <c r="K702" s="3">
        <v>10</v>
      </c>
      <c r="L702" s="3">
        <v>51.66</v>
      </c>
      <c r="M702" s="3">
        <v>5.5</v>
      </c>
      <c r="N702" s="3">
        <f t="shared" si="53"/>
        <v>67.16</v>
      </c>
      <c r="O702" s="3">
        <f t="shared" si="54"/>
        <v>130.13</v>
      </c>
      <c r="P702" s="2"/>
      <c r="Q702" s="5"/>
    </row>
    <row r="703" spans="1:17">
      <c r="A703" s="2">
        <f t="shared" si="50"/>
        <v>701</v>
      </c>
      <c r="B703" s="2">
        <f t="shared" si="51"/>
        <v>97</v>
      </c>
      <c r="C703" s="2" t="s">
        <v>15</v>
      </c>
      <c r="D703" s="2" t="s">
        <v>39</v>
      </c>
      <c r="E703" s="2" t="s">
        <v>1463</v>
      </c>
      <c r="F703" s="2" t="s">
        <v>1464</v>
      </c>
      <c r="G703" s="3">
        <v>9.8000000000000007</v>
      </c>
      <c r="H703" s="3">
        <v>58.72</v>
      </c>
      <c r="I703" s="3">
        <v>3</v>
      </c>
      <c r="J703" s="3">
        <f t="shared" si="52"/>
        <v>71.52</v>
      </c>
      <c r="K703" s="3">
        <v>7.3000000000000007</v>
      </c>
      <c r="L703" s="3">
        <v>47.69</v>
      </c>
      <c r="M703" s="3">
        <v>3.5</v>
      </c>
      <c r="N703" s="3">
        <f t="shared" si="53"/>
        <v>58.49</v>
      </c>
      <c r="O703" s="3">
        <f t="shared" si="54"/>
        <v>130.01</v>
      </c>
      <c r="P703" s="2"/>
      <c r="Q703" s="5"/>
    </row>
    <row r="704" spans="1:17">
      <c r="A704" s="2">
        <f t="shared" si="50"/>
        <v>702</v>
      </c>
      <c r="B704" s="2">
        <f t="shared" si="51"/>
        <v>236</v>
      </c>
      <c r="C704" s="2" t="s">
        <v>45</v>
      </c>
      <c r="D704" s="2" t="s">
        <v>96</v>
      </c>
      <c r="E704" s="2" t="s">
        <v>1465</v>
      </c>
      <c r="F704" s="2" t="s">
        <v>1466</v>
      </c>
      <c r="G704" s="3">
        <v>9.8000000000000007</v>
      </c>
      <c r="H704" s="3">
        <v>50.88</v>
      </c>
      <c r="I704" s="3">
        <v>4.4000000000000004</v>
      </c>
      <c r="J704" s="3">
        <f t="shared" si="52"/>
        <v>65.08</v>
      </c>
      <c r="K704" s="3">
        <v>7.5</v>
      </c>
      <c r="L704" s="3">
        <v>52.91</v>
      </c>
      <c r="M704" s="3">
        <v>4.5</v>
      </c>
      <c r="N704" s="3">
        <f t="shared" si="53"/>
        <v>64.91</v>
      </c>
      <c r="O704" s="3">
        <f t="shared" si="54"/>
        <v>129.99</v>
      </c>
      <c r="P704" s="2"/>
      <c r="Q704" s="5"/>
    </row>
    <row r="705" spans="1:17">
      <c r="A705" s="2">
        <f t="shared" si="50"/>
        <v>703</v>
      </c>
      <c r="B705" s="2">
        <f t="shared" si="51"/>
        <v>237</v>
      </c>
      <c r="C705" s="2" t="s">
        <v>45</v>
      </c>
      <c r="D705" s="2" t="s">
        <v>266</v>
      </c>
      <c r="E705" s="2" t="s">
        <v>1467</v>
      </c>
      <c r="F705" s="2" t="s">
        <v>1468</v>
      </c>
      <c r="G705" s="3">
        <v>9.8000000000000007</v>
      </c>
      <c r="H705" s="3">
        <v>50.86</v>
      </c>
      <c r="I705" s="3">
        <v>4</v>
      </c>
      <c r="J705" s="3">
        <f t="shared" si="52"/>
        <v>64.66</v>
      </c>
      <c r="K705" s="3">
        <v>9.8000000000000007</v>
      </c>
      <c r="L705" s="3">
        <v>52.48</v>
      </c>
      <c r="M705" s="3">
        <v>3</v>
      </c>
      <c r="N705" s="3">
        <f t="shared" si="53"/>
        <v>65.28</v>
      </c>
      <c r="O705" s="3">
        <f t="shared" si="54"/>
        <v>129.94</v>
      </c>
      <c r="P705" s="2"/>
      <c r="Q705" s="5"/>
    </row>
    <row r="706" spans="1:17">
      <c r="A706" s="2">
        <f t="shared" si="50"/>
        <v>704</v>
      </c>
      <c r="B706" s="2">
        <f t="shared" si="51"/>
        <v>238</v>
      </c>
      <c r="C706" s="2" t="s">
        <v>45</v>
      </c>
      <c r="D706" s="2" t="s">
        <v>89</v>
      </c>
      <c r="E706" s="2" t="s">
        <v>1469</v>
      </c>
      <c r="F706" s="2" t="s">
        <v>1470</v>
      </c>
      <c r="G706" s="3">
        <v>9.8000000000000007</v>
      </c>
      <c r="H706" s="3">
        <v>52.53</v>
      </c>
      <c r="I706" s="3">
        <v>3</v>
      </c>
      <c r="J706" s="3">
        <f t="shared" si="52"/>
        <v>65.33</v>
      </c>
      <c r="K706" s="3">
        <v>7.3000000000000007</v>
      </c>
      <c r="L706" s="3">
        <v>53.8</v>
      </c>
      <c r="M706" s="3">
        <v>3.5</v>
      </c>
      <c r="N706" s="3">
        <f t="shared" si="53"/>
        <v>64.599999999999994</v>
      </c>
      <c r="O706" s="3">
        <f t="shared" si="54"/>
        <v>129.93</v>
      </c>
      <c r="P706" s="2"/>
      <c r="Q706" s="5"/>
    </row>
    <row r="707" spans="1:17">
      <c r="A707" s="2">
        <f t="shared" ref="A707:A770" si="55">COUNTIFS($C$3:$C$1025,"&lt;&gt;大数据",$O$3:$O$1025,"&gt;"&amp;O707)+1</f>
        <v>705</v>
      </c>
      <c r="B707" s="2">
        <f t="shared" ref="B707:B770" si="56">COUNTIFS($C$3:$C$1025,C707,$O$3:$O$1025,"&gt;"&amp;O707)+1</f>
        <v>98</v>
      </c>
      <c r="C707" s="2" t="s">
        <v>15</v>
      </c>
      <c r="D707" s="2" t="s">
        <v>39</v>
      </c>
      <c r="E707" s="2" t="s">
        <v>1471</v>
      </c>
      <c r="F707" s="2" t="s">
        <v>1472</v>
      </c>
      <c r="G707" s="3">
        <v>11</v>
      </c>
      <c r="H707" s="3">
        <v>51.88</v>
      </c>
      <c r="I707" s="3">
        <v>3.95</v>
      </c>
      <c r="J707" s="3">
        <f t="shared" ref="J707:J770" si="57">ROUND(SUM(G707:I707),2)</f>
        <v>66.83</v>
      </c>
      <c r="K707" s="3">
        <v>7.5</v>
      </c>
      <c r="L707" s="3">
        <v>52.56</v>
      </c>
      <c r="M707" s="3">
        <v>3</v>
      </c>
      <c r="N707" s="3">
        <f t="shared" ref="N707:N770" si="58">ROUND(SUM(K707:M707),2)</f>
        <v>63.06</v>
      </c>
      <c r="O707" s="3">
        <f t="shared" ref="O707:O770" si="59">ROUND(SUM(J707,N707),2)</f>
        <v>129.88999999999999</v>
      </c>
      <c r="P707" s="2"/>
      <c r="Q707" s="5"/>
    </row>
    <row r="708" spans="1:17">
      <c r="A708" s="2">
        <f t="shared" si="55"/>
        <v>706</v>
      </c>
      <c r="B708" s="2">
        <f t="shared" si="56"/>
        <v>245</v>
      </c>
      <c r="C708" s="2" t="s">
        <v>20</v>
      </c>
      <c r="D708" s="2" t="s">
        <v>164</v>
      </c>
      <c r="E708" s="2" t="s">
        <v>1473</v>
      </c>
      <c r="F708" s="2" t="s">
        <v>1474</v>
      </c>
      <c r="G708" s="3">
        <v>9.8000000000000007</v>
      </c>
      <c r="H708" s="3">
        <v>57.6</v>
      </c>
      <c r="I708" s="3">
        <v>3</v>
      </c>
      <c r="J708" s="3">
        <f t="shared" si="57"/>
        <v>70.400000000000006</v>
      </c>
      <c r="K708" s="3">
        <v>9.8000000000000007</v>
      </c>
      <c r="L708" s="3">
        <v>46.14</v>
      </c>
      <c r="M708" s="3">
        <v>3.5</v>
      </c>
      <c r="N708" s="3">
        <f t="shared" si="58"/>
        <v>59.44</v>
      </c>
      <c r="O708" s="3">
        <f t="shared" si="59"/>
        <v>129.84</v>
      </c>
      <c r="P708" s="2"/>
      <c r="Q708" s="5"/>
    </row>
    <row r="709" spans="1:17">
      <c r="A709" s="2">
        <f t="shared" si="55"/>
        <v>707</v>
      </c>
      <c r="B709" s="2">
        <f t="shared" si="56"/>
        <v>239</v>
      </c>
      <c r="C709" s="2" t="s">
        <v>45</v>
      </c>
      <c r="D709" s="2" t="s">
        <v>96</v>
      </c>
      <c r="E709" s="2" t="s">
        <v>1475</v>
      </c>
      <c r="F709" s="2" t="s">
        <v>1476</v>
      </c>
      <c r="G709" s="3">
        <v>9.8000000000000007</v>
      </c>
      <c r="H709" s="3">
        <v>56.72</v>
      </c>
      <c r="I709" s="3">
        <v>5</v>
      </c>
      <c r="J709" s="3">
        <f t="shared" si="57"/>
        <v>71.52</v>
      </c>
      <c r="K709" s="3">
        <v>7.3000000000000007</v>
      </c>
      <c r="L709" s="3">
        <v>45.49</v>
      </c>
      <c r="M709" s="3">
        <v>5.5</v>
      </c>
      <c r="N709" s="3">
        <f t="shared" si="58"/>
        <v>58.29</v>
      </c>
      <c r="O709" s="3">
        <f t="shared" si="59"/>
        <v>129.81</v>
      </c>
      <c r="P709" s="2"/>
      <c r="Q709" s="5"/>
    </row>
    <row r="710" spans="1:17">
      <c r="A710" s="2">
        <f t="shared" si="55"/>
        <v>708</v>
      </c>
      <c r="B710" s="2">
        <f t="shared" si="56"/>
        <v>246</v>
      </c>
      <c r="C710" s="2" t="s">
        <v>20</v>
      </c>
      <c r="D710" s="2" t="s">
        <v>164</v>
      </c>
      <c r="E710" s="2" t="s">
        <v>1477</v>
      </c>
      <c r="F710" s="2" t="s">
        <v>1478</v>
      </c>
      <c r="G710" s="3">
        <v>9.8000000000000007</v>
      </c>
      <c r="H710" s="3">
        <v>56.21</v>
      </c>
      <c r="I710" s="3">
        <v>3</v>
      </c>
      <c r="J710" s="3">
        <f t="shared" si="57"/>
        <v>69.010000000000005</v>
      </c>
      <c r="K710" s="3">
        <v>9.8000000000000007</v>
      </c>
      <c r="L710" s="3">
        <v>47.46</v>
      </c>
      <c r="M710" s="3">
        <v>3.5</v>
      </c>
      <c r="N710" s="3">
        <f t="shared" si="58"/>
        <v>60.76</v>
      </c>
      <c r="O710" s="3">
        <f t="shared" si="59"/>
        <v>129.77000000000001</v>
      </c>
      <c r="P710" s="2"/>
      <c r="Q710" s="5"/>
    </row>
    <row r="711" spans="1:17">
      <c r="A711" s="2">
        <f t="shared" si="55"/>
        <v>709</v>
      </c>
      <c r="B711" s="2">
        <f t="shared" si="56"/>
        <v>126</v>
      </c>
      <c r="C711" s="2" t="s">
        <v>24</v>
      </c>
      <c r="D711" s="2" t="s">
        <v>76</v>
      </c>
      <c r="E711" s="2" t="s">
        <v>1479</v>
      </c>
      <c r="F711" s="2" t="s">
        <v>1480</v>
      </c>
      <c r="G711" s="3">
        <v>10</v>
      </c>
      <c r="H711" s="3">
        <v>52.5</v>
      </c>
      <c r="I711" s="3">
        <v>5</v>
      </c>
      <c r="J711" s="3">
        <f t="shared" si="57"/>
        <v>67.5</v>
      </c>
      <c r="K711" s="3">
        <v>10</v>
      </c>
      <c r="L711" s="3">
        <v>47.56</v>
      </c>
      <c r="M711" s="3">
        <v>4.7</v>
      </c>
      <c r="N711" s="3">
        <f t="shared" si="58"/>
        <v>62.26</v>
      </c>
      <c r="O711" s="3">
        <f t="shared" si="59"/>
        <v>129.76</v>
      </c>
      <c r="P711" s="2"/>
      <c r="Q711" s="5"/>
    </row>
    <row r="712" spans="1:17">
      <c r="A712" s="2">
        <f t="shared" si="55"/>
        <v>710</v>
      </c>
      <c r="B712" s="2">
        <f t="shared" si="56"/>
        <v>127</v>
      </c>
      <c r="C712" s="2" t="s">
        <v>24</v>
      </c>
      <c r="D712" s="2" t="s">
        <v>25</v>
      </c>
      <c r="E712" s="2" t="s">
        <v>1481</v>
      </c>
      <c r="F712" s="2" t="s">
        <v>1482</v>
      </c>
      <c r="G712" s="3">
        <v>9.8000000000000007</v>
      </c>
      <c r="H712" s="3">
        <v>55.878048780487802</v>
      </c>
      <c r="I712" s="3">
        <v>4.2</v>
      </c>
      <c r="J712" s="3">
        <f t="shared" si="57"/>
        <v>69.88</v>
      </c>
      <c r="K712" s="3">
        <v>9.8000000000000007</v>
      </c>
      <c r="L712" s="3">
        <v>45.96</v>
      </c>
      <c r="M712" s="3">
        <v>4.0999999999999996</v>
      </c>
      <c r="N712" s="3">
        <f t="shared" si="58"/>
        <v>59.86</v>
      </c>
      <c r="O712" s="3">
        <f t="shared" si="59"/>
        <v>129.74</v>
      </c>
      <c r="P712" s="2"/>
      <c r="Q712" s="5"/>
    </row>
    <row r="713" spans="1:17">
      <c r="A713" s="2">
        <f t="shared" si="55"/>
        <v>710</v>
      </c>
      <c r="B713" s="2">
        <f t="shared" si="56"/>
        <v>247</v>
      </c>
      <c r="C713" s="2" t="s">
        <v>20</v>
      </c>
      <c r="D713" s="2" t="s">
        <v>42</v>
      </c>
      <c r="E713" s="2" t="s">
        <v>1483</v>
      </c>
      <c r="F713" s="2" t="s">
        <v>1484</v>
      </c>
      <c r="G713" s="3">
        <v>10</v>
      </c>
      <c r="H713" s="3">
        <v>53.336734693877602</v>
      </c>
      <c r="I713" s="3">
        <v>3.6</v>
      </c>
      <c r="J713" s="3">
        <f t="shared" si="57"/>
        <v>66.94</v>
      </c>
      <c r="K713" s="3">
        <v>10</v>
      </c>
      <c r="L713" s="3">
        <v>49.8</v>
      </c>
      <c r="M713" s="3">
        <v>3</v>
      </c>
      <c r="N713" s="3">
        <f t="shared" si="58"/>
        <v>62.8</v>
      </c>
      <c r="O713" s="3">
        <f t="shared" si="59"/>
        <v>129.74</v>
      </c>
      <c r="P713" s="2"/>
      <c r="Q713" s="5"/>
    </row>
    <row r="714" spans="1:17">
      <c r="A714" s="2">
        <f t="shared" si="55"/>
        <v>712</v>
      </c>
      <c r="B714" s="2">
        <f t="shared" si="56"/>
        <v>240</v>
      </c>
      <c r="C714" s="2" t="s">
        <v>45</v>
      </c>
      <c r="D714" s="2" t="s">
        <v>96</v>
      </c>
      <c r="E714" s="2" t="s">
        <v>1485</v>
      </c>
      <c r="F714" s="2" t="s">
        <v>1486</v>
      </c>
      <c r="G714" s="3">
        <v>10.3</v>
      </c>
      <c r="H714" s="3">
        <v>52.87</v>
      </c>
      <c r="I714" s="3">
        <v>3</v>
      </c>
      <c r="J714" s="3">
        <f t="shared" si="57"/>
        <v>66.17</v>
      </c>
      <c r="K714" s="3">
        <v>7.3000000000000007</v>
      </c>
      <c r="L714" s="3">
        <v>52.74</v>
      </c>
      <c r="M714" s="3">
        <v>3.5</v>
      </c>
      <c r="N714" s="3">
        <f t="shared" si="58"/>
        <v>63.54</v>
      </c>
      <c r="O714" s="3">
        <f t="shared" si="59"/>
        <v>129.71</v>
      </c>
      <c r="P714" s="2"/>
      <c r="Q714" s="5"/>
    </row>
    <row r="715" spans="1:17">
      <c r="A715" s="2">
        <f t="shared" si="55"/>
        <v>713</v>
      </c>
      <c r="B715" s="2">
        <f t="shared" si="56"/>
        <v>99</v>
      </c>
      <c r="C715" s="2" t="s">
        <v>15</v>
      </c>
      <c r="D715" s="2" t="s">
        <v>181</v>
      </c>
      <c r="E715" s="2" t="s">
        <v>1487</v>
      </c>
      <c r="F715" s="2" t="s">
        <v>1488</v>
      </c>
      <c r="G715" s="3">
        <v>9.8000000000000007</v>
      </c>
      <c r="H715" s="3">
        <v>56.03</v>
      </c>
      <c r="I715" s="3">
        <v>3</v>
      </c>
      <c r="J715" s="3">
        <f t="shared" si="57"/>
        <v>68.83</v>
      </c>
      <c r="K715" s="3">
        <v>7.3000000000000007</v>
      </c>
      <c r="L715" s="3">
        <v>49.99</v>
      </c>
      <c r="M715" s="3">
        <v>3.5</v>
      </c>
      <c r="N715" s="3">
        <f t="shared" si="58"/>
        <v>60.79</v>
      </c>
      <c r="O715" s="3">
        <f t="shared" si="59"/>
        <v>129.62</v>
      </c>
      <c r="P715" s="2"/>
      <c r="Q715" s="5"/>
    </row>
    <row r="716" spans="1:17">
      <c r="A716" s="2">
        <f t="shared" si="55"/>
        <v>714</v>
      </c>
      <c r="B716" s="2">
        <f t="shared" si="56"/>
        <v>248</v>
      </c>
      <c r="C716" s="2" t="s">
        <v>20</v>
      </c>
      <c r="D716" s="2" t="s">
        <v>32</v>
      </c>
      <c r="E716" s="2" t="s">
        <v>1489</v>
      </c>
      <c r="F716" s="2" t="s">
        <v>1490</v>
      </c>
      <c r="G716" s="3">
        <v>10</v>
      </c>
      <c r="H716" s="3">
        <v>48.617647058823501</v>
      </c>
      <c r="I716" s="3">
        <v>3</v>
      </c>
      <c r="J716" s="3">
        <f t="shared" si="57"/>
        <v>61.62</v>
      </c>
      <c r="K716" s="3">
        <v>10</v>
      </c>
      <c r="L716" s="3">
        <v>54.45</v>
      </c>
      <c r="M716" s="3">
        <v>3.5</v>
      </c>
      <c r="N716" s="3">
        <f t="shared" si="58"/>
        <v>67.95</v>
      </c>
      <c r="O716" s="3">
        <f t="shared" si="59"/>
        <v>129.57</v>
      </c>
      <c r="P716" s="2"/>
      <c r="Q716" s="5"/>
    </row>
    <row r="717" spans="1:17">
      <c r="A717" s="2">
        <f t="shared" si="55"/>
        <v>714</v>
      </c>
      <c r="B717" s="2">
        <f t="shared" si="56"/>
        <v>248</v>
      </c>
      <c r="C717" s="2" t="s">
        <v>20</v>
      </c>
      <c r="D717" s="2" t="s">
        <v>29</v>
      </c>
      <c r="E717" s="2" t="s">
        <v>1491</v>
      </c>
      <c r="F717" s="2" t="s">
        <v>1492</v>
      </c>
      <c r="G717" s="3">
        <v>9.8000000000000007</v>
      </c>
      <c r="H717" s="3">
        <v>51.71</v>
      </c>
      <c r="I717" s="3">
        <v>3</v>
      </c>
      <c r="J717" s="3">
        <f t="shared" si="57"/>
        <v>64.510000000000005</v>
      </c>
      <c r="K717" s="3">
        <v>9.8000000000000007</v>
      </c>
      <c r="L717" s="3">
        <v>51.76</v>
      </c>
      <c r="M717" s="3">
        <v>3.5</v>
      </c>
      <c r="N717" s="3">
        <f t="shared" si="58"/>
        <v>65.06</v>
      </c>
      <c r="O717" s="3">
        <f t="shared" si="59"/>
        <v>129.57</v>
      </c>
      <c r="P717" s="2"/>
      <c r="Q717" s="5"/>
    </row>
    <row r="718" spans="1:17">
      <c r="A718" s="2">
        <f t="shared" si="55"/>
        <v>716</v>
      </c>
      <c r="B718" s="2">
        <f t="shared" si="56"/>
        <v>241</v>
      </c>
      <c r="C718" s="2" t="s">
        <v>45</v>
      </c>
      <c r="D718" s="2" t="s">
        <v>54</v>
      </c>
      <c r="E718" s="2" t="s">
        <v>1493</v>
      </c>
      <c r="F718" s="2" t="s">
        <v>1494</v>
      </c>
      <c r="G718" s="3">
        <v>10.8</v>
      </c>
      <c r="H718" s="3">
        <v>56.11</v>
      </c>
      <c r="I718" s="3">
        <v>3.2</v>
      </c>
      <c r="J718" s="3">
        <f t="shared" si="57"/>
        <v>70.11</v>
      </c>
      <c r="K718" s="3">
        <v>7.3000000000000007</v>
      </c>
      <c r="L718" s="3">
        <v>49.14</v>
      </c>
      <c r="M718" s="3">
        <v>3</v>
      </c>
      <c r="N718" s="3">
        <f t="shared" si="58"/>
        <v>59.44</v>
      </c>
      <c r="O718" s="3">
        <f t="shared" si="59"/>
        <v>129.55000000000001</v>
      </c>
      <c r="P718" s="2"/>
      <c r="Q718" s="5"/>
    </row>
    <row r="719" spans="1:17">
      <c r="A719" s="2">
        <f t="shared" si="55"/>
        <v>717</v>
      </c>
      <c r="B719" s="2">
        <f t="shared" si="56"/>
        <v>250</v>
      </c>
      <c r="C719" s="2" t="s">
        <v>20</v>
      </c>
      <c r="D719" s="2" t="s">
        <v>117</v>
      </c>
      <c r="E719" s="2" t="s">
        <v>1495</v>
      </c>
      <c r="F719" s="2" t="s">
        <v>1496</v>
      </c>
      <c r="G719" s="3">
        <v>9.8000000000000007</v>
      </c>
      <c r="H719" s="3">
        <v>54.54</v>
      </c>
      <c r="I719" s="3">
        <v>3</v>
      </c>
      <c r="J719" s="3">
        <f t="shared" si="57"/>
        <v>67.34</v>
      </c>
      <c r="K719" s="3">
        <v>9.8000000000000007</v>
      </c>
      <c r="L719" s="3">
        <v>49.35</v>
      </c>
      <c r="M719" s="3">
        <v>3</v>
      </c>
      <c r="N719" s="3">
        <f t="shared" si="58"/>
        <v>62.15</v>
      </c>
      <c r="O719" s="3">
        <f t="shared" si="59"/>
        <v>129.49</v>
      </c>
      <c r="P719" s="2"/>
      <c r="Q719" s="5"/>
    </row>
    <row r="720" spans="1:17">
      <c r="A720" s="2">
        <f t="shared" si="55"/>
        <v>718</v>
      </c>
      <c r="B720" s="2">
        <f t="shared" si="56"/>
        <v>242</v>
      </c>
      <c r="C720" s="2" t="s">
        <v>45</v>
      </c>
      <c r="D720" s="2" t="s">
        <v>96</v>
      </c>
      <c r="E720" s="2" t="s">
        <v>1497</v>
      </c>
      <c r="F720" s="2" t="s">
        <v>1498</v>
      </c>
      <c r="G720" s="3">
        <v>10</v>
      </c>
      <c r="H720" s="3">
        <v>56.38</v>
      </c>
      <c r="I720" s="3">
        <v>3.2</v>
      </c>
      <c r="J720" s="3">
        <f t="shared" si="57"/>
        <v>69.58</v>
      </c>
      <c r="K720" s="3">
        <v>7.3000000000000007</v>
      </c>
      <c r="L720" s="3">
        <v>48.37</v>
      </c>
      <c r="M720" s="3">
        <v>4.2</v>
      </c>
      <c r="N720" s="3">
        <f t="shared" si="58"/>
        <v>59.87</v>
      </c>
      <c r="O720" s="3">
        <f t="shared" si="59"/>
        <v>129.44999999999999</v>
      </c>
      <c r="P720" s="2"/>
      <c r="Q720" s="5"/>
    </row>
    <row r="721" spans="1:17">
      <c r="A721" s="2">
        <f t="shared" si="55"/>
        <v>719</v>
      </c>
      <c r="B721" s="2">
        <f t="shared" si="56"/>
        <v>251</v>
      </c>
      <c r="C721" s="2" t="s">
        <v>20</v>
      </c>
      <c r="D721" s="2" t="s">
        <v>117</v>
      </c>
      <c r="E721" s="2" t="s">
        <v>1499</v>
      </c>
      <c r="F721" s="2" t="s">
        <v>1500</v>
      </c>
      <c r="G721" s="3">
        <v>10</v>
      </c>
      <c r="H721" s="3">
        <v>52.17</v>
      </c>
      <c r="I721" s="3">
        <v>6.4</v>
      </c>
      <c r="J721" s="3">
        <f t="shared" si="57"/>
        <v>68.569999999999993</v>
      </c>
      <c r="K721" s="3">
        <v>10</v>
      </c>
      <c r="L721" s="3">
        <v>41.84</v>
      </c>
      <c r="M721" s="3">
        <v>9</v>
      </c>
      <c r="N721" s="3">
        <f t="shared" si="58"/>
        <v>60.84</v>
      </c>
      <c r="O721" s="3">
        <f t="shared" si="59"/>
        <v>129.41</v>
      </c>
      <c r="P721" s="2"/>
      <c r="Q721" s="5"/>
    </row>
    <row r="722" spans="1:17">
      <c r="A722" s="2">
        <f t="shared" si="55"/>
        <v>720</v>
      </c>
      <c r="B722" s="2">
        <f t="shared" si="56"/>
        <v>252</v>
      </c>
      <c r="C722" s="2" t="s">
        <v>20</v>
      </c>
      <c r="D722" s="2" t="s">
        <v>42</v>
      </c>
      <c r="E722" s="2" t="s">
        <v>1501</v>
      </c>
      <c r="F722" s="2" t="s">
        <v>1502</v>
      </c>
      <c r="G722" s="3">
        <v>9.8000000000000007</v>
      </c>
      <c r="H722" s="3">
        <v>55.591836734693899</v>
      </c>
      <c r="I722" s="3">
        <v>4</v>
      </c>
      <c r="J722" s="3">
        <f t="shared" si="57"/>
        <v>69.39</v>
      </c>
      <c r="K722" s="3">
        <v>9.8000000000000007</v>
      </c>
      <c r="L722" s="3">
        <v>46.64</v>
      </c>
      <c r="M722" s="3">
        <v>3.5</v>
      </c>
      <c r="N722" s="3">
        <f t="shared" si="58"/>
        <v>59.94</v>
      </c>
      <c r="O722" s="3">
        <f t="shared" si="59"/>
        <v>129.33000000000001</v>
      </c>
      <c r="P722" s="2"/>
      <c r="Q722" s="5"/>
    </row>
    <row r="723" spans="1:17">
      <c r="A723" s="2">
        <f t="shared" si="55"/>
        <v>720</v>
      </c>
      <c r="B723" s="2">
        <f t="shared" si="56"/>
        <v>252</v>
      </c>
      <c r="C723" s="2" t="s">
        <v>20</v>
      </c>
      <c r="D723" s="2" t="s">
        <v>29</v>
      </c>
      <c r="E723" s="2" t="s">
        <v>1503</v>
      </c>
      <c r="F723" s="2" t="s">
        <v>1504</v>
      </c>
      <c r="G723" s="3">
        <v>9.8000000000000007</v>
      </c>
      <c r="H723" s="3">
        <v>56.88</v>
      </c>
      <c r="I723" s="3">
        <v>3</v>
      </c>
      <c r="J723" s="3">
        <f t="shared" si="57"/>
        <v>69.680000000000007</v>
      </c>
      <c r="K723" s="3">
        <v>9.8000000000000007</v>
      </c>
      <c r="L723" s="3">
        <v>46.35</v>
      </c>
      <c r="M723" s="3">
        <v>3.5</v>
      </c>
      <c r="N723" s="3">
        <f t="shared" si="58"/>
        <v>59.65</v>
      </c>
      <c r="O723" s="3">
        <f t="shared" si="59"/>
        <v>129.33000000000001</v>
      </c>
      <c r="P723" s="2"/>
      <c r="Q723" s="5"/>
    </row>
    <row r="724" spans="1:17">
      <c r="A724" s="2">
        <f t="shared" si="55"/>
        <v>722</v>
      </c>
      <c r="B724" s="2">
        <f t="shared" si="56"/>
        <v>100</v>
      </c>
      <c r="C724" s="2" t="s">
        <v>15</v>
      </c>
      <c r="D724" s="2" t="s">
        <v>39</v>
      </c>
      <c r="E724" s="2" t="s">
        <v>1505</v>
      </c>
      <c r="F724" s="2" t="s">
        <v>1506</v>
      </c>
      <c r="G724" s="3">
        <v>9.8000000000000007</v>
      </c>
      <c r="H724" s="3">
        <v>52.01</v>
      </c>
      <c r="I724" s="3">
        <v>4.8</v>
      </c>
      <c r="J724" s="3">
        <f t="shared" si="57"/>
        <v>66.61</v>
      </c>
      <c r="K724" s="3">
        <v>7.3000000000000007</v>
      </c>
      <c r="L724" s="3">
        <v>51.3</v>
      </c>
      <c r="M724" s="3">
        <v>4.0999999999999996</v>
      </c>
      <c r="N724" s="3">
        <f t="shared" si="58"/>
        <v>62.7</v>
      </c>
      <c r="O724" s="3">
        <f t="shared" si="59"/>
        <v>129.31</v>
      </c>
      <c r="P724" s="2"/>
      <c r="Q724" s="5"/>
    </row>
    <row r="725" spans="1:17">
      <c r="A725" s="2">
        <f t="shared" si="55"/>
        <v>723</v>
      </c>
      <c r="B725" s="2">
        <f t="shared" si="56"/>
        <v>243</v>
      </c>
      <c r="C725" s="2" t="s">
        <v>45</v>
      </c>
      <c r="D725" s="2" t="s">
        <v>220</v>
      </c>
      <c r="E725" s="2" t="s">
        <v>1507</v>
      </c>
      <c r="F725" s="2" t="s">
        <v>1508</v>
      </c>
      <c r="G725" s="3">
        <v>10.8</v>
      </c>
      <c r="H725" s="3">
        <v>55.38</v>
      </c>
      <c r="I725" s="3">
        <v>3</v>
      </c>
      <c r="J725" s="3">
        <f t="shared" si="57"/>
        <v>69.180000000000007</v>
      </c>
      <c r="K725" s="3">
        <v>9.8000000000000007</v>
      </c>
      <c r="L725" s="3">
        <v>46.74</v>
      </c>
      <c r="M725" s="3">
        <v>3.5</v>
      </c>
      <c r="N725" s="3">
        <f t="shared" si="58"/>
        <v>60.04</v>
      </c>
      <c r="O725" s="3">
        <f t="shared" si="59"/>
        <v>129.22</v>
      </c>
      <c r="P725" s="2"/>
      <c r="Q725" s="5"/>
    </row>
    <row r="726" spans="1:17">
      <c r="A726" s="2">
        <f t="shared" si="55"/>
        <v>724</v>
      </c>
      <c r="B726" s="2">
        <f t="shared" si="56"/>
        <v>254</v>
      </c>
      <c r="C726" s="2" t="s">
        <v>20</v>
      </c>
      <c r="D726" s="2" t="s">
        <v>229</v>
      </c>
      <c r="E726" s="2" t="s">
        <v>1509</v>
      </c>
      <c r="F726" s="2" t="s">
        <v>1510</v>
      </c>
      <c r="G726" s="3">
        <v>7.3</v>
      </c>
      <c r="H726" s="3">
        <v>56.66</v>
      </c>
      <c r="I726" s="3">
        <v>3</v>
      </c>
      <c r="J726" s="3">
        <f t="shared" si="57"/>
        <v>66.959999999999994</v>
      </c>
      <c r="K726" s="3">
        <v>7.3000000000000007</v>
      </c>
      <c r="L726" s="3">
        <v>51.38</v>
      </c>
      <c r="M726" s="3">
        <v>3.5</v>
      </c>
      <c r="N726" s="3">
        <f t="shared" si="58"/>
        <v>62.18</v>
      </c>
      <c r="O726" s="3">
        <f t="shared" si="59"/>
        <v>129.13999999999999</v>
      </c>
      <c r="P726" s="2"/>
      <c r="Q726" s="5"/>
    </row>
    <row r="727" spans="1:17">
      <c r="A727" s="2">
        <f t="shared" si="55"/>
        <v>725</v>
      </c>
      <c r="B727" s="2">
        <f t="shared" si="56"/>
        <v>244</v>
      </c>
      <c r="C727" s="2" t="s">
        <v>45</v>
      </c>
      <c r="D727" s="2" t="s">
        <v>46</v>
      </c>
      <c r="E727" s="2" t="s">
        <v>1511</v>
      </c>
      <c r="F727" s="2" t="s">
        <v>1512</v>
      </c>
      <c r="G727" s="3">
        <v>9.8000000000000007</v>
      </c>
      <c r="H727" s="3">
        <v>50.63</v>
      </c>
      <c r="I727" s="3">
        <v>4</v>
      </c>
      <c r="J727" s="3">
        <f t="shared" si="57"/>
        <v>64.430000000000007</v>
      </c>
      <c r="K727" s="3">
        <v>7.3000000000000007</v>
      </c>
      <c r="L727" s="3">
        <v>54.4</v>
      </c>
      <c r="M727" s="3">
        <v>3</v>
      </c>
      <c r="N727" s="3">
        <f t="shared" si="58"/>
        <v>64.7</v>
      </c>
      <c r="O727" s="3">
        <f t="shared" si="59"/>
        <v>129.13</v>
      </c>
      <c r="P727" s="2"/>
      <c r="Q727" s="5"/>
    </row>
    <row r="728" spans="1:17">
      <c r="A728" s="2">
        <f t="shared" si="55"/>
        <v>726</v>
      </c>
      <c r="B728" s="2">
        <f t="shared" si="56"/>
        <v>245</v>
      </c>
      <c r="C728" s="2" t="s">
        <v>45</v>
      </c>
      <c r="D728" s="2" t="s">
        <v>266</v>
      </c>
      <c r="E728" s="2" t="s">
        <v>1513</v>
      </c>
      <c r="F728" s="2" t="s">
        <v>1514</v>
      </c>
      <c r="G728" s="3">
        <v>9.8000000000000007</v>
      </c>
      <c r="H728" s="3">
        <v>50.01</v>
      </c>
      <c r="I728" s="3">
        <v>3</v>
      </c>
      <c r="J728" s="3">
        <f t="shared" si="57"/>
        <v>62.81</v>
      </c>
      <c r="K728" s="3">
        <v>9.8000000000000007</v>
      </c>
      <c r="L728" s="3">
        <v>53</v>
      </c>
      <c r="M728" s="3">
        <v>3.5</v>
      </c>
      <c r="N728" s="3">
        <f t="shared" si="58"/>
        <v>66.3</v>
      </c>
      <c r="O728" s="3">
        <f t="shared" si="59"/>
        <v>129.11000000000001</v>
      </c>
      <c r="P728" s="2"/>
      <c r="Q728" s="5"/>
    </row>
    <row r="729" spans="1:17">
      <c r="A729" s="2">
        <f t="shared" si="55"/>
        <v>727</v>
      </c>
      <c r="B729" s="2">
        <f t="shared" si="56"/>
        <v>255</v>
      </c>
      <c r="C729" s="2" t="s">
        <v>20</v>
      </c>
      <c r="D729" s="2" t="s">
        <v>65</v>
      </c>
      <c r="E729" s="2" t="s">
        <v>1515</v>
      </c>
      <c r="F729" s="2" t="s">
        <v>1516</v>
      </c>
      <c r="G729" s="3">
        <v>9.8000000000000007</v>
      </c>
      <c r="H729" s="3">
        <v>53.36</v>
      </c>
      <c r="I729" s="3">
        <v>4</v>
      </c>
      <c r="J729" s="3">
        <f t="shared" si="57"/>
        <v>67.16</v>
      </c>
      <c r="K729" s="3">
        <v>9.8000000000000007</v>
      </c>
      <c r="L729" s="3">
        <v>49.05</v>
      </c>
      <c r="M729" s="3">
        <v>3</v>
      </c>
      <c r="N729" s="3">
        <f t="shared" si="58"/>
        <v>61.85</v>
      </c>
      <c r="O729" s="3">
        <f t="shared" si="59"/>
        <v>129.01</v>
      </c>
      <c r="P729" s="2"/>
      <c r="Q729" s="5"/>
    </row>
    <row r="730" spans="1:17">
      <c r="A730" s="2">
        <f t="shared" si="55"/>
        <v>728</v>
      </c>
      <c r="B730" s="2">
        <f t="shared" si="56"/>
        <v>101</v>
      </c>
      <c r="C730" s="2" t="s">
        <v>15</v>
      </c>
      <c r="D730" s="2" t="s">
        <v>181</v>
      </c>
      <c r="E730" s="2" t="s">
        <v>1517</v>
      </c>
      <c r="F730" s="2" t="s">
        <v>1518</v>
      </c>
      <c r="G730" s="3">
        <v>9.8000000000000007</v>
      </c>
      <c r="H730" s="3">
        <v>53.73</v>
      </c>
      <c r="I730" s="3">
        <v>5.9</v>
      </c>
      <c r="J730" s="3">
        <f t="shared" si="57"/>
        <v>69.430000000000007</v>
      </c>
      <c r="K730" s="3">
        <v>7.3000000000000007</v>
      </c>
      <c r="L730" s="3">
        <v>44.16</v>
      </c>
      <c r="M730" s="3">
        <v>8</v>
      </c>
      <c r="N730" s="3">
        <f t="shared" si="58"/>
        <v>59.46</v>
      </c>
      <c r="O730" s="3">
        <f t="shared" si="59"/>
        <v>128.88999999999999</v>
      </c>
      <c r="P730" s="2"/>
      <c r="Q730" s="5"/>
    </row>
    <row r="731" spans="1:17">
      <c r="A731" s="2">
        <f t="shared" si="55"/>
        <v>729</v>
      </c>
      <c r="B731" s="2">
        <f t="shared" si="56"/>
        <v>246</v>
      </c>
      <c r="C731" s="2" t="s">
        <v>45</v>
      </c>
      <c r="D731" s="2" t="s">
        <v>220</v>
      </c>
      <c r="E731" s="2" t="s">
        <v>1519</v>
      </c>
      <c r="F731" s="2" t="s">
        <v>1520</v>
      </c>
      <c r="G731" s="3">
        <v>9</v>
      </c>
      <c r="H731" s="3">
        <v>53.11</v>
      </c>
      <c r="I731" s="3">
        <v>3</v>
      </c>
      <c r="J731" s="3">
        <f t="shared" si="57"/>
        <v>65.11</v>
      </c>
      <c r="K731" s="3">
        <v>9.4</v>
      </c>
      <c r="L731" s="3">
        <v>50.6</v>
      </c>
      <c r="M731" s="3">
        <v>3.7</v>
      </c>
      <c r="N731" s="3">
        <f t="shared" si="58"/>
        <v>63.7</v>
      </c>
      <c r="O731" s="3">
        <f t="shared" si="59"/>
        <v>128.81</v>
      </c>
      <c r="P731" s="2"/>
      <c r="Q731" s="5"/>
    </row>
    <row r="732" spans="1:17">
      <c r="A732" s="2">
        <f t="shared" si="55"/>
        <v>730</v>
      </c>
      <c r="B732" s="2">
        <f t="shared" si="56"/>
        <v>247</v>
      </c>
      <c r="C732" s="2" t="s">
        <v>45</v>
      </c>
      <c r="D732" s="2" t="s">
        <v>109</v>
      </c>
      <c r="E732" s="2" t="s">
        <v>1521</v>
      </c>
      <c r="F732" s="2" t="s">
        <v>1522</v>
      </c>
      <c r="G732" s="3">
        <v>9.8000000000000007</v>
      </c>
      <c r="H732" s="3">
        <v>55.8</v>
      </c>
      <c r="I732" s="3">
        <v>3</v>
      </c>
      <c r="J732" s="3">
        <f t="shared" si="57"/>
        <v>68.599999999999994</v>
      </c>
      <c r="K732" s="3">
        <v>7.3000000000000007</v>
      </c>
      <c r="L732" s="3">
        <v>49.38</v>
      </c>
      <c r="M732" s="3">
        <v>3.5</v>
      </c>
      <c r="N732" s="3">
        <f t="shared" si="58"/>
        <v>60.18</v>
      </c>
      <c r="O732" s="3">
        <f t="shared" si="59"/>
        <v>128.78</v>
      </c>
      <c r="P732" s="2"/>
      <c r="Q732" s="5"/>
    </row>
    <row r="733" spans="1:17">
      <c r="A733" s="2">
        <f t="shared" si="55"/>
        <v>731</v>
      </c>
      <c r="B733" s="2">
        <f t="shared" si="56"/>
        <v>248</v>
      </c>
      <c r="C733" s="2" t="s">
        <v>45</v>
      </c>
      <c r="D733" s="2" t="s">
        <v>109</v>
      </c>
      <c r="E733" s="2" t="s">
        <v>1523</v>
      </c>
      <c r="F733" s="2" t="s">
        <v>1524</v>
      </c>
      <c r="G733" s="3">
        <v>10</v>
      </c>
      <c r="H733" s="3">
        <v>52.41</v>
      </c>
      <c r="I733" s="3">
        <v>4.4000000000000004</v>
      </c>
      <c r="J733" s="3">
        <f t="shared" si="57"/>
        <v>66.81</v>
      </c>
      <c r="K733" s="3">
        <v>10</v>
      </c>
      <c r="L733" s="3">
        <v>47.41</v>
      </c>
      <c r="M733" s="3">
        <v>4.5</v>
      </c>
      <c r="N733" s="3">
        <f t="shared" si="58"/>
        <v>61.91</v>
      </c>
      <c r="O733" s="3">
        <f t="shared" si="59"/>
        <v>128.72</v>
      </c>
      <c r="P733" s="2"/>
      <c r="Q733" s="5"/>
    </row>
    <row r="734" spans="1:17">
      <c r="A734" s="2">
        <f t="shared" si="55"/>
        <v>732</v>
      </c>
      <c r="B734" s="2">
        <f t="shared" si="56"/>
        <v>102</v>
      </c>
      <c r="C734" s="2" t="s">
        <v>15</v>
      </c>
      <c r="D734" s="2" t="s">
        <v>257</v>
      </c>
      <c r="E734" s="2" t="s">
        <v>1525</v>
      </c>
      <c r="F734" s="2" t="s">
        <v>1526</v>
      </c>
      <c r="G734" s="3">
        <v>11</v>
      </c>
      <c r="H734" s="3">
        <v>52.12</v>
      </c>
      <c r="I734" s="3">
        <v>3</v>
      </c>
      <c r="J734" s="3">
        <f t="shared" si="57"/>
        <v>66.12</v>
      </c>
      <c r="K734" s="3">
        <v>10</v>
      </c>
      <c r="L734" s="3">
        <v>49.08</v>
      </c>
      <c r="M734" s="3">
        <v>3.5</v>
      </c>
      <c r="N734" s="3">
        <f t="shared" si="58"/>
        <v>62.58</v>
      </c>
      <c r="O734" s="3">
        <f t="shared" si="59"/>
        <v>128.69999999999999</v>
      </c>
      <c r="P734" s="2"/>
      <c r="Q734" s="5"/>
    </row>
    <row r="735" spans="1:17">
      <c r="A735" s="2">
        <f t="shared" si="55"/>
        <v>733</v>
      </c>
      <c r="B735" s="2">
        <f t="shared" si="56"/>
        <v>249</v>
      </c>
      <c r="C735" s="2" t="s">
        <v>45</v>
      </c>
      <c r="D735" s="2" t="s">
        <v>114</v>
      </c>
      <c r="E735" s="2" t="s">
        <v>1527</v>
      </c>
      <c r="F735" s="2" t="s">
        <v>1528</v>
      </c>
      <c r="G735" s="3">
        <v>10</v>
      </c>
      <c r="H735" s="3">
        <v>52.91</v>
      </c>
      <c r="I735" s="3">
        <v>3.8</v>
      </c>
      <c r="J735" s="3">
        <f t="shared" si="57"/>
        <v>66.709999999999994</v>
      </c>
      <c r="K735" s="3">
        <v>10</v>
      </c>
      <c r="L735" s="3">
        <v>48.45</v>
      </c>
      <c r="M735" s="3">
        <v>3.5</v>
      </c>
      <c r="N735" s="3">
        <f t="shared" si="58"/>
        <v>61.95</v>
      </c>
      <c r="O735" s="3">
        <f t="shared" si="59"/>
        <v>128.66</v>
      </c>
      <c r="P735" s="2"/>
      <c r="Q735" s="5"/>
    </row>
    <row r="736" spans="1:17">
      <c r="A736" s="2">
        <f t="shared" si="55"/>
        <v>734</v>
      </c>
      <c r="B736" s="2">
        <f t="shared" si="56"/>
        <v>250</v>
      </c>
      <c r="C736" s="2" t="s">
        <v>45</v>
      </c>
      <c r="D736" s="2" t="s">
        <v>220</v>
      </c>
      <c r="E736" s="2" t="s">
        <v>1529</v>
      </c>
      <c r="F736" s="2" t="s">
        <v>1530</v>
      </c>
      <c r="G736" s="3">
        <v>9.8000000000000007</v>
      </c>
      <c r="H736" s="3">
        <v>50.72</v>
      </c>
      <c r="I736" s="3">
        <v>4.2</v>
      </c>
      <c r="J736" s="3">
        <f t="shared" si="57"/>
        <v>64.72</v>
      </c>
      <c r="K736" s="3">
        <v>9.8000000000000007</v>
      </c>
      <c r="L736" s="3">
        <v>50.1</v>
      </c>
      <c r="M736" s="3">
        <v>4</v>
      </c>
      <c r="N736" s="3">
        <f t="shared" si="58"/>
        <v>63.9</v>
      </c>
      <c r="O736" s="3">
        <f t="shared" si="59"/>
        <v>128.62</v>
      </c>
      <c r="P736" s="2"/>
      <c r="Q736" s="5"/>
    </row>
    <row r="737" spans="1:17">
      <c r="A737" s="2">
        <f t="shared" si="55"/>
        <v>735</v>
      </c>
      <c r="B737" s="2">
        <f t="shared" si="56"/>
        <v>256</v>
      </c>
      <c r="C737" s="2" t="s">
        <v>20</v>
      </c>
      <c r="D737" s="2" t="s">
        <v>65</v>
      </c>
      <c r="E737" s="2" t="s">
        <v>1531</v>
      </c>
      <c r="F737" s="2" t="s">
        <v>1532</v>
      </c>
      <c r="G737" s="3">
        <v>9.8000000000000007</v>
      </c>
      <c r="H737" s="3">
        <v>55.3</v>
      </c>
      <c r="I737" s="3">
        <v>3</v>
      </c>
      <c r="J737" s="3">
        <f t="shared" si="57"/>
        <v>68.099999999999994</v>
      </c>
      <c r="K737" s="3">
        <v>7.3000000000000007</v>
      </c>
      <c r="L737" s="3">
        <v>50.21</v>
      </c>
      <c r="M737" s="3">
        <v>3</v>
      </c>
      <c r="N737" s="3">
        <f t="shared" si="58"/>
        <v>60.51</v>
      </c>
      <c r="O737" s="3">
        <f t="shared" si="59"/>
        <v>128.61000000000001</v>
      </c>
      <c r="P737" s="2"/>
      <c r="Q737" s="5"/>
    </row>
    <row r="738" spans="1:17">
      <c r="A738" s="2">
        <f t="shared" si="55"/>
        <v>736</v>
      </c>
      <c r="B738" s="2">
        <f t="shared" si="56"/>
        <v>103</v>
      </c>
      <c r="C738" s="2" t="s">
        <v>15</v>
      </c>
      <c r="D738" s="2" t="s">
        <v>181</v>
      </c>
      <c r="E738" s="2" t="s">
        <v>1533</v>
      </c>
      <c r="F738" s="2" t="s">
        <v>1534</v>
      </c>
      <c r="G738" s="3">
        <v>9.8000000000000007</v>
      </c>
      <c r="H738" s="3">
        <v>54.05</v>
      </c>
      <c r="I738" s="3">
        <v>3.9</v>
      </c>
      <c r="J738" s="3">
        <f t="shared" si="57"/>
        <v>67.75</v>
      </c>
      <c r="K738" s="3">
        <v>9.8000000000000007</v>
      </c>
      <c r="L738" s="3">
        <v>47.03</v>
      </c>
      <c r="M738" s="3">
        <v>4</v>
      </c>
      <c r="N738" s="3">
        <f t="shared" si="58"/>
        <v>60.83</v>
      </c>
      <c r="O738" s="3">
        <f t="shared" si="59"/>
        <v>128.58000000000001</v>
      </c>
      <c r="P738" s="2"/>
      <c r="Q738" s="5"/>
    </row>
    <row r="739" spans="1:17">
      <c r="A739" s="2">
        <f t="shared" si="55"/>
        <v>737</v>
      </c>
      <c r="B739" s="2">
        <f t="shared" si="56"/>
        <v>251</v>
      </c>
      <c r="C739" s="2" t="s">
        <v>45</v>
      </c>
      <c r="D739" s="2" t="s">
        <v>109</v>
      </c>
      <c r="E739" s="2" t="s">
        <v>1535</v>
      </c>
      <c r="F739" s="2" t="s">
        <v>1536</v>
      </c>
      <c r="G739" s="3">
        <v>10.3</v>
      </c>
      <c r="H739" s="3">
        <v>55.46</v>
      </c>
      <c r="I739" s="3">
        <v>4.5</v>
      </c>
      <c r="J739" s="3">
        <f t="shared" si="57"/>
        <v>70.260000000000005</v>
      </c>
      <c r="K739" s="3">
        <v>7.3000000000000007</v>
      </c>
      <c r="L739" s="3">
        <v>46.31</v>
      </c>
      <c r="M739" s="3">
        <v>4.7</v>
      </c>
      <c r="N739" s="3">
        <f t="shared" si="58"/>
        <v>58.31</v>
      </c>
      <c r="O739" s="3">
        <f t="shared" si="59"/>
        <v>128.57</v>
      </c>
      <c r="P739" s="2"/>
      <c r="Q739" s="5"/>
    </row>
    <row r="740" spans="1:17">
      <c r="A740" s="2">
        <f t="shared" si="55"/>
        <v>738</v>
      </c>
      <c r="B740" s="2">
        <f t="shared" si="56"/>
        <v>252</v>
      </c>
      <c r="C740" s="2" t="s">
        <v>45</v>
      </c>
      <c r="D740" s="2" t="s">
        <v>96</v>
      </c>
      <c r="E740" s="2" t="s">
        <v>1537</v>
      </c>
      <c r="F740" s="2" t="s">
        <v>1538</v>
      </c>
      <c r="G740" s="3">
        <v>9.8000000000000007</v>
      </c>
      <c r="H740" s="3">
        <v>53.97</v>
      </c>
      <c r="I740" s="3">
        <v>3.9</v>
      </c>
      <c r="J740" s="3">
        <f t="shared" si="57"/>
        <v>67.67</v>
      </c>
      <c r="K740" s="3">
        <v>7.3000000000000007</v>
      </c>
      <c r="L740" s="3">
        <v>50.09</v>
      </c>
      <c r="M740" s="3">
        <v>3.5</v>
      </c>
      <c r="N740" s="3">
        <f t="shared" si="58"/>
        <v>60.89</v>
      </c>
      <c r="O740" s="3">
        <f t="shared" si="59"/>
        <v>128.56</v>
      </c>
      <c r="P740" s="2"/>
      <c r="Q740" s="5"/>
    </row>
    <row r="741" spans="1:17">
      <c r="A741" s="2">
        <f t="shared" si="55"/>
        <v>739</v>
      </c>
      <c r="B741" s="2">
        <f t="shared" si="56"/>
        <v>257</v>
      </c>
      <c r="C741" s="2" t="s">
        <v>20</v>
      </c>
      <c r="D741" s="2" t="s">
        <v>21</v>
      </c>
      <c r="E741" s="2" t="s">
        <v>1539</v>
      </c>
      <c r="F741" s="2" t="s">
        <v>1540</v>
      </c>
      <c r="G741" s="3">
        <v>9.8000000000000007</v>
      </c>
      <c r="H741" s="3">
        <v>51.92</v>
      </c>
      <c r="I741" s="3">
        <v>3</v>
      </c>
      <c r="J741" s="3">
        <f t="shared" si="57"/>
        <v>64.72</v>
      </c>
      <c r="K741" s="3">
        <v>10</v>
      </c>
      <c r="L741" s="3">
        <v>49.93</v>
      </c>
      <c r="M741" s="3">
        <v>3.9</v>
      </c>
      <c r="N741" s="3">
        <f t="shared" si="58"/>
        <v>63.83</v>
      </c>
      <c r="O741" s="3">
        <f t="shared" si="59"/>
        <v>128.55000000000001</v>
      </c>
      <c r="P741" s="2"/>
      <c r="Q741" s="5"/>
    </row>
    <row r="742" spans="1:17">
      <c r="A742" s="2">
        <f t="shared" si="55"/>
        <v>740</v>
      </c>
      <c r="B742" s="2">
        <f t="shared" si="56"/>
        <v>253</v>
      </c>
      <c r="C742" s="2" t="s">
        <v>45</v>
      </c>
      <c r="D742" s="2" t="s">
        <v>220</v>
      </c>
      <c r="E742" s="2" t="s">
        <v>1541</v>
      </c>
      <c r="F742" s="2" t="s">
        <v>1542</v>
      </c>
      <c r="G742" s="3">
        <v>9.8000000000000007</v>
      </c>
      <c r="H742" s="3">
        <v>53.59</v>
      </c>
      <c r="I742" s="3">
        <v>3.2</v>
      </c>
      <c r="J742" s="3">
        <f t="shared" si="57"/>
        <v>66.59</v>
      </c>
      <c r="K742" s="3">
        <v>9.8000000000000007</v>
      </c>
      <c r="L742" s="3">
        <v>48.11</v>
      </c>
      <c r="M742" s="3">
        <v>4</v>
      </c>
      <c r="N742" s="3">
        <f t="shared" si="58"/>
        <v>61.91</v>
      </c>
      <c r="O742" s="3">
        <f t="shared" si="59"/>
        <v>128.5</v>
      </c>
      <c r="P742" s="2"/>
      <c r="Q742" s="5"/>
    </row>
    <row r="743" spans="1:17">
      <c r="A743" s="2">
        <f t="shared" si="55"/>
        <v>741</v>
      </c>
      <c r="B743" s="2">
        <f t="shared" si="56"/>
        <v>104</v>
      </c>
      <c r="C743" s="2" t="s">
        <v>15</v>
      </c>
      <c r="D743" s="2" t="s">
        <v>16</v>
      </c>
      <c r="E743" s="2" t="s">
        <v>1543</v>
      </c>
      <c r="F743" s="2" t="s">
        <v>1544</v>
      </c>
      <c r="G743" s="3">
        <v>9.8000000000000007</v>
      </c>
      <c r="H743" s="3">
        <v>51.52</v>
      </c>
      <c r="I743" s="3">
        <v>3</v>
      </c>
      <c r="J743" s="3">
        <f t="shared" si="57"/>
        <v>64.319999999999993</v>
      </c>
      <c r="K743" s="3">
        <v>7.3000000000000007</v>
      </c>
      <c r="L743" s="3">
        <v>53.31</v>
      </c>
      <c r="M743" s="3">
        <v>3.5</v>
      </c>
      <c r="N743" s="3">
        <f t="shared" si="58"/>
        <v>64.11</v>
      </c>
      <c r="O743" s="3">
        <f t="shared" si="59"/>
        <v>128.43</v>
      </c>
      <c r="P743" s="2"/>
      <c r="Q743" s="5"/>
    </row>
    <row r="744" spans="1:17">
      <c r="A744" s="2">
        <f t="shared" si="55"/>
        <v>742</v>
      </c>
      <c r="B744" s="2">
        <f t="shared" si="56"/>
        <v>128</v>
      </c>
      <c r="C744" s="2" t="s">
        <v>24</v>
      </c>
      <c r="D744" s="2" t="s">
        <v>58</v>
      </c>
      <c r="E744" s="2" t="s">
        <v>1545</v>
      </c>
      <c r="F744" s="2" t="s">
        <v>1546</v>
      </c>
      <c r="G744" s="3">
        <v>10.8</v>
      </c>
      <c r="H744" s="3">
        <v>52.646341463414601</v>
      </c>
      <c r="I744" s="3">
        <v>4</v>
      </c>
      <c r="J744" s="3">
        <f t="shared" si="57"/>
        <v>67.45</v>
      </c>
      <c r="K744" s="3">
        <v>10</v>
      </c>
      <c r="L744" s="3">
        <v>46.43</v>
      </c>
      <c r="M744" s="3">
        <v>4.5</v>
      </c>
      <c r="N744" s="3">
        <f t="shared" si="58"/>
        <v>60.93</v>
      </c>
      <c r="O744" s="3">
        <f t="shared" si="59"/>
        <v>128.38</v>
      </c>
      <c r="P744" s="2"/>
      <c r="Q744" s="5"/>
    </row>
    <row r="745" spans="1:17">
      <c r="A745" s="2">
        <f t="shared" si="55"/>
        <v>742</v>
      </c>
      <c r="B745" s="2">
        <f t="shared" si="56"/>
        <v>128</v>
      </c>
      <c r="C745" s="2" t="s">
        <v>24</v>
      </c>
      <c r="D745" s="2" t="s">
        <v>58</v>
      </c>
      <c r="E745" s="2" t="s">
        <v>1547</v>
      </c>
      <c r="F745" s="2" t="s">
        <v>1548</v>
      </c>
      <c r="G745" s="3">
        <v>10.4</v>
      </c>
      <c r="H745" s="3">
        <v>56.060975609756099</v>
      </c>
      <c r="I745" s="3">
        <v>3.6</v>
      </c>
      <c r="J745" s="3">
        <f t="shared" si="57"/>
        <v>70.06</v>
      </c>
      <c r="K745" s="3">
        <v>9.8000000000000007</v>
      </c>
      <c r="L745" s="3">
        <v>44.52</v>
      </c>
      <c r="M745" s="3">
        <v>4</v>
      </c>
      <c r="N745" s="3">
        <f t="shared" si="58"/>
        <v>58.32</v>
      </c>
      <c r="O745" s="3">
        <f t="shared" si="59"/>
        <v>128.38</v>
      </c>
      <c r="P745" s="2"/>
      <c r="Q745" s="5"/>
    </row>
    <row r="746" spans="1:17">
      <c r="A746" s="2">
        <f t="shared" si="55"/>
        <v>744</v>
      </c>
      <c r="B746" s="2">
        <f t="shared" si="56"/>
        <v>254</v>
      </c>
      <c r="C746" s="2" t="s">
        <v>45</v>
      </c>
      <c r="D746" s="2" t="s">
        <v>109</v>
      </c>
      <c r="E746" s="2" t="s">
        <v>1549</v>
      </c>
      <c r="F746" s="2" t="s">
        <v>1550</v>
      </c>
      <c r="G746" s="3">
        <v>9.8000000000000007</v>
      </c>
      <c r="H746" s="3">
        <v>53.23</v>
      </c>
      <c r="I746" s="3">
        <v>3</v>
      </c>
      <c r="J746" s="3">
        <f t="shared" si="57"/>
        <v>66.03</v>
      </c>
      <c r="K746" s="3">
        <v>7.5</v>
      </c>
      <c r="L746" s="3">
        <v>51.06</v>
      </c>
      <c r="M746" s="3">
        <v>3.5</v>
      </c>
      <c r="N746" s="3">
        <f t="shared" si="58"/>
        <v>62.06</v>
      </c>
      <c r="O746" s="3">
        <f t="shared" si="59"/>
        <v>128.09</v>
      </c>
      <c r="P746" s="2"/>
      <c r="Q746" s="5"/>
    </row>
    <row r="747" spans="1:17">
      <c r="A747" s="2">
        <f t="shared" si="55"/>
        <v>745</v>
      </c>
      <c r="B747" s="2">
        <f t="shared" si="56"/>
        <v>255</v>
      </c>
      <c r="C747" s="2" t="s">
        <v>45</v>
      </c>
      <c r="D747" s="2" t="s">
        <v>266</v>
      </c>
      <c r="E747" s="2" t="s">
        <v>1551</v>
      </c>
      <c r="F747" s="2" t="s">
        <v>1552</v>
      </c>
      <c r="G747" s="3">
        <v>10</v>
      </c>
      <c r="H747" s="3">
        <v>44.96</v>
      </c>
      <c r="I747" s="3">
        <v>4.6500000000000004</v>
      </c>
      <c r="J747" s="3">
        <f t="shared" si="57"/>
        <v>59.61</v>
      </c>
      <c r="K747" s="3">
        <v>10</v>
      </c>
      <c r="L747" s="3">
        <v>53.13</v>
      </c>
      <c r="M747" s="3">
        <v>5.3</v>
      </c>
      <c r="N747" s="3">
        <f t="shared" si="58"/>
        <v>68.430000000000007</v>
      </c>
      <c r="O747" s="3">
        <f t="shared" si="59"/>
        <v>128.04</v>
      </c>
      <c r="P747" s="2"/>
      <c r="Q747" s="5"/>
    </row>
    <row r="748" spans="1:17">
      <c r="A748" s="2">
        <f t="shared" si="55"/>
        <v>746</v>
      </c>
      <c r="B748" s="2">
        <f t="shared" si="56"/>
        <v>256</v>
      </c>
      <c r="C748" s="2" t="s">
        <v>45</v>
      </c>
      <c r="D748" s="2" t="s">
        <v>54</v>
      </c>
      <c r="E748" s="2" t="s">
        <v>1553</v>
      </c>
      <c r="F748" s="2" t="s">
        <v>1554</v>
      </c>
      <c r="G748" s="3">
        <v>10</v>
      </c>
      <c r="H748" s="3">
        <v>59.6</v>
      </c>
      <c r="I748" s="3">
        <v>3</v>
      </c>
      <c r="J748" s="3">
        <f t="shared" si="57"/>
        <v>72.599999999999994</v>
      </c>
      <c r="K748" s="3">
        <v>7.5</v>
      </c>
      <c r="L748" s="3">
        <v>44.88</v>
      </c>
      <c r="M748" s="3">
        <v>3</v>
      </c>
      <c r="N748" s="3">
        <f t="shared" si="58"/>
        <v>55.38</v>
      </c>
      <c r="O748" s="3">
        <f t="shared" si="59"/>
        <v>127.98</v>
      </c>
      <c r="P748" s="2"/>
      <c r="Q748" s="5"/>
    </row>
    <row r="749" spans="1:17">
      <c r="A749" s="2">
        <f t="shared" si="55"/>
        <v>747</v>
      </c>
      <c r="B749" s="2">
        <f t="shared" si="56"/>
        <v>257</v>
      </c>
      <c r="C749" s="2" t="s">
        <v>45</v>
      </c>
      <c r="D749" s="2" t="s">
        <v>46</v>
      </c>
      <c r="E749" s="2" t="s">
        <v>1555</v>
      </c>
      <c r="F749" s="2" t="s">
        <v>1556</v>
      </c>
      <c r="G749" s="3">
        <v>7.3</v>
      </c>
      <c r="H749" s="3">
        <v>49.03</v>
      </c>
      <c r="I749" s="3">
        <v>4.7</v>
      </c>
      <c r="J749" s="3">
        <f t="shared" si="57"/>
        <v>61.03</v>
      </c>
      <c r="K749" s="3">
        <v>7.3000000000000007</v>
      </c>
      <c r="L749" s="3">
        <v>54.38</v>
      </c>
      <c r="M749" s="3">
        <v>5.2</v>
      </c>
      <c r="N749" s="3">
        <f t="shared" si="58"/>
        <v>66.88</v>
      </c>
      <c r="O749" s="3">
        <f t="shared" si="59"/>
        <v>127.91</v>
      </c>
      <c r="P749" s="2"/>
      <c r="Q749" s="5"/>
    </row>
    <row r="750" spans="1:17">
      <c r="A750" s="2">
        <f t="shared" si="55"/>
        <v>748</v>
      </c>
      <c r="B750" s="2">
        <f t="shared" si="56"/>
        <v>258</v>
      </c>
      <c r="C750" s="2" t="s">
        <v>45</v>
      </c>
      <c r="D750" s="2" t="s">
        <v>220</v>
      </c>
      <c r="E750" s="2" t="s">
        <v>1557</v>
      </c>
      <c r="F750" s="2" t="s">
        <v>1558</v>
      </c>
      <c r="G750" s="3">
        <v>9.8000000000000007</v>
      </c>
      <c r="H750" s="3">
        <v>52.98</v>
      </c>
      <c r="I750" s="3">
        <v>3</v>
      </c>
      <c r="J750" s="3">
        <f t="shared" si="57"/>
        <v>65.78</v>
      </c>
      <c r="K750" s="3">
        <v>9.4</v>
      </c>
      <c r="L750" s="3">
        <v>49.21</v>
      </c>
      <c r="M750" s="3">
        <v>3.5</v>
      </c>
      <c r="N750" s="3">
        <f t="shared" si="58"/>
        <v>62.11</v>
      </c>
      <c r="O750" s="3">
        <f t="shared" si="59"/>
        <v>127.89</v>
      </c>
      <c r="P750" s="2"/>
      <c r="Q750" s="5"/>
    </row>
    <row r="751" spans="1:17">
      <c r="A751" s="2">
        <f t="shared" si="55"/>
        <v>749</v>
      </c>
      <c r="B751" s="2">
        <f t="shared" si="56"/>
        <v>258</v>
      </c>
      <c r="C751" s="2" t="s">
        <v>20</v>
      </c>
      <c r="D751" s="2" t="s">
        <v>32</v>
      </c>
      <c r="E751" s="2" t="s">
        <v>1559</v>
      </c>
      <c r="F751" s="2" t="s">
        <v>1560</v>
      </c>
      <c r="G751" s="3">
        <v>10</v>
      </c>
      <c r="H751" s="3">
        <v>51.183673469387799</v>
      </c>
      <c r="I751" s="3">
        <v>3</v>
      </c>
      <c r="J751" s="3">
        <f t="shared" si="57"/>
        <v>64.180000000000007</v>
      </c>
      <c r="K751" s="3">
        <v>7.5</v>
      </c>
      <c r="L751" s="3">
        <v>52.66</v>
      </c>
      <c r="M751" s="3">
        <v>3.5</v>
      </c>
      <c r="N751" s="3">
        <f t="shared" si="58"/>
        <v>63.66</v>
      </c>
      <c r="O751" s="3">
        <f t="shared" si="59"/>
        <v>127.84</v>
      </c>
      <c r="P751" s="2"/>
      <c r="Q751" s="5"/>
    </row>
    <row r="752" spans="1:17">
      <c r="A752" s="2">
        <f t="shared" si="55"/>
        <v>750</v>
      </c>
      <c r="B752" s="2">
        <f t="shared" si="56"/>
        <v>259</v>
      </c>
      <c r="C752" s="2" t="s">
        <v>45</v>
      </c>
      <c r="D752" s="2" t="s">
        <v>266</v>
      </c>
      <c r="E752" s="2" t="s">
        <v>1561</v>
      </c>
      <c r="F752" s="2" t="s">
        <v>1562</v>
      </c>
      <c r="G752" s="3">
        <v>10</v>
      </c>
      <c r="H752" s="3">
        <v>50.86</v>
      </c>
      <c r="I752" s="3">
        <v>4.5</v>
      </c>
      <c r="J752" s="3">
        <f t="shared" si="57"/>
        <v>65.36</v>
      </c>
      <c r="K752" s="3">
        <v>10</v>
      </c>
      <c r="L752" s="3">
        <v>47.12</v>
      </c>
      <c r="M752" s="3">
        <v>5.2</v>
      </c>
      <c r="N752" s="3">
        <f t="shared" si="58"/>
        <v>62.32</v>
      </c>
      <c r="O752" s="3">
        <f t="shared" si="59"/>
        <v>127.68</v>
      </c>
      <c r="P752" s="2"/>
      <c r="Q752" s="5"/>
    </row>
    <row r="753" spans="1:17">
      <c r="A753" s="2">
        <f t="shared" si="55"/>
        <v>751</v>
      </c>
      <c r="B753" s="2">
        <f t="shared" si="56"/>
        <v>130</v>
      </c>
      <c r="C753" s="2" t="s">
        <v>24</v>
      </c>
      <c r="D753" s="2" t="s">
        <v>49</v>
      </c>
      <c r="E753" s="2" t="s">
        <v>1563</v>
      </c>
      <c r="F753" s="2" t="s">
        <v>1564</v>
      </c>
      <c r="G753" s="3">
        <v>10</v>
      </c>
      <c r="H753" s="3">
        <v>48.829268292682897</v>
      </c>
      <c r="I753" s="3">
        <v>3</v>
      </c>
      <c r="J753" s="3">
        <f t="shared" si="57"/>
        <v>61.83</v>
      </c>
      <c r="K753" s="3">
        <v>10</v>
      </c>
      <c r="L753" s="3">
        <v>52.83</v>
      </c>
      <c r="M753" s="3">
        <v>3</v>
      </c>
      <c r="N753" s="3">
        <f t="shared" si="58"/>
        <v>65.83</v>
      </c>
      <c r="O753" s="3">
        <f t="shared" si="59"/>
        <v>127.66</v>
      </c>
      <c r="P753" s="2"/>
      <c r="Q753" s="5"/>
    </row>
    <row r="754" spans="1:17">
      <c r="A754" s="2">
        <f t="shared" si="55"/>
        <v>752</v>
      </c>
      <c r="B754" s="2">
        <f t="shared" si="56"/>
        <v>131</v>
      </c>
      <c r="C754" s="2" t="s">
        <v>24</v>
      </c>
      <c r="D754" s="2" t="s">
        <v>49</v>
      </c>
      <c r="E754" s="2" t="s">
        <v>1565</v>
      </c>
      <c r="F754" s="2" t="s">
        <v>1566</v>
      </c>
      <c r="G754" s="3">
        <v>9.8000000000000007</v>
      </c>
      <c r="H754" s="3">
        <v>54.280487804878</v>
      </c>
      <c r="I754" s="3">
        <v>4.5</v>
      </c>
      <c r="J754" s="3">
        <f t="shared" si="57"/>
        <v>68.58</v>
      </c>
      <c r="K754" s="3">
        <v>10.8</v>
      </c>
      <c r="L754" s="3">
        <v>43.71</v>
      </c>
      <c r="M754" s="3">
        <v>4.5</v>
      </c>
      <c r="N754" s="3">
        <f t="shared" si="58"/>
        <v>59.01</v>
      </c>
      <c r="O754" s="3">
        <f t="shared" si="59"/>
        <v>127.59</v>
      </c>
      <c r="P754" s="2"/>
      <c r="Q754" s="5"/>
    </row>
    <row r="755" spans="1:17">
      <c r="A755" s="2">
        <f t="shared" si="55"/>
        <v>752</v>
      </c>
      <c r="B755" s="2">
        <f t="shared" si="56"/>
        <v>259</v>
      </c>
      <c r="C755" s="2" t="s">
        <v>20</v>
      </c>
      <c r="D755" s="2" t="s">
        <v>65</v>
      </c>
      <c r="E755" s="2" t="s">
        <v>1567</v>
      </c>
      <c r="F755" s="2" t="s">
        <v>1568</v>
      </c>
      <c r="G755" s="3">
        <v>10.5</v>
      </c>
      <c r="H755" s="3">
        <v>53.83</v>
      </c>
      <c r="I755" s="3">
        <v>4</v>
      </c>
      <c r="J755" s="3">
        <f t="shared" si="57"/>
        <v>68.33</v>
      </c>
      <c r="K755" s="3">
        <v>10</v>
      </c>
      <c r="L755" s="3">
        <v>44.86</v>
      </c>
      <c r="M755" s="3">
        <v>4.4000000000000004</v>
      </c>
      <c r="N755" s="3">
        <f t="shared" si="58"/>
        <v>59.26</v>
      </c>
      <c r="O755" s="3">
        <f t="shared" si="59"/>
        <v>127.59</v>
      </c>
      <c r="P755" s="2"/>
      <c r="Q755" s="5"/>
    </row>
    <row r="756" spans="1:17">
      <c r="A756" s="2">
        <f t="shared" si="55"/>
        <v>754</v>
      </c>
      <c r="B756" s="2">
        <f t="shared" si="56"/>
        <v>260</v>
      </c>
      <c r="C756" s="2" t="s">
        <v>20</v>
      </c>
      <c r="D756" s="2" t="s">
        <v>42</v>
      </c>
      <c r="E756" s="2" t="s">
        <v>1569</v>
      </c>
      <c r="F756" s="2" t="s">
        <v>1570</v>
      </c>
      <c r="G756" s="3">
        <v>9.8000000000000007</v>
      </c>
      <c r="H756" s="3">
        <v>48.3333333333333</v>
      </c>
      <c r="I756" s="3">
        <v>3</v>
      </c>
      <c r="J756" s="3">
        <f t="shared" si="57"/>
        <v>61.13</v>
      </c>
      <c r="K756" s="3">
        <v>9.8000000000000007</v>
      </c>
      <c r="L756" s="3">
        <v>52.97</v>
      </c>
      <c r="M756" s="3">
        <v>3.5</v>
      </c>
      <c r="N756" s="3">
        <f t="shared" si="58"/>
        <v>66.27</v>
      </c>
      <c r="O756" s="3">
        <f t="shared" si="59"/>
        <v>127.4</v>
      </c>
      <c r="P756" s="2"/>
      <c r="Q756" s="5"/>
    </row>
    <row r="757" spans="1:17">
      <c r="A757" s="2">
        <f t="shared" si="55"/>
        <v>755</v>
      </c>
      <c r="B757" s="2">
        <f t="shared" si="56"/>
        <v>260</v>
      </c>
      <c r="C757" s="2" t="s">
        <v>45</v>
      </c>
      <c r="D757" s="2" t="s">
        <v>114</v>
      </c>
      <c r="E757" s="2" t="s">
        <v>1571</v>
      </c>
      <c r="F757" s="2" t="s">
        <v>1572</v>
      </c>
      <c r="G757" s="3">
        <v>9.8000000000000007</v>
      </c>
      <c r="H757" s="3">
        <v>58.35</v>
      </c>
      <c r="I757" s="3">
        <v>4.4000000000000004</v>
      </c>
      <c r="J757" s="3">
        <f t="shared" si="57"/>
        <v>72.55</v>
      </c>
      <c r="K757" s="3">
        <v>9.8000000000000007</v>
      </c>
      <c r="L757" s="3">
        <v>40.14</v>
      </c>
      <c r="M757" s="3">
        <v>4.9000000000000004</v>
      </c>
      <c r="N757" s="3">
        <f t="shared" si="58"/>
        <v>54.84</v>
      </c>
      <c r="O757" s="3">
        <f t="shared" si="59"/>
        <v>127.39</v>
      </c>
      <c r="P757" s="2"/>
      <c r="Q757" s="5"/>
    </row>
    <row r="758" spans="1:17">
      <c r="A758" s="2">
        <f t="shared" si="55"/>
        <v>756</v>
      </c>
      <c r="B758" s="2">
        <f t="shared" si="56"/>
        <v>261</v>
      </c>
      <c r="C758" s="2" t="s">
        <v>20</v>
      </c>
      <c r="D758" s="2" t="s">
        <v>164</v>
      </c>
      <c r="E758" s="2" t="s">
        <v>1573</v>
      </c>
      <c r="F758" s="2" t="s">
        <v>1574</v>
      </c>
      <c r="G758" s="3">
        <v>9.4</v>
      </c>
      <c r="H758" s="3">
        <v>55.74</v>
      </c>
      <c r="I758" s="3">
        <v>4</v>
      </c>
      <c r="J758" s="3">
        <f t="shared" si="57"/>
        <v>69.14</v>
      </c>
      <c r="K758" s="3">
        <v>9.8000000000000007</v>
      </c>
      <c r="L758" s="3">
        <v>45.37</v>
      </c>
      <c r="M758" s="3">
        <v>3</v>
      </c>
      <c r="N758" s="3">
        <f t="shared" si="58"/>
        <v>58.17</v>
      </c>
      <c r="O758" s="3">
        <f t="shared" si="59"/>
        <v>127.31</v>
      </c>
      <c r="P758" s="2"/>
      <c r="Q758" s="5"/>
    </row>
    <row r="759" spans="1:17">
      <c r="A759" s="2">
        <f t="shared" si="55"/>
        <v>757</v>
      </c>
      <c r="B759" s="2">
        <f t="shared" si="56"/>
        <v>261</v>
      </c>
      <c r="C759" s="2" t="s">
        <v>45</v>
      </c>
      <c r="D759" s="2" t="s">
        <v>114</v>
      </c>
      <c r="E759" s="2" t="s">
        <v>1575</v>
      </c>
      <c r="F759" s="2" t="s">
        <v>1576</v>
      </c>
      <c r="G759" s="3">
        <v>9.8000000000000007</v>
      </c>
      <c r="H759" s="3">
        <v>60.67</v>
      </c>
      <c r="I759" s="3">
        <v>3.85</v>
      </c>
      <c r="J759" s="3">
        <f t="shared" si="57"/>
        <v>74.319999999999993</v>
      </c>
      <c r="K759" s="3">
        <v>9.8000000000000007</v>
      </c>
      <c r="L759" s="3">
        <v>39.07</v>
      </c>
      <c r="M759" s="3">
        <v>3.95</v>
      </c>
      <c r="N759" s="3">
        <f t="shared" si="58"/>
        <v>52.82</v>
      </c>
      <c r="O759" s="3">
        <f t="shared" si="59"/>
        <v>127.14</v>
      </c>
      <c r="P759" s="2"/>
      <c r="Q759" s="5"/>
    </row>
    <row r="760" spans="1:17">
      <c r="A760" s="2">
        <f t="shared" si="55"/>
        <v>758</v>
      </c>
      <c r="B760" s="2">
        <f t="shared" si="56"/>
        <v>262</v>
      </c>
      <c r="C760" s="2" t="s">
        <v>45</v>
      </c>
      <c r="D760" s="2" t="s">
        <v>73</v>
      </c>
      <c r="E760" s="2" t="s">
        <v>1577</v>
      </c>
      <c r="F760" s="2" t="s">
        <v>1578</v>
      </c>
      <c r="G760" s="3">
        <v>9.8000000000000007</v>
      </c>
      <c r="H760" s="3">
        <v>51.83</v>
      </c>
      <c r="I760" s="3">
        <v>3</v>
      </c>
      <c r="J760" s="3">
        <f t="shared" si="57"/>
        <v>64.63</v>
      </c>
      <c r="K760" s="3">
        <v>9.8000000000000007</v>
      </c>
      <c r="L760" s="3">
        <v>49.66</v>
      </c>
      <c r="M760" s="3">
        <v>3</v>
      </c>
      <c r="N760" s="3">
        <f t="shared" si="58"/>
        <v>62.46</v>
      </c>
      <c r="O760" s="3">
        <f t="shared" si="59"/>
        <v>127.09</v>
      </c>
      <c r="P760" s="2"/>
      <c r="Q760" s="5"/>
    </row>
    <row r="761" spans="1:17">
      <c r="A761" s="2">
        <f t="shared" si="55"/>
        <v>759</v>
      </c>
      <c r="B761" s="2">
        <f t="shared" si="56"/>
        <v>262</v>
      </c>
      <c r="C761" s="2" t="s">
        <v>20</v>
      </c>
      <c r="D761" s="2" t="s">
        <v>32</v>
      </c>
      <c r="E761" s="2" t="s">
        <v>1579</v>
      </c>
      <c r="F761" s="2" t="s">
        <v>1580</v>
      </c>
      <c r="G761" s="3">
        <v>9.8000000000000007</v>
      </c>
      <c r="H761" s="3">
        <v>48.857142857142797</v>
      </c>
      <c r="I761" s="3">
        <v>3</v>
      </c>
      <c r="J761" s="3">
        <f t="shared" si="57"/>
        <v>61.66</v>
      </c>
      <c r="K761" s="3">
        <v>9.8000000000000007</v>
      </c>
      <c r="L761" s="3">
        <v>51.99</v>
      </c>
      <c r="M761" s="3">
        <v>3.5</v>
      </c>
      <c r="N761" s="3">
        <f t="shared" si="58"/>
        <v>65.290000000000006</v>
      </c>
      <c r="O761" s="3">
        <f t="shared" si="59"/>
        <v>126.95</v>
      </c>
      <c r="P761" s="2"/>
      <c r="Q761" s="5"/>
    </row>
    <row r="762" spans="1:17">
      <c r="A762" s="2">
        <f t="shared" si="55"/>
        <v>759</v>
      </c>
      <c r="B762" s="2">
        <f t="shared" si="56"/>
        <v>262</v>
      </c>
      <c r="C762" s="2" t="s">
        <v>20</v>
      </c>
      <c r="D762" s="2" t="s">
        <v>164</v>
      </c>
      <c r="E762" s="2" t="s">
        <v>1581</v>
      </c>
      <c r="F762" s="2" t="s">
        <v>1582</v>
      </c>
      <c r="G762" s="3">
        <v>9.8000000000000007</v>
      </c>
      <c r="H762" s="3">
        <v>52.92</v>
      </c>
      <c r="I762" s="3">
        <v>3</v>
      </c>
      <c r="J762" s="3">
        <f t="shared" si="57"/>
        <v>65.72</v>
      </c>
      <c r="K762" s="3">
        <v>9.8000000000000007</v>
      </c>
      <c r="L762" s="3">
        <v>46.23</v>
      </c>
      <c r="M762" s="3">
        <v>5.2</v>
      </c>
      <c r="N762" s="3">
        <f t="shared" si="58"/>
        <v>61.23</v>
      </c>
      <c r="O762" s="3">
        <f t="shared" si="59"/>
        <v>126.95</v>
      </c>
      <c r="P762" s="2"/>
      <c r="Q762" s="5"/>
    </row>
    <row r="763" spans="1:17">
      <c r="A763" s="2">
        <f t="shared" si="55"/>
        <v>761</v>
      </c>
      <c r="B763" s="2">
        <f t="shared" si="56"/>
        <v>263</v>
      </c>
      <c r="C763" s="2" t="s">
        <v>45</v>
      </c>
      <c r="D763" s="2" t="s">
        <v>109</v>
      </c>
      <c r="E763" s="2" t="s">
        <v>1583</v>
      </c>
      <c r="F763" s="2" t="s">
        <v>1584</v>
      </c>
      <c r="G763" s="3">
        <v>7.3</v>
      </c>
      <c r="H763" s="3">
        <v>55.93</v>
      </c>
      <c r="I763" s="3">
        <v>3</v>
      </c>
      <c r="J763" s="3">
        <f t="shared" si="57"/>
        <v>66.23</v>
      </c>
      <c r="K763" s="3">
        <v>7.3000000000000007</v>
      </c>
      <c r="L763" s="3">
        <v>50.41</v>
      </c>
      <c r="M763" s="3">
        <v>3</v>
      </c>
      <c r="N763" s="3">
        <f t="shared" si="58"/>
        <v>60.71</v>
      </c>
      <c r="O763" s="3">
        <f t="shared" si="59"/>
        <v>126.94</v>
      </c>
      <c r="P763" s="2"/>
      <c r="Q763" s="5"/>
    </row>
    <row r="764" spans="1:17">
      <c r="A764" s="2">
        <f t="shared" si="55"/>
        <v>762</v>
      </c>
      <c r="B764" s="2">
        <f t="shared" si="56"/>
        <v>264</v>
      </c>
      <c r="C764" s="2" t="s">
        <v>45</v>
      </c>
      <c r="D764" s="2" t="s">
        <v>89</v>
      </c>
      <c r="E764" s="2" t="s">
        <v>1585</v>
      </c>
      <c r="F764" s="2" t="s">
        <v>1586</v>
      </c>
      <c r="G764" s="3">
        <v>10.3</v>
      </c>
      <c r="H764" s="3">
        <v>47.16</v>
      </c>
      <c r="I764" s="3">
        <v>4.5</v>
      </c>
      <c r="J764" s="3">
        <f t="shared" si="57"/>
        <v>61.96</v>
      </c>
      <c r="K764" s="3">
        <v>9.8000000000000007</v>
      </c>
      <c r="L764" s="3">
        <v>50.91</v>
      </c>
      <c r="M764" s="3">
        <v>4</v>
      </c>
      <c r="N764" s="3">
        <f t="shared" si="58"/>
        <v>64.709999999999994</v>
      </c>
      <c r="O764" s="3">
        <f t="shared" si="59"/>
        <v>126.67</v>
      </c>
      <c r="P764" s="2"/>
      <c r="Q764" s="5"/>
    </row>
    <row r="765" spans="1:17">
      <c r="A765" s="2">
        <f t="shared" si="55"/>
        <v>763</v>
      </c>
      <c r="B765" s="2">
        <f t="shared" si="56"/>
        <v>264</v>
      </c>
      <c r="C765" s="2" t="s">
        <v>20</v>
      </c>
      <c r="D765" s="2" t="s">
        <v>82</v>
      </c>
      <c r="E765" s="2" t="s">
        <v>1587</v>
      </c>
      <c r="F765" s="2" t="s">
        <v>1588</v>
      </c>
      <c r="G765" s="3">
        <v>10</v>
      </c>
      <c r="H765" s="3">
        <v>51.448979591836697</v>
      </c>
      <c r="I765" s="3">
        <v>5</v>
      </c>
      <c r="J765" s="3">
        <f t="shared" si="57"/>
        <v>66.45</v>
      </c>
      <c r="K765" s="3">
        <v>10</v>
      </c>
      <c r="L765" s="3">
        <v>44.65</v>
      </c>
      <c r="M765" s="3">
        <v>5.5</v>
      </c>
      <c r="N765" s="3">
        <f t="shared" si="58"/>
        <v>60.15</v>
      </c>
      <c r="O765" s="3">
        <f t="shared" si="59"/>
        <v>126.6</v>
      </c>
      <c r="P765" s="2"/>
      <c r="Q765" s="5"/>
    </row>
    <row r="766" spans="1:17">
      <c r="A766" s="2">
        <f t="shared" si="55"/>
        <v>764</v>
      </c>
      <c r="B766" s="2">
        <f t="shared" si="56"/>
        <v>265</v>
      </c>
      <c r="C766" s="2" t="s">
        <v>45</v>
      </c>
      <c r="D766" s="2" t="s">
        <v>46</v>
      </c>
      <c r="E766" s="2" t="s">
        <v>1589</v>
      </c>
      <c r="F766" s="2" t="s">
        <v>1590</v>
      </c>
      <c r="G766" s="3">
        <v>10.4</v>
      </c>
      <c r="H766" s="3">
        <v>49.66</v>
      </c>
      <c r="I766" s="3">
        <v>3.5</v>
      </c>
      <c r="J766" s="3">
        <f t="shared" si="57"/>
        <v>63.56</v>
      </c>
      <c r="K766" s="3">
        <v>7.3000000000000007</v>
      </c>
      <c r="L766" s="3">
        <v>52.68</v>
      </c>
      <c r="M766" s="3">
        <v>3</v>
      </c>
      <c r="N766" s="3">
        <f t="shared" si="58"/>
        <v>62.98</v>
      </c>
      <c r="O766" s="3">
        <f t="shared" si="59"/>
        <v>126.54</v>
      </c>
      <c r="P766" s="2"/>
      <c r="Q766" s="5"/>
    </row>
    <row r="767" spans="1:17">
      <c r="A767" s="2">
        <f t="shared" si="55"/>
        <v>765</v>
      </c>
      <c r="B767" s="2">
        <f t="shared" si="56"/>
        <v>265</v>
      </c>
      <c r="C767" s="2" t="s">
        <v>20</v>
      </c>
      <c r="D767" s="2" t="s">
        <v>29</v>
      </c>
      <c r="E767" s="2" t="s">
        <v>1591</v>
      </c>
      <c r="F767" s="2" t="s">
        <v>1592</v>
      </c>
      <c r="G767" s="3">
        <v>10</v>
      </c>
      <c r="H767" s="3">
        <v>53.08</v>
      </c>
      <c r="I767" s="3">
        <v>3</v>
      </c>
      <c r="J767" s="3">
        <f t="shared" si="57"/>
        <v>66.08</v>
      </c>
      <c r="K767" s="3">
        <v>10</v>
      </c>
      <c r="L767" s="3">
        <v>46.79</v>
      </c>
      <c r="M767" s="3">
        <v>3.5</v>
      </c>
      <c r="N767" s="3">
        <f t="shared" si="58"/>
        <v>60.29</v>
      </c>
      <c r="O767" s="3">
        <f t="shared" si="59"/>
        <v>126.37</v>
      </c>
      <c r="P767" s="2"/>
      <c r="Q767" s="5"/>
    </row>
    <row r="768" spans="1:17">
      <c r="A768" s="2">
        <f t="shared" si="55"/>
        <v>765</v>
      </c>
      <c r="B768" s="2">
        <f t="shared" si="56"/>
        <v>266</v>
      </c>
      <c r="C768" s="2" t="s">
        <v>45</v>
      </c>
      <c r="D768" s="2" t="s">
        <v>54</v>
      </c>
      <c r="E768" s="2" t="s">
        <v>1593</v>
      </c>
      <c r="F768" s="2" t="s">
        <v>1594</v>
      </c>
      <c r="G768" s="3">
        <v>9.8000000000000007</v>
      </c>
      <c r="H768" s="3">
        <v>53.08</v>
      </c>
      <c r="I768" s="3">
        <v>5.85</v>
      </c>
      <c r="J768" s="3">
        <f t="shared" si="57"/>
        <v>68.73</v>
      </c>
      <c r="K768" s="3">
        <v>9.8000000000000007</v>
      </c>
      <c r="L768" s="3">
        <v>41.64</v>
      </c>
      <c r="M768" s="3">
        <v>6.2</v>
      </c>
      <c r="N768" s="3">
        <f t="shared" si="58"/>
        <v>57.64</v>
      </c>
      <c r="O768" s="3">
        <f t="shared" si="59"/>
        <v>126.37</v>
      </c>
      <c r="P768" s="2"/>
      <c r="Q768" s="5"/>
    </row>
    <row r="769" spans="1:17">
      <c r="A769" s="2">
        <f t="shared" si="55"/>
        <v>767</v>
      </c>
      <c r="B769" s="2">
        <f t="shared" si="56"/>
        <v>267</v>
      </c>
      <c r="C769" s="2" t="s">
        <v>45</v>
      </c>
      <c r="D769" s="2" t="s">
        <v>73</v>
      </c>
      <c r="E769" s="2" t="s">
        <v>1595</v>
      </c>
      <c r="F769" s="2" t="s">
        <v>1596</v>
      </c>
      <c r="G769" s="3">
        <v>9.4</v>
      </c>
      <c r="H769" s="3">
        <v>54.37</v>
      </c>
      <c r="I769" s="3">
        <v>3</v>
      </c>
      <c r="J769" s="3">
        <f t="shared" si="57"/>
        <v>66.77</v>
      </c>
      <c r="K769" s="3">
        <v>9.8000000000000007</v>
      </c>
      <c r="L769" s="3">
        <v>45.71</v>
      </c>
      <c r="M769" s="3">
        <v>4</v>
      </c>
      <c r="N769" s="3">
        <f t="shared" si="58"/>
        <v>59.51</v>
      </c>
      <c r="O769" s="3">
        <f t="shared" si="59"/>
        <v>126.28</v>
      </c>
      <c r="P769" s="2"/>
      <c r="Q769" s="5"/>
    </row>
    <row r="770" spans="1:17">
      <c r="A770" s="2">
        <f t="shared" si="55"/>
        <v>768</v>
      </c>
      <c r="B770" s="2">
        <f t="shared" si="56"/>
        <v>266</v>
      </c>
      <c r="C770" s="2" t="s">
        <v>20</v>
      </c>
      <c r="D770" s="2" t="s">
        <v>29</v>
      </c>
      <c r="E770" s="2" t="s">
        <v>1597</v>
      </c>
      <c r="F770" s="2" t="s">
        <v>1598</v>
      </c>
      <c r="G770" s="3">
        <v>9.8000000000000007</v>
      </c>
      <c r="H770" s="3">
        <v>49.39</v>
      </c>
      <c r="I770" s="3">
        <v>3</v>
      </c>
      <c r="J770" s="3">
        <f t="shared" si="57"/>
        <v>62.19</v>
      </c>
      <c r="K770" s="3">
        <v>9.8000000000000007</v>
      </c>
      <c r="L770" s="3">
        <v>50.77</v>
      </c>
      <c r="M770" s="3">
        <v>3.5</v>
      </c>
      <c r="N770" s="3">
        <f t="shared" si="58"/>
        <v>64.069999999999993</v>
      </c>
      <c r="O770" s="3">
        <f t="shared" si="59"/>
        <v>126.26</v>
      </c>
      <c r="P770" s="2"/>
      <c r="Q770" s="5"/>
    </row>
    <row r="771" spans="1:17">
      <c r="A771" s="2">
        <f t="shared" ref="A771:A834" si="60">COUNTIFS($C$3:$C$1025,"&lt;&gt;大数据",$O$3:$O$1025,"&gt;"&amp;O771)+1</f>
        <v>769</v>
      </c>
      <c r="B771" s="2">
        <f t="shared" ref="B771:B834" si="61">COUNTIFS($C$3:$C$1025,C771,$O$3:$O$1025,"&gt;"&amp;O771)+1</f>
        <v>268</v>
      </c>
      <c r="C771" s="2" t="s">
        <v>45</v>
      </c>
      <c r="D771" s="2" t="s">
        <v>96</v>
      </c>
      <c r="E771" s="2" t="s">
        <v>1599</v>
      </c>
      <c r="F771" s="2" t="s">
        <v>1600</v>
      </c>
      <c r="G771" s="3">
        <v>9.8000000000000007</v>
      </c>
      <c r="H771" s="3">
        <v>54.73</v>
      </c>
      <c r="I771" s="3">
        <v>3</v>
      </c>
      <c r="J771" s="3">
        <f t="shared" ref="J771:J834" si="62">ROUND(SUM(G771:I771),2)</f>
        <v>67.53</v>
      </c>
      <c r="K771" s="3">
        <v>7.3000000000000007</v>
      </c>
      <c r="L771" s="3">
        <v>47.79</v>
      </c>
      <c r="M771" s="3">
        <v>3.5</v>
      </c>
      <c r="N771" s="3">
        <f t="shared" ref="N771:N834" si="63">ROUND(SUM(K771:M771),2)</f>
        <v>58.59</v>
      </c>
      <c r="O771" s="3">
        <f t="shared" ref="O771:O834" si="64">ROUND(SUM(J771,N771),2)</f>
        <v>126.12</v>
      </c>
      <c r="P771" s="2"/>
      <c r="Q771" s="5"/>
    </row>
    <row r="772" spans="1:17">
      <c r="A772" s="2">
        <f t="shared" si="60"/>
        <v>770</v>
      </c>
      <c r="B772" s="2">
        <f t="shared" si="61"/>
        <v>267</v>
      </c>
      <c r="C772" s="2" t="s">
        <v>20</v>
      </c>
      <c r="D772" s="2" t="s">
        <v>229</v>
      </c>
      <c r="E772" s="2" t="s">
        <v>1601</v>
      </c>
      <c r="F772" s="2" t="s">
        <v>1602</v>
      </c>
      <c r="G772" s="3">
        <v>11.4</v>
      </c>
      <c r="H772" s="3">
        <v>51.45</v>
      </c>
      <c r="I772" s="3">
        <v>3.6</v>
      </c>
      <c r="J772" s="3">
        <f t="shared" si="62"/>
        <v>66.45</v>
      </c>
      <c r="K772" s="3">
        <v>7.3000000000000007</v>
      </c>
      <c r="L772" s="3">
        <v>48.17</v>
      </c>
      <c r="M772" s="3">
        <v>4.0999999999999996</v>
      </c>
      <c r="N772" s="3">
        <f t="shared" si="63"/>
        <v>59.57</v>
      </c>
      <c r="O772" s="3">
        <f t="shared" si="64"/>
        <v>126.02</v>
      </c>
      <c r="P772" s="2"/>
      <c r="Q772" s="5"/>
    </row>
    <row r="773" spans="1:17">
      <c r="A773" s="2">
        <f t="shared" si="60"/>
        <v>771</v>
      </c>
      <c r="B773" s="2">
        <f t="shared" si="61"/>
        <v>132</v>
      </c>
      <c r="C773" s="2" t="s">
        <v>24</v>
      </c>
      <c r="D773" s="2" t="s">
        <v>76</v>
      </c>
      <c r="E773" s="2" t="s">
        <v>1603</v>
      </c>
      <c r="F773" s="2" t="s">
        <v>1604</v>
      </c>
      <c r="G773" s="3">
        <v>9.8000000000000007</v>
      </c>
      <c r="H773" s="3">
        <v>46.085365853658502</v>
      </c>
      <c r="I773" s="3">
        <v>3</v>
      </c>
      <c r="J773" s="3">
        <f t="shared" si="62"/>
        <v>58.89</v>
      </c>
      <c r="K773" s="3">
        <v>9</v>
      </c>
      <c r="L773" s="3">
        <v>55.05</v>
      </c>
      <c r="M773" s="3">
        <v>3</v>
      </c>
      <c r="N773" s="3">
        <f t="shared" si="63"/>
        <v>67.05</v>
      </c>
      <c r="O773" s="3">
        <f t="shared" si="64"/>
        <v>125.94</v>
      </c>
      <c r="P773" s="2"/>
      <c r="Q773" s="5"/>
    </row>
    <row r="774" spans="1:17">
      <c r="A774" s="2">
        <f t="shared" si="60"/>
        <v>772</v>
      </c>
      <c r="B774" s="2">
        <f t="shared" si="61"/>
        <v>269</v>
      </c>
      <c r="C774" s="2" t="s">
        <v>45</v>
      </c>
      <c r="D774" s="2" t="s">
        <v>89</v>
      </c>
      <c r="E774" s="2" t="s">
        <v>1605</v>
      </c>
      <c r="F774" s="2" t="s">
        <v>1606</v>
      </c>
      <c r="G774" s="3">
        <v>9.8000000000000007</v>
      </c>
      <c r="H774" s="3">
        <v>47.98</v>
      </c>
      <c r="I774" s="3">
        <v>4.7</v>
      </c>
      <c r="J774" s="3">
        <f t="shared" si="62"/>
        <v>62.48</v>
      </c>
      <c r="K774" s="3">
        <v>7.3000000000000007</v>
      </c>
      <c r="L774" s="3">
        <v>52.03</v>
      </c>
      <c r="M774" s="3">
        <v>4</v>
      </c>
      <c r="N774" s="3">
        <f t="shared" si="63"/>
        <v>63.33</v>
      </c>
      <c r="O774" s="3">
        <f t="shared" si="64"/>
        <v>125.81</v>
      </c>
      <c r="P774" s="2"/>
      <c r="Q774" s="5"/>
    </row>
    <row r="775" spans="1:17">
      <c r="A775" s="2">
        <f t="shared" si="60"/>
        <v>773</v>
      </c>
      <c r="B775" s="2">
        <f t="shared" si="61"/>
        <v>105</v>
      </c>
      <c r="C775" s="2" t="s">
        <v>15</v>
      </c>
      <c r="D775" s="2" t="s">
        <v>257</v>
      </c>
      <c r="E775" s="2" t="s">
        <v>1607</v>
      </c>
      <c r="F775" s="2" t="s">
        <v>1608</v>
      </c>
      <c r="G775" s="3">
        <v>9.6</v>
      </c>
      <c r="H775" s="3">
        <v>47.6</v>
      </c>
      <c r="I775" s="3">
        <v>3</v>
      </c>
      <c r="J775" s="3">
        <f t="shared" si="62"/>
        <v>60.2</v>
      </c>
      <c r="K775" s="3">
        <v>7.5</v>
      </c>
      <c r="L775" s="3">
        <v>54.56</v>
      </c>
      <c r="M775" s="3">
        <v>3.5</v>
      </c>
      <c r="N775" s="3">
        <f t="shared" si="63"/>
        <v>65.56</v>
      </c>
      <c r="O775" s="3">
        <f t="shared" si="64"/>
        <v>125.76</v>
      </c>
      <c r="P775" s="2"/>
      <c r="Q775" s="5"/>
    </row>
    <row r="776" spans="1:17">
      <c r="A776" s="2">
        <f t="shared" si="60"/>
        <v>774</v>
      </c>
      <c r="B776" s="2">
        <f t="shared" si="61"/>
        <v>270</v>
      </c>
      <c r="C776" s="2" t="s">
        <v>45</v>
      </c>
      <c r="D776" s="2" t="s">
        <v>89</v>
      </c>
      <c r="E776" s="2" t="s">
        <v>1609</v>
      </c>
      <c r="F776" s="2" t="s">
        <v>1610</v>
      </c>
      <c r="G776" s="3">
        <v>9.8000000000000007</v>
      </c>
      <c r="H776" s="3">
        <v>46.77</v>
      </c>
      <c r="I776" s="3">
        <v>3</v>
      </c>
      <c r="J776" s="3">
        <f t="shared" si="62"/>
        <v>59.57</v>
      </c>
      <c r="K776" s="3">
        <v>9.8000000000000007</v>
      </c>
      <c r="L776" s="3">
        <v>53.35</v>
      </c>
      <c r="M776" s="3">
        <v>3</v>
      </c>
      <c r="N776" s="3">
        <f t="shared" si="63"/>
        <v>66.150000000000006</v>
      </c>
      <c r="O776" s="3">
        <f t="shared" si="64"/>
        <v>125.72</v>
      </c>
      <c r="P776" s="2"/>
      <c r="Q776" s="5"/>
    </row>
    <row r="777" spans="1:17">
      <c r="A777" s="2">
        <f t="shared" si="60"/>
        <v>775</v>
      </c>
      <c r="B777" s="2">
        <f t="shared" si="61"/>
        <v>271</v>
      </c>
      <c r="C777" s="2" t="s">
        <v>45</v>
      </c>
      <c r="D777" s="2" t="s">
        <v>89</v>
      </c>
      <c r="E777" s="2" t="s">
        <v>1611</v>
      </c>
      <c r="F777" s="2" t="s">
        <v>1612</v>
      </c>
      <c r="G777" s="3">
        <v>9.8000000000000007</v>
      </c>
      <c r="H777" s="3">
        <v>44.87</v>
      </c>
      <c r="I777" s="3">
        <v>5</v>
      </c>
      <c r="J777" s="3">
        <f t="shared" si="62"/>
        <v>59.67</v>
      </c>
      <c r="K777" s="3">
        <v>9.8000000000000007</v>
      </c>
      <c r="L777" s="3">
        <v>53.18</v>
      </c>
      <c r="M777" s="3">
        <v>3</v>
      </c>
      <c r="N777" s="3">
        <f t="shared" si="63"/>
        <v>65.98</v>
      </c>
      <c r="O777" s="3">
        <f t="shared" si="64"/>
        <v>125.65</v>
      </c>
      <c r="P777" s="2"/>
      <c r="Q777" s="5"/>
    </row>
    <row r="778" spans="1:17">
      <c r="A778" s="2">
        <f t="shared" si="60"/>
        <v>776</v>
      </c>
      <c r="B778" s="2">
        <f t="shared" si="61"/>
        <v>272</v>
      </c>
      <c r="C778" s="2" t="s">
        <v>45</v>
      </c>
      <c r="D778" s="2" t="s">
        <v>73</v>
      </c>
      <c r="E778" s="2" t="s">
        <v>1613</v>
      </c>
      <c r="F778" s="2" t="s">
        <v>1614</v>
      </c>
      <c r="G778" s="3">
        <v>9.8000000000000007</v>
      </c>
      <c r="H778" s="3">
        <v>54</v>
      </c>
      <c r="I778" s="3">
        <v>3.6</v>
      </c>
      <c r="J778" s="3">
        <f t="shared" si="62"/>
        <v>67.400000000000006</v>
      </c>
      <c r="K778" s="3">
        <v>9.8000000000000007</v>
      </c>
      <c r="L778" s="3">
        <v>45.22</v>
      </c>
      <c r="M778" s="3">
        <v>3</v>
      </c>
      <c r="N778" s="3">
        <f t="shared" si="63"/>
        <v>58.02</v>
      </c>
      <c r="O778" s="3">
        <f t="shared" si="64"/>
        <v>125.42</v>
      </c>
      <c r="P778" s="2"/>
      <c r="Q778" s="5"/>
    </row>
    <row r="779" spans="1:17">
      <c r="A779" s="2">
        <f t="shared" si="60"/>
        <v>777</v>
      </c>
      <c r="B779" s="2">
        <f t="shared" si="61"/>
        <v>106</v>
      </c>
      <c r="C779" s="2" t="s">
        <v>15</v>
      </c>
      <c r="D779" s="2" t="s">
        <v>39</v>
      </c>
      <c r="E779" s="2" t="s">
        <v>1615</v>
      </c>
      <c r="F779" s="2" t="s">
        <v>1616</v>
      </c>
      <c r="G779" s="3">
        <v>9.8000000000000007</v>
      </c>
      <c r="H779" s="3">
        <v>49.55</v>
      </c>
      <c r="I779" s="3">
        <v>3</v>
      </c>
      <c r="J779" s="3">
        <f t="shared" si="62"/>
        <v>62.35</v>
      </c>
      <c r="K779" s="3">
        <v>7.3000000000000007</v>
      </c>
      <c r="L779" s="3">
        <v>52.25</v>
      </c>
      <c r="M779" s="3">
        <v>3.5</v>
      </c>
      <c r="N779" s="3">
        <f t="shared" si="63"/>
        <v>63.05</v>
      </c>
      <c r="O779" s="3">
        <f t="shared" si="64"/>
        <v>125.4</v>
      </c>
      <c r="P779" s="2"/>
      <c r="Q779" s="5"/>
    </row>
    <row r="780" spans="1:17">
      <c r="A780" s="2">
        <f t="shared" si="60"/>
        <v>778</v>
      </c>
      <c r="B780" s="2">
        <f t="shared" si="61"/>
        <v>268</v>
      </c>
      <c r="C780" s="2" t="s">
        <v>20</v>
      </c>
      <c r="D780" s="2" t="s">
        <v>82</v>
      </c>
      <c r="E780" s="2" t="s">
        <v>1617</v>
      </c>
      <c r="F780" s="2" t="s">
        <v>1618</v>
      </c>
      <c r="G780" s="3">
        <v>9.8000000000000007</v>
      </c>
      <c r="H780" s="3">
        <v>48.978723404255298</v>
      </c>
      <c r="I780" s="3">
        <v>4.3499999999999996</v>
      </c>
      <c r="J780" s="3">
        <f t="shared" si="62"/>
        <v>63.13</v>
      </c>
      <c r="K780" s="3">
        <v>7.3000000000000007</v>
      </c>
      <c r="L780" s="3">
        <v>51.44</v>
      </c>
      <c r="M780" s="3">
        <v>3.5</v>
      </c>
      <c r="N780" s="3">
        <f t="shared" si="63"/>
        <v>62.24</v>
      </c>
      <c r="O780" s="3">
        <f t="shared" si="64"/>
        <v>125.37</v>
      </c>
      <c r="P780" s="2"/>
      <c r="Q780" s="5"/>
    </row>
    <row r="781" spans="1:17">
      <c r="A781" s="2">
        <f t="shared" si="60"/>
        <v>779</v>
      </c>
      <c r="B781" s="2">
        <f t="shared" si="61"/>
        <v>273</v>
      </c>
      <c r="C781" s="2" t="s">
        <v>45</v>
      </c>
      <c r="D781" s="2" t="s">
        <v>232</v>
      </c>
      <c r="E781" s="2" t="s">
        <v>1619</v>
      </c>
      <c r="F781" s="2" t="s">
        <v>1620</v>
      </c>
      <c r="G781" s="3">
        <v>9.8000000000000007</v>
      </c>
      <c r="H781" s="3">
        <v>50.39</v>
      </c>
      <c r="I781" s="3">
        <v>3.4</v>
      </c>
      <c r="J781" s="3">
        <f t="shared" si="62"/>
        <v>63.59</v>
      </c>
      <c r="K781" s="3">
        <v>9.8000000000000007</v>
      </c>
      <c r="L781" s="3">
        <v>48.97</v>
      </c>
      <c r="M781" s="3">
        <v>3</v>
      </c>
      <c r="N781" s="3">
        <f t="shared" si="63"/>
        <v>61.77</v>
      </c>
      <c r="O781" s="3">
        <f t="shared" si="64"/>
        <v>125.36</v>
      </c>
      <c r="P781" s="2"/>
      <c r="Q781" s="5"/>
    </row>
    <row r="782" spans="1:17">
      <c r="A782" s="2">
        <f t="shared" si="60"/>
        <v>780</v>
      </c>
      <c r="B782" s="2">
        <f t="shared" si="61"/>
        <v>274</v>
      </c>
      <c r="C782" s="2" t="s">
        <v>45</v>
      </c>
      <c r="D782" s="2" t="s">
        <v>46</v>
      </c>
      <c r="E782" s="2" t="s">
        <v>1621</v>
      </c>
      <c r="F782" s="2" t="s">
        <v>1622</v>
      </c>
      <c r="G782" s="3">
        <v>9.8000000000000007</v>
      </c>
      <c r="H782" s="3">
        <v>52.5</v>
      </c>
      <c r="I782" s="3">
        <v>3</v>
      </c>
      <c r="J782" s="3">
        <f t="shared" si="62"/>
        <v>65.3</v>
      </c>
      <c r="K782" s="3">
        <v>7.3000000000000007</v>
      </c>
      <c r="L782" s="3">
        <v>49.75</v>
      </c>
      <c r="M782" s="3">
        <v>3</v>
      </c>
      <c r="N782" s="3">
        <f t="shared" si="63"/>
        <v>60.05</v>
      </c>
      <c r="O782" s="3">
        <f t="shared" si="64"/>
        <v>125.35</v>
      </c>
      <c r="P782" s="2"/>
      <c r="Q782" s="5"/>
    </row>
    <row r="783" spans="1:17">
      <c r="A783" s="2">
        <f t="shared" si="60"/>
        <v>781</v>
      </c>
      <c r="B783" s="2">
        <f t="shared" si="61"/>
        <v>107</v>
      </c>
      <c r="C783" s="2" t="s">
        <v>15</v>
      </c>
      <c r="D783" s="2" t="s">
        <v>16</v>
      </c>
      <c r="E783" s="2" t="s">
        <v>1623</v>
      </c>
      <c r="F783" s="2" t="s">
        <v>1624</v>
      </c>
      <c r="G783" s="3">
        <v>10</v>
      </c>
      <c r="H783" s="3">
        <v>45.84</v>
      </c>
      <c r="I783" s="3">
        <v>6.4</v>
      </c>
      <c r="J783" s="3">
        <f t="shared" si="62"/>
        <v>62.24</v>
      </c>
      <c r="K783" s="3">
        <v>7.5</v>
      </c>
      <c r="L783" s="3">
        <v>51.52</v>
      </c>
      <c r="M783" s="3">
        <v>4</v>
      </c>
      <c r="N783" s="3">
        <f t="shared" si="63"/>
        <v>63.02</v>
      </c>
      <c r="O783" s="3">
        <f t="shared" si="64"/>
        <v>125.26</v>
      </c>
      <c r="P783" s="2"/>
      <c r="Q783" s="5"/>
    </row>
    <row r="784" spans="1:17">
      <c r="A784" s="2">
        <f t="shared" si="60"/>
        <v>781</v>
      </c>
      <c r="B784" s="2">
        <f t="shared" si="61"/>
        <v>275</v>
      </c>
      <c r="C784" s="2" t="s">
        <v>45</v>
      </c>
      <c r="D784" s="2" t="s">
        <v>46</v>
      </c>
      <c r="E784" s="2" t="s">
        <v>1625</v>
      </c>
      <c r="F784" s="2" t="s">
        <v>1626</v>
      </c>
      <c r="G784" s="3">
        <v>10.3</v>
      </c>
      <c r="H784" s="3">
        <v>51.5</v>
      </c>
      <c r="I784" s="3">
        <v>5</v>
      </c>
      <c r="J784" s="3">
        <f t="shared" si="62"/>
        <v>66.8</v>
      </c>
      <c r="K784" s="3">
        <v>7.3000000000000007</v>
      </c>
      <c r="L784" s="3">
        <v>46.66</v>
      </c>
      <c r="M784" s="3">
        <v>4.5</v>
      </c>
      <c r="N784" s="3">
        <f t="shared" si="63"/>
        <v>58.46</v>
      </c>
      <c r="O784" s="3">
        <f t="shared" si="64"/>
        <v>125.26</v>
      </c>
      <c r="P784" s="2"/>
      <c r="Q784" s="5"/>
    </row>
    <row r="785" spans="1:17">
      <c r="A785" s="2">
        <f t="shared" si="60"/>
        <v>783</v>
      </c>
      <c r="B785" s="2">
        <f t="shared" si="61"/>
        <v>108</v>
      </c>
      <c r="C785" s="2" t="s">
        <v>15</v>
      </c>
      <c r="D785" s="2" t="s">
        <v>181</v>
      </c>
      <c r="E785" s="2" t="s">
        <v>1627</v>
      </c>
      <c r="F785" s="2" t="s">
        <v>1628</v>
      </c>
      <c r="G785" s="3">
        <v>9.8000000000000007</v>
      </c>
      <c r="H785" s="3">
        <v>55.64</v>
      </c>
      <c r="I785" s="3">
        <v>3.9</v>
      </c>
      <c r="J785" s="3">
        <f t="shared" si="62"/>
        <v>69.34</v>
      </c>
      <c r="K785" s="3">
        <v>7.3000000000000007</v>
      </c>
      <c r="L785" s="3">
        <v>44.21</v>
      </c>
      <c r="M785" s="3">
        <v>4.4000000000000004</v>
      </c>
      <c r="N785" s="3">
        <f t="shared" si="63"/>
        <v>55.91</v>
      </c>
      <c r="O785" s="3">
        <f t="shared" si="64"/>
        <v>125.25</v>
      </c>
      <c r="P785" s="2"/>
      <c r="Q785" s="5"/>
    </row>
    <row r="786" spans="1:17">
      <c r="A786" s="2">
        <f t="shared" si="60"/>
        <v>784</v>
      </c>
      <c r="B786" s="2">
        <f t="shared" si="61"/>
        <v>276</v>
      </c>
      <c r="C786" s="2" t="s">
        <v>45</v>
      </c>
      <c r="D786" s="2" t="s">
        <v>73</v>
      </c>
      <c r="E786" s="2" t="s">
        <v>1629</v>
      </c>
      <c r="F786" s="2" t="s">
        <v>1630</v>
      </c>
      <c r="G786" s="3">
        <v>9.8000000000000007</v>
      </c>
      <c r="H786" s="3">
        <v>47.86</v>
      </c>
      <c r="I786" s="3">
        <v>3</v>
      </c>
      <c r="J786" s="3">
        <f t="shared" si="62"/>
        <v>60.66</v>
      </c>
      <c r="K786" s="3">
        <v>7.3000000000000007</v>
      </c>
      <c r="L786" s="3">
        <v>53.58</v>
      </c>
      <c r="M786" s="3">
        <v>3.7</v>
      </c>
      <c r="N786" s="3">
        <f t="shared" si="63"/>
        <v>64.58</v>
      </c>
      <c r="O786" s="3">
        <f t="shared" si="64"/>
        <v>125.24</v>
      </c>
      <c r="P786" s="2"/>
      <c r="Q786" s="5"/>
    </row>
    <row r="787" spans="1:17">
      <c r="A787" s="2">
        <f t="shared" si="60"/>
        <v>785</v>
      </c>
      <c r="B787" s="2">
        <f t="shared" si="61"/>
        <v>269</v>
      </c>
      <c r="C787" s="2" t="s">
        <v>20</v>
      </c>
      <c r="D787" s="2" t="s">
        <v>21</v>
      </c>
      <c r="E787" s="2" t="s">
        <v>1631</v>
      </c>
      <c r="F787" s="2" t="s">
        <v>1632</v>
      </c>
      <c r="G787" s="3">
        <v>9.8000000000000007</v>
      </c>
      <c r="H787" s="3">
        <v>43.41</v>
      </c>
      <c r="I787" s="3">
        <v>3</v>
      </c>
      <c r="J787" s="3">
        <f t="shared" si="62"/>
        <v>56.21</v>
      </c>
      <c r="K787" s="3">
        <v>9.8000000000000007</v>
      </c>
      <c r="L787" s="3">
        <v>55.5</v>
      </c>
      <c r="M787" s="3">
        <v>3.5</v>
      </c>
      <c r="N787" s="3">
        <f t="shared" si="63"/>
        <v>68.8</v>
      </c>
      <c r="O787" s="3">
        <f t="shared" si="64"/>
        <v>125.01</v>
      </c>
      <c r="P787" s="2"/>
      <c r="Q787" s="5"/>
    </row>
    <row r="788" spans="1:17">
      <c r="A788" s="2">
        <f t="shared" si="60"/>
        <v>786</v>
      </c>
      <c r="B788" s="2">
        <f t="shared" si="61"/>
        <v>277</v>
      </c>
      <c r="C788" s="2" t="s">
        <v>45</v>
      </c>
      <c r="D788" s="2" t="s">
        <v>114</v>
      </c>
      <c r="E788" s="2" t="s">
        <v>1633</v>
      </c>
      <c r="F788" s="2" t="s">
        <v>1634</v>
      </c>
      <c r="G788" s="3">
        <v>9.8000000000000007</v>
      </c>
      <c r="H788" s="3">
        <v>56.54</v>
      </c>
      <c r="I788" s="3">
        <v>3</v>
      </c>
      <c r="J788" s="3">
        <f t="shared" si="62"/>
        <v>69.34</v>
      </c>
      <c r="K788" s="3">
        <v>9.8000000000000007</v>
      </c>
      <c r="L788" s="3">
        <v>42.77</v>
      </c>
      <c r="M788" s="3">
        <v>3</v>
      </c>
      <c r="N788" s="3">
        <f t="shared" si="63"/>
        <v>55.57</v>
      </c>
      <c r="O788" s="3">
        <f t="shared" si="64"/>
        <v>124.91</v>
      </c>
      <c r="P788" s="2"/>
      <c r="Q788" s="5"/>
    </row>
    <row r="789" spans="1:17">
      <c r="A789" s="2">
        <f t="shared" si="60"/>
        <v>787</v>
      </c>
      <c r="B789" s="2">
        <f t="shared" si="61"/>
        <v>270</v>
      </c>
      <c r="C789" s="2" t="s">
        <v>20</v>
      </c>
      <c r="D789" s="2" t="s">
        <v>36</v>
      </c>
      <c r="E789" s="2" t="s">
        <v>1635</v>
      </c>
      <c r="F789" s="2" t="s">
        <v>1636</v>
      </c>
      <c r="G789" s="3">
        <v>10</v>
      </c>
      <c r="H789" s="3">
        <v>56.35</v>
      </c>
      <c r="I789" s="3">
        <v>4.9000000000000004</v>
      </c>
      <c r="J789" s="3">
        <f t="shared" si="62"/>
        <v>71.25</v>
      </c>
      <c r="K789" s="3">
        <v>9.6</v>
      </c>
      <c r="L789" s="3">
        <v>41.05</v>
      </c>
      <c r="M789" s="3">
        <v>3</v>
      </c>
      <c r="N789" s="3">
        <f t="shared" si="63"/>
        <v>53.65</v>
      </c>
      <c r="O789" s="3">
        <f t="shared" si="64"/>
        <v>124.9</v>
      </c>
      <c r="P789" s="2"/>
      <c r="Q789" s="5"/>
    </row>
    <row r="790" spans="1:17">
      <c r="A790" s="2">
        <f t="shared" si="60"/>
        <v>788</v>
      </c>
      <c r="B790" s="2">
        <f t="shared" si="61"/>
        <v>278</v>
      </c>
      <c r="C790" s="2" t="s">
        <v>45</v>
      </c>
      <c r="D790" s="2" t="s">
        <v>266</v>
      </c>
      <c r="E790" s="2" t="s">
        <v>1637</v>
      </c>
      <c r="F790" s="2" t="s">
        <v>1638</v>
      </c>
      <c r="G790" s="3">
        <v>9.8000000000000007</v>
      </c>
      <c r="H790" s="3">
        <v>47.67</v>
      </c>
      <c r="I790" s="3">
        <v>3</v>
      </c>
      <c r="J790" s="3">
        <f t="shared" si="62"/>
        <v>60.47</v>
      </c>
      <c r="K790" s="3">
        <v>9.8000000000000007</v>
      </c>
      <c r="L790" s="3">
        <v>50.54</v>
      </c>
      <c r="M790" s="3">
        <v>4</v>
      </c>
      <c r="N790" s="3">
        <f t="shared" si="63"/>
        <v>64.34</v>
      </c>
      <c r="O790" s="3">
        <f t="shared" si="64"/>
        <v>124.81</v>
      </c>
      <c r="P790" s="2"/>
      <c r="Q790" s="5"/>
    </row>
    <row r="791" spans="1:17">
      <c r="A791" s="2">
        <f t="shared" si="60"/>
        <v>788</v>
      </c>
      <c r="B791" s="2">
        <f t="shared" si="61"/>
        <v>278</v>
      </c>
      <c r="C791" s="2" t="s">
        <v>45</v>
      </c>
      <c r="D791" s="2" t="s">
        <v>89</v>
      </c>
      <c r="E791" s="2" t="s">
        <v>1639</v>
      </c>
      <c r="F791" s="2" t="s">
        <v>1640</v>
      </c>
      <c r="G791" s="3">
        <v>9.8000000000000007</v>
      </c>
      <c r="H791" s="3">
        <v>46.63</v>
      </c>
      <c r="I791" s="3">
        <v>3</v>
      </c>
      <c r="J791" s="3">
        <f t="shared" si="62"/>
        <v>59.43</v>
      </c>
      <c r="K791" s="3">
        <v>9.8000000000000007</v>
      </c>
      <c r="L791" s="3">
        <v>51.88</v>
      </c>
      <c r="M791" s="3">
        <v>3.7</v>
      </c>
      <c r="N791" s="3">
        <f t="shared" si="63"/>
        <v>65.38</v>
      </c>
      <c r="O791" s="3">
        <f t="shared" si="64"/>
        <v>124.81</v>
      </c>
      <c r="P791" s="2"/>
      <c r="Q791" s="5"/>
    </row>
    <row r="792" spans="1:17">
      <c r="A792" s="2">
        <f t="shared" si="60"/>
        <v>790</v>
      </c>
      <c r="B792" s="2">
        <f t="shared" si="61"/>
        <v>271</v>
      </c>
      <c r="C792" s="2" t="s">
        <v>20</v>
      </c>
      <c r="D792" s="2" t="s">
        <v>32</v>
      </c>
      <c r="E792" s="2" t="s">
        <v>1641</v>
      </c>
      <c r="F792" s="2" t="s">
        <v>1642</v>
      </c>
      <c r="G792" s="3">
        <v>9.8000000000000007</v>
      </c>
      <c r="H792" s="3">
        <v>52.224489795918402</v>
      </c>
      <c r="I792" s="3">
        <v>3</v>
      </c>
      <c r="J792" s="3">
        <f t="shared" si="62"/>
        <v>65.02</v>
      </c>
      <c r="K792" s="3">
        <v>7.3000000000000007</v>
      </c>
      <c r="L792" s="3">
        <v>48.84</v>
      </c>
      <c r="M792" s="3">
        <v>3.5</v>
      </c>
      <c r="N792" s="3">
        <f t="shared" si="63"/>
        <v>59.64</v>
      </c>
      <c r="O792" s="3">
        <f t="shared" si="64"/>
        <v>124.66</v>
      </c>
      <c r="P792" s="2"/>
      <c r="Q792" s="5"/>
    </row>
    <row r="793" spans="1:17">
      <c r="A793" s="2">
        <f t="shared" si="60"/>
        <v>791</v>
      </c>
      <c r="B793" s="2">
        <f t="shared" si="61"/>
        <v>272</v>
      </c>
      <c r="C793" s="2" t="s">
        <v>20</v>
      </c>
      <c r="D793" s="2" t="s">
        <v>36</v>
      </c>
      <c r="E793" s="2" t="s">
        <v>1643</v>
      </c>
      <c r="F793" s="2" t="s">
        <v>1644</v>
      </c>
      <c r="G793" s="3">
        <v>9.8000000000000007</v>
      </c>
      <c r="H793" s="3">
        <v>47.46</v>
      </c>
      <c r="I793" s="3">
        <v>4</v>
      </c>
      <c r="J793" s="3">
        <f t="shared" si="62"/>
        <v>61.26</v>
      </c>
      <c r="K793" s="3">
        <v>9.8000000000000007</v>
      </c>
      <c r="L793" s="3">
        <v>49.26</v>
      </c>
      <c r="M793" s="3">
        <v>4.3</v>
      </c>
      <c r="N793" s="3">
        <f t="shared" si="63"/>
        <v>63.36</v>
      </c>
      <c r="O793" s="3">
        <f t="shared" si="64"/>
        <v>124.62</v>
      </c>
      <c r="P793" s="2"/>
      <c r="Q793" s="5"/>
    </row>
    <row r="794" spans="1:17">
      <c r="A794" s="2">
        <f t="shared" si="60"/>
        <v>792</v>
      </c>
      <c r="B794" s="2">
        <f t="shared" si="61"/>
        <v>109</v>
      </c>
      <c r="C794" s="2" t="s">
        <v>15</v>
      </c>
      <c r="D794" s="2" t="s">
        <v>39</v>
      </c>
      <c r="E794" s="2" t="s">
        <v>1645</v>
      </c>
      <c r="F794" s="2" t="s">
        <v>1646</v>
      </c>
      <c r="G794" s="3">
        <v>9.8000000000000007</v>
      </c>
      <c r="H794" s="3">
        <v>52.56</v>
      </c>
      <c r="I794" s="3">
        <v>3</v>
      </c>
      <c r="J794" s="3">
        <f t="shared" si="62"/>
        <v>65.36</v>
      </c>
      <c r="K794" s="3">
        <v>7.3000000000000007</v>
      </c>
      <c r="L794" s="3">
        <v>48.18</v>
      </c>
      <c r="M794" s="3">
        <v>3.7</v>
      </c>
      <c r="N794" s="3">
        <f t="shared" si="63"/>
        <v>59.18</v>
      </c>
      <c r="O794" s="3">
        <f t="shared" si="64"/>
        <v>124.54</v>
      </c>
      <c r="P794" s="2"/>
      <c r="Q794" s="5"/>
    </row>
    <row r="795" spans="1:17">
      <c r="A795" s="2">
        <f t="shared" si="60"/>
        <v>792</v>
      </c>
      <c r="B795" s="2">
        <f t="shared" si="61"/>
        <v>280</v>
      </c>
      <c r="C795" s="2" t="s">
        <v>45</v>
      </c>
      <c r="D795" s="2" t="s">
        <v>114</v>
      </c>
      <c r="E795" s="2" t="s">
        <v>1647</v>
      </c>
      <c r="F795" s="2" t="s">
        <v>1648</v>
      </c>
      <c r="G795" s="3">
        <v>9.8000000000000007</v>
      </c>
      <c r="H795" s="3">
        <v>50.42</v>
      </c>
      <c r="I795" s="3">
        <v>3.8</v>
      </c>
      <c r="J795" s="3">
        <f t="shared" si="62"/>
        <v>64.02</v>
      </c>
      <c r="K795" s="3">
        <v>9.8000000000000007</v>
      </c>
      <c r="L795" s="3">
        <v>47.22</v>
      </c>
      <c r="M795" s="3">
        <v>3.5</v>
      </c>
      <c r="N795" s="3">
        <f t="shared" si="63"/>
        <v>60.52</v>
      </c>
      <c r="O795" s="3">
        <f t="shared" si="64"/>
        <v>124.54</v>
      </c>
      <c r="P795" s="2"/>
      <c r="Q795" s="5"/>
    </row>
    <row r="796" spans="1:17">
      <c r="A796" s="2">
        <f t="shared" si="60"/>
        <v>794</v>
      </c>
      <c r="B796" s="2">
        <f t="shared" si="61"/>
        <v>281</v>
      </c>
      <c r="C796" s="2" t="s">
        <v>45</v>
      </c>
      <c r="D796" s="2" t="s">
        <v>220</v>
      </c>
      <c r="E796" s="2" t="s">
        <v>1649</v>
      </c>
      <c r="F796" s="2" t="s">
        <v>1650</v>
      </c>
      <c r="G796" s="3">
        <v>10</v>
      </c>
      <c r="H796" s="3">
        <v>44.74</v>
      </c>
      <c r="I796" s="3">
        <v>5.5</v>
      </c>
      <c r="J796" s="3">
        <f t="shared" si="62"/>
        <v>60.24</v>
      </c>
      <c r="K796" s="3">
        <v>10</v>
      </c>
      <c r="L796" s="3">
        <v>50.16</v>
      </c>
      <c r="M796" s="3">
        <v>4.0999999999999996</v>
      </c>
      <c r="N796" s="3">
        <f t="shared" si="63"/>
        <v>64.260000000000005</v>
      </c>
      <c r="O796" s="3">
        <f t="shared" si="64"/>
        <v>124.5</v>
      </c>
      <c r="P796" s="2"/>
      <c r="Q796" s="5"/>
    </row>
    <row r="797" spans="1:17">
      <c r="A797" s="2">
        <f t="shared" si="60"/>
        <v>795</v>
      </c>
      <c r="B797" s="2">
        <f t="shared" si="61"/>
        <v>133</v>
      </c>
      <c r="C797" s="2" t="s">
        <v>24</v>
      </c>
      <c r="D797" s="2" t="s">
        <v>76</v>
      </c>
      <c r="E797" s="2" t="s">
        <v>1651</v>
      </c>
      <c r="F797" s="2" t="s">
        <v>1652</v>
      </c>
      <c r="G797" s="3">
        <v>10.8</v>
      </c>
      <c r="H797" s="3">
        <v>44.682926829268297</v>
      </c>
      <c r="I797" s="3">
        <v>3</v>
      </c>
      <c r="J797" s="3">
        <f t="shared" si="62"/>
        <v>58.48</v>
      </c>
      <c r="K797" s="3">
        <v>9</v>
      </c>
      <c r="L797" s="3">
        <v>54.01</v>
      </c>
      <c r="M797" s="3">
        <v>3</v>
      </c>
      <c r="N797" s="3">
        <f t="shared" si="63"/>
        <v>66.010000000000005</v>
      </c>
      <c r="O797" s="3">
        <f t="shared" si="64"/>
        <v>124.49</v>
      </c>
      <c r="P797" s="2"/>
      <c r="Q797" s="5"/>
    </row>
    <row r="798" spans="1:17">
      <c r="A798" s="2">
        <f t="shared" si="60"/>
        <v>796</v>
      </c>
      <c r="B798" s="2">
        <f t="shared" si="61"/>
        <v>282</v>
      </c>
      <c r="C798" s="2" t="s">
        <v>45</v>
      </c>
      <c r="D798" s="2" t="s">
        <v>232</v>
      </c>
      <c r="E798" s="2" t="s">
        <v>1653</v>
      </c>
      <c r="F798" s="2" t="s">
        <v>1654</v>
      </c>
      <c r="G798" s="3">
        <v>9.8000000000000007</v>
      </c>
      <c r="H798" s="3">
        <v>51.07</v>
      </c>
      <c r="I798" s="3">
        <v>3.4</v>
      </c>
      <c r="J798" s="3">
        <f t="shared" si="62"/>
        <v>64.27</v>
      </c>
      <c r="K798" s="3">
        <v>9.8000000000000007</v>
      </c>
      <c r="L798" s="3">
        <v>47.34</v>
      </c>
      <c r="M798" s="3">
        <v>3</v>
      </c>
      <c r="N798" s="3">
        <f t="shared" si="63"/>
        <v>60.14</v>
      </c>
      <c r="O798" s="3">
        <f t="shared" si="64"/>
        <v>124.41</v>
      </c>
      <c r="P798" s="2"/>
      <c r="Q798" s="5"/>
    </row>
    <row r="799" spans="1:17">
      <c r="A799" s="2">
        <f t="shared" si="60"/>
        <v>797</v>
      </c>
      <c r="B799" s="2">
        <f t="shared" si="61"/>
        <v>273</v>
      </c>
      <c r="C799" s="2" t="s">
        <v>20</v>
      </c>
      <c r="D799" s="2" t="s">
        <v>21</v>
      </c>
      <c r="E799" s="2" t="s">
        <v>1655</v>
      </c>
      <c r="F799" s="2" t="s">
        <v>1656</v>
      </c>
      <c r="G799" s="3">
        <v>9.8000000000000007</v>
      </c>
      <c r="H799" s="3">
        <v>48.47</v>
      </c>
      <c r="I799" s="3">
        <v>3.2</v>
      </c>
      <c r="J799" s="3">
        <f t="shared" si="62"/>
        <v>61.47</v>
      </c>
      <c r="K799" s="3">
        <v>9.8000000000000007</v>
      </c>
      <c r="L799" s="3">
        <v>49.61</v>
      </c>
      <c r="M799" s="3">
        <v>3.5</v>
      </c>
      <c r="N799" s="3">
        <f t="shared" si="63"/>
        <v>62.91</v>
      </c>
      <c r="O799" s="3">
        <f t="shared" si="64"/>
        <v>124.38</v>
      </c>
      <c r="P799" s="2"/>
      <c r="Q799" s="5"/>
    </row>
    <row r="800" spans="1:17">
      <c r="A800" s="2">
        <f t="shared" si="60"/>
        <v>798</v>
      </c>
      <c r="B800" s="2">
        <f t="shared" si="61"/>
        <v>283</v>
      </c>
      <c r="C800" s="2" t="s">
        <v>45</v>
      </c>
      <c r="D800" s="2" t="s">
        <v>220</v>
      </c>
      <c r="E800" s="2" t="s">
        <v>1657</v>
      </c>
      <c r="F800" s="2" t="s">
        <v>1658</v>
      </c>
      <c r="G800" s="3">
        <v>9.8000000000000007</v>
      </c>
      <c r="H800" s="3">
        <v>50.68</v>
      </c>
      <c r="I800" s="3">
        <v>3</v>
      </c>
      <c r="J800" s="3">
        <f t="shared" si="62"/>
        <v>63.48</v>
      </c>
      <c r="K800" s="3">
        <v>9.8000000000000007</v>
      </c>
      <c r="L800" s="3">
        <v>47.54</v>
      </c>
      <c r="M800" s="3">
        <v>3.5</v>
      </c>
      <c r="N800" s="3">
        <f t="shared" si="63"/>
        <v>60.84</v>
      </c>
      <c r="O800" s="3">
        <f t="shared" si="64"/>
        <v>124.32</v>
      </c>
      <c r="P800" s="2"/>
      <c r="Q800" s="5"/>
    </row>
    <row r="801" spans="1:17">
      <c r="A801" s="2">
        <f t="shared" si="60"/>
        <v>799</v>
      </c>
      <c r="B801" s="2">
        <f t="shared" si="61"/>
        <v>284</v>
      </c>
      <c r="C801" s="2" t="s">
        <v>45</v>
      </c>
      <c r="D801" s="2" t="s">
        <v>220</v>
      </c>
      <c r="E801" s="2" t="s">
        <v>1659</v>
      </c>
      <c r="F801" s="2" t="s">
        <v>1660</v>
      </c>
      <c r="G801" s="3">
        <v>9.8000000000000007</v>
      </c>
      <c r="H801" s="3">
        <v>46.85</v>
      </c>
      <c r="I801" s="3">
        <v>5</v>
      </c>
      <c r="J801" s="3">
        <f t="shared" si="62"/>
        <v>61.65</v>
      </c>
      <c r="K801" s="3">
        <v>9.8000000000000007</v>
      </c>
      <c r="L801" s="3">
        <v>46.92</v>
      </c>
      <c r="M801" s="3">
        <v>5.9</v>
      </c>
      <c r="N801" s="3">
        <f t="shared" si="63"/>
        <v>62.62</v>
      </c>
      <c r="O801" s="3">
        <f t="shared" si="64"/>
        <v>124.27</v>
      </c>
      <c r="P801" s="2"/>
      <c r="Q801" s="5"/>
    </row>
    <row r="802" spans="1:17">
      <c r="A802" s="2">
        <f t="shared" si="60"/>
        <v>800</v>
      </c>
      <c r="B802" s="2">
        <f t="shared" si="61"/>
        <v>274</v>
      </c>
      <c r="C802" s="2" t="s">
        <v>20</v>
      </c>
      <c r="D802" s="2" t="s">
        <v>82</v>
      </c>
      <c r="E802" s="2" t="s">
        <v>1661</v>
      </c>
      <c r="F802" s="2" t="s">
        <v>1662</v>
      </c>
      <c r="G802" s="3">
        <v>9.8000000000000007</v>
      </c>
      <c r="H802" s="3">
        <v>51.638297872340402</v>
      </c>
      <c r="I802" s="3">
        <v>3</v>
      </c>
      <c r="J802" s="3">
        <f t="shared" si="62"/>
        <v>64.44</v>
      </c>
      <c r="K802" s="3">
        <v>9.8000000000000007</v>
      </c>
      <c r="L802" s="3">
        <v>46.49</v>
      </c>
      <c r="M802" s="3">
        <v>3.5</v>
      </c>
      <c r="N802" s="3">
        <f t="shared" si="63"/>
        <v>59.79</v>
      </c>
      <c r="O802" s="3">
        <f t="shared" si="64"/>
        <v>124.23</v>
      </c>
      <c r="P802" s="2"/>
      <c r="Q802" s="5"/>
    </row>
    <row r="803" spans="1:17">
      <c r="A803" s="2">
        <f t="shared" si="60"/>
        <v>801</v>
      </c>
      <c r="B803" s="2">
        <f t="shared" si="61"/>
        <v>285</v>
      </c>
      <c r="C803" s="2" t="s">
        <v>45</v>
      </c>
      <c r="D803" s="2" t="s">
        <v>266</v>
      </c>
      <c r="E803" s="2" t="s">
        <v>1663</v>
      </c>
      <c r="F803" s="2" t="s">
        <v>1664</v>
      </c>
      <c r="G803" s="3">
        <v>9.8000000000000007</v>
      </c>
      <c r="H803" s="3">
        <v>52.79</v>
      </c>
      <c r="I803" s="3">
        <v>3</v>
      </c>
      <c r="J803" s="3">
        <f t="shared" si="62"/>
        <v>65.59</v>
      </c>
      <c r="K803" s="3">
        <v>9.8000000000000007</v>
      </c>
      <c r="L803" s="3">
        <v>44.73</v>
      </c>
      <c r="M803" s="3">
        <v>4.0999999999999996</v>
      </c>
      <c r="N803" s="3">
        <f t="shared" si="63"/>
        <v>58.63</v>
      </c>
      <c r="O803" s="3">
        <f t="shared" si="64"/>
        <v>124.22</v>
      </c>
      <c r="P803" s="2"/>
      <c r="Q803" s="5"/>
    </row>
    <row r="804" spans="1:17">
      <c r="A804" s="2">
        <f t="shared" si="60"/>
        <v>802</v>
      </c>
      <c r="B804" s="2">
        <f t="shared" si="61"/>
        <v>275</v>
      </c>
      <c r="C804" s="2" t="s">
        <v>20</v>
      </c>
      <c r="D804" s="2" t="s">
        <v>82</v>
      </c>
      <c r="E804" s="2" t="s">
        <v>1665</v>
      </c>
      <c r="F804" s="2" t="s">
        <v>1666</v>
      </c>
      <c r="G804" s="3">
        <v>7.3</v>
      </c>
      <c r="H804" s="3">
        <v>54.957446808510603</v>
      </c>
      <c r="I804" s="3">
        <v>3</v>
      </c>
      <c r="J804" s="3">
        <f t="shared" si="62"/>
        <v>65.260000000000005</v>
      </c>
      <c r="K804" s="3">
        <v>9.8000000000000007</v>
      </c>
      <c r="L804" s="3">
        <v>45.61</v>
      </c>
      <c r="M804" s="3">
        <v>3.5</v>
      </c>
      <c r="N804" s="3">
        <f t="shared" si="63"/>
        <v>58.91</v>
      </c>
      <c r="O804" s="3">
        <f t="shared" si="64"/>
        <v>124.17</v>
      </c>
      <c r="P804" s="2"/>
      <c r="Q804" s="5"/>
    </row>
    <row r="805" spans="1:17">
      <c r="A805" s="2">
        <f t="shared" si="60"/>
        <v>803</v>
      </c>
      <c r="B805" s="2">
        <f t="shared" si="61"/>
        <v>110</v>
      </c>
      <c r="C805" s="2" t="s">
        <v>15</v>
      </c>
      <c r="D805" s="2" t="s">
        <v>39</v>
      </c>
      <c r="E805" s="2" t="s">
        <v>1667</v>
      </c>
      <c r="F805" s="2" t="s">
        <v>1668</v>
      </c>
      <c r="G805" s="3">
        <v>9.8000000000000007</v>
      </c>
      <c r="H805" s="3">
        <v>49.43</v>
      </c>
      <c r="I805" s="3">
        <v>3</v>
      </c>
      <c r="J805" s="3">
        <f t="shared" si="62"/>
        <v>62.23</v>
      </c>
      <c r="K805" s="3">
        <v>7.3000000000000007</v>
      </c>
      <c r="L805" s="3">
        <v>51.09</v>
      </c>
      <c r="M805" s="3">
        <v>3.5</v>
      </c>
      <c r="N805" s="3">
        <f t="shared" si="63"/>
        <v>61.89</v>
      </c>
      <c r="O805" s="3">
        <f t="shared" si="64"/>
        <v>124.12</v>
      </c>
      <c r="P805" s="2"/>
      <c r="Q805" s="5"/>
    </row>
    <row r="806" spans="1:17">
      <c r="A806" s="2">
        <f t="shared" si="60"/>
        <v>804</v>
      </c>
      <c r="B806" s="2">
        <f t="shared" si="61"/>
        <v>276</v>
      </c>
      <c r="C806" s="2" t="s">
        <v>20</v>
      </c>
      <c r="D806" s="2" t="s">
        <v>32</v>
      </c>
      <c r="E806" s="2" t="s">
        <v>1669</v>
      </c>
      <c r="F806" s="2" t="s">
        <v>1670</v>
      </c>
      <c r="G806" s="3">
        <v>9.8000000000000007</v>
      </c>
      <c r="H806" s="3">
        <v>49.112244897959201</v>
      </c>
      <c r="I806" s="3">
        <v>3</v>
      </c>
      <c r="J806" s="3">
        <f t="shared" si="62"/>
        <v>61.91</v>
      </c>
      <c r="K806" s="3">
        <v>9.8000000000000007</v>
      </c>
      <c r="L806" s="3">
        <v>49.2</v>
      </c>
      <c r="M806" s="3">
        <v>3.2</v>
      </c>
      <c r="N806" s="3">
        <f t="shared" si="63"/>
        <v>62.2</v>
      </c>
      <c r="O806" s="3">
        <f t="shared" si="64"/>
        <v>124.11</v>
      </c>
      <c r="P806" s="2"/>
      <c r="Q806" s="5"/>
    </row>
    <row r="807" spans="1:17">
      <c r="A807" s="2">
        <f t="shared" si="60"/>
        <v>805</v>
      </c>
      <c r="B807" s="2">
        <f t="shared" si="61"/>
        <v>111</v>
      </c>
      <c r="C807" s="2" t="s">
        <v>15</v>
      </c>
      <c r="D807" s="2" t="s">
        <v>257</v>
      </c>
      <c r="E807" s="2" t="s">
        <v>1671</v>
      </c>
      <c r="F807" s="2" t="s">
        <v>1672</v>
      </c>
      <c r="G807" s="3">
        <v>9.4</v>
      </c>
      <c r="H807" s="3">
        <v>51.34</v>
      </c>
      <c r="I807" s="3">
        <v>3</v>
      </c>
      <c r="J807" s="3">
        <f t="shared" si="62"/>
        <v>63.74</v>
      </c>
      <c r="K807" s="3">
        <v>7.3000000000000007</v>
      </c>
      <c r="L807" s="3">
        <v>49.4</v>
      </c>
      <c r="M807" s="3">
        <v>3.5</v>
      </c>
      <c r="N807" s="3">
        <f t="shared" si="63"/>
        <v>60.2</v>
      </c>
      <c r="O807" s="3">
        <f t="shared" si="64"/>
        <v>123.94</v>
      </c>
      <c r="P807" s="2"/>
      <c r="Q807" s="5"/>
    </row>
    <row r="808" spans="1:17">
      <c r="A808" s="2">
        <f t="shared" si="60"/>
        <v>806</v>
      </c>
      <c r="B808" s="2">
        <f t="shared" si="61"/>
        <v>286</v>
      </c>
      <c r="C808" s="2" t="s">
        <v>45</v>
      </c>
      <c r="D808" s="2" t="s">
        <v>114</v>
      </c>
      <c r="E808" s="2" t="s">
        <v>1673</v>
      </c>
      <c r="F808" s="2" t="s">
        <v>1674</v>
      </c>
      <c r="G808" s="3">
        <v>9.8000000000000007</v>
      </c>
      <c r="H808" s="3">
        <v>50.18</v>
      </c>
      <c r="I808" s="3">
        <v>4</v>
      </c>
      <c r="J808" s="3">
        <f t="shared" si="62"/>
        <v>63.98</v>
      </c>
      <c r="K808" s="3">
        <v>9.8000000000000007</v>
      </c>
      <c r="L808" s="3">
        <v>46.14</v>
      </c>
      <c r="M808" s="3">
        <v>4</v>
      </c>
      <c r="N808" s="3">
        <f t="shared" si="63"/>
        <v>59.94</v>
      </c>
      <c r="O808" s="3">
        <f t="shared" si="64"/>
        <v>123.92</v>
      </c>
      <c r="P808" s="2"/>
      <c r="Q808" s="5"/>
    </row>
    <row r="809" spans="1:17">
      <c r="A809" s="2">
        <f t="shared" si="60"/>
        <v>807</v>
      </c>
      <c r="B809" s="2">
        <f t="shared" si="61"/>
        <v>277</v>
      </c>
      <c r="C809" s="2" t="s">
        <v>20</v>
      </c>
      <c r="D809" s="2" t="s">
        <v>82</v>
      </c>
      <c r="E809" s="2" t="s">
        <v>1675</v>
      </c>
      <c r="F809" s="2" t="s">
        <v>1676</v>
      </c>
      <c r="G809" s="3">
        <v>10</v>
      </c>
      <c r="H809" s="3">
        <v>53.755102040816297</v>
      </c>
      <c r="I809" s="3">
        <v>3</v>
      </c>
      <c r="J809" s="3">
        <f t="shared" si="62"/>
        <v>66.760000000000005</v>
      </c>
      <c r="K809" s="3">
        <v>7.5</v>
      </c>
      <c r="L809" s="3">
        <v>45.88</v>
      </c>
      <c r="M809" s="3">
        <v>3.5</v>
      </c>
      <c r="N809" s="3">
        <f t="shared" si="63"/>
        <v>56.88</v>
      </c>
      <c r="O809" s="3">
        <f t="shared" si="64"/>
        <v>123.64</v>
      </c>
      <c r="P809" s="2"/>
      <c r="Q809" s="5"/>
    </row>
    <row r="810" spans="1:17">
      <c r="A810" s="2">
        <f t="shared" si="60"/>
        <v>808</v>
      </c>
      <c r="B810" s="2">
        <f t="shared" si="61"/>
        <v>287</v>
      </c>
      <c r="C810" s="2" t="s">
        <v>45</v>
      </c>
      <c r="D810" s="2" t="s">
        <v>96</v>
      </c>
      <c r="E810" s="2" t="s">
        <v>1677</v>
      </c>
      <c r="F810" s="2" t="s">
        <v>1678</v>
      </c>
      <c r="G810" s="3">
        <v>9.8000000000000007</v>
      </c>
      <c r="H810" s="3">
        <v>54.64</v>
      </c>
      <c r="I810" s="3">
        <v>3</v>
      </c>
      <c r="J810" s="3">
        <f t="shared" si="62"/>
        <v>67.44</v>
      </c>
      <c r="K810" s="3">
        <v>7.3000000000000007</v>
      </c>
      <c r="L810" s="3">
        <v>45.88</v>
      </c>
      <c r="M810" s="3">
        <v>3</v>
      </c>
      <c r="N810" s="3">
        <f t="shared" si="63"/>
        <v>56.18</v>
      </c>
      <c r="O810" s="3">
        <f t="shared" si="64"/>
        <v>123.62</v>
      </c>
      <c r="P810" s="2"/>
      <c r="Q810" s="5"/>
    </row>
    <row r="811" spans="1:17">
      <c r="A811" s="2">
        <f t="shared" si="60"/>
        <v>809</v>
      </c>
      <c r="B811" s="2">
        <f t="shared" si="61"/>
        <v>288</v>
      </c>
      <c r="C811" s="2" t="s">
        <v>45</v>
      </c>
      <c r="D811" s="2" t="s">
        <v>73</v>
      </c>
      <c r="E811" s="2" t="s">
        <v>1679</v>
      </c>
      <c r="F811" s="2" t="s">
        <v>1680</v>
      </c>
      <c r="G811" s="3">
        <v>9.8000000000000007</v>
      </c>
      <c r="H811" s="3">
        <v>50.08</v>
      </c>
      <c r="I811" s="3">
        <v>3</v>
      </c>
      <c r="J811" s="3">
        <f t="shared" si="62"/>
        <v>62.88</v>
      </c>
      <c r="K811" s="3">
        <v>9.8000000000000007</v>
      </c>
      <c r="L811" s="3">
        <v>47.89</v>
      </c>
      <c r="M811" s="3">
        <v>3</v>
      </c>
      <c r="N811" s="3">
        <f t="shared" si="63"/>
        <v>60.69</v>
      </c>
      <c r="O811" s="3">
        <f t="shared" si="64"/>
        <v>123.57</v>
      </c>
      <c r="P811" s="2"/>
      <c r="Q811" s="5"/>
    </row>
    <row r="812" spans="1:17">
      <c r="A812" s="2">
        <f t="shared" si="60"/>
        <v>810</v>
      </c>
      <c r="B812" s="2">
        <f t="shared" si="61"/>
        <v>289</v>
      </c>
      <c r="C812" s="2" t="s">
        <v>45</v>
      </c>
      <c r="D812" s="2" t="s">
        <v>232</v>
      </c>
      <c r="E812" s="2" t="s">
        <v>1681</v>
      </c>
      <c r="F812" s="2" t="s">
        <v>1682</v>
      </c>
      <c r="G812" s="3">
        <v>10.4</v>
      </c>
      <c r="H812" s="3">
        <v>49.36</v>
      </c>
      <c r="I812" s="3">
        <v>3.8</v>
      </c>
      <c r="J812" s="3">
        <f t="shared" si="62"/>
        <v>63.56</v>
      </c>
      <c r="K812" s="3">
        <v>9.8000000000000007</v>
      </c>
      <c r="L812" s="3">
        <v>46.09</v>
      </c>
      <c r="M812" s="3">
        <v>4.0999999999999996</v>
      </c>
      <c r="N812" s="3">
        <f t="shared" si="63"/>
        <v>59.99</v>
      </c>
      <c r="O812" s="3">
        <f t="shared" si="64"/>
        <v>123.55</v>
      </c>
      <c r="P812" s="2"/>
      <c r="Q812" s="5"/>
    </row>
    <row r="813" spans="1:17">
      <c r="A813" s="2">
        <f t="shared" si="60"/>
        <v>811</v>
      </c>
      <c r="B813" s="2">
        <f t="shared" si="61"/>
        <v>278</v>
      </c>
      <c r="C813" s="2" t="s">
        <v>20</v>
      </c>
      <c r="D813" s="2" t="s">
        <v>117</v>
      </c>
      <c r="E813" s="2" t="s">
        <v>1683</v>
      </c>
      <c r="F813" s="2" t="s">
        <v>1684</v>
      </c>
      <c r="G813" s="3">
        <v>10.8</v>
      </c>
      <c r="H813" s="3">
        <v>49.23</v>
      </c>
      <c r="I813" s="3">
        <v>3.2</v>
      </c>
      <c r="J813" s="3">
        <f t="shared" si="62"/>
        <v>63.23</v>
      </c>
      <c r="K813" s="3">
        <v>9.8000000000000007</v>
      </c>
      <c r="L813" s="3">
        <v>47.09</v>
      </c>
      <c r="M813" s="3">
        <v>3.4</v>
      </c>
      <c r="N813" s="3">
        <f t="shared" si="63"/>
        <v>60.29</v>
      </c>
      <c r="O813" s="3">
        <f t="shared" si="64"/>
        <v>123.52</v>
      </c>
      <c r="P813" s="2"/>
      <c r="Q813" s="5"/>
    </row>
    <row r="814" spans="1:17">
      <c r="A814" s="2">
        <f t="shared" si="60"/>
        <v>812</v>
      </c>
      <c r="B814" s="2">
        <f t="shared" si="61"/>
        <v>290</v>
      </c>
      <c r="C814" s="2" t="s">
        <v>45</v>
      </c>
      <c r="D814" s="2" t="s">
        <v>109</v>
      </c>
      <c r="E814" s="2" t="s">
        <v>1685</v>
      </c>
      <c r="F814" s="2" t="s">
        <v>1686</v>
      </c>
      <c r="G814" s="3">
        <v>10</v>
      </c>
      <c r="H814" s="3">
        <v>50.77</v>
      </c>
      <c r="I814" s="3">
        <v>4.2</v>
      </c>
      <c r="J814" s="3">
        <f t="shared" si="62"/>
        <v>64.97</v>
      </c>
      <c r="K814" s="3">
        <v>7.5</v>
      </c>
      <c r="L814" s="3">
        <v>46.32</v>
      </c>
      <c r="M814" s="3">
        <v>4.7</v>
      </c>
      <c r="N814" s="3">
        <f t="shared" si="63"/>
        <v>58.52</v>
      </c>
      <c r="O814" s="3">
        <f t="shared" si="64"/>
        <v>123.49</v>
      </c>
      <c r="P814" s="2"/>
      <c r="Q814" s="5"/>
    </row>
    <row r="815" spans="1:17">
      <c r="A815" s="2">
        <f t="shared" si="60"/>
        <v>813</v>
      </c>
      <c r="B815" s="2">
        <f t="shared" si="61"/>
        <v>279</v>
      </c>
      <c r="C815" s="2" t="s">
        <v>20</v>
      </c>
      <c r="D815" s="2" t="s">
        <v>229</v>
      </c>
      <c r="E815" s="2" t="s">
        <v>1687</v>
      </c>
      <c r="F815" s="2" t="s">
        <v>1688</v>
      </c>
      <c r="G815" s="3">
        <v>9.8000000000000007</v>
      </c>
      <c r="H815" s="3">
        <v>52.09</v>
      </c>
      <c r="I815" s="3">
        <v>3</v>
      </c>
      <c r="J815" s="3">
        <f t="shared" si="62"/>
        <v>64.89</v>
      </c>
      <c r="K815" s="3">
        <v>9.6</v>
      </c>
      <c r="L815" s="3">
        <v>45.48</v>
      </c>
      <c r="M815" s="3">
        <v>3.5</v>
      </c>
      <c r="N815" s="3">
        <f t="shared" si="63"/>
        <v>58.58</v>
      </c>
      <c r="O815" s="3">
        <f t="shared" si="64"/>
        <v>123.47</v>
      </c>
      <c r="P815" s="2"/>
      <c r="Q815" s="5"/>
    </row>
    <row r="816" spans="1:17">
      <c r="A816" s="2">
        <f t="shared" si="60"/>
        <v>814</v>
      </c>
      <c r="B816" s="2">
        <f t="shared" si="61"/>
        <v>112</v>
      </c>
      <c r="C816" s="2" t="s">
        <v>15</v>
      </c>
      <c r="D816" s="2" t="s">
        <v>257</v>
      </c>
      <c r="E816" s="2" t="s">
        <v>1689</v>
      </c>
      <c r="F816" s="2" t="s">
        <v>1690</v>
      </c>
      <c r="G816" s="3">
        <v>9.8000000000000007</v>
      </c>
      <c r="H816" s="3">
        <v>47.8</v>
      </c>
      <c r="I816" s="3">
        <v>3</v>
      </c>
      <c r="J816" s="3">
        <f t="shared" si="62"/>
        <v>60.6</v>
      </c>
      <c r="K816" s="3">
        <v>7.3000000000000007</v>
      </c>
      <c r="L816" s="3">
        <v>51.84</v>
      </c>
      <c r="M816" s="3">
        <v>3.5</v>
      </c>
      <c r="N816" s="3">
        <f t="shared" si="63"/>
        <v>62.64</v>
      </c>
      <c r="O816" s="3">
        <f t="shared" si="64"/>
        <v>123.24</v>
      </c>
      <c r="P816" s="2"/>
      <c r="Q816" s="5"/>
    </row>
    <row r="817" spans="1:17">
      <c r="A817" s="2">
        <f t="shared" si="60"/>
        <v>815</v>
      </c>
      <c r="B817" s="2">
        <f t="shared" si="61"/>
        <v>280</v>
      </c>
      <c r="C817" s="2" t="s">
        <v>20</v>
      </c>
      <c r="D817" s="2" t="s">
        <v>36</v>
      </c>
      <c r="E817" s="2" t="s">
        <v>1691</v>
      </c>
      <c r="F817" s="2" t="s">
        <v>1692</v>
      </c>
      <c r="G817" s="3">
        <v>9.8000000000000007</v>
      </c>
      <c r="H817" s="3">
        <v>50.46</v>
      </c>
      <c r="I817" s="3">
        <v>3</v>
      </c>
      <c r="J817" s="3">
        <f t="shared" si="62"/>
        <v>63.26</v>
      </c>
      <c r="K817" s="3">
        <v>9.8000000000000007</v>
      </c>
      <c r="L817" s="3">
        <v>46.61</v>
      </c>
      <c r="M817" s="3">
        <v>3.5</v>
      </c>
      <c r="N817" s="3">
        <f t="shared" si="63"/>
        <v>59.91</v>
      </c>
      <c r="O817" s="3">
        <f t="shared" si="64"/>
        <v>123.17</v>
      </c>
      <c r="P817" s="2"/>
      <c r="Q817" s="5"/>
    </row>
    <row r="818" spans="1:17">
      <c r="A818" s="2">
        <f t="shared" si="60"/>
        <v>816</v>
      </c>
      <c r="B818" s="2">
        <f t="shared" si="61"/>
        <v>291</v>
      </c>
      <c r="C818" s="2" t="s">
        <v>45</v>
      </c>
      <c r="D818" s="2" t="s">
        <v>109</v>
      </c>
      <c r="E818" s="2" t="s">
        <v>1693</v>
      </c>
      <c r="F818" s="2" t="s">
        <v>1694</v>
      </c>
      <c r="G818" s="3">
        <v>9.8000000000000007</v>
      </c>
      <c r="H818" s="3">
        <v>52.06</v>
      </c>
      <c r="I818" s="3">
        <v>3.2</v>
      </c>
      <c r="J818" s="3">
        <f t="shared" si="62"/>
        <v>65.06</v>
      </c>
      <c r="K818" s="3">
        <v>9.8000000000000007</v>
      </c>
      <c r="L818" s="3">
        <v>44.77</v>
      </c>
      <c r="M818" s="3">
        <v>3.5</v>
      </c>
      <c r="N818" s="3">
        <f t="shared" si="63"/>
        <v>58.07</v>
      </c>
      <c r="O818" s="3">
        <f t="shared" si="64"/>
        <v>123.13</v>
      </c>
      <c r="P818" s="2"/>
      <c r="Q818" s="5"/>
    </row>
    <row r="819" spans="1:17">
      <c r="A819" s="2">
        <f t="shared" si="60"/>
        <v>817</v>
      </c>
      <c r="B819" s="2">
        <f t="shared" si="61"/>
        <v>281</v>
      </c>
      <c r="C819" s="2" t="s">
        <v>20</v>
      </c>
      <c r="D819" s="2" t="s">
        <v>21</v>
      </c>
      <c r="E819" s="2" t="s">
        <v>1695</v>
      </c>
      <c r="F819" s="2" t="s">
        <v>1696</v>
      </c>
      <c r="G819" s="3">
        <v>10</v>
      </c>
      <c r="H819" s="3">
        <v>47.42</v>
      </c>
      <c r="I819" s="3">
        <v>3.25</v>
      </c>
      <c r="J819" s="3">
        <f t="shared" si="62"/>
        <v>60.67</v>
      </c>
      <c r="K819" s="3">
        <v>10</v>
      </c>
      <c r="L819" s="3">
        <v>47.88</v>
      </c>
      <c r="M819" s="3">
        <v>4.5</v>
      </c>
      <c r="N819" s="3">
        <f t="shared" si="63"/>
        <v>62.38</v>
      </c>
      <c r="O819" s="3">
        <f t="shared" si="64"/>
        <v>123.05</v>
      </c>
      <c r="P819" s="2"/>
      <c r="Q819" s="5"/>
    </row>
    <row r="820" spans="1:17">
      <c r="A820" s="2">
        <f t="shared" si="60"/>
        <v>818</v>
      </c>
      <c r="B820" s="2">
        <f t="shared" si="61"/>
        <v>113</v>
      </c>
      <c r="C820" s="2" t="s">
        <v>15</v>
      </c>
      <c r="D820" s="2" t="s">
        <v>39</v>
      </c>
      <c r="E820" s="2" t="s">
        <v>1697</v>
      </c>
      <c r="F820" s="2" t="s">
        <v>1698</v>
      </c>
      <c r="G820" s="3">
        <v>9.8000000000000007</v>
      </c>
      <c r="H820" s="3">
        <v>54.65</v>
      </c>
      <c r="I820" s="3">
        <v>3</v>
      </c>
      <c r="J820" s="3">
        <f t="shared" si="62"/>
        <v>67.45</v>
      </c>
      <c r="K820" s="3">
        <v>7.3000000000000007</v>
      </c>
      <c r="L820" s="3">
        <v>44.5</v>
      </c>
      <c r="M820" s="3">
        <v>3.7</v>
      </c>
      <c r="N820" s="3">
        <f t="shared" si="63"/>
        <v>55.5</v>
      </c>
      <c r="O820" s="3">
        <f t="shared" si="64"/>
        <v>122.95</v>
      </c>
      <c r="P820" s="2"/>
      <c r="Q820" s="5"/>
    </row>
    <row r="821" spans="1:17">
      <c r="A821" s="2">
        <f t="shared" si="60"/>
        <v>819</v>
      </c>
      <c r="B821" s="2">
        <f t="shared" si="61"/>
        <v>292</v>
      </c>
      <c r="C821" s="2" t="s">
        <v>45</v>
      </c>
      <c r="D821" s="2" t="s">
        <v>73</v>
      </c>
      <c r="E821" s="2" t="s">
        <v>1699</v>
      </c>
      <c r="F821" s="2" t="s">
        <v>1700</v>
      </c>
      <c r="G821" s="3">
        <v>9.8000000000000007</v>
      </c>
      <c r="H821" s="3">
        <v>53.21</v>
      </c>
      <c r="I821" s="3">
        <v>3</v>
      </c>
      <c r="J821" s="3">
        <f t="shared" si="62"/>
        <v>66.010000000000005</v>
      </c>
      <c r="K821" s="3">
        <v>9.8000000000000007</v>
      </c>
      <c r="L821" s="3">
        <v>44.13</v>
      </c>
      <c r="M821" s="3">
        <v>3</v>
      </c>
      <c r="N821" s="3">
        <f t="shared" si="63"/>
        <v>56.93</v>
      </c>
      <c r="O821" s="3">
        <f t="shared" si="64"/>
        <v>122.94</v>
      </c>
      <c r="P821" s="2"/>
      <c r="Q821" s="5"/>
    </row>
    <row r="822" spans="1:17">
      <c r="A822" s="2">
        <f t="shared" si="60"/>
        <v>820</v>
      </c>
      <c r="B822" s="2">
        <f t="shared" si="61"/>
        <v>293</v>
      </c>
      <c r="C822" s="2" t="s">
        <v>45</v>
      </c>
      <c r="D822" s="2" t="s">
        <v>114</v>
      </c>
      <c r="E822" s="2" t="s">
        <v>1701</v>
      </c>
      <c r="F822" s="2" t="s">
        <v>1702</v>
      </c>
      <c r="G822" s="3">
        <v>11.1</v>
      </c>
      <c r="H822" s="3">
        <v>53.93</v>
      </c>
      <c r="I822" s="3">
        <v>4.5</v>
      </c>
      <c r="J822" s="3">
        <f t="shared" si="62"/>
        <v>69.53</v>
      </c>
      <c r="K822" s="3">
        <v>9.8000000000000007</v>
      </c>
      <c r="L822" s="3">
        <v>39.6</v>
      </c>
      <c r="M822" s="3">
        <v>4</v>
      </c>
      <c r="N822" s="3">
        <f t="shared" si="63"/>
        <v>53.4</v>
      </c>
      <c r="O822" s="3">
        <f t="shared" si="64"/>
        <v>122.93</v>
      </c>
      <c r="P822" s="2"/>
      <c r="Q822" s="5"/>
    </row>
    <row r="823" spans="1:17">
      <c r="A823" s="2">
        <f t="shared" si="60"/>
        <v>821</v>
      </c>
      <c r="B823" s="2">
        <f t="shared" si="61"/>
        <v>282</v>
      </c>
      <c r="C823" s="2" t="s">
        <v>20</v>
      </c>
      <c r="D823" s="2" t="s">
        <v>117</v>
      </c>
      <c r="E823" s="2" t="s">
        <v>1703</v>
      </c>
      <c r="F823" s="2" t="s">
        <v>1704</v>
      </c>
      <c r="G823" s="3">
        <v>9.8000000000000007</v>
      </c>
      <c r="H823" s="3">
        <v>50.07</v>
      </c>
      <c r="I823" s="3">
        <v>3</v>
      </c>
      <c r="J823" s="3">
        <f t="shared" si="62"/>
        <v>62.87</v>
      </c>
      <c r="K823" s="3">
        <v>9.4</v>
      </c>
      <c r="L823" s="3">
        <v>47.62</v>
      </c>
      <c r="M823" s="3">
        <v>3</v>
      </c>
      <c r="N823" s="3">
        <f t="shared" si="63"/>
        <v>60.02</v>
      </c>
      <c r="O823" s="3">
        <f t="shared" si="64"/>
        <v>122.89</v>
      </c>
      <c r="P823" s="2"/>
      <c r="Q823" s="5"/>
    </row>
    <row r="824" spans="1:17">
      <c r="A824" s="2">
        <f t="shared" si="60"/>
        <v>822</v>
      </c>
      <c r="B824" s="2">
        <f t="shared" si="61"/>
        <v>283</v>
      </c>
      <c r="C824" s="2" t="s">
        <v>20</v>
      </c>
      <c r="D824" s="2" t="s">
        <v>21</v>
      </c>
      <c r="E824" s="2" t="s">
        <v>1705</v>
      </c>
      <c r="F824" s="2" t="s">
        <v>1706</v>
      </c>
      <c r="G824" s="3">
        <v>9.8000000000000007</v>
      </c>
      <c r="H824" s="3">
        <v>49.01</v>
      </c>
      <c r="I824" s="3">
        <v>4.2</v>
      </c>
      <c r="J824" s="3">
        <f t="shared" si="62"/>
        <v>63.01</v>
      </c>
      <c r="K824" s="3">
        <v>9.8000000000000007</v>
      </c>
      <c r="L824" s="3">
        <v>46.56</v>
      </c>
      <c r="M824" s="3">
        <v>3.5</v>
      </c>
      <c r="N824" s="3">
        <f t="shared" si="63"/>
        <v>59.86</v>
      </c>
      <c r="O824" s="3">
        <f t="shared" si="64"/>
        <v>122.87</v>
      </c>
      <c r="P824" s="2"/>
      <c r="Q824" s="5"/>
    </row>
    <row r="825" spans="1:17">
      <c r="A825" s="2">
        <f t="shared" si="60"/>
        <v>823</v>
      </c>
      <c r="B825" s="2">
        <f t="shared" si="61"/>
        <v>284</v>
      </c>
      <c r="C825" s="2" t="s">
        <v>20</v>
      </c>
      <c r="D825" s="2" t="s">
        <v>32</v>
      </c>
      <c r="E825" s="2" t="s">
        <v>1707</v>
      </c>
      <c r="F825" s="2" t="s">
        <v>1708</v>
      </c>
      <c r="G825" s="3">
        <v>9.8000000000000007</v>
      </c>
      <c r="H825" s="3">
        <v>49.8979591836735</v>
      </c>
      <c r="I825" s="3">
        <v>3</v>
      </c>
      <c r="J825" s="3">
        <f t="shared" si="62"/>
        <v>62.7</v>
      </c>
      <c r="K825" s="3">
        <v>9.8000000000000007</v>
      </c>
      <c r="L825" s="3">
        <v>46.83</v>
      </c>
      <c r="M825" s="3">
        <v>3.5</v>
      </c>
      <c r="N825" s="3">
        <f t="shared" si="63"/>
        <v>60.13</v>
      </c>
      <c r="O825" s="3">
        <f t="shared" si="64"/>
        <v>122.83</v>
      </c>
      <c r="P825" s="2"/>
      <c r="Q825" s="5"/>
    </row>
    <row r="826" spans="1:17">
      <c r="A826" s="2">
        <f t="shared" si="60"/>
        <v>823</v>
      </c>
      <c r="B826" s="2">
        <f t="shared" si="61"/>
        <v>294</v>
      </c>
      <c r="C826" s="2" t="s">
        <v>45</v>
      </c>
      <c r="D826" s="2" t="s">
        <v>109</v>
      </c>
      <c r="E826" s="2" t="s">
        <v>1709</v>
      </c>
      <c r="F826" s="2" t="s">
        <v>1710</v>
      </c>
      <c r="G826" s="3">
        <v>7.3</v>
      </c>
      <c r="H826" s="3">
        <v>53.9</v>
      </c>
      <c r="I826" s="3">
        <v>3</v>
      </c>
      <c r="J826" s="3">
        <f t="shared" si="62"/>
        <v>64.2</v>
      </c>
      <c r="K826" s="3">
        <v>7.5</v>
      </c>
      <c r="L826" s="3">
        <v>48.13</v>
      </c>
      <c r="M826" s="3">
        <v>3</v>
      </c>
      <c r="N826" s="3">
        <f t="shared" si="63"/>
        <v>58.63</v>
      </c>
      <c r="O826" s="3">
        <f t="shared" si="64"/>
        <v>122.83</v>
      </c>
      <c r="P826" s="2"/>
      <c r="Q826" s="5"/>
    </row>
    <row r="827" spans="1:17">
      <c r="A827" s="2">
        <f t="shared" si="60"/>
        <v>825</v>
      </c>
      <c r="B827" s="2">
        <f t="shared" si="61"/>
        <v>295</v>
      </c>
      <c r="C827" s="2" t="s">
        <v>45</v>
      </c>
      <c r="D827" s="2" t="s">
        <v>89</v>
      </c>
      <c r="E827" s="2" t="s">
        <v>1711</v>
      </c>
      <c r="F827" s="2" t="s">
        <v>1712</v>
      </c>
      <c r="G827" s="3">
        <v>9.8000000000000007</v>
      </c>
      <c r="H827" s="3">
        <v>48.05</v>
      </c>
      <c r="I827" s="3">
        <v>3</v>
      </c>
      <c r="J827" s="3">
        <f t="shared" si="62"/>
        <v>60.85</v>
      </c>
      <c r="K827" s="3">
        <v>9.8000000000000007</v>
      </c>
      <c r="L827" s="3">
        <v>49.14</v>
      </c>
      <c r="M827" s="3">
        <v>3</v>
      </c>
      <c r="N827" s="3">
        <f t="shared" si="63"/>
        <v>61.94</v>
      </c>
      <c r="O827" s="3">
        <f t="shared" si="64"/>
        <v>122.79</v>
      </c>
      <c r="P827" s="2"/>
      <c r="Q827" s="5"/>
    </row>
    <row r="828" spans="1:17">
      <c r="A828" s="2">
        <f t="shared" si="60"/>
        <v>826</v>
      </c>
      <c r="B828" s="2">
        <f t="shared" si="61"/>
        <v>296</v>
      </c>
      <c r="C828" s="2" t="s">
        <v>45</v>
      </c>
      <c r="D828" s="2" t="s">
        <v>73</v>
      </c>
      <c r="E828" s="2" t="s">
        <v>1713</v>
      </c>
      <c r="F828" s="2" t="s">
        <v>1714</v>
      </c>
      <c r="G828" s="3">
        <v>7.3</v>
      </c>
      <c r="H828" s="3">
        <v>48.07</v>
      </c>
      <c r="I828" s="3">
        <v>4</v>
      </c>
      <c r="J828" s="3">
        <f t="shared" si="62"/>
        <v>59.37</v>
      </c>
      <c r="K828" s="3">
        <v>9.8000000000000007</v>
      </c>
      <c r="L828" s="3">
        <v>49.21</v>
      </c>
      <c r="M828" s="3">
        <v>4</v>
      </c>
      <c r="N828" s="3">
        <f t="shared" si="63"/>
        <v>63.01</v>
      </c>
      <c r="O828" s="3">
        <f t="shared" si="64"/>
        <v>122.38</v>
      </c>
      <c r="P828" s="2"/>
      <c r="Q828" s="5"/>
    </row>
    <row r="829" spans="1:17">
      <c r="A829" s="2">
        <f t="shared" si="60"/>
        <v>827</v>
      </c>
      <c r="B829" s="2">
        <f t="shared" si="61"/>
        <v>285</v>
      </c>
      <c r="C829" s="2" t="s">
        <v>20</v>
      </c>
      <c r="D829" s="2" t="s">
        <v>229</v>
      </c>
      <c r="E829" s="2" t="s">
        <v>1715</v>
      </c>
      <c r="F829" s="2" t="s">
        <v>1716</v>
      </c>
      <c r="G829" s="3">
        <v>9.8000000000000007</v>
      </c>
      <c r="H829" s="3">
        <v>47.55</v>
      </c>
      <c r="I829" s="3">
        <v>4.5</v>
      </c>
      <c r="J829" s="3">
        <f t="shared" si="62"/>
        <v>61.85</v>
      </c>
      <c r="K829" s="3">
        <v>9.6</v>
      </c>
      <c r="L829" s="3">
        <v>47.37</v>
      </c>
      <c r="M829" s="3">
        <v>3.5</v>
      </c>
      <c r="N829" s="3">
        <f t="shared" si="63"/>
        <v>60.47</v>
      </c>
      <c r="O829" s="3">
        <f t="shared" si="64"/>
        <v>122.32</v>
      </c>
      <c r="P829" s="2"/>
      <c r="Q829" s="5"/>
    </row>
    <row r="830" spans="1:17">
      <c r="A830" s="2">
        <f t="shared" si="60"/>
        <v>827</v>
      </c>
      <c r="B830" s="2">
        <f t="shared" si="61"/>
        <v>297</v>
      </c>
      <c r="C830" s="2" t="s">
        <v>45</v>
      </c>
      <c r="D830" s="2" t="s">
        <v>114</v>
      </c>
      <c r="E830" s="2" t="s">
        <v>1717</v>
      </c>
      <c r="F830" s="2" t="s">
        <v>1718</v>
      </c>
      <c r="G830" s="3">
        <v>9.8000000000000007</v>
      </c>
      <c r="H830" s="3">
        <v>50.89</v>
      </c>
      <c r="I830" s="3">
        <v>3</v>
      </c>
      <c r="J830" s="3">
        <f t="shared" si="62"/>
        <v>63.69</v>
      </c>
      <c r="K830" s="3">
        <v>9.8000000000000007</v>
      </c>
      <c r="L830" s="3">
        <v>45.83</v>
      </c>
      <c r="M830" s="3">
        <v>3</v>
      </c>
      <c r="N830" s="3">
        <f t="shared" si="63"/>
        <v>58.63</v>
      </c>
      <c r="O830" s="3">
        <f t="shared" si="64"/>
        <v>122.32</v>
      </c>
      <c r="P830" s="2"/>
      <c r="Q830" s="5"/>
    </row>
    <row r="831" spans="1:17">
      <c r="A831" s="2">
        <f t="shared" si="60"/>
        <v>829</v>
      </c>
      <c r="B831" s="2">
        <f t="shared" si="61"/>
        <v>114</v>
      </c>
      <c r="C831" s="2" t="s">
        <v>15</v>
      </c>
      <c r="D831" s="2" t="s">
        <v>257</v>
      </c>
      <c r="E831" s="2" t="s">
        <v>1719</v>
      </c>
      <c r="F831" s="2" t="s">
        <v>1720</v>
      </c>
      <c r="G831" s="3">
        <v>9.6</v>
      </c>
      <c r="H831" s="3">
        <v>48.41</v>
      </c>
      <c r="I831" s="3">
        <v>3</v>
      </c>
      <c r="J831" s="3">
        <f t="shared" si="62"/>
        <v>61.01</v>
      </c>
      <c r="K831" s="3">
        <v>7.5</v>
      </c>
      <c r="L831" s="3">
        <v>50.26</v>
      </c>
      <c r="M831" s="3">
        <v>3.5</v>
      </c>
      <c r="N831" s="3">
        <f t="shared" si="63"/>
        <v>61.26</v>
      </c>
      <c r="O831" s="3">
        <f t="shared" si="64"/>
        <v>122.27</v>
      </c>
      <c r="P831" s="2"/>
      <c r="Q831" s="5"/>
    </row>
    <row r="832" spans="1:17">
      <c r="A832" s="2">
        <f t="shared" si="60"/>
        <v>830</v>
      </c>
      <c r="B832" s="2">
        <f t="shared" si="61"/>
        <v>286</v>
      </c>
      <c r="C832" s="2" t="s">
        <v>20</v>
      </c>
      <c r="D832" s="2" t="s">
        <v>229</v>
      </c>
      <c r="E832" s="2" t="s">
        <v>1721</v>
      </c>
      <c r="F832" s="2" t="s">
        <v>1722</v>
      </c>
      <c r="G832" s="3">
        <v>7.5</v>
      </c>
      <c r="H832" s="3">
        <v>54.3</v>
      </c>
      <c r="I832" s="3">
        <v>3</v>
      </c>
      <c r="J832" s="3">
        <f t="shared" si="62"/>
        <v>64.8</v>
      </c>
      <c r="K832" s="3">
        <v>7.5</v>
      </c>
      <c r="L832" s="3">
        <v>46.39</v>
      </c>
      <c r="M832" s="3">
        <v>3.5</v>
      </c>
      <c r="N832" s="3">
        <f t="shared" si="63"/>
        <v>57.39</v>
      </c>
      <c r="O832" s="3">
        <f t="shared" si="64"/>
        <v>122.19</v>
      </c>
      <c r="P832" s="2"/>
      <c r="Q832" s="5"/>
    </row>
    <row r="833" spans="1:17">
      <c r="A833" s="2">
        <f t="shared" si="60"/>
        <v>831</v>
      </c>
      <c r="B833" s="2">
        <f t="shared" si="61"/>
        <v>298</v>
      </c>
      <c r="C833" s="2" t="s">
        <v>45</v>
      </c>
      <c r="D833" s="2" t="s">
        <v>73</v>
      </c>
      <c r="E833" s="2" t="s">
        <v>1723</v>
      </c>
      <c r="F833" s="2" t="s">
        <v>1724</v>
      </c>
      <c r="G833" s="3">
        <v>9.8000000000000007</v>
      </c>
      <c r="H833" s="3">
        <v>46.94</v>
      </c>
      <c r="I833" s="3">
        <v>3</v>
      </c>
      <c r="J833" s="3">
        <f t="shared" si="62"/>
        <v>59.74</v>
      </c>
      <c r="K833" s="3">
        <v>9.8000000000000007</v>
      </c>
      <c r="L833" s="3">
        <v>49.64</v>
      </c>
      <c r="M833" s="3">
        <v>3</v>
      </c>
      <c r="N833" s="3">
        <f t="shared" si="63"/>
        <v>62.44</v>
      </c>
      <c r="O833" s="3">
        <f t="shared" si="64"/>
        <v>122.18</v>
      </c>
      <c r="P833" s="2"/>
      <c r="Q833" s="5"/>
    </row>
    <row r="834" spans="1:17">
      <c r="A834" s="2">
        <f t="shared" si="60"/>
        <v>832</v>
      </c>
      <c r="B834" s="2">
        <f t="shared" si="61"/>
        <v>299</v>
      </c>
      <c r="C834" s="2" t="s">
        <v>45</v>
      </c>
      <c r="D834" s="2" t="s">
        <v>232</v>
      </c>
      <c r="E834" s="2" t="s">
        <v>1725</v>
      </c>
      <c r="F834" s="2" t="s">
        <v>1726</v>
      </c>
      <c r="G834" s="3">
        <v>9.6</v>
      </c>
      <c r="H834" s="3">
        <v>48.68</v>
      </c>
      <c r="I834" s="3">
        <v>3.2</v>
      </c>
      <c r="J834" s="3">
        <f t="shared" si="62"/>
        <v>61.48</v>
      </c>
      <c r="K834" s="3">
        <v>10</v>
      </c>
      <c r="L834" s="3">
        <v>47.06</v>
      </c>
      <c r="M834" s="3">
        <v>3.5</v>
      </c>
      <c r="N834" s="3">
        <f t="shared" si="63"/>
        <v>60.56</v>
      </c>
      <c r="O834" s="3">
        <f t="shared" si="64"/>
        <v>122.04</v>
      </c>
      <c r="P834" s="2"/>
      <c r="Q834" s="5"/>
    </row>
    <row r="835" spans="1:17">
      <c r="A835" s="2">
        <f t="shared" ref="A835:A898" si="65">COUNTIFS($C$3:$C$1025,"&lt;&gt;大数据",$O$3:$O$1025,"&gt;"&amp;O835)+1</f>
        <v>833</v>
      </c>
      <c r="B835" s="2">
        <f t="shared" ref="B835:B898" si="66">COUNTIFS($C$3:$C$1025,C835,$O$3:$O$1025,"&gt;"&amp;O835)+1</f>
        <v>115</v>
      </c>
      <c r="C835" s="2" t="s">
        <v>15</v>
      </c>
      <c r="D835" s="2" t="s">
        <v>16</v>
      </c>
      <c r="E835" s="2" t="s">
        <v>1727</v>
      </c>
      <c r="F835" s="2" t="s">
        <v>1728</v>
      </c>
      <c r="G835" s="3">
        <v>9.8000000000000007</v>
      </c>
      <c r="H835" s="3">
        <v>50.54</v>
      </c>
      <c r="I835" s="3">
        <v>3</v>
      </c>
      <c r="J835" s="3">
        <f t="shared" ref="J835:J898" si="67">ROUND(SUM(G835:I835),2)</f>
        <v>63.34</v>
      </c>
      <c r="K835" s="3">
        <v>7.3000000000000007</v>
      </c>
      <c r="L835" s="3">
        <v>47.84</v>
      </c>
      <c r="M835" s="3">
        <v>3.5</v>
      </c>
      <c r="N835" s="3">
        <f t="shared" ref="N835:N898" si="68">ROUND(SUM(K835:M835),2)</f>
        <v>58.64</v>
      </c>
      <c r="O835" s="3">
        <f t="shared" ref="O835:O898" si="69">ROUND(SUM(J835,N835),2)</f>
        <v>121.98</v>
      </c>
      <c r="P835" s="2"/>
      <c r="Q835" s="5"/>
    </row>
    <row r="836" spans="1:17">
      <c r="A836" s="2">
        <f t="shared" si="65"/>
        <v>834</v>
      </c>
      <c r="B836" s="2">
        <f t="shared" si="66"/>
        <v>300</v>
      </c>
      <c r="C836" s="2" t="s">
        <v>45</v>
      </c>
      <c r="D836" s="2" t="s">
        <v>96</v>
      </c>
      <c r="E836" s="2" t="s">
        <v>1729</v>
      </c>
      <c r="F836" s="2" t="s">
        <v>1730</v>
      </c>
      <c r="G836" s="3">
        <v>9.8000000000000007</v>
      </c>
      <c r="H836" s="3">
        <v>48.16</v>
      </c>
      <c r="I836" s="3">
        <v>3.3</v>
      </c>
      <c r="J836" s="3">
        <f t="shared" si="67"/>
        <v>61.26</v>
      </c>
      <c r="K836" s="3">
        <v>7.3000000000000007</v>
      </c>
      <c r="L836" s="3">
        <v>49.7</v>
      </c>
      <c r="M836" s="3">
        <v>3.7</v>
      </c>
      <c r="N836" s="3">
        <f t="shared" si="68"/>
        <v>60.7</v>
      </c>
      <c r="O836" s="3">
        <f t="shared" si="69"/>
        <v>121.96</v>
      </c>
      <c r="P836" s="2"/>
      <c r="Q836" s="5"/>
    </row>
    <row r="837" spans="1:17">
      <c r="A837" s="2">
        <f t="shared" si="65"/>
        <v>835</v>
      </c>
      <c r="B837" s="2">
        <f t="shared" si="66"/>
        <v>301</v>
      </c>
      <c r="C837" s="2" t="s">
        <v>45</v>
      </c>
      <c r="D837" s="2" t="s">
        <v>96</v>
      </c>
      <c r="E837" s="2" t="s">
        <v>1731</v>
      </c>
      <c r="F837" s="2" t="s">
        <v>1732</v>
      </c>
      <c r="G837" s="3">
        <v>9.8000000000000007</v>
      </c>
      <c r="H837" s="3">
        <v>52.26</v>
      </c>
      <c r="I837" s="3">
        <v>3</v>
      </c>
      <c r="J837" s="3">
        <f t="shared" si="67"/>
        <v>65.06</v>
      </c>
      <c r="K837" s="3">
        <v>7.3000000000000007</v>
      </c>
      <c r="L837" s="3">
        <v>46.08</v>
      </c>
      <c r="M837" s="3">
        <v>3.5</v>
      </c>
      <c r="N837" s="3">
        <f t="shared" si="68"/>
        <v>56.88</v>
      </c>
      <c r="O837" s="3">
        <f t="shared" si="69"/>
        <v>121.94</v>
      </c>
      <c r="P837" s="2"/>
      <c r="Q837" s="5"/>
    </row>
    <row r="838" spans="1:17">
      <c r="A838" s="2">
        <f t="shared" si="65"/>
        <v>836</v>
      </c>
      <c r="B838" s="2">
        <f t="shared" si="66"/>
        <v>116</v>
      </c>
      <c r="C838" s="2" t="s">
        <v>15</v>
      </c>
      <c r="D838" s="2" t="s">
        <v>39</v>
      </c>
      <c r="E838" s="2" t="s">
        <v>1733</v>
      </c>
      <c r="F838" s="2" t="s">
        <v>1734</v>
      </c>
      <c r="G838" s="3">
        <v>9.8000000000000007</v>
      </c>
      <c r="H838" s="3">
        <v>49.9</v>
      </c>
      <c r="I838" s="3">
        <v>3</v>
      </c>
      <c r="J838" s="3">
        <f t="shared" si="67"/>
        <v>62.7</v>
      </c>
      <c r="K838" s="3">
        <v>7.3000000000000007</v>
      </c>
      <c r="L838" s="3">
        <v>48.38</v>
      </c>
      <c r="M838" s="3">
        <v>3.5</v>
      </c>
      <c r="N838" s="3">
        <f t="shared" si="68"/>
        <v>59.18</v>
      </c>
      <c r="O838" s="3">
        <f t="shared" si="69"/>
        <v>121.88</v>
      </c>
      <c r="P838" s="2"/>
      <c r="Q838" s="5"/>
    </row>
    <row r="839" spans="1:17">
      <c r="A839" s="2">
        <f t="shared" si="65"/>
        <v>837</v>
      </c>
      <c r="B839" s="2">
        <f t="shared" si="66"/>
        <v>287</v>
      </c>
      <c r="C839" s="2" t="s">
        <v>20</v>
      </c>
      <c r="D839" s="2" t="s">
        <v>36</v>
      </c>
      <c r="E839" s="2" t="s">
        <v>1735</v>
      </c>
      <c r="F839" s="2" t="s">
        <v>1736</v>
      </c>
      <c r="G839" s="3">
        <v>9.8000000000000007</v>
      </c>
      <c r="H839" s="3">
        <v>50.26</v>
      </c>
      <c r="I839" s="3">
        <v>3</v>
      </c>
      <c r="J839" s="3">
        <f t="shared" si="67"/>
        <v>63.06</v>
      </c>
      <c r="K839" s="3">
        <v>9.4</v>
      </c>
      <c r="L839" s="3">
        <v>45.88</v>
      </c>
      <c r="M839" s="3">
        <v>3.5</v>
      </c>
      <c r="N839" s="3">
        <f t="shared" si="68"/>
        <v>58.78</v>
      </c>
      <c r="O839" s="3">
        <f t="shared" si="69"/>
        <v>121.84</v>
      </c>
      <c r="P839" s="2"/>
      <c r="Q839" s="5"/>
    </row>
    <row r="840" spans="1:17">
      <c r="A840" s="2">
        <f t="shared" si="65"/>
        <v>838</v>
      </c>
      <c r="B840" s="2">
        <f t="shared" si="66"/>
        <v>302</v>
      </c>
      <c r="C840" s="2" t="s">
        <v>45</v>
      </c>
      <c r="D840" s="2" t="s">
        <v>114</v>
      </c>
      <c r="E840" s="2" t="s">
        <v>1737</v>
      </c>
      <c r="F840" s="2" t="s">
        <v>1738</v>
      </c>
      <c r="G840" s="3">
        <v>9.8000000000000007</v>
      </c>
      <c r="H840" s="3">
        <v>43.79</v>
      </c>
      <c r="I840" s="3">
        <v>3</v>
      </c>
      <c r="J840" s="3">
        <f t="shared" si="67"/>
        <v>56.59</v>
      </c>
      <c r="K840" s="3">
        <v>9.8000000000000007</v>
      </c>
      <c r="L840" s="3">
        <v>51.92</v>
      </c>
      <c r="M840" s="3">
        <v>3.5</v>
      </c>
      <c r="N840" s="3">
        <f t="shared" si="68"/>
        <v>65.22</v>
      </c>
      <c r="O840" s="3">
        <f t="shared" si="69"/>
        <v>121.81</v>
      </c>
      <c r="P840" s="2"/>
      <c r="Q840" s="5"/>
    </row>
    <row r="841" spans="1:17">
      <c r="A841" s="2">
        <f t="shared" si="65"/>
        <v>839</v>
      </c>
      <c r="B841" s="2">
        <f t="shared" si="66"/>
        <v>117</v>
      </c>
      <c r="C841" s="2" t="s">
        <v>15</v>
      </c>
      <c r="D841" s="2" t="s">
        <v>257</v>
      </c>
      <c r="E841" s="2" t="s">
        <v>1739</v>
      </c>
      <c r="F841" s="2" t="s">
        <v>1740</v>
      </c>
      <c r="G841" s="3">
        <v>9.8000000000000007</v>
      </c>
      <c r="H841" s="3">
        <v>50.86</v>
      </c>
      <c r="I841" s="3">
        <v>3</v>
      </c>
      <c r="J841" s="3">
        <f t="shared" si="67"/>
        <v>63.66</v>
      </c>
      <c r="K841" s="3">
        <v>7.3000000000000007</v>
      </c>
      <c r="L841" s="3">
        <v>47.18</v>
      </c>
      <c r="M841" s="3">
        <v>3.5</v>
      </c>
      <c r="N841" s="3">
        <f t="shared" si="68"/>
        <v>57.98</v>
      </c>
      <c r="O841" s="3">
        <f t="shared" si="69"/>
        <v>121.64</v>
      </c>
      <c r="P841" s="2"/>
      <c r="Q841" s="5"/>
    </row>
    <row r="842" spans="1:17">
      <c r="A842" s="2">
        <f t="shared" si="65"/>
        <v>840</v>
      </c>
      <c r="B842" s="2">
        <f t="shared" si="66"/>
        <v>288</v>
      </c>
      <c r="C842" s="2" t="s">
        <v>20</v>
      </c>
      <c r="D842" s="2" t="s">
        <v>32</v>
      </c>
      <c r="E842" s="2" t="s">
        <v>1741</v>
      </c>
      <c r="F842" s="2" t="s">
        <v>1742</v>
      </c>
      <c r="G842" s="3">
        <v>9.8000000000000007</v>
      </c>
      <c r="H842" s="3">
        <v>46.020408163265301</v>
      </c>
      <c r="I842" s="3">
        <v>4</v>
      </c>
      <c r="J842" s="3">
        <f t="shared" si="67"/>
        <v>59.82</v>
      </c>
      <c r="K842" s="3">
        <v>7.3000000000000007</v>
      </c>
      <c r="L842" s="3">
        <v>49.81</v>
      </c>
      <c r="M842" s="3">
        <v>4.7</v>
      </c>
      <c r="N842" s="3">
        <f t="shared" si="68"/>
        <v>61.81</v>
      </c>
      <c r="O842" s="3">
        <f t="shared" si="69"/>
        <v>121.63</v>
      </c>
      <c r="P842" s="2"/>
      <c r="Q842" s="5"/>
    </row>
    <row r="843" spans="1:17">
      <c r="A843" s="2">
        <f t="shared" si="65"/>
        <v>841</v>
      </c>
      <c r="B843" s="2">
        <f t="shared" si="66"/>
        <v>289</v>
      </c>
      <c r="C843" s="2" t="s">
        <v>20</v>
      </c>
      <c r="D843" s="2" t="s">
        <v>36</v>
      </c>
      <c r="E843" s="2" t="s">
        <v>1743</v>
      </c>
      <c r="F843" s="2" t="s">
        <v>1744</v>
      </c>
      <c r="G843" s="3">
        <v>9.8000000000000007</v>
      </c>
      <c r="H843" s="3">
        <v>46.59</v>
      </c>
      <c r="I843" s="3">
        <v>3</v>
      </c>
      <c r="J843" s="3">
        <f t="shared" si="67"/>
        <v>59.39</v>
      </c>
      <c r="K843" s="3">
        <v>9.8000000000000007</v>
      </c>
      <c r="L843" s="3">
        <v>48.7</v>
      </c>
      <c r="M843" s="3">
        <v>3.5</v>
      </c>
      <c r="N843" s="3">
        <f t="shared" si="68"/>
        <v>62</v>
      </c>
      <c r="O843" s="3">
        <f t="shared" si="69"/>
        <v>121.39</v>
      </c>
      <c r="P843" s="2"/>
      <c r="Q843" s="5"/>
    </row>
    <row r="844" spans="1:17">
      <c r="A844" s="2">
        <f t="shared" si="65"/>
        <v>842</v>
      </c>
      <c r="B844" s="2">
        <f t="shared" si="66"/>
        <v>303</v>
      </c>
      <c r="C844" s="2" t="s">
        <v>45</v>
      </c>
      <c r="D844" s="2" t="s">
        <v>266</v>
      </c>
      <c r="E844" s="2" t="s">
        <v>1745</v>
      </c>
      <c r="F844" s="2" t="s">
        <v>1746</v>
      </c>
      <c r="G844" s="3">
        <v>9.8000000000000007</v>
      </c>
      <c r="H844" s="3">
        <v>55.47</v>
      </c>
      <c r="I844" s="3">
        <v>3</v>
      </c>
      <c r="J844" s="3">
        <f t="shared" si="67"/>
        <v>68.27</v>
      </c>
      <c r="K844" s="3">
        <v>9.8000000000000007</v>
      </c>
      <c r="L844" s="3">
        <v>40.299999999999997</v>
      </c>
      <c r="M844" s="3">
        <v>3</v>
      </c>
      <c r="N844" s="3">
        <f t="shared" si="68"/>
        <v>53.1</v>
      </c>
      <c r="O844" s="3">
        <f t="shared" si="69"/>
        <v>121.37</v>
      </c>
      <c r="P844" s="2"/>
      <c r="Q844" s="5"/>
    </row>
    <row r="845" spans="1:17">
      <c r="A845" s="2">
        <f t="shared" si="65"/>
        <v>843</v>
      </c>
      <c r="B845" s="2">
        <f t="shared" si="66"/>
        <v>304</v>
      </c>
      <c r="C845" s="2" t="s">
        <v>45</v>
      </c>
      <c r="D845" s="2" t="s">
        <v>114</v>
      </c>
      <c r="E845" s="2" t="s">
        <v>1747</v>
      </c>
      <c r="F845" s="2" t="s">
        <v>1748</v>
      </c>
      <c r="G845" s="3">
        <v>9.8000000000000007</v>
      </c>
      <c r="H845" s="3">
        <v>49.36</v>
      </c>
      <c r="I845" s="3">
        <v>3.3</v>
      </c>
      <c r="J845" s="3">
        <f t="shared" si="67"/>
        <v>62.46</v>
      </c>
      <c r="K845" s="3">
        <v>9.8000000000000007</v>
      </c>
      <c r="L845" s="3">
        <v>46.1</v>
      </c>
      <c r="M845" s="3">
        <v>3</v>
      </c>
      <c r="N845" s="3">
        <f t="shared" si="68"/>
        <v>58.9</v>
      </c>
      <c r="O845" s="3">
        <f t="shared" si="69"/>
        <v>121.36</v>
      </c>
      <c r="P845" s="2"/>
      <c r="Q845" s="5"/>
    </row>
    <row r="846" spans="1:17">
      <c r="A846" s="2">
        <f t="shared" si="65"/>
        <v>844</v>
      </c>
      <c r="B846" s="2">
        <f t="shared" si="66"/>
        <v>305</v>
      </c>
      <c r="C846" s="2" t="s">
        <v>45</v>
      </c>
      <c r="D846" s="2" t="s">
        <v>114</v>
      </c>
      <c r="E846" s="2" t="s">
        <v>1749</v>
      </c>
      <c r="F846" s="2" t="s">
        <v>1750</v>
      </c>
      <c r="G846" s="3">
        <v>10</v>
      </c>
      <c r="H846" s="3">
        <v>56.32</v>
      </c>
      <c r="I846" s="3">
        <v>5.55</v>
      </c>
      <c r="J846" s="3">
        <f t="shared" si="67"/>
        <v>71.87</v>
      </c>
      <c r="K846" s="3">
        <v>9.8000000000000007</v>
      </c>
      <c r="L846" s="3">
        <v>35.15</v>
      </c>
      <c r="M846" s="3">
        <v>4.5</v>
      </c>
      <c r="N846" s="3">
        <f t="shared" si="68"/>
        <v>49.45</v>
      </c>
      <c r="O846" s="3">
        <f t="shared" si="69"/>
        <v>121.32</v>
      </c>
      <c r="P846" s="2"/>
      <c r="Q846" s="5"/>
    </row>
    <row r="847" spans="1:17">
      <c r="A847" s="2">
        <f t="shared" si="65"/>
        <v>845</v>
      </c>
      <c r="B847" s="2">
        <f t="shared" si="66"/>
        <v>306</v>
      </c>
      <c r="C847" s="2" t="s">
        <v>45</v>
      </c>
      <c r="D847" s="2" t="s">
        <v>220</v>
      </c>
      <c r="E847" s="2" t="s">
        <v>1751</v>
      </c>
      <c r="F847" s="2" t="s">
        <v>1752</v>
      </c>
      <c r="G847" s="3">
        <v>9.8000000000000007</v>
      </c>
      <c r="H847" s="3">
        <v>45.86</v>
      </c>
      <c r="I847" s="3">
        <v>4.7</v>
      </c>
      <c r="J847" s="3">
        <f t="shared" si="67"/>
        <v>60.36</v>
      </c>
      <c r="K847" s="3">
        <v>9.4</v>
      </c>
      <c r="L847" s="3">
        <v>47.09</v>
      </c>
      <c r="M847" s="3">
        <v>4.3</v>
      </c>
      <c r="N847" s="3">
        <f t="shared" si="68"/>
        <v>60.79</v>
      </c>
      <c r="O847" s="3">
        <f t="shared" si="69"/>
        <v>121.15</v>
      </c>
      <c r="P847" s="2"/>
      <c r="Q847" s="5"/>
    </row>
    <row r="848" spans="1:17">
      <c r="A848" s="2">
        <f t="shared" si="65"/>
        <v>846</v>
      </c>
      <c r="B848" s="2">
        <f t="shared" si="66"/>
        <v>118</v>
      </c>
      <c r="C848" s="2" t="s">
        <v>15</v>
      </c>
      <c r="D848" s="2" t="s">
        <v>257</v>
      </c>
      <c r="E848" s="2" t="s">
        <v>1753</v>
      </c>
      <c r="F848" s="2" t="s">
        <v>1754</v>
      </c>
      <c r="G848" s="3">
        <v>10</v>
      </c>
      <c r="H848" s="3">
        <v>49.16</v>
      </c>
      <c r="I848" s="3">
        <v>3</v>
      </c>
      <c r="J848" s="3">
        <f t="shared" si="67"/>
        <v>62.16</v>
      </c>
      <c r="K848" s="3">
        <v>7.5</v>
      </c>
      <c r="L848" s="3">
        <v>47.97</v>
      </c>
      <c r="M848" s="3">
        <v>3.5</v>
      </c>
      <c r="N848" s="3">
        <f t="shared" si="68"/>
        <v>58.97</v>
      </c>
      <c r="O848" s="3">
        <f t="shared" si="69"/>
        <v>121.13</v>
      </c>
      <c r="P848" s="2"/>
      <c r="Q848" s="5"/>
    </row>
    <row r="849" spans="1:17">
      <c r="A849" s="2">
        <f t="shared" si="65"/>
        <v>847</v>
      </c>
      <c r="B849" s="2">
        <f t="shared" si="66"/>
        <v>290</v>
      </c>
      <c r="C849" s="2" t="s">
        <v>20</v>
      </c>
      <c r="D849" s="2" t="s">
        <v>36</v>
      </c>
      <c r="E849" s="2" t="s">
        <v>1755</v>
      </c>
      <c r="F849" s="2" t="s">
        <v>1756</v>
      </c>
      <c r="G849" s="3">
        <v>9.4</v>
      </c>
      <c r="H849" s="3">
        <v>55.67</v>
      </c>
      <c r="I849" s="3">
        <v>3</v>
      </c>
      <c r="J849" s="3">
        <f t="shared" si="67"/>
        <v>68.069999999999993</v>
      </c>
      <c r="K849" s="3">
        <v>9.4</v>
      </c>
      <c r="L849" s="3">
        <v>40.130000000000003</v>
      </c>
      <c r="M849" s="3">
        <v>3.5</v>
      </c>
      <c r="N849" s="3">
        <f t="shared" si="68"/>
        <v>53.03</v>
      </c>
      <c r="O849" s="3">
        <f t="shared" si="69"/>
        <v>121.1</v>
      </c>
      <c r="P849" s="2"/>
      <c r="Q849" s="5"/>
    </row>
    <row r="850" spans="1:17">
      <c r="A850" s="2">
        <f t="shared" si="65"/>
        <v>848</v>
      </c>
      <c r="B850" s="2">
        <f t="shared" si="66"/>
        <v>134</v>
      </c>
      <c r="C850" s="2" t="s">
        <v>24</v>
      </c>
      <c r="D850" s="2" t="s">
        <v>25</v>
      </c>
      <c r="E850" s="2" t="s">
        <v>1757</v>
      </c>
      <c r="F850" s="2" t="s">
        <v>1758</v>
      </c>
      <c r="G850" s="3">
        <v>9.8000000000000007</v>
      </c>
      <c r="H850" s="3">
        <v>49.5</v>
      </c>
      <c r="I850" s="3">
        <v>4</v>
      </c>
      <c r="J850" s="3">
        <f t="shared" si="67"/>
        <v>63.3</v>
      </c>
      <c r="K850" s="3">
        <v>9.8000000000000007</v>
      </c>
      <c r="L850" s="3">
        <v>43.66</v>
      </c>
      <c r="M850" s="3">
        <v>4.2</v>
      </c>
      <c r="N850" s="3">
        <f t="shared" si="68"/>
        <v>57.66</v>
      </c>
      <c r="O850" s="3">
        <f t="shared" si="69"/>
        <v>120.96</v>
      </c>
      <c r="P850" s="2"/>
      <c r="Q850" s="5"/>
    </row>
    <row r="851" spans="1:17">
      <c r="A851" s="2">
        <f t="shared" si="65"/>
        <v>849</v>
      </c>
      <c r="B851" s="2">
        <f t="shared" si="66"/>
        <v>307</v>
      </c>
      <c r="C851" s="2" t="s">
        <v>45</v>
      </c>
      <c r="D851" s="2" t="s">
        <v>54</v>
      </c>
      <c r="E851" s="2" t="s">
        <v>1759</v>
      </c>
      <c r="F851" s="2" t="s">
        <v>1760</v>
      </c>
      <c r="G851" s="3">
        <v>9.8000000000000007</v>
      </c>
      <c r="H851" s="3">
        <v>54.34</v>
      </c>
      <c r="I851" s="3">
        <v>4</v>
      </c>
      <c r="J851" s="3">
        <f t="shared" si="67"/>
        <v>68.14</v>
      </c>
      <c r="K851" s="3">
        <v>7.3000000000000007</v>
      </c>
      <c r="L851" s="3">
        <v>42.4</v>
      </c>
      <c r="M851" s="3">
        <v>3</v>
      </c>
      <c r="N851" s="3">
        <f t="shared" si="68"/>
        <v>52.7</v>
      </c>
      <c r="O851" s="3">
        <f t="shared" si="69"/>
        <v>120.84</v>
      </c>
      <c r="P851" s="2"/>
      <c r="Q851" s="5"/>
    </row>
    <row r="852" spans="1:17">
      <c r="A852" s="2">
        <f t="shared" si="65"/>
        <v>850</v>
      </c>
      <c r="B852" s="2">
        <f t="shared" si="66"/>
        <v>308</v>
      </c>
      <c r="C852" s="2" t="s">
        <v>45</v>
      </c>
      <c r="D852" s="2" t="s">
        <v>220</v>
      </c>
      <c r="E852" s="2" t="s">
        <v>1761</v>
      </c>
      <c r="F852" s="2" t="s">
        <v>1762</v>
      </c>
      <c r="G852" s="3">
        <v>9.8000000000000007</v>
      </c>
      <c r="H852" s="3">
        <v>52.08</v>
      </c>
      <c r="I852" s="3">
        <v>3</v>
      </c>
      <c r="J852" s="3">
        <f t="shared" si="67"/>
        <v>64.88</v>
      </c>
      <c r="K852" s="3">
        <v>9.4</v>
      </c>
      <c r="L852" s="3">
        <v>42.93</v>
      </c>
      <c r="M852" s="3">
        <v>3.5</v>
      </c>
      <c r="N852" s="3">
        <f t="shared" si="68"/>
        <v>55.83</v>
      </c>
      <c r="O852" s="3">
        <f t="shared" si="69"/>
        <v>120.71</v>
      </c>
      <c r="P852" s="2"/>
      <c r="Q852" s="5"/>
    </row>
    <row r="853" spans="1:17">
      <c r="A853" s="2">
        <f t="shared" si="65"/>
        <v>851</v>
      </c>
      <c r="B853" s="2">
        <f t="shared" si="66"/>
        <v>309</v>
      </c>
      <c r="C853" s="2" t="s">
        <v>45</v>
      </c>
      <c r="D853" s="2" t="s">
        <v>114</v>
      </c>
      <c r="E853" s="2" t="s">
        <v>1763</v>
      </c>
      <c r="F853" s="2" t="s">
        <v>1764</v>
      </c>
      <c r="G853" s="3">
        <v>10</v>
      </c>
      <c r="H853" s="3">
        <v>51.38</v>
      </c>
      <c r="I853" s="3">
        <v>3</v>
      </c>
      <c r="J853" s="3">
        <f t="shared" si="67"/>
        <v>64.38</v>
      </c>
      <c r="K853" s="3">
        <v>10</v>
      </c>
      <c r="L853" s="3">
        <v>43.31</v>
      </c>
      <c r="M853" s="3">
        <v>3</v>
      </c>
      <c r="N853" s="3">
        <f t="shared" si="68"/>
        <v>56.31</v>
      </c>
      <c r="O853" s="3">
        <f t="shared" si="69"/>
        <v>120.69</v>
      </c>
      <c r="P853" s="2"/>
      <c r="Q853" s="5"/>
    </row>
    <row r="854" spans="1:17">
      <c r="A854" s="2">
        <f t="shared" si="65"/>
        <v>852</v>
      </c>
      <c r="B854" s="2">
        <f t="shared" si="66"/>
        <v>291</v>
      </c>
      <c r="C854" s="2" t="s">
        <v>20</v>
      </c>
      <c r="D854" s="2" t="s">
        <v>229</v>
      </c>
      <c r="E854" s="2" t="s">
        <v>1765</v>
      </c>
      <c r="F854" s="2" t="s">
        <v>1766</v>
      </c>
      <c r="G854" s="3">
        <v>9.8000000000000007</v>
      </c>
      <c r="H854" s="3">
        <v>48.42</v>
      </c>
      <c r="I854" s="3">
        <v>3</v>
      </c>
      <c r="J854" s="3">
        <f t="shared" si="67"/>
        <v>61.22</v>
      </c>
      <c r="K854" s="3">
        <v>7.3000000000000007</v>
      </c>
      <c r="L854" s="3">
        <v>48.65</v>
      </c>
      <c r="M854" s="3">
        <v>3.5</v>
      </c>
      <c r="N854" s="3">
        <f t="shared" si="68"/>
        <v>59.45</v>
      </c>
      <c r="O854" s="3">
        <f t="shared" si="69"/>
        <v>120.67</v>
      </c>
      <c r="P854" s="2"/>
      <c r="Q854" s="5"/>
    </row>
    <row r="855" spans="1:17">
      <c r="A855" s="2">
        <f t="shared" si="65"/>
        <v>853</v>
      </c>
      <c r="B855" s="2">
        <f t="shared" si="66"/>
        <v>310</v>
      </c>
      <c r="C855" s="2" t="s">
        <v>45</v>
      </c>
      <c r="D855" s="2" t="s">
        <v>73</v>
      </c>
      <c r="E855" s="2" t="s">
        <v>1767</v>
      </c>
      <c r="F855" s="2" t="s">
        <v>1768</v>
      </c>
      <c r="G855" s="3">
        <v>10</v>
      </c>
      <c r="H855" s="3">
        <v>46.94</v>
      </c>
      <c r="I855" s="3">
        <v>4.7</v>
      </c>
      <c r="J855" s="3">
        <f t="shared" si="67"/>
        <v>61.64</v>
      </c>
      <c r="K855" s="3">
        <v>10</v>
      </c>
      <c r="L855" s="3">
        <v>46</v>
      </c>
      <c r="M855" s="3">
        <v>3</v>
      </c>
      <c r="N855" s="3">
        <f t="shared" si="68"/>
        <v>59</v>
      </c>
      <c r="O855" s="3">
        <f t="shared" si="69"/>
        <v>120.64</v>
      </c>
      <c r="P855" s="2"/>
      <c r="Q855" s="5"/>
    </row>
    <row r="856" spans="1:17">
      <c r="A856" s="2">
        <f t="shared" si="65"/>
        <v>854</v>
      </c>
      <c r="B856" s="2">
        <f t="shared" si="66"/>
        <v>292</v>
      </c>
      <c r="C856" s="2" t="s">
        <v>20</v>
      </c>
      <c r="D856" s="2" t="s">
        <v>117</v>
      </c>
      <c r="E856" s="2" t="s">
        <v>1769</v>
      </c>
      <c r="F856" s="2" t="s">
        <v>1770</v>
      </c>
      <c r="G856" s="3">
        <v>9.8000000000000007</v>
      </c>
      <c r="H856" s="3">
        <v>51.65</v>
      </c>
      <c r="I856" s="3">
        <v>3</v>
      </c>
      <c r="J856" s="3">
        <f t="shared" si="67"/>
        <v>64.45</v>
      </c>
      <c r="K856" s="3">
        <v>9.8000000000000007</v>
      </c>
      <c r="L856" s="3">
        <v>43.38</v>
      </c>
      <c r="M856" s="3">
        <v>3</v>
      </c>
      <c r="N856" s="3">
        <f t="shared" si="68"/>
        <v>56.18</v>
      </c>
      <c r="O856" s="3">
        <f t="shared" si="69"/>
        <v>120.63</v>
      </c>
      <c r="P856" s="2"/>
      <c r="Q856" s="5"/>
    </row>
    <row r="857" spans="1:17">
      <c r="A857" s="2">
        <f t="shared" si="65"/>
        <v>855</v>
      </c>
      <c r="B857" s="2">
        <f t="shared" si="66"/>
        <v>311</v>
      </c>
      <c r="C857" s="2" t="s">
        <v>45</v>
      </c>
      <c r="D857" s="2" t="s">
        <v>220</v>
      </c>
      <c r="E857" s="2" t="s">
        <v>1771</v>
      </c>
      <c r="F857" s="2" t="s">
        <v>1772</v>
      </c>
      <c r="G857" s="3">
        <v>10</v>
      </c>
      <c r="H857" s="3">
        <v>45.2</v>
      </c>
      <c r="I857" s="3">
        <v>3.9</v>
      </c>
      <c r="J857" s="3">
        <f t="shared" si="67"/>
        <v>59.1</v>
      </c>
      <c r="K857" s="3">
        <v>10</v>
      </c>
      <c r="L857" s="3">
        <v>46.83</v>
      </c>
      <c r="M857" s="3">
        <v>4.5</v>
      </c>
      <c r="N857" s="3">
        <f t="shared" si="68"/>
        <v>61.33</v>
      </c>
      <c r="O857" s="3">
        <f t="shared" si="69"/>
        <v>120.43</v>
      </c>
      <c r="P857" s="2"/>
      <c r="Q857" s="5"/>
    </row>
    <row r="858" spans="1:17">
      <c r="A858" s="2">
        <f t="shared" si="65"/>
        <v>856</v>
      </c>
      <c r="B858" s="2">
        <f t="shared" si="66"/>
        <v>293</v>
      </c>
      <c r="C858" s="2" t="s">
        <v>20</v>
      </c>
      <c r="D858" s="2" t="s">
        <v>229</v>
      </c>
      <c r="E858" s="2" t="s">
        <v>1773</v>
      </c>
      <c r="F858" s="2" t="s">
        <v>1774</v>
      </c>
      <c r="G858" s="3">
        <v>9.4</v>
      </c>
      <c r="H858" s="3">
        <v>49.11</v>
      </c>
      <c r="I858" s="3">
        <v>3</v>
      </c>
      <c r="J858" s="3">
        <f t="shared" si="67"/>
        <v>61.51</v>
      </c>
      <c r="K858" s="3">
        <v>7.3000000000000007</v>
      </c>
      <c r="L858" s="3">
        <v>46.54</v>
      </c>
      <c r="M858" s="3">
        <v>4.8</v>
      </c>
      <c r="N858" s="3">
        <f t="shared" si="68"/>
        <v>58.64</v>
      </c>
      <c r="O858" s="3">
        <f t="shared" si="69"/>
        <v>120.15</v>
      </c>
      <c r="P858" s="2"/>
      <c r="Q858" s="5"/>
    </row>
    <row r="859" spans="1:17">
      <c r="A859" s="2">
        <f t="shared" si="65"/>
        <v>857</v>
      </c>
      <c r="B859" s="2">
        <f t="shared" si="66"/>
        <v>294</v>
      </c>
      <c r="C859" s="2" t="s">
        <v>20</v>
      </c>
      <c r="D859" s="2" t="s">
        <v>21</v>
      </c>
      <c r="E859" s="2" t="s">
        <v>1775</v>
      </c>
      <c r="F859" s="2" t="s">
        <v>1776</v>
      </c>
      <c r="G859" s="3">
        <v>10</v>
      </c>
      <c r="H859" s="3">
        <v>45.92</v>
      </c>
      <c r="I859" s="3">
        <v>4.2</v>
      </c>
      <c r="J859" s="3">
        <f t="shared" si="67"/>
        <v>60.12</v>
      </c>
      <c r="K859" s="3">
        <v>10</v>
      </c>
      <c r="L859" s="3">
        <v>45.02</v>
      </c>
      <c r="M859" s="3">
        <v>5</v>
      </c>
      <c r="N859" s="3">
        <f t="shared" si="68"/>
        <v>60.02</v>
      </c>
      <c r="O859" s="3">
        <f t="shared" si="69"/>
        <v>120.14</v>
      </c>
      <c r="P859" s="2"/>
      <c r="Q859" s="5"/>
    </row>
    <row r="860" spans="1:17">
      <c r="A860" s="2">
        <f t="shared" si="65"/>
        <v>858</v>
      </c>
      <c r="B860" s="2">
        <f t="shared" si="66"/>
        <v>295</v>
      </c>
      <c r="C860" s="2" t="s">
        <v>20</v>
      </c>
      <c r="D860" s="2" t="s">
        <v>21</v>
      </c>
      <c r="E860" s="2" t="s">
        <v>1777</v>
      </c>
      <c r="F860" s="2" t="s">
        <v>1778</v>
      </c>
      <c r="G860" s="3">
        <v>9.8000000000000007</v>
      </c>
      <c r="H860" s="3">
        <v>48.21</v>
      </c>
      <c r="I860" s="3">
        <v>3</v>
      </c>
      <c r="J860" s="3">
        <f t="shared" si="67"/>
        <v>61.01</v>
      </c>
      <c r="K860" s="3">
        <v>7.3000000000000007</v>
      </c>
      <c r="L860" s="3">
        <v>48.32</v>
      </c>
      <c r="M860" s="3">
        <v>3.5</v>
      </c>
      <c r="N860" s="3">
        <f t="shared" si="68"/>
        <v>59.12</v>
      </c>
      <c r="O860" s="3">
        <f t="shared" si="69"/>
        <v>120.13</v>
      </c>
      <c r="P860" s="2"/>
      <c r="Q860" s="5"/>
    </row>
    <row r="861" spans="1:17">
      <c r="A861" s="2">
        <f t="shared" si="65"/>
        <v>859</v>
      </c>
      <c r="B861" s="2">
        <f t="shared" si="66"/>
        <v>296</v>
      </c>
      <c r="C861" s="2" t="s">
        <v>20</v>
      </c>
      <c r="D861" s="2" t="s">
        <v>36</v>
      </c>
      <c r="E861" s="2" t="s">
        <v>1779</v>
      </c>
      <c r="F861" s="2" t="s">
        <v>1780</v>
      </c>
      <c r="G861" s="3">
        <v>9.8000000000000007</v>
      </c>
      <c r="H861" s="3">
        <v>48.8</v>
      </c>
      <c r="I861" s="3">
        <v>3</v>
      </c>
      <c r="J861" s="3">
        <f t="shared" si="67"/>
        <v>61.6</v>
      </c>
      <c r="K861" s="3">
        <v>9.8000000000000007</v>
      </c>
      <c r="L861" s="3">
        <v>45.2</v>
      </c>
      <c r="M861" s="3">
        <v>3.5</v>
      </c>
      <c r="N861" s="3">
        <f t="shared" si="68"/>
        <v>58.5</v>
      </c>
      <c r="O861" s="3">
        <f t="shared" si="69"/>
        <v>120.1</v>
      </c>
      <c r="P861" s="2"/>
      <c r="Q861" s="5"/>
    </row>
    <row r="862" spans="1:17">
      <c r="A862" s="2">
        <f t="shared" si="65"/>
        <v>860</v>
      </c>
      <c r="B862" s="2">
        <f t="shared" si="66"/>
        <v>297</v>
      </c>
      <c r="C862" s="2" t="s">
        <v>20</v>
      </c>
      <c r="D862" s="2" t="s">
        <v>42</v>
      </c>
      <c r="E862" s="2" t="s">
        <v>1781</v>
      </c>
      <c r="F862" s="2" t="s">
        <v>1782</v>
      </c>
      <c r="G862" s="3">
        <v>9.8000000000000007</v>
      </c>
      <c r="H862" s="3">
        <v>45.033333333333303</v>
      </c>
      <c r="I862" s="3">
        <v>3</v>
      </c>
      <c r="J862" s="3">
        <f t="shared" si="67"/>
        <v>57.83</v>
      </c>
      <c r="K862" s="3">
        <v>9.8000000000000007</v>
      </c>
      <c r="L862" s="3">
        <v>49.44</v>
      </c>
      <c r="M862" s="3">
        <v>3</v>
      </c>
      <c r="N862" s="3">
        <f t="shared" si="68"/>
        <v>62.24</v>
      </c>
      <c r="O862" s="3">
        <f t="shared" si="69"/>
        <v>120.07</v>
      </c>
      <c r="P862" s="2"/>
      <c r="Q862" s="5"/>
    </row>
    <row r="863" spans="1:17">
      <c r="A863" s="2">
        <f t="shared" si="65"/>
        <v>861</v>
      </c>
      <c r="B863" s="2">
        <f t="shared" si="66"/>
        <v>298</v>
      </c>
      <c r="C863" s="2" t="s">
        <v>20</v>
      </c>
      <c r="D863" s="2" t="s">
        <v>42</v>
      </c>
      <c r="E863" s="2" t="s">
        <v>1783</v>
      </c>
      <c r="F863" s="2" t="s">
        <v>1784</v>
      </c>
      <c r="G863" s="3">
        <v>9.8000000000000007</v>
      </c>
      <c r="H863" s="3">
        <v>46.466666666666697</v>
      </c>
      <c r="I863" s="3">
        <v>4</v>
      </c>
      <c r="J863" s="3">
        <f t="shared" si="67"/>
        <v>60.27</v>
      </c>
      <c r="K863" s="3">
        <v>9.8000000000000007</v>
      </c>
      <c r="L863" s="3">
        <v>46.9</v>
      </c>
      <c r="M863" s="3">
        <v>3</v>
      </c>
      <c r="N863" s="3">
        <f t="shared" si="68"/>
        <v>59.7</v>
      </c>
      <c r="O863" s="3">
        <f t="shared" si="69"/>
        <v>119.97</v>
      </c>
      <c r="P863" s="2"/>
      <c r="Q863" s="5"/>
    </row>
    <row r="864" spans="1:17">
      <c r="A864" s="2">
        <f t="shared" si="65"/>
        <v>862</v>
      </c>
      <c r="B864" s="2">
        <f t="shared" si="66"/>
        <v>312</v>
      </c>
      <c r="C864" s="2" t="s">
        <v>45</v>
      </c>
      <c r="D864" s="2" t="s">
        <v>114</v>
      </c>
      <c r="E864" s="2" t="s">
        <v>1785</v>
      </c>
      <c r="F864" s="2" t="s">
        <v>1786</v>
      </c>
      <c r="G864" s="3">
        <v>10</v>
      </c>
      <c r="H864" s="3">
        <v>45.5</v>
      </c>
      <c r="I864" s="3">
        <v>3</v>
      </c>
      <c r="J864" s="3">
        <f t="shared" si="67"/>
        <v>58.5</v>
      </c>
      <c r="K864" s="3">
        <v>10</v>
      </c>
      <c r="L864" s="3">
        <v>48.33</v>
      </c>
      <c r="M864" s="3">
        <v>3</v>
      </c>
      <c r="N864" s="3">
        <f t="shared" si="68"/>
        <v>61.33</v>
      </c>
      <c r="O864" s="3">
        <f t="shared" si="69"/>
        <v>119.83</v>
      </c>
      <c r="P864" s="2"/>
      <c r="Q864" s="5"/>
    </row>
    <row r="865" spans="1:17">
      <c r="A865" s="2">
        <f t="shared" si="65"/>
        <v>863</v>
      </c>
      <c r="B865" s="2">
        <f t="shared" si="66"/>
        <v>313</v>
      </c>
      <c r="C865" s="2" t="s">
        <v>45</v>
      </c>
      <c r="D865" s="2" t="s">
        <v>220</v>
      </c>
      <c r="E865" s="2" t="s">
        <v>1787</v>
      </c>
      <c r="F865" s="2" t="s">
        <v>1788</v>
      </c>
      <c r="G865" s="3">
        <v>10.3</v>
      </c>
      <c r="H865" s="3">
        <v>48.5</v>
      </c>
      <c r="I865" s="3">
        <v>4</v>
      </c>
      <c r="J865" s="3">
        <f t="shared" si="67"/>
        <v>62.8</v>
      </c>
      <c r="K865" s="3">
        <v>9.8000000000000007</v>
      </c>
      <c r="L865" s="3">
        <v>42.69</v>
      </c>
      <c r="M865" s="3">
        <v>4.5</v>
      </c>
      <c r="N865" s="3">
        <f t="shared" si="68"/>
        <v>56.99</v>
      </c>
      <c r="O865" s="3">
        <f t="shared" si="69"/>
        <v>119.79</v>
      </c>
      <c r="P865" s="2"/>
      <c r="Q865" s="5"/>
    </row>
    <row r="866" spans="1:17">
      <c r="A866" s="2">
        <f t="shared" si="65"/>
        <v>864</v>
      </c>
      <c r="B866" s="2">
        <f t="shared" si="66"/>
        <v>299</v>
      </c>
      <c r="C866" s="2" t="s">
        <v>20</v>
      </c>
      <c r="D866" s="2" t="s">
        <v>65</v>
      </c>
      <c r="E866" s="2" t="s">
        <v>1789</v>
      </c>
      <c r="F866" s="2" t="s">
        <v>1790</v>
      </c>
      <c r="G866" s="3">
        <v>10</v>
      </c>
      <c r="H866" s="3">
        <v>49.35</v>
      </c>
      <c r="I866" s="3">
        <v>4</v>
      </c>
      <c r="J866" s="3">
        <f t="shared" si="67"/>
        <v>63.35</v>
      </c>
      <c r="K866" s="3">
        <v>7.5</v>
      </c>
      <c r="L866" s="3">
        <v>44.85</v>
      </c>
      <c r="M866" s="3">
        <v>4</v>
      </c>
      <c r="N866" s="3">
        <f t="shared" si="68"/>
        <v>56.35</v>
      </c>
      <c r="O866" s="3">
        <f t="shared" si="69"/>
        <v>119.7</v>
      </c>
      <c r="P866" s="2"/>
      <c r="Q866" s="5"/>
    </row>
    <row r="867" spans="1:17">
      <c r="A867" s="2">
        <f t="shared" si="65"/>
        <v>865</v>
      </c>
      <c r="B867" s="2">
        <f t="shared" si="66"/>
        <v>300</v>
      </c>
      <c r="C867" s="2" t="s">
        <v>20</v>
      </c>
      <c r="D867" s="2" t="s">
        <v>82</v>
      </c>
      <c r="E867" s="2" t="s">
        <v>1791</v>
      </c>
      <c r="F867" s="2" t="s">
        <v>1792</v>
      </c>
      <c r="G867" s="3">
        <v>6.5</v>
      </c>
      <c r="H867" s="3">
        <v>52.051020408163303</v>
      </c>
      <c r="I867" s="3">
        <v>3</v>
      </c>
      <c r="J867" s="3">
        <f t="shared" si="67"/>
        <v>61.55</v>
      </c>
      <c r="K867" s="3">
        <v>9.8000000000000007</v>
      </c>
      <c r="L867" s="3">
        <v>44.58</v>
      </c>
      <c r="M867" s="3">
        <v>3.5</v>
      </c>
      <c r="N867" s="3">
        <f t="shared" si="68"/>
        <v>57.88</v>
      </c>
      <c r="O867" s="3">
        <f t="shared" si="69"/>
        <v>119.43</v>
      </c>
      <c r="P867" s="2"/>
      <c r="Q867" s="5"/>
    </row>
    <row r="868" spans="1:17">
      <c r="A868" s="2">
        <f t="shared" si="65"/>
        <v>866</v>
      </c>
      <c r="B868" s="2">
        <f t="shared" si="66"/>
        <v>314</v>
      </c>
      <c r="C868" s="2" t="s">
        <v>45</v>
      </c>
      <c r="D868" s="2" t="s">
        <v>109</v>
      </c>
      <c r="E868" s="2" t="s">
        <v>1793</v>
      </c>
      <c r="F868" s="2" t="s">
        <v>1794</v>
      </c>
      <c r="G868" s="3">
        <v>10</v>
      </c>
      <c r="H868" s="3">
        <v>46.29</v>
      </c>
      <c r="I868" s="3">
        <v>4.2</v>
      </c>
      <c r="J868" s="3">
        <f t="shared" si="67"/>
        <v>60.49</v>
      </c>
      <c r="K868" s="3">
        <v>7.3000000000000007</v>
      </c>
      <c r="L868" s="3">
        <v>47.01</v>
      </c>
      <c r="M868" s="3">
        <v>4.4000000000000004</v>
      </c>
      <c r="N868" s="3">
        <f t="shared" si="68"/>
        <v>58.71</v>
      </c>
      <c r="O868" s="3">
        <f t="shared" si="69"/>
        <v>119.2</v>
      </c>
      <c r="P868" s="2"/>
      <c r="Q868" s="5"/>
    </row>
    <row r="869" spans="1:17">
      <c r="A869" s="2">
        <f t="shared" si="65"/>
        <v>867</v>
      </c>
      <c r="B869" s="2">
        <f t="shared" si="66"/>
        <v>119</v>
      </c>
      <c r="C869" s="2" t="s">
        <v>15</v>
      </c>
      <c r="D869" s="2" t="s">
        <v>181</v>
      </c>
      <c r="E869" s="2" t="s">
        <v>1795</v>
      </c>
      <c r="F869" s="2" t="s">
        <v>1796</v>
      </c>
      <c r="G869" s="3">
        <v>10</v>
      </c>
      <c r="H869" s="3">
        <v>54.83</v>
      </c>
      <c r="I869" s="3">
        <v>3</v>
      </c>
      <c r="J869" s="3">
        <f t="shared" si="67"/>
        <v>67.83</v>
      </c>
      <c r="K869" s="3">
        <v>7.5</v>
      </c>
      <c r="L869" s="3">
        <v>39.39</v>
      </c>
      <c r="M869" s="3">
        <v>4.4000000000000004</v>
      </c>
      <c r="N869" s="3">
        <f t="shared" si="68"/>
        <v>51.29</v>
      </c>
      <c r="O869" s="3">
        <f t="shared" si="69"/>
        <v>119.12</v>
      </c>
      <c r="P869" s="2"/>
      <c r="Q869" s="5"/>
    </row>
    <row r="870" spans="1:17">
      <c r="A870" s="2">
        <f t="shared" si="65"/>
        <v>868</v>
      </c>
      <c r="B870" s="2">
        <f t="shared" si="66"/>
        <v>315</v>
      </c>
      <c r="C870" s="2" t="s">
        <v>45</v>
      </c>
      <c r="D870" s="2" t="s">
        <v>220</v>
      </c>
      <c r="E870" s="2" t="s">
        <v>1797</v>
      </c>
      <c r="F870" s="2" t="s">
        <v>1798</v>
      </c>
      <c r="G870" s="3">
        <v>10</v>
      </c>
      <c r="H870" s="3">
        <v>46.77</v>
      </c>
      <c r="I870" s="3">
        <v>3.4</v>
      </c>
      <c r="J870" s="3">
        <f t="shared" si="67"/>
        <v>60.17</v>
      </c>
      <c r="K870" s="3">
        <v>9.6</v>
      </c>
      <c r="L870" s="3">
        <v>44.8</v>
      </c>
      <c r="M870" s="3">
        <v>4.5</v>
      </c>
      <c r="N870" s="3">
        <f t="shared" si="68"/>
        <v>58.9</v>
      </c>
      <c r="O870" s="3">
        <f t="shared" si="69"/>
        <v>119.07</v>
      </c>
      <c r="P870" s="2"/>
      <c r="Q870" s="5"/>
    </row>
    <row r="871" spans="1:17">
      <c r="A871" s="2">
        <f t="shared" si="65"/>
        <v>869</v>
      </c>
      <c r="B871" s="2">
        <f t="shared" si="66"/>
        <v>301</v>
      </c>
      <c r="C871" s="2" t="s">
        <v>20</v>
      </c>
      <c r="D871" s="2" t="s">
        <v>82</v>
      </c>
      <c r="E871" s="2" t="s">
        <v>1799</v>
      </c>
      <c r="F871" s="2" t="s">
        <v>1800</v>
      </c>
      <c r="G871" s="3">
        <v>9.8000000000000007</v>
      </c>
      <c r="H871" s="3">
        <v>48.595744680851098</v>
      </c>
      <c r="I871" s="3">
        <v>3</v>
      </c>
      <c r="J871" s="3">
        <f t="shared" si="67"/>
        <v>61.4</v>
      </c>
      <c r="K871" s="3">
        <v>9.8000000000000007</v>
      </c>
      <c r="L871" s="3">
        <v>44.28</v>
      </c>
      <c r="M871" s="3">
        <v>3.5</v>
      </c>
      <c r="N871" s="3">
        <f t="shared" si="68"/>
        <v>57.58</v>
      </c>
      <c r="O871" s="3">
        <f t="shared" si="69"/>
        <v>118.98</v>
      </c>
      <c r="P871" s="2"/>
      <c r="Q871" s="5"/>
    </row>
    <row r="872" spans="1:17">
      <c r="A872" s="2">
        <f t="shared" si="65"/>
        <v>870</v>
      </c>
      <c r="B872" s="2">
        <f t="shared" si="66"/>
        <v>316</v>
      </c>
      <c r="C872" s="2" t="s">
        <v>45</v>
      </c>
      <c r="D872" s="2" t="s">
        <v>73</v>
      </c>
      <c r="E872" s="2" t="s">
        <v>1801</v>
      </c>
      <c r="F872" s="2" t="s">
        <v>1802</v>
      </c>
      <c r="G872" s="3">
        <v>9.8000000000000007</v>
      </c>
      <c r="H872" s="3">
        <v>52.01</v>
      </c>
      <c r="I872" s="3">
        <v>4.2</v>
      </c>
      <c r="J872" s="3">
        <f t="shared" si="67"/>
        <v>66.010000000000005</v>
      </c>
      <c r="K872" s="3">
        <v>6.9</v>
      </c>
      <c r="L872" s="3">
        <v>42.13</v>
      </c>
      <c r="M872" s="3">
        <v>3.7</v>
      </c>
      <c r="N872" s="3">
        <f t="shared" si="68"/>
        <v>52.73</v>
      </c>
      <c r="O872" s="3">
        <f t="shared" si="69"/>
        <v>118.74</v>
      </c>
      <c r="P872" s="2"/>
      <c r="Q872" s="5"/>
    </row>
    <row r="873" spans="1:17">
      <c r="A873" s="2">
        <f t="shared" si="65"/>
        <v>871</v>
      </c>
      <c r="B873" s="2">
        <f t="shared" si="66"/>
        <v>120</v>
      </c>
      <c r="C873" s="2" t="s">
        <v>15</v>
      </c>
      <c r="D873" s="2" t="s">
        <v>257</v>
      </c>
      <c r="E873" s="2" t="s">
        <v>1803</v>
      </c>
      <c r="F873" s="2" t="s">
        <v>1804</v>
      </c>
      <c r="G873" s="3">
        <v>9.8000000000000007</v>
      </c>
      <c r="H873" s="3">
        <v>48.66</v>
      </c>
      <c r="I873" s="3">
        <v>3</v>
      </c>
      <c r="J873" s="3">
        <f t="shared" si="67"/>
        <v>61.46</v>
      </c>
      <c r="K873" s="3">
        <v>7.3000000000000007</v>
      </c>
      <c r="L873" s="3">
        <v>46.43</v>
      </c>
      <c r="M873" s="3">
        <v>3.5</v>
      </c>
      <c r="N873" s="3">
        <f t="shared" si="68"/>
        <v>57.23</v>
      </c>
      <c r="O873" s="3">
        <f t="shared" si="69"/>
        <v>118.69</v>
      </c>
      <c r="P873" s="2"/>
      <c r="Q873" s="5"/>
    </row>
    <row r="874" spans="1:17">
      <c r="A874" s="2">
        <f t="shared" si="65"/>
        <v>872</v>
      </c>
      <c r="B874" s="2">
        <f t="shared" si="66"/>
        <v>121</v>
      </c>
      <c r="C874" s="2" t="s">
        <v>15</v>
      </c>
      <c r="D874" s="2" t="s">
        <v>181</v>
      </c>
      <c r="E874" s="2" t="s">
        <v>1805</v>
      </c>
      <c r="F874" s="2" t="s">
        <v>1806</v>
      </c>
      <c r="G874" s="3">
        <v>10.8</v>
      </c>
      <c r="H874" s="3">
        <v>49.46</v>
      </c>
      <c r="I874" s="3">
        <v>3</v>
      </c>
      <c r="J874" s="3">
        <f t="shared" si="67"/>
        <v>63.26</v>
      </c>
      <c r="K874" s="3">
        <v>7.3000000000000007</v>
      </c>
      <c r="L874" s="3">
        <v>44.16</v>
      </c>
      <c r="M874" s="3">
        <v>3.85</v>
      </c>
      <c r="N874" s="3">
        <f t="shared" si="68"/>
        <v>55.31</v>
      </c>
      <c r="O874" s="3">
        <f t="shared" si="69"/>
        <v>118.57</v>
      </c>
      <c r="P874" s="2"/>
      <c r="Q874" s="5"/>
    </row>
    <row r="875" spans="1:17">
      <c r="A875" s="2">
        <f t="shared" si="65"/>
        <v>873</v>
      </c>
      <c r="B875" s="2">
        <f t="shared" si="66"/>
        <v>302</v>
      </c>
      <c r="C875" s="2" t="s">
        <v>20</v>
      </c>
      <c r="D875" s="2" t="s">
        <v>229</v>
      </c>
      <c r="E875" s="2" t="s">
        <v>1807</v>
      </c>
      <c r="F875" s="2" t="s">
        <v>1808</v>
      </c>
      <c r="G875" s="3">
        <v>10</v>
      </c>
      <c r="H875" s="3">
        <v>50.42</v>
      </c>
      <c r="I875" s="3">
        <v>4.2</v>
      </c>
      <c r="J875" s="3">
        <f t="shared" si="67"/>
        <v>64.62</v>
      </c>
      <c r="K875" s="3">
        <v>9.8000000000000007</v>
      </c>
      <c r="L875" s="3">
        <v>40.619999999999997</v>
      </c>
      <c r="M875" s="3">
        <v>3.5</v>
      </c>
      <c r="N875" s="3">
        <f t="shared" si="68"/>
        <v>53.92</v>
      </c>
      <c r="O875" s="3">
        <f t="shared" si="69"/>
        <v>118.54</v>
      </c>
      <c r="P875" s="2"/>
      <c r="Q875" s="5"/>
    </row>
    <row r="876" spans="1:17">
      <c r="A876" s="2">
        <f t="shared" si="65"/>
        <v>874</v>
      </c>
      <c r="B876" s="2">
        <f t="shared" si="66"/>
        <v>317</v>
      </c>
      <c r="C876" s="2" t="s">
        <v>45</v>
      </c>
      <c r="D876" s="2" t="s">
        <v>266</v>
      </c>
      <c r="E876" s="2" t="s">
        <v>1809</v>
      </c>
      <c r="F876" s="2" t="s">
        <v>1810</v>
      </c>
      <c r="G876" s="3">
        <v>9</v>
      </c>
      <c r="H876" s="3">
        <v>49.54</v>
      </c>
      <c r="I876" s="3">
        <v>3</v>
      </c>
      <c r="J876" s="3">
        <f t="shared" si="67"/>
        <v>61.54</v>
      </c>
      <c r="K876" s="3">
        <v>7.3000000000000007</v>
      </c>
      <c r="L876" s="3">
        <v>46.45</v>
      </c>
      <c r="M876" s="3">
        <v>3</v>
      </c>
      <c r="N876" s="3">
        <f t="shared" si="68"/>
        <v>56.75</v>
      </c>
      <c r="O876" s="3">
        <f t="shared" si="69"/>
        <v>118.29</v>
      </c>
      <c r="P876" s="2"/>
      <c r="Q876" s="5"/>
    </row>
    <row r="877" spans="1:17">
      <c r="A877" s="2">
        <f t="shared" si="65"/>
        <v>875</v>
      </c>
      <c r="B877" s="2">
        <f t="shared" si="66"/>
        <v>303</v>
      </c>
      <c r="C877" s="2" t="s">
        <v>20</v>
      </c>
      <c r="D877" s="2" t="s">
        <v>65</v>
      </c>
      <c r="E877" s="2" t="s">
        <v>1811</v>
      </c>
      <c r="F877" s="2" t="s">
        <v>1812</v>
      </c>
      <c r="G877" s="3">
        <v>9.8000000000000007</v>
      </c>
      <c r="H877" s="3">
        <v>51.64</v>
      </c>
      <c r="I877" s="3">
        <v>4</v>
      </c>
      <c r="J877" s="3">
        <f t="shared" si="67"/>
        <v>65.44</v>
      </c>
      <c r="K877" s="3">
        <v>9.8000000000000007</v>
      </c>
      <c r="L877" s="3">
        <v>38.86</v>
      </c>
      <c r="M877" s="3">
        <v>3.9</v>
      </c>
      <c r="N877" s="3">
        <f t="shared" si="68"/>
        <v>52.56</v>
      </c>
      <c r="O877" s="3">
        <f t="shared" si="69"/>
        <v>118</v>
      </c>
      <c r="P877" s="2"/>
      <c r="Q877" s="5"/>
    </row>
    <row r="878" spans="1:17">
      <c r="A878" s="2">
        <f t="shared" si="65"/>
        <v>876</v>
      </c>
      <c r="B878" s="2">
        <f t="shared" si="66"/>
        <v>318</v>
      </c>
      <c r="C878" s="2" t="s">
        <v>45</v>
      </c>
      <c r="D878" s="2" t="s">
        <v>232</v>
      </c>
      <c r="E878" s="2" t="s">
        <v>1813</v>
      </c>
      <c r="F878" s="2" t="s">
        <v>1814</v>
      </c>
      <c r="G878" s="3">
        <v>10.6</v>
      </c>
      <c r="H878" s="3">
        <v>44.14</v>
      </c>
      <c r="I878" s="3">
        <v>3.9</v>
      </c>
      <c r="J878" s="3">
        <f t="shared" si="67"/>
        <v>58.64</v>
      </c>
      <c r="K878" s="3">
        <v>10</v>
      </c>
      <c r="L878" s="3">
        <v>45.03</v>
      </c>
      <c r="M878" s="3">
        <v>4.3</v>
      </c>
      <c r="N878" s="3">
        <f t="shared" si="68"/>
        <v>59.33</v>
      </c>
      <c r="O878" s="3">
        <f t="shared" si="69"/>
        <v>117.97</v>
      </c>
      <c r="P878" s="2"/>
      <c r="Q878" s="5"/>
    </row>
    <row r="879" spans="1:17">
      <c r="A879" s="2">
        <f t="shared" si="65"/>
        <v>877</v>
      </c>
      <c r="B879" s="2">
        <f t="shared" si="66"/>
        <v>304</v>
      </c>
      <c r="C879" s="2" t="s">
        <v>20</v>
      </c>
      <c r="D879" s="2" t="s">
        <v>164</v>
      </c>
      <c r="E879" s="2" t="s">
        <v>1815</v>
      </c>
      <c r="F879" s="2" t="s">
        <v>1816</v>
      </c>
      <c r="G879" s="3">
        <v>9.8000000000000007</v>
      </c>
      <c r="H879" s="3">
        <v>50</v>
      </c>
      <c r="I879" s="3">
        <v>3.8</v>
      </c>
      <c r="J879" s="3">
        <f t="shared" si="67"/>
        <v>63.6</v>
      </c>
      <c r="K879" s="3">
        <v>9.8000000000000007</v>
      </c>
      <c r="L879" s="3">
        <v>41.49</v>
      </c>
      <c r="M879" s="3">
        <v>3</v>
      </c>
      <c r="N879" s="3">
        <f t="shared" si="68"/>
        <v>54.29</v>
      </c>
      <c r="O879" s="3">
        <f t="shared" si="69"/>
        <v>117.89</v>
      </c>
      <c r="P879" s="2"/>
      <c r="Q879" s="5"/>
    </row>
    <row r="880" spans="1:17">
      <c r="A880" s="2">
        <f t="shared" si="65"/>
        <v>878</v>
      </c>
      <c r="B880" s="2">
        <f t="shared" si="66"/>
        <v>319</v>
      </c>
      <c r="C880" s="2" t="s">
        <v>45</v>
      </c>
      <c r="D880" s="2" t="s">
        <v>54</v>
      </c>
      <c r="E880" s="2" t="s">
        <v>1817</v>
      </c>
      <c r="F880" s="2" t="s">
        <v>1818</v>
      </c>
      <c r="G880" s="3">
        <v>9.8000000000000007</v>
      </c>
      <c r="H880" s="3">
        <v>50.2</v>
      </c>
      <c r="I880" s="3">
        <v>3</v>
      </c>
      <c r="J880" s="3">
        <f t="shared" si="67"/>
        <v>63</v>
      </c>
      <c r="K880" s="3">
        <v>7.3000000000000007</v>
      </c>
      <c r="L880" s="3">
        <v>44.51</v>
      </c>
      <c r="M880" s="3">
        <v>3</v>
      </c>
      <c r="N880" s="3">
        <f t="shared" si="68"/>
        <v>54.81</v>
      </c>
      <c r="O880" s="3">
        <f t="shared" si="69"/>
        <v>117.81</v>
      </c>
      <c r="P880" s="2"/>
      <c r="Q880" s="5"/>
    </row>
    <row r="881" spans="1:17">
      <c r="A881" s="2">
        <f t="shared" si="65"/>
        <v>879</v>
      </c>
      <c r="B881" s="2">
        <f t="shared" si="66"/>
        <v>122</v>
      </c>
      <c r="C881" s="2" t="s">
        <v>15</v>
      </c>
      <c r="D881" s="2" t="s">
        <v>16</v>
      </c>
      <c r="E881" s="2" t="s">
        <v>1819</v>
      </c>
      <c r="F881" s="2" t="s">
        <v>1820</v>
      </c>
      <c r="G881" s="3">
        <v>10</v>
      </c>
      <c r="H881" s="3">
        <v>49.81</v>
      </c>
      <c r="I881" s="3">
        <v>3</v>
      </c>
      <c r="J881" s="3">
        <f t="shared" si="67"/>
        <v>62.81</v>
      </c>
      <c r="K881" s="3">
        <v>7.5</v>
      </c>
      <c r="L881" s="3">
        <v>43.86</v>
      </c>
      <c r="M881" s="3">
        <v>3.5</v>
      </c>
      <c r="N881" s="3">
        <f t="shared" si="68"/>
        <v>54.86</v>
      </c>
      <c r="O881" s="3">
        <f t="shared" si="69"/>
        <v>117.67</v>
      </c>
      <c r="P881" s="2"/>
      <c r="Q881" s="5"/>
    </row>
    <row r="882" spans="1:17">
      <c r="A882" s="2">
        <f t="shared" si="65"/>
        <v>880</v>
      </c>
      <c r="B882" s="2">
        <f t="shared" si="66"/>
        <v>320</v>
      </c>
      <c r="C882" s="2" t="s">
        <v>45</v>
      </c>
      <c r="D882" s="2" t="s">
        <v>266</v>
      </c>
      <c r="E882" s="2" t="s">
        <v>1821</v>
      </c>
      <c r="F882" s="2" t="s">
        <v>1822</v>
      </c>
      <c r="G882" s="3">
        <v>9</v>
      </c>
      <c r="H882" s="3">
        <v>53.89</v>
      </c>
      <c r="I882" s="3">
        <v>3</v>
      </c>
      <c r="J882" s="3">
        <f t="shared" si="67"/>
        <v>65.89</v>
      </c>
      <c r="K882" s="3">
        <v>7.3000000000000007</v>
      </c>
      <c r="L882" s="3">
        <v>41.04</v>
      </c>
      <c r="M882" s="3">
        <v>3</v>
      </c>
      <c r="N882" s="3">
        <f t="shared" si="68"/>
        <v>51.34</v>
      </c>
      <c r="O882" s="3">
        <f t="shared" si="69"/>
        <v>117.23</v>
      </c>
      <c r="P882" s="2"/>
      <c r="Q882" s="5"/>
    </row>
    <row r="883" spans="1:17">
      <c r="A883" s="2">
        <f t="shared" si="65"/>
        <v>881</v>
      </c>
      <c r="B883" s="2">
        <f t="shared" si="66"/>
        <v>123</v>
      </c>
      <c r="C883" s="2" t="s">
        <v>15</v>
      </c>
      <c r="D883" s="2" t="s">
        <v>257</v>
      </c>
      <c r="E883" s="2" t="s">
        <v>1823</v>
      </c>
      <c r="F883" s="2" t="s">
        <v>1824</v>
      </c>
      <c r="G883" s="3">
        <v>9.8000000000000007</v>
      </c>
      <c r="H883" s="3">
        <v>45.74</v>
      </c>
      <c r="I883" s="3">
        <v>3</v>
      </c>
      <c r="J883" s="3">
        <f t="shared" si="67"/>
        <v>58.54</v>
      </c>
      <c r="K883" s="3">
        <v>7.3000000000000007</v>
      </c>
      <c r="L883" s="3">
        <v>47.83</v>
      </c>
      <c r="M883" s="3">
        <v>3.5</v>
      </c>
      <c r="N883" s="3">
        <f t="shared" si="68"/>
        <v>58.63</v>
      </c>
      <c r="O883" s="3">
        <f t="shared" si="69"/>
        <v>117.17</v>
      </c>
      <c r="P883" s="2"/>
      <c r="Q883" s="5"/>
    </row>
    <row r="884" spans="1:17">
      <c r="A884" s="2">
        <f t="shared" si="65"/>
        <v>882</v>
      </c>
      <c r="B884" s="2">
        <f t="shared" si="66"/>
        <v>305</v>
      </c>
      <c r="C884" s="2" t="s">
        <v>20</v>
      </c>
      <c r="D884" s="2" t="s">
        <v>164</v>
      </c>
      <c r="E884" s="2" t="s">
        <v>1825</v>
      </c>
      <c r="F884" s="2" t="s">
        <v>1826</v>
      </c>
      <c r="G884" s="3">
        <v>9.8000000000000007</v>
      </c>
      <c r="H884" s="3">
        <v>56.85</v>
      </c>
      <c r="I884" s="3">
        <v>3</v>
      </c>
      <c r="J884" s="3">
        <f t="shared" si="67"/>
        <v>69.650000000000006</v>
      </c>
      <c r="K884" s="3">
        <v>9.8000000000000007</v>
      </c>
      <c r="L884" s="3">
        <v>34.57</v>
      </c>
      <c r="M884" s="3">
        <v>3</v>
      </c>
      <c r="N884" s="3">
        <f t="shared" si="68"/>
        <v>47.37</v>
      </c>
      <c r="O884" s="3">
        <f t="shared" si="69"/>
        <v>117.02</v>
      </c>
      <c r="P884" s="2"/>
      <c r="Q884" s="5"/>
    </row>
    <row r="885" spans="1:17">
      <c r="A885" s="2">
        <f t="shared" si="65"/>
        <v>883</v>
      </c>
      <c r="B885" s="2">
        <f t="shared" si="66"/>
        <v>321</v>
      </c>
      <c r="C885" s="2" t="s">
        <v>45</v>
      </c>
      <c r="D885" s="2" t="s">
        <v>232</v>
      </c>
      <c r="E885" s="2" t="s">
        <v>1827</v>
      </c>
      <c r="F885" s="2" t="s">
        <v>1828</v>
      </c>
      <c r="G885" s="3">
        <v>10.4</v>
      </c>
      <c r="H885" s="3">
        <v>48.39</v>
      </c>
      <c r="I885" s="3">
        <v>3</v>
      </c>
      <c r="J885" s="3">
        <f t="shared" si="67"/>
        <v>61.79</v>
      </c>
      <c r="K885" s="3">
        <v>9.4</v>
      </c>
      <c r="L885" s="3">
        <v>41.79</v>
      </c>
      <c r="M885" s="3">
        <v>3.7</v>
      </c>
      <c r="N885" s="3">
        <f t="shared" si="68"/>
        <v>54.89</v>
      </c>
      <c r="O885" s="3">
        <f t="shared" si="69"/>
        <v>116.68</v>
      </c>
      <c r="P885" s="2"/>
      <c r="Q885" s="5"/>
    </row>
    <row r="886" spans="1:17">
      <c r="A886" s="2">
        <f t="shared" si="65"/>
        <v>884</v>
      </c>
      <c r="B886" s="2">
        <f t="shared" si="66"/>
        <v>124</v>
      </c>
      <c r="C886" s="2" t="s">
        <v>15</v>
      </c>
      <c r="D886" s="2" t="s">
        <v>181</v>
      </c>
      <c r="E886" s="2" t="s">
        <v>1829</v>
      </c>
      <c r="F886" s="2" t="s">
        <v>1830</v>
      </c>
      <c r="G886" s="3">
        <v>9.4</v>
      </c>
      <c r="H886" s="3">
        <v>45.09</v>
      </c>
      <c r="I886" s="3">
        <v>4</v>
      </c>
      <c r="J886" s="3">
        <f t="shared" si="67"/>
        <v>58.49</v>
      </c>
      <c r="K886" s="3">
        <v>8.8000000000000007</v>
      </c>
      <c r="L886" s="3">
        <v>45.28</v>
      </c>
      <c r="M886" s="3">
        <v>4</v>
      </c>
      <c r="N886" s="3">
        <f t="shared" si="68"/>
        <v>58.08</v>
      </c>
      <c r="O886" s="3">
        <f t="shared" si="69"/>
        <v>116.57</v>
      </c>
      <c r="P886" s="2"/>
      <c r="Q886" s="5"/>
    </row>
    <row r="887" spans="1:17">
      <c r="A887" s="2">
        <f t="shared" si="65"/>
        <v>885</v>
      </c>
      <c r="B887" s="2">
        <f t="shared" si="66"/>
        <v>322</v>
      </c>
      <c r="C887" s="2" t="s">
        <v>45</v>
      </c>
      <c r="D887" s="2" t="s">
        <v>114</v>
      </c>
      <c r="E887" s="2" t="s">
        <v>1831</v>
      </c>
      <c r="F887" s="2" t="s">
        <v>1832</v>
      </c>
      <c r="G887" s="3">
        <v>9.8000000000000007</v>
      </c>
      <c r="H887" s="3">
        <v>51.73</v>
      </c>
      <c r="I887" s="3">
        <v>3</v>
      </c>
      <c r="J887" s="3">
        <f t="shared" si="67"/>
        <v>64.53</v>
      </c>
      <c r="K887" s="3">
        <v>9.8000000000000007</v>
      </c>
      <c r="L887" s="3">
        <v>38.68</v>
      </c>
      <c r="M887" s="3">
        <v>3.5</v>
      </c>
      <c r="N887" s="3">
        <f t="shared" si="68"/>
        <v>51.98</v>
      </c>
      <c r="O887" s="3">
        <f t="shared" si="69"/>
        <v>116.51</v>
      </c>
      <c r="P887" s="2"/>
      <c r="Q887" s="5"/>
    </row>
    <row r="888" spans="1:17">
      <c r="A888" s="2">
        <f t="shared" si="65"/>
        <v>886</v>
      </c>
      <c r="B888" s="2">
        <f t="shared" si="66"/>
        <v>306</v>
      </c>
      <c r="C888" s="2" t="s">
        <v>20</v>
      </c>
      <c r="D888" s="2" t="s">
        <v>65</v>
      </c>
      <c r="E888" s="2" t="s">
        <v>1833</v>
      </c>
      <c r="F888" s="2" t="s">
        <v>1834</v>
      </c>
      <c r="G888" s="3">
        <v>9.4</v>
      </c>
      <c r="H888" s="3">
        <v>50.2</v>
      </c>
      <c r="I888" s="3">
        <v>3</v>
      </c>
      <c r="J888" s="3">
        <f t="shared" si="67"/>
        <v>62.6</v>
      </c>
      <c r="K888" s="3">
        <v>7.3000000000000007</v>
      </c>
      <c r="L888" s="3">
        <v>43.49</v>
      </c>
      <c r="M888" s="3">
        <v>3</v>
      </c>
      <c r="N888" s="3">
        <f t="shared" si="68"/>
        <v>53.79</v>
      </c>
      <c r="O888" s="3">
        <f t="shared" si="69"/>
        <v>116.39</v>
      </c>
      <c r="P888" s="2"/>
      <c r="Q888" s="5"/>
    </row>
    <row r="889" spans="1:17">
      <c r="A889" s="2">
        <f t="shared" si="65"/>
        <v>887</v>
      </c>
      <c r="B889" s="2">
        <f t="shared" si="66"/>
        <v>307</v>
      </c>
      <c r="C889" s="2" t="s">
        <v>20</v>
      </c>
      <c r="D889" s="2" t="s">
        <v>117</v>
      </c>
      <c r="E889" s="2" t="s">
        <v>1835</v>
      </c>
      <c r="F889" s="2" t="s">
        <v>1836</v>
      </c>
      <c r="G889" s="3">
        <v>9.4</v>
      </c>
      <c r="H889" s="3">
        <v>52.27</v>
      </c>
      <c r="I889" s="3">
        <v>3</v>
      </c>
      <c r="J889" s="3">
        <f t="shared" si="67"/>
        <v>64.67</v>
      </c>
      <c r="K889" s="3">
        <v>9.8000000000000007</v>
      </c>
      <c r="L889" s="3">
        <v>38.909999999999997</v>
      </c>
      <c r="M889" s="3">
        <v>3</v>
      </c>
      <c r="N889" s="3">
        <f t="shared" si="68"/>
        <v>51.71</v>
      </c>
      <c r="O889" s="3">
        <f t="shared" si="69"/>
        <v>116.38</v>
      </c>
      <c r="P889" s="2"/>
      <c r="Q889" s="5"/>
    </row>
    <row r="890" spans="1:17">
      <c r="A890" s="2">
        <f t="shared" si="65"/>
        <v>888</v>
      </c>
      <c r="B890" s="2">
        <f t="shared" si="66"/>
        <v>308</v>
      </c>
      <c r="C890" s="2" t="s">
        <v>20</v>
      </c>
      <c r="D890" s="2" t="s">
        <v>42</v>
      </c>
      <c r="E890" s="2" t="s">
        <v>1837</v>
      </c>
      <c r="F890" s="2" t="s">
        <v>1838</v>
      </c>
      <c r="G890" s="3">
        <v>9.8000000000000007</v>
      </c>
      <c r="H890" s="3">
        <v>46.033333333333303</v>
      </c>
      <c r="I890" s="3">
        <v>3</v>
      </c>
      <c r="J890" s="3">
        <f t="shared" si="67"/>
        <v>58.83</v>
      </c>
      <c r="K890" s="3">
        <v>9.4</v>
      </c>
      <c r="L890" s="3">
        <v>45.13</v>
      </c>
      <c r="M890" s="3">
        <v>3</v>
      </c>
      <c r="N890" s="3">
        <f t="shared" si="68"/>
        <v>57.53</v>
      </c>
      <c r="O890" s="3">
        <f t="shared" si="69"/>
        <v>116.36</v>
      </c>
      <c r="P890" s="2"/>
      <c r="Q890" s="5"/>
    </row>
    <row r="891" spans="1:17">
      <c r="A891" s="2">
        <f t="shared" si="65"/>
        <v>889</v>
      </c>
      <c r="B891" s="2">
        <f t="shared" si="66"/>
        <v>309</v>
      </c>
      <c r="C891" s="2" t="s">
        <v>20</v>
      </c>
      <c r="D891" s="2" t="s">
        <v>229</v>
      </c>
      <c r="E891" s="2" t="s">
        <v>1839</v>
      </c>
      <c r="F891" s="2" t="s">
        <v>1840</v>
      </c>
      <c r="G891" s="3">
        <v>7.3</v>
      </c>
      <c r="H891" s="3">
        <v>47.18</v>
      </c>
      <c r="I891" s="3">
        <v>3</v>
      </c>
      <c r="J891" s="3">
        <f t="shared" si="67"/>
        <v>57.48</v>
      </c>
      <c r="K891" s="3">
        <v>9.8000000000000007</v>
      </c>
      <c r="L891" s="3">
        <v>45.52</v>
      </c>
      <c r="M891" s="3">
        <v>3.5</v>
      </c>
      <c r="N891" s="3">
        <f t="shared" si="68"/>
        <v>58.82</v>
      </c>
      <c r="O891" s="3">
        <f t="shared" si="69"/>
        <v>116.3</v>
      </c>
      <c r="P891" s="2"/>
      <c r="Q891" s="5"/>
    </row>
    <row r="892" spans="1:17">
      <c r="A892" s="2">
        <f t="shared" si="65"/>
        <v>890</v>
      </c>
      <c r="B892" s="2">
        <f t="shared" si="66"/>
        <v>310</v>
      </c>
      <c r="C892" s="2" t="s">
        <v>20</v>
      </c>
      <c r="D892" s="2" t="s">
        <v>42</v>
      </c>
      <c r="E892" s="2" t="s">
        <v>1841</v>
      </c>
      <c r="F892" s="2" t="s">
        <v>1842</v>
      </c>
      <c r="G892" s="3">
        <v>9.8000000000000007</v>
      </c>
      <c r="H892" s="3">
        <v>43.132653061224502</v>
      </c>
      <c r="I892" s="3">
        <v>3</v>
      </c>
      <c r="J892" s="3">
        <f t="shared" si="67"/>
        <v>55.93</v>
      </c>
      <c r="K892" s="3">
        <v>9.8000000000000007</v>
      </c>
      <c r="L892" s="3">
        <v>47.42</v>
      </c>
      <c r="M892" s="3">
        <v>3</v>
      </c>
      <c r="N892" s="3">
        <f t="shared" si="68"/>
        <v>60.22</v>
      </c>
      <c r="O892" s="3">
        <f t="shared" si="69"/>
        <v>116.15</v>
      </c>
      <c r="P892" s="2"/>
      <c r="Q892" s="5"/>
    </row>
    <row r="893" spans="1:17">
      <c r="A893" s="2">
        <f t="shared" si="65"/>
        <v>891</v>
      </c>
      <c r="B893" s="2">
        <f t="shared" si="66"/>
        <v>323</v>
      </c>
      <c r="C893" s="2" t="s">
        <v>45</v>
      </c>
      <c r="D893" s="2" t="s">
        <v>232</v>
      </c>
      <c r="E893" s="2" t="s">
        <v>1843</v>
      </c>
      <c r="F893" s="2" t="s">
        <v>1844</v>
      </c>
      <c r="G893" s="3">
        <v>9.8000000000000007</v>
      </c>
      <c r="H893" s="3">
        <v>45.71</v>
      </c>
      <c r="I893" s="3">
        <v>3</v>
      </c>
      <c r="J893" s="3">
        <f t="shared" si="67"/>
        <v>58.51</v>
      </c>
      <c r="K893" s="3">
        <v>9.8000000000000007</v>
      </c>
      <c r="L893" s="3">
        <v>44.77</v>
      </c>
      <c r="M893" s="3">
        <v>3</v>
      </c>
      <c r="N893" s="3">
        <f t="shared" si="68"/>
        <v>57.57</v>
      </c>
      <c r="O893" s="3">
        <f t="shared" si="69"/>
        <v>116.08</v>
      </c>
      <c r="P893" s="2"/>
      <c r="Q893" s="5"/>
    </row>
    <row r="894" spans="1:17">
      <c r="A894" s="2">
        <f t="shared" si="65"/>
        <v>892</v>
      </c>
      <c r="B894" s="2">
        <f t="shared" si="66"/>
        <v>324</v>
      </c>
      <c r="C894" s="2" t="s">
        <v>45</v>
      </c>
      <c r="D894" s="2" t="s">
        <v>232</v>
      </c>
      <c r="E894" s="2" t="s">
        <v>1845</v>
      </c>
      <c r="F894" s="2" t="s">
        <v>1846</v>
      </c>
      <c r="G894" s="3">
        <v>11.8</v>
      </c>
      <c r="H894" s="3">
        <v>43.68</v>
      </c>
      <c r="I894" s="3">
        <v>3</v>
      </c>
      <c r="J894" s="3">
        <f t="shared" si="67"/>
        <v>58.48</v>
      </c>
      <c r="K894" s="3">
        <v>9.4</v>
      </c>
      <c r="L894" s="3">
        <v>45.18</v>
      </c>
      <c r="M894" s="3">
        <v>3</v>
      </c>
      <c r="N894" s="3">
        <f t="shared" si="68"/>
        <v>57.58</v>
      </c>
      <c r="O894" s="3">
        <f t="shared" si="69"/>
        <v>116.06</v>
      </c>
      <c r="P894" s="2"/>
      <c r="Q894" s="5"/>
    </row>
    <row r="895" spans="1:17">
      <c r="A895" s="2">
        <f t="shared" si="65"/>
        <v>893</v>
      </c>
      <c r="B895" s="2">
        <f t="shared" si="66"/>
        <v>325</v>
      </c>
      <c r="C895" s="2" t="s">
        <v>45</v>
      </c>
      <c r="D895" s="2" t="s">
        <v>114</v>
      </c>
      <c r="E895" s="2" t="s">
        <v>1847</v>
      </c>
      <c r="F895" s="2" t="s">
        <v>1848</v>
      </c>
      <c r="G895" s="3">
        <v>10</v>
      </c>
      <c r="H895" s="3">
        <v>51.7</v>
      </c>
      <c r="I895" s="3">
        <v>3</v>
      </c>
      <c r="J895" s="3">
        <f t="shared" si="67"/>
        <v>64.7</v>
      </c>
      <c r="K895" s="3">
        <v>10</v>
      </c>
      <c r="L895" s="3">
        <v>38.21</v>
      </c>
      <c r="M895" s="3">
        <v>3</v>
      </c>
      <c r="N895" s="3">
        <f t="shared" si="68"/>
        <v>51.21</v>
      </c>
      <c r="O895" s="3">
        <f t="shared" si="69"/>
        <v>115.91</v>
      </c>
      <c r="P895" s="2"/>
      <c r="Q895" s="5"/>
    </row>
    <row r="896" spans="1:17">
      <c r="A896" s="2">
        <f t="shared" si="65"/>
        <v>894</v>
      </c>
      <c r="B896" s="2">
        <f t="shared" si="66"/>
        <v>125</v>
      </c>
      <c r="C896" s="2" t="s">
        <v>15</v>
      </c>
      <c r="D896" s="2" t="s">
        <v>16</v>
      </c>
      <c r="E896" s="2" t="s">
        <v>1849</v>
      </c>
      <c r="F896" s="2" t="s">
        <v>1850</v>
      </c>
      <c r="G896" s="3">
        <v>9.8000000000000007</v>
      </c>
      <c r="H896" s="3">
        <v>50.19</v>
      </c>
      <c r="I896" s="3">
        <v>3</v>
      </c>
      <c r="J896" s="3">
        <f t="shared" si="67"/>
        <v>62.99</v>
      </c>
      <c r="K896" s="3">
        <v>7.3000000000000007</v>
      </c>
      <c r="L896" s="3">
        <v>42</v>
      </c>
      <c r="M896" s="3">
        <v>3.5</v>
      </c>
      <c r="N896" s="3">
        <f t="shared" si="68"/>
        <v>52.8</v>
      </c>
      <c r="O896" s="3">
        <f t="shared" si="69"/>
        <v>115.79</v>
      </c>
      <c r="P896" s="2"/>
      <c r="Q896" s="5"/>
    </row>
    <row r="897" spans="1:17">
      <c r="A897" s="2">
        <f t="shared" si="65"/>
        <v>895</v>
      </c>
      <c r="B897" s="2">
        <f t="shared" si="66"/>
        <v>311</v>
      </c>
      <c r="C897" s="2" t="s">
        <v>20</v>
      </c>
      <c r="D897" s="2" t="s">
        <v>82</v>
      </c>
      <c r="E897" s="2" t="s">
        <v>1851</v>
      </c>
      <c r="F897" s="2" t="s">
        <v>1852</v>
      </c>
      <c r="G897" s="3">
        <v>6.5</v>
      </c>
      <c r="H897" s="3">
        <v>54.191489361702097</v>
      </c>
      <c r="I897" s="3">
        <v>3</v>
      </c>
      <c r="J897" s="3">
        <f t="shared" si="67"/>
        <v>63.69</v>
      </c>
      <c r="K897" s="3">
        <v>7.5</v>
      </c>
      <c r="L897" s="3">
        <v>40.69</v>
      </c>
      <c r="M897" s="3">
        <v>3.5</v>
      </c>
      <c r="N897" s="3">
        <f t="shared" si="68"/>
        <v>51.69</v>
      </c>
      <c r="O897" s="3">
        <f t="shared" si="69"/>
        <v>115.38</v>
      </c>
      <c r="P897" s="2"/>
      <c r="Q897" s="5"/>
    </row>
    <row r="898" spans="1:17">
      <c r="A898" s="2">
        <f t="shared" si="65"/>
        <v>896</v>
      </c>
      <c r="B898" s="2">
        <f t="shared" si="66"/>
        <v>326</v>
      </c>
      <c r="C898" s="2" t="s">
        <v>45</v>
      </c>
      <c r="D898" s="2" t="s">
        <v>89</v>
      </c>
      <c r="E898" s="2" t="s">
        <v>1853</v>
      </c>
      <c r="F898" s="2" t="s">
        <v>1854</v>
      </c>
      <c r="G898" s="3">
        <v>10</v>
      </c>
      <c r="H898" s="3">
        <v>45.54</v>
      </c>
      <c r="I898" s="3">
        <v>3</v>
      </c>
      <c r="J898" s="3">
        <f t="shared" si="67"/>
        <v>58.54</v>
      </c>
      <c r="K898" s="3">
        <v>10</v>
      </c>
      <c r="L898" s="3">
        <v>43.82</v>
      </c>
      <c r="M898" s="3">
        <v>3</v>
      </c>
      <c r="N898" s="3">
        <f t="shared" si="68"/>
        <v>56.82</v>
      </c>
      <c r="O898" s="3">
        <f t="shared" si="69"/>
        <v>115.36</v>
      </c>
      <c r="P898" s="2"/>
      <c r="Q898" s="5"/>
    </row>
    <row r="899" spans="1:17">
      <c r="A899" s="2">
        <f t="shared" ref="A899:A962" si="70">COUNTIFS($C$3:$C$1025,"&lt;&gt;大数据",$O$3:$O$1025,"&gt;"&amp;O899)+1</f>
        <v>897</v>
      </c>
      <c r="B899" s="2">
        <f t="shared" ref="B899:B962" si="71">COUNTIFS($C$3:$C$1025,C899,$O$3:$O$1025,"&gt;"&amp;O899)+1</f>
        <v>312</v>
      </c>
      <c r="C899" s="2" t="s">
        <v>20</v>
      </c>
      <c r="D899" s="2" t="s">
        <v>21</v>
      </c>
      <c r="E899" s="2" t="s">
        <v>1855</v>
      </c>
      <c r="F899" s="2" t="s">
        <v>1856</v>
      </c>
      <c r="G899" s="3">
        <v>9.8000000000000007</v>
      </c>
      <c r="H899" s="3">
        <v>39.479999999999997</v>
      </c>
      <c r="I899" s="3">
        <v>3</v>
      </c>
      <c r="J899" s="3">
        <f t="shared" ref="J899:J962" si="72">ROUND(SUM(G899:I899),2)</f>
        <v>52.28</v>
      </c>
      <c r="K899" s="3">
        <v>9.8000000000000007</v>
      </c>
      <c r="L899" s="3">
        <v>49.56</v>
      </c>
      <c r="M899" s="3">
        <v>3.5</v>
      </c>
      <c r="N899" s="3">
        <f t="shared" ref="N899:N962" si="73">ROUND(SUM(K899:M899),2)</f>
        <v>62.86</v>
      </c>
      <c r="O899" s="3">
        <f t="shared" ref="O899:O962" si="74">ROUND(SUM(J899,N899),2)</f>
        <v>115.14</v>
      </c>
      <c r="P899" s="2"/>
      <c r="Q899" s="5"/>
    </row>
    <row r="900" spans="1:17">
      <c r="A900" s="2">
        <f t="shared" si="70"/>
        <v>898</v>
      </c>
      <c r="B900" s="2">
        <f t="shared" si="71"/>
        <v>327</v>
      </c>
      <c r="C900" s="2" t="s">
        <v>45</v>
      </c>
      <c r="D900" s="2" t="s">
        <v>96</v>
      </c>
      <c r="E900" s="2" t="s">
        <v>1857</v>
      </c>
      <c r="F900" s="2" t="s">
        <v>1858</v>
      </c>
      <c r="G900" s="3">
        <v>9.8000000000000007</v>
      </c>
      <c r="H900" s="3">
        <v>46.82</v>
      </c>
      <c r="I900" s="3">
        <v>3</v>
      </c>
      <c r="J900" s="3">
        <f t="shared" si="72"/>
        <v>59.62</v>
      </c>
      <c r="K900" s="3">
        <v>7.3000000000000007</v>
      </c>
      <c r="L900" s="3">
        <v>44.49</v>
      </c>
      <c r="M900" s="3">
        <v>3.7</v>
      </c>
      <c r="N900" s="3">
        <f t="shared" si="73"/>
        <v>55.49</v>
      </c>
      <c r="O900" s="3">
        <f t="shared" si="74"/>
        <v>115.11</v>
      </c>
      <c r="P900" s="2"/>
      <c r="Q900" s="5"/>
    </row>
    <row r="901" spans="1:17">
      <c r="A901" s="2">
        <f t="shared" si="70"/>
        <v>899</v>
      </c>
      <c r="B901" s="2">
        <f t="shared" si="71"/>
        <v>328</v>
      </c>
      <c r="C901" s="2" t="s">
        <v>45</v>
      </c>
      <c r="D901" s="2" t="s">
        <v>46</v>
      </c>
      <c r="E901" s="2" t="s">
        <v>1859</v>
      </c>
      <c r="F901" s="2" t="s">
        <v>1860</v>
      </c>
      <c r="G901" s="3">
        <v>9.8000000000000007</v>
      </c>
      <c r="H901" s="3">
        <v>44.93</v>
      </c>
      <c r="I901" s="3">
        <v>4</v>
      </c>
      <c r="J901" s="3">
        <f t="shared" si="72"/>
        <v>58.73</v>
      </c>
      <c r="K901" s="3">
        <v>7.3000000000000007</v>
      </c>
      <c r="L901" s="3">
        <v>44.49</v>
      </c>
      <c r="M901" s="3">
        <v>4.2</v>
      </c>
      <c r="N901" s="3">
        <f t="shared" si="73"/>
        <v>55.99</v>
      </c>
      <c r="O901" s="3">
        <f t="shared" si="74"/>
        <v>114.72</v>
      </c>
      <c r="P901" s="2"/>
      <c r="Q901" s="5"/>
    </row>
    <row r="902" spans="1:17">
      <c r="A902" s="2">
        <f t="shared" si="70"/>
        <v>900</v>
      </c>
      <c r="B902" s="2">
        <f t="shared" si="71"/>
        <v>329</v>
      </c>
      <c r="C902" s="2" t="s">
        <v>45</v>
      </c>
      <c r="D902" s="2" t="s">
        <v>114</v>
      </c>
      <c r="E902" s="2" t="s">
        <v>1861</v>
      </c>
      <c r="F902" s="2" t="s">
        <v>1862</v>
      </c>
      <c r="G902" s="3">
        <v>9.8000000000000007</v>
      </c>
      <c r="H902" s="3">
        <v>46.14</v>
      </c>
      <c r="I902" s="3">
        <v>3</v>
      </c>
      <c r="J902" s="3">
        <f t="shared" si="72"/>
        <v>58.94</v>
      </c>
      <c r="K902" s="3">
        <v>9.8000000000000007</v>
      </c>
      <c r="L902" s="3">
        <v>42.45</v>
      </c>
      <c r="M902" s="3">
        <v>3.5</v>
      </c>
      <c r="N902" s="3">
        <f t="shared" si="73"/>
        <v>55.75</v>
      </c>
      <c r="O902" s="3">
        <f t="shared" si="74"/>
        <v>114.69</v>
      </c>
      <c r="P902" s="2"/>
      <c r="Q902" s="5"/>
    </row>
    <row r="903" spans="1:17">
      <c r="A903" s="2">
        <f t="shared" si="70"/>
        <v>901</v>
      </c>
      <c r="B903" s="2">
        <f t="shared" si="71"/>
        <v>313</v>
      </c>
      <c r="C903" s="2" t="s">
        <v>20</v>
      </c>
      <c r="D903" s="2" t="s">
        <v>65</v>
      </c>
      <c r="E903" s="2" t="s">
        <v>1863</v>
      </c>
      <c r="F903" s="2" t="s">
        <v>1864</v>
      </c>
      <c r="G903" s="3">
        <v>9.8000000000000007</v>
      </c>
      <c r="H903" s="3">
        <v>53.79</v>
      </c>
      <c r="I903" s="3">
        <v>0</v>
      </c>
      <c r="J903" s="3">
        <f t="shared" si="72"/>
        <v>63.59</v>
      </c>
      <c r="K903" s="3">
        <v>7.3000000000000007</v>
      </c>
      <c r="L903" s="3">
        <v>40.78</v>
      </c>
      <c r="M903" s="3">
        <v>3</v>
      </c>
      <c r="N903" s="3">
        <f t="shared" si="73"/>
        <v>51.08</v>
      </c>
      <c r="O903" s="3">
        <f t="shared" si="74"/>
        <v>114.67</v>
      </c>
      <c r="P903" s="2"/>
      <c r="Q903" s="5"/>
    </row>
    <row r="904" spans="1:17">
      <c r="A904" s="2">
        <f t="shared" si="70"/>
        <v>902</v>
      </c>
      <c r="B904" s="2">
        <f t="shared" si="71"/>
        <v>330</v>
      </c>
      <c r="C904" s="2" t="s">
        <v>45</v>
      </c>
      <c r="D904" s="2" t="s">
        <v>232</v>
      </c>
      <c r="E904" s="2" t="s">
        <v>1865</v>
      </c>
      <c r="F904" s="2" t="s">
        <v>1866</v>
      </c>
      <c r="G904" s="3">
        <v>9.4</v>
      </c>
      <c r="H904" s="3">
        <v>45.39</v>
      </c>
      <c r="I904" s="3">
        <v>3</v>
      </c>
      <c r="J904" s="3">
        <f t="shared" si="72"/>
        <v>57.79</v>
      </c>
      <c r="K904" s="3">
        <v>9.8000000000000007</v>
      </c>
      <c r="L904" s="3">
        <v>43.25</v>
      </c>
      <c r="M904" s="3">
        <v>3.7</v>
      </c>
      <c r="N904" s="3">
        <f t="shared" si="73"/>
        <v>56.75</v>
      </c>
      <c r="O904" s="3">
        <f t="shared" si="74"/>
        <v>114.54</v>
      </c>
      <c r="P904" s="2"/>
      <c r="Q904" s="5"/>
    </row>
    <row r="905" spans="1:17">
      <c r="A905" s="2">
        <f t="shared" si="70"/>
        <v>903</v>
      </c>
      <c r="B905" s="2">
        <f t="shared" si="71"/>
        <v>314</v>
      </c>
      <c r="C905" s="2" t="s">
        <v>20</v>
      </c>
      <c r="D905" s="2" t="s">
        <v>42</v>
      </c>
      <c r="E905" s="2" t="s">
        <v>1867</v>
      </c>
      <c r="F905" s="2" t="s">
        <v>1868</v>
      </c>
      <c r="G905" s="3">
        <v>9.8000000000000007</v>
      </c>
      <c r="H905" s="3">
        <v>43.3333333333333</v>
      </c>
      <c r="I905" s="3">
        <v>3</v>
      </c>
      <c r="J905" s="3">
        <f t="shared" si="72"/>
        <v>56.13</v>
      </c>
      <c r="K905" s="3">
        <v>9.4</v>
      </c>
      <c r="L905" s="3">
        <v>45.9</v>
      </c>
      <c r="M905" s="3">
        <v>3</v>
      </c>
      <c r="N905" s="3">
        <f t="shared" si="73"/>
        <v>58.3</v>
      </c>
      <c r="O905" s="3">
        <f t="shared" si="74"/>
        <v>114.43</v>
      </c>
      <c r="P905" s="2"/>
      <c r="Q905" s="5"/>
    </row>
    <row r="906" spans="1:17">
      <c r="A906" s="2">
        <f t="shared" si="70"/>
        <v>904</v>
      </c>
      <c r="B906" s="2">
        <f t="shared" si="71"/>
        <v>315</v>
      </c>
      <c r="C906" s="2" t="s">
        <v>20</v>
      </c>
      <c r="D906" s="2" t="s">
        <v>32</v>
      </c>
      <c r="E906" s="2" t="s">
        <v>1869</v>
      </c>
      <c r="F906" s="2" t="s">
        <v>1870</v>
      </c>
      <c r="G906" s="3">
        <v>7.8</v>
      </c>
      <c r="H906" s="3">
        <v>46.367346938775498</v>
      </c>
      <c r="I906" s="3">
        <v>3.9</v>
      </c>
      <c r="J906" s="3">
        <f t="shared" si="72"/>
        <v>58.07</v>
      </c>
      <c r="K906" s="3">
        <v>9.8000000000000007</v>
      </c>
      <c r="L906" s="3">
        <v>43.3</v>
      </c>
      <c r="M906" s="3">
        <v>3.2</v>
      </c>
      <c r="N906" s="3">
        <f t="shared" si="73"/>
        <v>56.3</v>
      </c>
      <c r="O906" s="3">
        <f t="shared" si="74"/>
        <v>114.37</v>
      </c>
      <c r="P906" s="2"/>
      <c r="Q906" s="5"/>
    </row>
    <row r="907" spans="1:17">
      <c r="A907" s="2">
        <f t="shared" si="70"/>
        <v>905</v>
      </c>
      <c r="B907" s="2">
        <f t="shared" si="71"/>
        <v>331</v>
      </c>
      <c r="C907" s="2" t="s">
        <v>45</v>
      </c>
      <c r="D907" s="2" t="s">
        <v>73</v>
      </c>
      <c r="E907" s="2" t="s">
        <v>1871</v>
      </c>
      <c r="F907" s="2" t="s">
        <v>1872</v>
      </c>
      <c r="G907" s="3">
        <v>10</v>
      </c>
      <c r="H907" s="3">
        <v>48.14</v>
      </c>
      <c r="I907" s="3">
        <v>3</v>
      </c>
      <c r="J907" s="3">
        <f t="shared" si="72"/>
        <v>61.14</v>
      </c>
      <c r="K907" s="3">
        <v>10</v>
      </c>
      <c r="L907" s="3">
        <v>40.22</v>
      </c>
      <c r="M907" s="3">
        <v>3</v>
      </c>
      <c r="N907" s="3">
        <f t="shared" si="73"/>
        <v>53.22</v>
      </c>
      <c r="O907" s="3">
        <f t="shared" si="74"/>
        <v>114.36</v>
      </c>
      <c r="P907" s="2"/>
      <c r="Q907" s="5"/>
    </row>
    <row r="908" spans="1:17">
      <c r="A908" s="2">
        <f t="shared" si="70"/>
        <v>906</v>
      </c>
      <c r="B908" s="2">
        <f t="shared" si="71"/>
        <v>316</v>
      </c>
      <c r="C908" s="2" t="s">
        <v>20</v>
      </c>
      <c r="D908" s="2" t="s">
        <v>82</v>
      </c>
      <c r="E908" s="2" t="s">
        <v>1873</v>
      </c>
      <c r="F908" s="2" t="s">
        <v>1874</v>
      </c>
      <c r="G908" s="3">
        <v>9.8000000000000007</v>
      </c>
      <c r="H908" s="3">
        <v>46.553191489361701</v>
      </c>
      <c r="I908" s="3">
        <v>3</v>
      </c>
      <c r="J908" s="3">
        <f t="shared" si="72"/>
        <v>59.35</v>
      </c>
      <c r="K908" s="3">
        <v>7.3000000000000007</v>
      </c>
      <c r="L908" s="3">
        <v>44.13</v>
      </c>
      <c r="M908" s="3">
        <v>3.5</v>
      </c>
      <c r="N908" s="3">
        <f t="shared" si="73"/>
        <v>54.93</v>
      </c>
      <c r="O908" s="3">
        <f t="shared" si="74"/>
        <v>114.28</v>
      </c>
      <c r="P908" s="2"/>
      <c r="Q908" s="5"/>
    </row>
    <row r="909" spans="1:17">
      <c r="A909" s="2">
        <f t="shared" si="70"/>
        <v>907</v>
      </c>
      <c r="B909" s="2">
        <f t="shared" si="71"/>
        <v>317</v>
      </c>
      <c r="C909" s="2" t="s">
        <v>20</v>
      </c>
      <c r="D909" s="2" t="s">
        <v>229</v>
      </c>
      <c r="E909" s="2" t="s">
        <v>1875</v>
      </c>
      <c r="F909" s="2" t="s">
        <v>1876</v>
      </c>
      <c r="G909" s="3">
        <v>9.6</v>
      </c>
      <c r="H909" s="3">
        <v>45.92</v>
      </c>
      <c r="I909" s="3">
        <v>3</v>
      </c>
      <c r="J909" s="3">
        <f t="shared" si="72"/>
        <v>58.52</v>
      </c>
      <c r="K909" s="3">
        <v>7.1</v>
      </c>
      <c r="L909" s="3">
        <v>44.8</v>
      </c>
      <c r="M909" s="3">
        <v>3.5</v>
      </c>
      <c r="N909" s="3">
        <f t="shared" si="73"/>
        <v>55.4</v>
      </c>
      <c r="O909" s="3">
        <f t="shared" si="74"/>
        <v>113.92</v>
      </c>
      <c r="P909" s="2"/>
      <c r="Q909" s="5"/>
    </row>
    <row r="910" spans="1:17">
      <c r="A910" s="2">
        <f t="shared" si="70"/>
        <v>908</v>
      </c>
      <c r="B910" s="2">
        <f t="shared" si="71"/>
        <v>135</v>
      </c>
      <c r="C910" s="2" t="s">
        <v>24</v>
      </c>
      <c r="D910" s="2" t="s">
        <v>25</v>
      </c>
      <c r="E910" s="2" t="s">
        <v>1877</v>
      </c>
      <c r="F910" s="2" t="s">
        <v>1878</v>
      </c>
      <c r="G910" s="3">
        <v>9.8000000000000007</v>
      </c>
      <c r="H910" s="3">
        <v>43.153846153846203</v>
      </c>
      <c r="I910" s="3">
        <v>3</v>
      </c>
      <c r="J910" s="3">
        <f t="shared" si="72"/>
        <v>55.95</v>
      </c>
      <c r="K910" s="3">
        <v>9.8000000000000007</v>
      </c>
      <c r="L910" s="3">
        <v>44.4</v>
      </c>
      <c r="M910" s="3">
        <v>3.5</v>
      </c>
      <c r="N910" s="3">
        <f t="shared" si="73"/>
        <v>57.7</v>
      </c>
      <c r="O910" s="3">
        <f t="shared" si="74"/>
        <v>113.65</v>
      </c>
      <c r="P910" s="2"/>
      <c r="Q910" s="5"/>
    </row>
    <row r="911" spans="1:17">
      <c r="A911" s="2">
        <f t="shared" si="70"/>
        <v>909</v>
      </c>
      <c r="B911" s="2">
        <f t="shared" si="71"/>
        <v>318</v>
      </c>
      <c r="C911" s="2" t="s">
        <v>20</v>
      </c>
      <c r="D911" s="2" t="s">
        <v>36</v>
      </c>
      <c r="E911" s="2" t="s">
        <v>1879</v>
      </c>
      <c r="F911" s="2" t="s">
        <v>1880</v>
      </c>
      <c r="G911" s="3">
        <v>9.8000000000000007</v>
      </c>
      <c r="H911" s="3">
        <v>45.6</v>
      </c>
      <c r="I911" s="3">
        <v>3</v>
      </c>
      <c r="J911" s="3">
        <f t="shared" si="72"/>
        <v>58.4</v>
      </c>
      <c r="K911" s="3">
        <v>9.8000000000000007</v>
      </c>
      <c r="L911" s="3">
        <v>41.67</v>
      </c>
      <c r="M911" s="3">
        <v>3.5</v>
      </c>
      <c r="N911" s="3">
        <f t="shared" si="73"/>
        <v>54.97</v>
      </c>
      <c r="O911" s="3">
        <f t="shared" si="74"/>
        <v>113.37</v>
      </c>
      <c r="P911" s="2"/>
      <c r="Q911" s="5"/>
    </row>
    <row r="912" spans="1:17">
      <c r="A912" s="2">
        <f t="shared" si="70"/>
        <v>910</v>
      </c>
      <c r="B912" s="2">
        <f t="shared" si="71"/>
        <v>319</v>
      </c>
      <c r="C912" s="2" t="s">
        <v>20</v>
      </c>
      <c r="D912" s="2" t="s">
        <v>229</v>
      </c>
      <c r="E912" s="2" t="s">
        <v>1881</v>
      </c>
      <c r="F912" s="2" t="s">
        <v>1882</v>
      </c>
      <c r="G912" s="3">
        <v>9.8000000000000007</v>
      </c>
      <c r="H912" s="3">
        <v>46.38</v>
      </c>
      <c r="I912" s="3">
        <v>3</v>
      </c>
      <c r="J912" s="3">
        <f t="shared" si="72"/>
        <v>59.18</v>
      </c>
      <c r="K912" s="3">
        <v>6.9</v>
      </c>
      <c r="L912" s="3">
        <v>43.72</v>
      </c>
      <c r="M912" s="3">
        <v>3.5</v>
      </c>
      <c r="N912" s="3">
        <f t="shared" si="73"/>
        <v>54.12</v>
      </c>
      <c r="O912" s="3">
        <f t="shared" si="74"/>
        <v>113.3</v>
      </c>
      <c r="P912" s="2"/>
      <c r="Q912" s="5"/>
    </row>
    <row r="913" spans="1:17">
      <c r="A913" s="2">
        <f t="shared" si="70"/>
        <v>911</v>
      </c>
      <c r="B913" s="2">
        <f t="shared" si="71"/>
        <v>332</v>
      </c>
      <c r="C913" s="2" t="s">
        <v>45</v>
      </c>
      <c r="D913" s="2" t="s">
        <v>73</v>
      </c>
      <c r="E913" s="2" t="s">
        <v>1883</v>
      </c>
      <c r="F913" s="2" t="s">
        <v>1884</v>
      </c>
      <c r="G913" s="3">
        <v>7.3</v>
      </c>
      <c r="H913" s="3">
        <v>44.81</v>
      </c>
      <c r="I913" s="3">
        <v>3</v>
      </c>
      <c r="J913" s="3">
        <f t="shared" si="72"/>
        <v>55.11</v>
      </c>
      <c r="K913" s="3">
        <v>9.8000000000000007</v>
      </c>
      <c r="L913" s="3">
        <v>45.37</v>
      </c>
      <c r="M913" s="3">
        <v>3</v>
      </c>
      <c r="N913" s="3">
        <f t="shared" si="73"/>
        <v>58.17</v>
      </c>
      <c r="O913" s="3">
        <f t="shared" si="74"/>
        <v>113.28</v>
      </c>
      <c r="P913" s="2"/>
      <c r="Q913" s="5"/>
    </row>
    <row r="914" spans="1:17">
      <c r="A914" s="2">
        <f t="shared" si="70"/>
        <v>912</v>
      </c>
      <c r="B914" s="2">
        <f t="shared" si="71"/>
        <v>320</v>
      </c>
      <c r="C914" s="2" t="s">
        <v>20</v>
      </c>
      <c r="D914" s="2" t="s">
        <v>82</v>
      </c>
      <c r="E914" s="2" t="s">
        <v>1885</v>
      </c>
      <c r="F914" s="2" t="s">
        <v>1886</v>
      </c>
      <c r="G914" s="3">
        <v>6.5</v>
      </c>
      <c r="H914" s="3">
        <v>50.887755102040799</v>
      </c>
      <c r="I914" s="3">
        <v>3</v>
      </c>
      <c r="J914" s="3">
        <f t="shared" si="72"/>
        <v>60.39</v>
      </c>
      <c r="K914" s="3">
        <v>7.3000000000000007</v>
      </c>
      <c r="L914" s="3">
        <v>42.03</v>
      </c>
      <c r="M914" s="3">
        <v>3.5</v>
      </c>
      <c r="N914" s="3">
        <f t="shared" si="73"/>
        <v>52.83</v>
      </c>
      <c r="O914" s="3">
        <f t="shared" si="74"/>
        <v>113.22</v>
      </c>
      <c r="P914" s="2"/>
      <c r="Q914" s="5"/>
    </row>
    <row r="915" spans="1:17">
      <c r="A915" s="2">
        <f t="shared" si="70"/>
        <v>913</v>
      </c>
      <c r="B915" s="2">
        <f t="shared" si="71"/>
        <v>333</v>
      </c>
      <c r="C915" s="2" t="s">
        <v>45</v>
      </c>
      <c r="D915" s="2" t="s">
        <v>220</v>
      </c>
      <c r="E915" s="2" t="s">
        <v>1887</v>
      </c>
      <c r="F915" s="2" t="s">
        <v>1888</v>
      </c>
      <c r="G915" s="3">
        <v>6.5</v>
      </c>
      <c r="H915" s="3">
        <v>43.09</v>
      </c>
      <c r="I915" s="3">
        <v>3</v>
      </c>
      <c r="J915" s="3">
        <f t="shared" si="72"/>
        <v>52.59</v>
      </c>
      <c r="K915" s="3">
        <v>6.9</v>
      </c>
      <c r="L915" s="3">
        <v>50.51</v>
      </c>
      <c r="M915" s="3">
        <v>3</v>
      </c>
      <c r="N915" s="3">
        <f t="shared" si="73"/>
        <v>60.41</v>
      </c>
      <c r="O915" s="3">
        <f t="shared" si="74"/>
        <v>113</v>
      </c>
      <c r="P915" s="2"/>
      <c r="Q915" s="5"/>
    </row>
    <row r="916" spans="1:17">
      <c r="A916" s="2">
        <f t="shared" si="70"/>
        <v>914</v>
      </c>
      <c r="B916" s="2">
        <f t="shared" si="71"/>
        <v>321</v>
      </c>
      <c r="C916" s="2" t="s">
        <v>20</v>
      </c>
      <c r="D916" s="2" t="s">
        <v>65</v>
      </c>
      <c r="E916" s="2" t="s">
        <v>1889</v>
      </c>
      <c r="F916" s="2" t="s">
        <v>1890</v>
      </c>
      <c r="G916" s="3">
        <v>10</v>
      </c>
      <c r="H916" s="3">
        <v>45.98</v>
      </c>
      <c r="I916" s="3">
        <v>3</v>
      </c>
      <c r="J916" s="3">
        <f t="shared" si="72"/>
        <v>58.98</v>
      </c>
      <c r="K916" s="3">
        <v>7.5</v>
      </c>
      <c r="L916" s="3">
        <v>43.48</v>
      </c>
      <c r="M916" s="3">
        <v>3</v>
      </c>
      <c r="N916" s="3">
        <f t="shared" si="73"/>
        <v>53.98</v>
      </c>
      <c r="O916" s="3">
        <f t="shared" si="74"/>
        <v>112.96</v>
      </c>
      <c r="P916" s="2"/>
      <c r="Q916" s="5"/>
    </row>
    <row r="917" spans="1:17">
      <c r="A917" s="2">
        <f t="shared" si="70"/>
        <v>915</v>
      </c>
      <c r="B917" s="2">
        <f t="shared" si="71"/>
        <v>126</v>
      </c>
      <c r="C917" s="2" t="s">
        <v>15</v>
      </c>
      <c r="D917" s="2" t="s">
        <v>257</v>
      </c>
      <c r="E917" s="2" t="s">
        <v>1891</v>
      </c>
      <c r="F917" s="2" t="s">
        <v>1892</v>
      </c>
      <c r="G917" s="3">
        <v>9.6</v>
      </c>
      <c r="H917" s="3">
        <v>46.7</v>
      </c>
      <c r="I917" s="3">
        <v>3</v>
      </c>
      <c r="J917" s="3">
        <f t="shared" si="72"/>
        <v>59.3</v>
      </c>
      <c r="K917" s="3">
        <v>7.5</v>
      </c>
      <c r="L917" s="3">
        <v>42.58</v>
      </c>
      <c r="M917" s="3">
        <v>3.5</v>
      </c>
      <c r="N917" s="3">
        <f t="shared" si="73"/>
        <v>53.58</v>
      </c>
      <c r="O917" s="3">
        <f t="shared" si="74"/>
        <v>112.88</v>
      </c>
      <c r="P917" s="2"/>
      <c r="Q917" s="5"/>
    </row>
    <row r="918" spans="1:17">
      <c r="A918" s="2">
        <f t="shared" si="70"/>
        <v>916</v>
      </c>
      <c r="B918" s="2">
        <f t="shared" si="71"/>
        <v>322</v>
      </c>
      <c r="C918" s="2" t="s">
        <v>20</v>
      </c>
      <c r="D918" s="2" t="s">
        <v>21</v>
      </c>
      <c r="E918" s="2" t="s">
        <v>1893</v>
      </c>
      <c r="F918" s="2" t="s">
        <v>1894</v>
      </c>
      <c r="G918" s="3">
        <v>9.8000000000000007</v>
      </c>
      <c r="H918" s="3">
        <v>46.83</v>
      </c>
      <c r="I918" s="3">
        <v>3</v>
      </c>
      <c r="J918" s="3">
        <f t="shared" si="72"/>
        <v>59.63</v>
      </c>
      <c r="K918" s="3">
        <v>9.8000000000000007</v>
      </c>
      <c r="L918" s="3">
        <v>39.770000000000003</v>
      </c>
      <c r="M918" s="3">
        <v>3.5</v>
      </c>
      <c r="N918" s="3">
        <f t="shared" si="73"/>
        <v>53.07</v>
      </c>
      <c r="O918" s="3">
        <f t="shared" si="74"/>
        <v>112.7</v>
      </c>
      <c r="P918" s="2"/>
      <c r="Q918" s="5"/>
    </row>
    <row r="919" spans="1:17">
      <c r="A919" s="2">
        <f t="shared" si="70"/>
        <v>917</v>
      </c>
      <c r="B919" s="2">
        <f t="shared" si="71"/>
        <v>323</v>
      </c>
      <c r="C919" s="2" t="s">
        <v>20</v>
      </c>
      <c r="D919" s="2" t="s">
        <v>42</v>
      </c>
      <c r="E919" s="2" t="s">
        <v>1895</v>
      </c>
      <c r="F919" s="2" t="s">
        <v>1896</v>
      </c>
      <c r="G919" s="3">
        <v>9.8000000000000007</v>
      </c>
      <c r="H919" s="3">
        <v>46.466666666666697</v>
      </c>
      <c r="I919" s="3">
        <v>3</v>
      </c>
      <c r="J919" s="3">
        <f t="shared" si="72"/>
        <v>59.27</v>
      </c>
      <c r="K919" s="3">
        <v>9.8000000000000007</v>
      </c>
      <c r="L919" s="3">
        <v>40.36</v>
      </c>
      <c r="M919" s="3">
        <v>3</v>
      </c>
      <c r="N919" s="3">
        <f t="shared" si="73"/>
        <v>53.16</v>
      </c>
      <c r="O919" s="3">
        <f t="shared" si="74"/>
        <v>112.43</v>
      </c>
      <c r="P919" s="2"/>
      <c r="Q919" s="5"/>
    </row>
    <row r="920" spans="1:17">
      <c r="A920" s="2">
        <f t="shared" si="70"/>
        <v>918</v>
      </c>
      <c r="B920" s="2">
        <f t="shared" si="71"/>
        <v>324</v>
      </c>
      <c r="C920" s="2" t="s">
        <v>20</v>
      </c>
      <c r="D920" s="2" t="s">
        <v>229</v>
      </c>
      <c r="E920" s="2" t="s">
        <v>1897</v>
      </c>
      <c r="F920" s="2" t="s">
        <v>1898</v>
      </c>
      <c r="G920" s="3">
        <v>9.8000000000000007</v>
      </c>
      <c r="H920" s="3">
        <v>50.59</v>
      </c>
      <c r="I920" s="3">
        <v>3</v>
      </c>
      <c r="J920" s="3">
        <f t="shared" si="72"/>
        <v>63.39</v>
      </c>
      <c r="K920" s="3">
        <v>7.3000000000000007</v>
      </c>
      <c r="L920" s="3">
        <v>38.200000000000003</v>
      </c>
      <c r="M920" s="3">
        <v>3.5</v>
      </c>
      <c r="N920" s="3">
        <f t="shared" si="73"/>
        <v>49</v>
      </c>
      <c r="O920" s="3">
        <f t="shared" si="74"/>
        <v>112.39</v>
      </c>
      <c r="P920" s="2"/>
      <c r="Q920" s="5"/>
    </row>
    <row r="921" spans="1:17">
      <c r="A921" s="2">
        <f t="shared" si="70"/>
        <v>919</v>
      </c>
      <c r="B921" s="2">
        <f t="shared" si="71"/>
        <v>325</v>
      </c>
      <c r="C921" s="2" t="s">
        <v>20</v>
      </c>
      <c r="D921" s="2" t="s">
        <v>229</v>
      </c>
      <c r="E921" s="2" t="s">
        <v>1899</v>
      </c>
      <c r="F921" s="2" t="s">
        <v>1900</v>
      </c>
      <c r="G921" s="3">
        <v>9.4</v>
      </c>
      <c r="H921" s="3">
        <v>46.26</v>
      </c>
      <c r="I921" s="3">
        <v>3</v>
      </c>
      <c r="J921" s="3">
        <f t="shared" si="72"/>
        <v>58.66</v>
      </c>
      <c r="K921" s="3">
        <v>9.4</v>
      </c>
      <c r="L921" s="3">
        <v>40.69</v>
      </c>
      <c r="M921" s="3">
        <v>3.5</v>
      </c>
      <c r="N921" s="3">
        <f t="shared" si="73"/>
        <v>53.59</v>
      </c>
      <c r="O921" s="3">
        <f t="shared" si="74"/>
        <v>112.25</v>
      </c>
      <c r="P921" s="2"/>
      <c r="Q921" s="5"/>
    </row>
    <row r="922" spans="1:17">
      <c r="A922" s="2">
        <f t="shared" si="70"/>
        <v>920</v>
      </c>
      <c r="B922" s="2">
        <f t="shared" si="71"/>
        <v>326</v>
      </c>
      <c r="C922" s="2" t="s">
        <v>20</v>
      </c>
      <c r="D922" s="2" t="s">
        <v>164</v>
      </c>
      <c r="E922" s="2" t="s">
        <v>1901</v>
      </c>
      <c r="F922" s="2" t="s">
        <v>1902</v>
      </c>
      <c r="G922" s="3">
        <v>10</v>
      </c>
      <c r="H922" s="3">
        <v>51.08</v>
      </c>
      <c r="I922" s="3">
        <v>3</v>
      </c>
      <c r="J922" s="3">
        <f t="shared" si="72"/>
        <v>64.08</v>
      </c>
      <c r="K922" s="3">
        <v>10</v>
      </c>
      <c r="L922" s="3">
        <v>34.659999999999997</v>
      </c>
      <c r="M922" s="3">
        <v>3</v>
      </c>
      <c r="N922" s="3">
        <f t="shared" si="73"/>
        <v>47.66</v>
      </c>
      <c r="O922" s="3">
        <f t="shared" si="74"/>
        <v>111.74</v>
      </c>
      <c r="P922" s="2"/>
      <c r="Q922" s="5"/>
    </row>
    <row r="923" spans="1:17">
      <c r="A923" s="2">
        <f t="shared" si="70"/>
        <v>921</v>
      </c>
      <c r="B923" s="2">
        <f t="shared" si="71"/>
        <v>327</v>
      </c>
      <c r="C923" s="2" t="s">
        <v>20</v>
      </c>
      <c r="D923" s="2" t="s">
        <v>229</v>
      </c>
      <c r="E923" s="2" t="s">
        <v>1903</v>
      </c>
      <c r="F923" s="2" t="s">
        <v>1904</v>
      </c>
      <c r="G923" s="3">
        <v>9.8000000000000007</v>
      </c>
      <c r="H923" s="3">
        <v>41.93</v>
      </c>
      <c r="I923" s="3">
        <v>4</v>
      </c>
      <c r="J923" s="3">
        <f t="shared" si="72"/>
        <v>55.73</v>
      </c>
      <c r="K923" s="3">
        <v>9.8000000000000007</v>
      </c>
      <c r="L923" s="3">
        <v>41.34</v>
      </c>
      <c r="M923" s="3">
        <v>4.7</v>
      </c>
      <c r="N923" s="3">
        <f t="shared" si="73"/>
        <v>55.84</v>
      </c>
      <c r="O923" s="3">
        <f t="shared" si="74"/>
        <v>111.57</v>
      </c>
      <c r="P923" s="2"/>
      <c r="Q923" s="5"/>
    </row>
    <row r="924" spans="1:17">
      <c r="A924" s="2">
        <f t="shared" si="70"/>
        <v>922</v>
      </c>
      <c r="B924" s="2">
        <f t="shared" si="71"/>
        <v>136</v>
      </c>
      <c r="C924" s="2" t="s">
        <v>24</v>
      </c>
      <c r="D924" s="2" t="s">
        <v>58</v>
      </c>
      <c r="E924" s="2" t="s">
        <v>1905</v>
      </c>
      <c r="F924" s="2" t="s">
        <v>1906</v>
      </c>
      <c r="G924" s="3">
        <v>9.8000000000000007</v>
      </c>
      <c r="H924" s="3">
        <v>51.365853658536601</v>
      </c>
      <c r="I924" s="3">
        <v>3</v>
      </c>
      <c r="J924" s="3">
        <f t="shared" si="72"/>
        <v>64.17</v>
      </c>
      <c r="K924" s="3">
        <v>9.8000000000000007</v>
      </c>
      <c r="L924" s="3">
        <v>34.4</v>
      </c>
      <c r="M924" s="3">
        <v>3</v>
      </c>
      <c r="N924" s="3">
        <f t="shared" si="73"/>
        <v>47.2</v>
      </c>
      <c r="O924" s="3">
        <f t="shared" si="74"/>
        <v>111.37</v>
      </c>
      <c r="P924" s="2"/>
      <c r="Q924" s="5"/>
    </row>
    <row r="925" spans="1:17">
      <c r="A925" s="2">
        <f t="shared" si="70"/>
        <v>923</v>
      </c>
      <c r="B925" s="2">
        <f t="shared" si="71"/>
        <v>127</v>
      </c>
      <c r="C925" s="2" t="s">
        <v>15</v>
      </c>
      <c r="D925" s="2" t="s">
        <v>257</v>
      </c>
      <c r="E925" s="2" t="s">
        <v>1907</v>
      </c>
      <c r="F925" s="2" t="s">
        <v>1908</v>
      </c>
      <c r="G925" s="3">
        <v>9.8000000000000007</v>
      </c>
      <c r="H925" s="3">
        <v>39.869999999999997</v>
      </c>
      <c r="I925" s="3">
        <v>3</v>
      </c>
      <c r="J925" s="3">
        <f t="shared" si="72"/>
        <v>52.67</v>
      </c>
      <c r="K925" s="3">
        <v>7.3000000000000007</v>
      </c>
      <c r="L925" s="3">
        <v>47.8</v>
      </c>
      <c r="M925" s="3">
        <v>3.5</v>
      </c>
      <c r="N925" s="3">
        <f t="shared" si="73"/>
        <v>58.6</v>
      </c>
      <c r="O925" s="3">
        <f t="shared" si="74"/>
        <v>111.27</v>
      </c>
      <c r="P925" s="2"/>
      <c r="Q925" s="5"/>
    </row>
    <row r="926" spans="1:17">
      <c r="A926" s="2">
        <f t="shared" si="70"/>
        <v>924</v>
      </c>
      <c r="B926" s="2">
        <f t="shared" si="71"/>
        <v>137</v>
      </c>
      <c r="C926" s="2" t="s">
        <v>24</v>
      </c>
      <c r="D926" s="2" t="s">
        <v>49</v>
      </c>
      <c r="E926" s="2" t="s">
        <v>1909</v>
      </c>
      <c r="F926" s="2" t="s">
        <v>1910</v>
      </c>
      <c r="G926" s="3">
        <v>9.8000000000000007</v>
      </c>
      <c r="H926" s="3">
        <v>51.134146341463399</v>
      </c>
      <c r="I926" s="3">
        <v>3</v>
      </c>
      <c r="J926" s="3">
        <f t="shared" si="72"/>
        <v>63.93</v>
      </c>
      <c r="K926" s="3">
        <v>7.3000000000000007</v>
      </c>
      <c r="L926" s="3">
        <v>36.630000000000003</v>
      </c>
      <c r="M926" s="3">
        <v>3</v>
      </c>
      <c r="N926" s="3">
        <f t="shared" si="73"/>
        <v>46.93</v>
      </c>
      <c r="O926" s="3">
        <f t="shared" si="74"/>
        <v>110.86</v>
      </c>
      <c r="P926" s="2"/>
      <c r="Q926" s="5"/>
    </row>
    <row r="927" spans="1:17">
      <c r="A927" s="2">
        <f t="shared" si="70"/>
        <v>925</v>
      </c>
      <c r="B927" s="2">
        <f t="shared" si="71"/>
        <v>128</v>
      </c>
      <c r="C927" s="2" t="s">
        <v>15</v>
      </c>
      <c r="D927" s="2" t="s">
        <v>39</v>
      </c>
      <c r="E927" s="2" t="s">
        <v>1911</v>
      </c>
      <c r="F927" s="2" t="s">
        <v>1091</v>
      </c>
      <c r="G927" s="3">
        <v>9.6</v>
      </c>
      <c r="H927" s="3">
        <v>44.91</v>
      </c>
      <c r="I927" s="3">
        <v>3</v>
      </c>
      <c r="J927" s="3">
        <f t="shared" si="72"/>
        <v>57.51</v>
      </c>
      <c r="K927" s="3">
        <v>7.5</v>
      </c>
      <c r="L927" s="3">
        <v>42.07</v>
      </c>
      <c r="M927" s="3">
        <v>3.7</v>
      </c>
      <c r="N927" s="3">
        <f t="shared" si="73"/>
        <v>53.27</v>
      </c>
      <c r="O927" s="3">
        <f t="shared" si="74"/>
        <v>110.78</v>
      </c>
      <c r="P927" s="2"/>
      <c r="Q927" s="5"/>
    </row>
    <row r="928" spans="1:17">
      <c r="A928" s="2">
        <f t="shared" si="70"/>
        <v>926</v>
      </c>
      <c r="B928" s="2">
        <f t="shared" si="71"/>
        <v>129</v>
      </c>
      <c r="C928" s="2" t="s">
        <v>15</v>
      </c>
      <c r="D928" s="2" t="s">
        <v>257</v>
      </c>
      <c r="E928" s="2" t="s">
        <v>1912</v>
      </c>
      <c r="F928" s="2" t="s">
        <v>1913</v>
      </c>
      <c r="G928" s="3">
        <v>9.6</v>
      </c>
      <c r="H928" s="3">
        <v>46.45</v>
      </c>
      <c r="I928" s="3">
        <v>3</v>
      </c>
      <c r="J928" s="3">
        <f t="shared" si="72"/>
        <v>59.05</v>
      </c>
      <c r="K928" s="3">
        <v>7.5</v>
      </c>
      <c r="L928" s="3">
        <v>40.68</v>
      </c>
      <c r="M928" s="3">
        <v>3.5</v>
      </c>
      <c r="N928" s="3">
        <f t="shared" si="73"/>
        <v>51.68</v>
      </c>
      <c r="O928" s="3">
        <f t="shared" si="74"/>
        <v>110.73</v>
      </c>
      <c r="P928" s="2"/>
      <c r="Q928" s="5"/>
    </row>
    <row r="929" spans="1:17">
      <c r="A929" s="2">
        <f t="shared" si="70"/>
        <v>927</v>
      </c>
      <c r="B929" s="2">
        <f t="shared" si="71"/>
        <v>334</v>
      </c>
      <c r="C929" s="2" t="s">
        <v>45</v>
      </c>
      <c r="D929" s="2" t="s">
        <v>89</v>
      </c>
      <c r="E929" s="2" t="s">
        <v>1914</v>
      </c>
      <c r="F929" s="2" t="s">
        <v>1915</v>
      </c>
      <c r="G929" s="3">
        <v>9.8000000000000007</v>
      </c>
      <c r="H929" s="3">
        <v>45.74</v>
      </c>
      <c r="I929" s="3">
        <v>3</v>
      </c>
      <c r="J929" s="3">
        <f t="shared" si="72"/>
        <v>58.54</v>
      </c>
      <c r="K929" s="3">
        <v>9.8000000000000007</v>
      </c>
      <c r="L929" s="3">
        <v>38.909999999999997</v>
      </c>
      <c r="M929" s="3">
        <v>3</v>
      </c>
      <c r="N929" s="3">
        <f t="shared" si="73"/>
        <v>51.71</v>
      </c>
      <c r="O929" s="3">
        <f t="shared" si="74"/>
        <v>110.25</v>
      </c>
      <c r="P929" s="2"/>
      <c r="Q929" s="5"/>
    </row>
    <row r="930" spans="1:17">
      <c r="A930" s="2">
        <f t="shared" si="70"/>
        <v>928</v>
      </c>
      <c r="B930" s="2">
        <f t="shared" si="71"/>
        <v>335</v>
      </c>
      <c r="C930" s="2" t="s">
        <v>45</v>
      </c>
      <c r="D930" s="2" t="s">
        <v>114</v>
      </c>
      <c r="E930" s="2" t="s">
        <v>1916</v>
      </c>
      <c r="F930" s="2" t="s">
        <v>1917</v>
      </c>
      <c r="G930" s="3">
        <v>11.8</v>
      </c>
      <c r="H930" s="3">
        <v>47.15</v>
      </c>
      <c r="I930" s="3">
        <v>3</v>
      </c>
      <c r="J930" s="3">
        <f t="shared" si="72"/>
        <v>61.95</v>
      </c>
      <c r="K930" s="3">
        <v>9.8000000000000007</v>
      </c>
      <c r="L930" s="3">
        <v>35.35</v>
      </c>
      <c r="M930" s="3">
        <v>3</v>
      </c>
      <c r="N930" s="3">
        <f t="shared" si="73"/>
        <v>48.15</v>
      </c>
      <c r="O930" s="3">
        <f t="shared" si="74"/>
        <v>110.1</v>
      </c>
      <c r="P930" s="2"/>
      <c r="Q930" s="5"/>
    </row>
    <row r="931" spans="1:17">
      <c r="A931" s="2">
        <f t="shared" si="70"/>
        <v>929</v>
      </c>
      <c r="B931" s="2">
        <f t="shared" si="71"/>
        <v>336</v>
      </c>
      <c r="C931" s="2" t="s">
        <v>45</v>
      </c>
      <c r="D931" s="2" t="s">
        <v>46</v>
      </c>
      <c r="E931" s="2" t="s">
        <v>1918</v>
      </c>
      <c r="F931" s="2" t="s">
        <v>1919</v>
      </c>
      <c r="G931" s="3">
        <v>9.8000000000000007</v>
      </c>
      <c r="H931" s="3">
        <v>44.75</v>
      </c>
      <c r="I931" s="3">
        <v>3</v>
      </c>
      <c r="J931" s="3">
        <f t="shared" si="72"/>
        <v>57.55</v>
      </c>
      <c r="K931" s="3">
        <v>7.3000000000000007</v>
      </c>
      <c r="L931" s="3">
        <v>41.82</v>
      </c>
      <c r="M931" s="3">
        <v>3</v>
      </c>
      <c r="N931" s="3">
        <f t="shared" si="73"/>
        <v>52.12</v>
      </c>
      <c r="O931" s="3">
        <f t="shared" si="74"/>
        <v>109.67</v>
      </c>
      <c r="P931" s="2"/>
      <c r="Q931" s="5"/>
    </row>
    <row r="932" spans="1:17">
      <c r="A932" s="2">
        <f t="shared" si="70"/>
        <v>930</v>
      </c>
      <c r="B932" s="2">
        <f t="shared" si="71"/>
        <v>337</v>
      </c>
      <c r="C932" s="2" t="s">
        <v>45</v>
      </c>
      <c r="D932" s="2" t="s">
        <v>232</v>
      </c>
      <c r="E932" s="2" t="s">
        <v>1920</v>
      </c>
      <c r="F932" s="2" t="s">
        <v>1921</v>
      </c>
      <c r="G932" s="3">
        <v>9.4</v>
      </c>
      <c r="H932" s="3">
        <v>43.11</v>
      </c>
      <c r="I932" s="3">
        <v>3</v>
      </c>
      <c r="J932" s="3">
        <f t="shared" si="72"/>
        <v>55.51</v>
      </c>
      <c r="K932" s="3">
        <v>9.4</v>
      </c>
      <c r="L932" s="3">
        <v>41.19</v>
      </c>
      <c r="M932" s="3">
        <v>3.5</v>
      </c>
      <c r="N932" s="3">
        <f t="shared" si="73"/>
        <v>54.09</v>
      </c>
      <c r="O932" s="3">
        <f t="shared" si="74"/>
        <v>109.6</v>
      </c>
      <c r="P932" s="2"/>
      <c r="Q932" s="5"/>
    </row>
    <row r="933" spans="1:17">
      <c r="A933" s="2">
        <f t="shared" si="70"/>
        <v>931</v>
      </c>
      <c r="B933" s="2">
        <f t="shared" si="71"/>
        <v>338</v>
      </c>
      <c r="C933" s="2" t="s">
        <v>45</v>
      </c>
      <c r="D933" s="2" t="s">
        <v>89</v>
      </c>
      <c r="E933" s="2" t="s">
        <v>1922</v>
      </c>
      <c r="F933" s="2" t="s">
        <v>1923</v>
      </c>
      <c r="G933" s="3">
        <v>7.5</v>
      </c>
      <c r="H933" s="3">
        <v>43.24</v>
      </c>
      <c r="I933" s="3">
        <v>3</v>
      </c>
      <c r="J933" s="3">
        <f t="shared" si="72"/>
        <v>53.74</v>
      </c>
      <c r="K933" s="3">
        <v>7.5</v>
      </c>
      <c r="L933" s="3">
        <v>45.29</v>
      </c>
      <c r="M933" s="3">
        <v>3</v>
      </c>
      <c r="N933" s="3">
        <f t="shared" si="73"/>
        <v>55.79</v>
      </c>
      <c r="O933" s="3">
        <f t="shared" si="74"/>
        <v>109.53</v>
      </c>
      <c r="P933" s="2"/>
      <c r="Q933" s="5"/>
    </row>
    <row r="934" spans="1:17">
      <c r="A934" s="2">
        <f t="shared" si="70"/>
        <v>932</v>
      </c>
      <c r="B934" s="2">
        <f t="shared" si="71"/>
        <v>328</v>
      </c>
      <c r="C934" s="2" t="s">
        <v>20</v>
      </c>
      <c r="D934" s="2" t="s">
        <v>117</v>
      </c>
      <c r="E934" s="2" t="s">
        <v>1924</v>
      </c>
      <c r="F934" s="2" t="s">
        <v>1925</v>
      </c>
      <c r="G934" s="3">
        <v>9.4</v>
      </c>
      <c r="H934" s="3">
        <v>45.26</v>
      </c>
      <c r="I934" s="3">
        <v>3</v>
      </c>
      <c r="J934" s="3">
        <f t="shared" si="72"/>
        <v>57.66</v>
      </c>
      <c r="K934" s="3">
        <v>9.8000000000000007</v>
      </c>
      <c r="L934" s="3">
        <v>38.97</v>
      </c>
      <c r="M934" s="3">
        <v>3</v>
      </c>
      <c r="N934" s="3">
        <f t="shared" si="73"/>
        <v>51.77</v>
      </c>
      <c r="O934" s="3">
        <f t="shared" si="74"/>
        <v>109.43</v>
      </c>
      <c r="P934" s="2"/>
      <c r="Q934" s="5"/>
    </row>
    <row r="935" spans="1:17">
      <c r="A935" s="2">
        <f t="shared" si="70"/>
        <v>933</v>
      </c>
      <c r="B935" s="2">
        <f t="shared" si="71"/>
        <v>329</v>
      </c>
      <c r="C935" s="2" t="s">
        <v>20</v>
      </c>
      <c r="D935" s="2" t="s">
        <v>42</v>
      </c>
      <c r="E935" s="2" t="s">
        <v>1926</v>
      </c>
      <c r="F935" s="2" t="s">
        <v>1927</v>
      </c>
      <c r="G935" s="3">
        <v>9.8000000000000007</v>
      </c>
      <c r="H935" s="3">
        <v>42.266666666666701</v>
      </c>
      <c r="I935" s="3">
        <v>3</v>
      </c>
      <c r="J935" s="3">
        <f t="shared" si="72"/>
        <v>55.07</v>
      </c>
      <c r="K935" s="3">
        <v>9.8000000000000007</v>
      </c>
      <c r="L935" s="3">
        <v>41.43</v>
      </c>
      <c r="M935" s="3">
        <v>3</v>
      </c>
      <c r="N935" s="3">
        <f t="shared" si="73"/>
        <v>54.23</v>
      </c>
      <c r="O935" s="3">
        <f t="shared" si="74"/>
        <v>109.3</v>
      </c>
      <c r="P935" s="2"/>
      <c r="Q935" s="5"/>
    </row>
    <row r="936" spans="1:17">
      <c r="A936" s="2">
        <f t="shared" si="70"/>
        <v>934</v>
      </c>
      <c r="B936" s="2">
        <f t="shared" si="71"/>
        <v>330</v>
      </c>
      <c r="C936" s="2" t="s">
        <v>20</v>
      </c>
      <c r="D936" s="2" t="s">
        <v>82</v>
      </c>
      <c r="E936" s="2" t="s">
        <v>1928</v>
      </c>
      <c r="F936" s="2" t="s">
        <v>1929</v>
      </c>
      <c r="G936" s="3">
        <v>6.5</v>
      </c>
      <c r="H936" s="3">
        <v>50.5102040816327</v>
      </c>
      <c r="I936" s="3">
        <v>3</v>
      </c>
      <c r="J936" s="3">
        <f t="shared" si="72"/>
        <v>60.01</v>
      </c>
      <c r="K936" s="3">
        <v>10</v>
      </c>
      <c r="L936" s="3">
        <v>35.69</v>
      </c>
      <c r="M936" s="3">
        <v>3.5</v>
      </c>
      <c r="N936" s="3">
        <f t="shared" si="73"/>
        <v>49.19</v>
      </c>
      <c r="O936" s="3">
        <f t="shared" si="74"/>
        <v>109.2</v>
      </c>
      <c r="P936" s="2"/>
      <c r="Q936" s="5"/>
    </row>
    <row r="937" spans="1:17">
      <c r="A937" s="2">
        <f t="shared" si="70"/>
        <v>935</v>
      </c>
      <c r="B937" s="2">
        <f t="shared" si="71"/>
        <v>331</v>
      </c>
      <c r="C937" s="2" t="s">
        <v>20</v>
      </c>
      <c r="D937" s="2" t="s">
        <v>29</v>
      </c>
      <c r="E937" s="2" t="s">
        <v>1930</v>
      </c>
      <c r="F937" s="2" t="s">
        <v>1931</v>
      </c>
      <c r="G937" s="3">
        <v>10</v>
      </c>
      <c r="H937" s="3">
        <v>45.16</v>
      </c>
      <c r="I937" s="3">
        <v>3</v>
      </c>
      <c r="J937" s="3">
        <f t="shared" si="72"/>
        <v>58.16</v>
      </c>
      <c r="K937" s="3">
        <v>10</v>
      </c>
      <c r="L937" s="3">
        <v>37.4</v>
      </c>
      <c r="M937" s="3">
        <v>3.5</v>
      </c>
      <c r="N937" s="3">
        <f t="shared" si="73"/>
        <v>50.9</v>
      </c>
      <c r="O937" s="3">
        <f t="shared" si="74"/>
        <v>109.06</v>
      </c>
      <c r="P937" s="2"/>
      <c r="Q937" s="5"/>
    </row>
    <row r="938" spans="1:17">
      <c r="A938" s="2">
        <f t="shared" si="70"/>
        <v>936</v>
      </c>
      <c r="B938" s="2">
        <f t="shared" si="71"/>
        <v>138</v>
      </c>
      <c r="C938" s="2" t="s">
        <v>24</v>
      </c>
      <c r="D938" s="2" t="s">
        <v>58</v>
      </c>
      <c r="E938" s="2" t="s">
        <v>1932</v>
      </c>
      <c r="F938" s="2" t="s">
        <v>1933</v>
      </c>
      <c r="G938" s="3">
        <v>9.8000000000000007</v>
      </c>
      <c r="H938" s="3">
        <v>30.153846153846199</v>
      </c>
      <c r="I938" s="3">
        <v>4.5</v>
      </c>
      <c r="J938" s="3">
        <f t="shared" si="72"/>
        <v>44.45</v>
      </c>
      <c r="K938" s="3">
        <v>9.8000000000000007</v>
      </c>
      <c r="L938" s="3">
        <v>51.63</v>
      </c>
      <c r="M938" s="3">
        <v>3</v>
      </c>
      <c r="N938" s="3">
        <f t="shared" si="73"/>
        <v>64.430000000000007</v>
      </c>
      <c r="O938" s="3">
        <f t="shared" si="74"/>
        <v>108.88</v>
      </c>
      <c r="P938" s="2"/>
      <c r="Q938" s="5"/>
    </row>
    <row r="939" spans="1:17">
      <c r="A939" s="2">
        <f t="shared" si="70"/>
        <v>937</v>
      </c>
      <c r="B939" s="2">
        <f t="shared" si="71"/>
        <v>332</v>
      </c>
      <c r="C939" s="2" t="s">
        <v>20</v>
      </c>
      <c r="D939" s="2" t="s">
        <v>82</v>
      </c>
      <c r="E939" s="2" t="s">
        <v>1934</v>
      </c>
      <c r="F939" s="2" t="s">
        <v>1935</v>
      </c>
      <c r="G939" s="3">
        <v>9.8000000000000007</v>
      </c>
      <c r="H939" s="3">
        <v>46.106382978723403</v>
      </c>
      <c r="I939" s="3">
        <v>3</v>
      </c>
      <c r="J939" s="3">
        <f t="shared" si="72"/>
        <v>58.91</v>
      </c>
      <c r="K939" s="3">
        <v>7.3000000000000007</v>
      </c>
      <c r="L939" s="3">
        <v>39.1</v>
      </c>
      <c r="M939" s="3">
        <v>3.5</v>
      </c>
      <c r="N939" s="3">
        <f t="shared" si="73"/>
        <v>49.9</v>
      </c>
      <c r="O939" s="3">
        <f t="shared" si="74"/>
        <v>108.81</v>
      </c>
      <c r="P939" s="2"/>
      <c r="Q939" s="5"/>
    </row>
    <row r="940" spans="1:17">
      <c r="A940" s="2">
        <f t="shared" si="70"/>
        <v>938</v>
      </c>
      <c r="B940" s="2">
        <f t="shared" si="71"/>
        <v>339</v>
      </c>
      <c r="C940" s="2" t="s">
        <v>45</v>
      </c>
      <c r="D940" s="2" t="s">
        <v>220</v>
      </c>
      <c r="E940" s="2" t="s">
        <v>1936</v>
      </c>
      <c r="F940" s="2" t="s">
        <v>1937</v>
      </c>
      <c r="G940" s="3">
        <v>10</v>
      </c>
      <c r="H940" s="3">
        <v>45.29</v>
      </c>
      <c r="I940" s="3">
        <v>4.2</v>
      </c>
      <c r="J940" s="3">
        <f t="shared" si="72"/>
        <v>59.49</v>
      </c>
      <c r="K940" s="3">
        <v>6.9</v>
      </c>
      <c r="L940" s="3">
        <v>38.130000000000003</v>
      </c>
      <c r="M940" s="3">
        <v>4.0999999999999996</v>
      </c>
      <c r="N940" s="3">
        <f t="shared" si="73"/>
        <v>49.13</v>
      </c>
      <c r="O940" s="3">
        <f t="shared" si="74"/>
        <v>108.62</v>
      </c>
      <c r="P940" s="2"/>
      <c r="Q940" s="5"/>
    </row>
    <row r="941" spans="1:17">
      <c r="A941" s="2">
        <f t="shared" si="70"/>
        <v>939</v>
      </c>
      <c r="B941" s="2">
        <f t="shared" si="71"/>
        <v>340</v>
      </c>
      <c r="C941" s="2" t="s">
        <v>45</v>
      </c>
      <c r="D941" s="2" t="s">
        <v>96</v>
      </c>
      <c r="E941" s="2" t="s">
        <v>1938</v>
      </c>
      <c r="F941" s="2" t="s">
        <v>1939</v>
      </c>
      <c r="G941" s="3">
        <v>9</v>
      </c>
      <c r="H941" s="3">
        <v>48.62</v>
      </c>
      <c r="I941" s="3">
        <v>3</v>
      </c>
      <c r="J941" s="3">
        <f t="shared" si="72"/>
        <v>60.62</v>
      </c>
      <c r="K941" s="3">
        <v>7.3000000000000007</v>
      </c>
      <c r="L941" s="3">
        <v>37.19</v>
      </c>
      <c r="M941" s="3">
        <v>3.5</v>
      </c>
      <c r="N941" s="3">
        <f t="shared" si="73"/>
        <v>47.99</v>
      </c>
      <c r="O941" s="3">
        <f t="shared" si="74"/>
        <v>108.61</v>
      </c>
      <c r="P941" s="2"/>
      <c r="Q941" s="5"/>
    </row>
    <row r="942" spans="1:17">
      <c r="A942" s="2">
        <f t="shared" si="70"/>
        <v>940</v>
      </c>
      <c r="B942" s="2">
        <f t="shared" si="71"/>
        <v>341</v>
      </c>
      <c r="C942" s="2" t="s">
        <v>45</v>
      </c>
      <c r="D942" s="2" t="s">
        <v>46</v>
      </c>
      <c r="E942" s="2" t="s">
        <v>1940</v>
      </c>
      <c r="F942" s="2" t="s">
        <v>1941</v>
      </c>
      <c r="G942" s="3">
        <v>9.8000000000000007</v>
      </c>
      <c r="H942" s="3">
        <v>36.78</v>
      </c>
      <c r="I942" s="3">
        <v>3</v>
      </c>
      <c r="J942" s="3">
        <f t="shared" si="72"/>
        <v>49.58</v>
      </c>
      <c r="K942" s="3">
        <v>7.3000000000000007</v>
      </c>
      <c r="L942" s="3">
        <v>48.66</v>
      </c>
      <c r="M942" s="3">
        <v>3</v>
      </c>
      <c r="N942" s="3">
        <f t="shared" si="73"/>
        <v>58.96</v>
      </c>
      <c r="O942" s="3">
        <f t="shared" si="74"/>
        <v>108.54</v>
      </c>
      <c r="P942" s="2"/>
      <c r="Q942" s="5"/>
    </row>
    <row r="943" spans="1:17">
      <c r="A943" s="2">
        <f t="shared" si="70"/>
        <v>941</v>
      </c>
      <c r="B943" s="2">
        <f t="shared" si="71"/>
        <v>333</v>
      </c>
      <c r="C943" s="2" t="s">
        <v>20</v>
      </c>
      <c r="D943" s="2" t="s">
        <v>42</v>
      </c>
      <c r="E943" s="2" t="s">
        <v>1942</v>
      </c>
      <c r="F943" s="2" t="s">
        <v>1943</v>
      </c>
      <c r="G943" s="3">
        <v>9.8000000000000007</v>
      </c>
      <c r="H943" s="3">
        <v>38.4</v>
      </c>
      <c r="I943" s="3">
        <v>3</v>
      </c>
      <c r="J943" s="3">
        <f t="shared" si="72"/>
        <v>51.2</v>
      </c>
      <c r="K943" s="3">
        <v>9.8000000000000007</v>
      </c>
      <c r="L943" s="3">
        <v>44.32</v>
      </c>
      <c r="M943" s="3">
        <v>3</v>
      </c>
      <c r="N943" s="3">
        <f t="shared" si="73"/>
        <v>57.12</v>
      </c>
      <c r="O943" s="3">
        <f t="shared" si="74"/>
        <v>108.32</v>
      </c>
      <c r="P943" s="2"/>
      <c r="Q943" s="5"/>
    </row>
    <row r="944" spans="1:17">
      <c r="A944" s="2">
        <f t="shared" si="70"/>
        <v>942</v>
      </c>
      <c r="B944" s="2">
        <f t="shared" si="71"/>
        <v>342</v>
      </c>
      <c r="C944" s="2" t="s">
        <v>45</v>
      </c>
      <c r="D944" s="2" t="s">
        <v>46</v>
      </c>
      <c r="E944" s="2" t="s">
        <v>1944</v>
      </c>
      <c r="F944" s="2" t="s">
        <v>1945</v>
      </c>
      <c r="G944" s="3">
        <v>10</v>
      </c>
      <c r="H944" s="3">
        <v>43.55</v>
      </c>
      <c r="I944" s="3">
        <v>3</v>
      </c>
      <c r="J944" s="3">
        <f t="shared" si="72"/>
        <v>56.55</v>
      </c>
      <c r="K944" s="3">
        <v>7.5</v>
      </c>
      <c r="L944" s="3">
        <v>41.2</v>
      </c>
      <c r="M944" s="3">
        <v>3</v>
      </c>
      <c r="N944" s="3">
        <f t="shared" si="73"/>
        <v>51.7</v>
      </c>
      <c r="O944" s="3">
        <f t="shared" si="74"/>
        <v>108.25</v>
      </c>
      <c r="P944" s="2"/>
      <c r="Q944" s="5"/>
    </row>
    <row r="945" spans="1:17">
      <c r="A945" s="2">
        <f t="shared" si="70"/>
        <v>943</v>
      </c>
      <c r="B945" s="2">
        <f t="shared" si="71"/>
        <v>343</v>
      </c>
      <c r="C945" s="2" t="s">
        <v>45</v>
      </c>
      <c r="D945" s="2" t="s">
        <v>109</v>
      </c>
      <c r="E945" s="2" t="s">
        <v>1946</v>
      </c>
      <c r="F945" s="2" t="s">
        <v>1947</v>
      </c>
      <c r="G945" s="3">
        <v>9.8000000000000007</v>
      </c>
      <c r="H945" s="3">
        <v>45.72</v>
      </c>
      <c r="I945" s="3">
        <v>3</v>
      </c>
      <c r="J945" s="3">
        <f t="shared" si="72"/>
        <v>58.52</v>
      </c>
      <c r="K945" s="3">
        <v>7.3000000000000007</v>
      </c>
      <c r="L945" s="3">
        <v>38.74</v>
      </c>
      <c r="M945" s="3">
        <v>3.5</v>
      </c>
      <c r="N945" s="3">
        <f t="shared" si="73"/>
        <v>49.54</v>
      </c>
      <c r="O945" s="3">
        <f t="shared" si="74"/>
        <v>108.06</v>
      </c>
      <c r="P945" s="2"/>
      <c r="Q945" s="5"/>
    </row>
    <row r="946" spans="1:17">
      <c r="A946" s="2">
        <f t="shared" si="70"/>
        <v>944</v>
      </c>
      <c r="B946" s="2">
        <f t="shared" si="71"/>
        <v>344</v>
      </c>
      <c r="C946" s="2" t="s">
        <v>45</v>
      </c>
      <c r="D946" s="2" t="s">
        <v>89</v>
      </c>
      <c r="E946" s="2" t="s">
        <v>1948</v>
      </c>
      <c r="F946" s="2" t="s">
        <v>1949</v>
      </c>
      <c r="G946" s="3">
        <v>8.3000000000000007</v>
      </c>
      <c r="H946" s="3">
        <v>44.2</v>
      </c>
      <c r="I946" s="3">
        <v>3</v>
      </c>
      <c r="J946" s="3">
        <f t="shared" si="72"/>
        <v>55.5</v>
      </c>
      <c r="K946" s="3">
        <v>9.8000000000000007</v>
      </c>
      <c r="L946" s="3">
        <v>39.700000000000003</v>
      </c>
      <c r="M946" s="3">
        <v>3</v>
      </c>
      <c r="N946" s="3">
        <f t="shared" si="73"/>
        <v>52.5</v>
      </c>
      <c r="O946" s="3">
        <f t="shared" si="74"/>
        <v>108</v>
      </c>
      <c r="P946" s="2"/>
      <c r="Q946" s="5"/>
    </row>
    <row r="947" spans="1:17">
      <c r="A947" s="2">
        <f t="shared" si="70"/>
        <v>945</v>
      </c>
      <c r="B947" s="2">
        <f t="shared" si="71"/>
        <v>345</v>
      </c>
      <c r="C947" s="2" t="s">
        <v>45</v>
      </c>
      <c r="D947" s="2" t="s">
        <v>46</v>
      </c>
      <c r="E947" s="2" t="s">
        <v>1950</v>
      </c>
      <c r="F947" s="2" t="s">
        <v>1951</v>
      </c>
      <c r="G947" s="3">
        <v>9.4</v>
      </c>
      <c r="H947" s="3">
        <v>42.18</v>
      </c>
      <c r="I947" s="3">
        <v>3.2</v>
      </c>
      <c r="J947" s="3">
        <f t="shared" si="72"/>
        <v>54.78</v>
      </c>
      <c r="K947" s="3">
        <v>7.3000000000000007</v>
      </c>
      <c r="L947" s="3">
        <v>40.49</v>
      </c>
      <c r="M947" s="3">
        <v>5.3</v>
      </c>
      <c r="N947" s="3">
        <f t="shared" si="73"/>
        <v>53.09</v>
      </c>
      <c r="O947" s="3">
        <f t="shared" si="74"/>
        <v>107.87</v>
      </c>
      <c r="P947" s="2"/>
      <c r="Q947" s="5"/>
    </row>
    <row r="948" spans="1:17">
      <c r="A948" s="2">
        <f t="shared" si="70"/>
        <v>946</v>
      </c>
      <c r="B948" s="2">
        <f t="shared" si="71"/>
        <v>334</v>
      </c>
      <c r="C948" s="2" t="s">
        <v>20</v>
      </c>
      <c r="D948" s="2" t="s">
        <v>65</v>
      </c>
      <c r="E948" s="2" t="s">
        <v>1952</v>
      </c>
      <c r="F948" s="2" t="s">
        <v>1953</v>
      </c>
      <c r="G948" s="3">
        <v>9.6</v>
      </c>
      <c r="H948" s="3">
        <v>50.55</v>
      </c>
      <c r="I948" s="3">
        <v>3</v>
      </c>
      <c r="J948" s="3">
        <f t="shared" si="72"/>
        <v>63.15</v>
      </c>
      <c r="K948" s="3">
        <v>7.5</v>
      </c>
      <c r="L948" s="3">
        <v>34.1</v>
      </c>
      <c r="M948" s="3">
        <v>3</v>
      </c>
      <c r="N948" s="3">
        <f t="shared" si="73"/>
        <v>44.6</v>
      </c>
      <c r="O948" s="3">
        <f t="shared" si="74"/>
        <v>107.75</v>
      </c>
      <c r="P948" s="2"/>
      <c r="Q948" s="5"/>
    </row>
    <row r="949" spans="1:17">
      <c r="A949" s="2">
        <f t="shared" si="70"/>
        <v>947</v>
      </c>
      <c r="B949" s="2">
        <f t="shared" si="71"/>
        <v>130</v>
      </c>
      <c r="C949" s="2" t="s">
        <v>15</v>
      </c>
      <c r="D949" s="2" t="s">
        <v>257</v>
      </c>
      <c r="E949" s="2" t="s">
        <v>1954</v>
      </c>
      <c r="F949" s="2" t="s">
        <v>1955</v>
      </c>
      <c r="G949" s="3">
        <v>9.4</v>
      </c>
      <c r="H949" s="3">
        <v>41.72</v>
      </c>
      <c r="I949" s="3">
        <v>3</v>
      </c>
      <c r="J949" s="3">
        <f t="shared" si="72"/>
        <v>54.12</v>
      </c>
      <c r="K949" s="3">
        <v>7.3000000000000007</v>
      </c>
      <c r="L949" s="3">
        <v>42.46</v>
      </c>
      <c r="M949" s="3">
        <v>3.5</v>
      </c>
      <c r="N949" s="3">
        <f t="shared" si="73"/>
        <v>53.26</v>
      </c>
      <c r="O949" s="3">
        <f t="shared" si="74"/>
        <v>107.38</v>
      </c>
      <c r="P949" s="2"/>
      <c r="Q949" s="5"/>
    </row>
    <row r="950" spans="1:17">
      <c r="A950" s="2">
        <f t="shared" si="70"/>
        <v>948</v>
      </c>
      <c r="B950" s="2">
        <f t="shared" si="71"/>
        <v>346</v>
      </c>
      <c r="C950" s="2" t="s">
        <v>45</v>
      </c>
      <c r="D950" s="2" t="s">
        <v>266</v>
      </c>
      <c r="E950" s="2" t="s">
        <v>1956</v>
      </c>
      <c r="F950" s="2" t="s">
        <v>1957</v>
      </c>
      <c r="G950" s="3">
        <v>9.8000000000000007</v>
      </c>
      <c r="H950" s="3">
        <v>46.61</v>
      </c>
      <c r="I950" s="3">
        <v>3</v>
      </c>
      <c r="J950" s="3">
        <f t="shared" si="72"/>
        <v>59.41</v>
      </c>
      <c r="K950" s="3">
        <v>9.8000000000000007</v>
      </c>
      <c r="L950" s="3">
        <v>34.270000000000003</v>
      </c>
      <c r="M950" s="3">
        <v>3.7</v>
      </c>
      <c r="N950" s="3">
        <f t="shared" si="73"/>
        <v>47.77</v>
      </c>
      <c r="O950" s="3">
        <f t="shared" si="74"/>
        <v>107.18</v>
      </c>
      <c r="P950" s="2"/>
      <c r="Q950" s="5"/>
    </row>
    <row r="951" spans="1:17">
      <c r="A951" s="2">
        <f t="shared" si="70"/>
        <v>949</v>
      </c>
      <c r="B951" s="2">
        <f t="shared" si="71"/>
        <v>335</v>
      </c>
      <c r="C951" s="2" t="s">
        <v>20</v>
      </c>
      <c r="D951" s="2" t="s">
        <v>21</v>
      </c>
      <c r="E951" s="2" t="s">
        <v>1958</v>
      </c>
      <c r="F951" s="2" t="s">
        <v>1959</v>
      </c>
      <c r="G951" s="3">
        <v>7.3</v>
      </c>
      <c r="H951" s="3">
        <v>48.95</v>
      </c>
      <c r="I951" s="3">
        <v>3.7</v>
      </c>
      <c r="J951" s="3">
        <f t="shared" si="72"/>
        <v>59.95</v>
      </c>
      <c r="K951" s="3">
        <v>9.8000000000000007</v>
      </c>
      <c r="L951" s="3">
        <v>32.74</v>
      </c>
      <c r="M951" s="3">
        <v>4.5</v>
      </c>
      <c r="N951" s="3">
        <f t="shared" si="73"/>
        <v>47.04</v>
      </c>
      <c r="O951" s="3">
        <f t="shared" si="74"/>
        <v>106.99</v>
      </c>
      <c r="P951" s="2"/>
      <c r="Q951" s="5"/>
    </row>
    <row r="952" spans="1:17">
      <c r="A952" s="2">
        <f t="shared" si="70"/>
        <v>950</v>
      </c>
      <c r="B952" s="2">
        <f t="shared" si="71"/>
        <v>336</v>
      </c>
      <c r="C952" s="2" t="s">
        <v>20</v>
      </c>
      <c r="D952" s="2" t="s">
        <v>36</v>
      </c>
      <c r="E952" s="2" t="s">
        <v>1960</v>
      </c>
      <c r="F952" s="2" t="s">
        <v>1961</v>
      </c>
      <c r="G952" s="3">
        <v>10.3</v>
      </c>
      <c r="H952" s="3">
        <v>50.05</v>
      </c>
      <c r="I952" s="3">
        <v>3.25</v>
      </c>
      <c r="J952" s="3">
        <f t="shared" si="72"/>
        <v>63.6</v>
      </c>
      <c r="K952" s="3">
        <v>9.4</v>
      </c>
      <c r="L952" s="3">
        <v>28.98</v>
      </c>
      <c r="M952" s="3">
        <v>3</v>
      </c>
      <c r="N952" s="3">
        <f t="shared" si="73"/>
        <v>41.38</v>
      </c>
      <c r="O952" s="3">
        <f t="shared" si="74"/>
        <v>104.98</v>
      </c>
      <c r="P952" s="2"/>
      <c r="Q952" s="5"/>
    </row>
    <row r="953" spans="1:17">
      <c r="A953" s="2">
        <f t="shared" si="70"/>
        <v>951</v>
      </c>
      <c r="B953" s="2">
        <f t="shared" si="71"/>
        <v>337</v>
      </c>
      <c r="C953" s="2" t="s">
        <v>20</v>
      </c>
      <c r="D953" s="2" t="s">
        <v>229</v>
      </c>
      <c r="E953" s="2" t="s">
        <v>1962</v>
      </c>
      <c r="F953" s="2" t="s">
        <v>1963</v>
      </c>
      <c r="G953" s="3">
        <v>9.4</v>
      </c>
      <c r="H953" s="3">
        <v>44.12</v>
      </c>
      <c r="I953" s="3">
        <v>4.5</v>
      </c>
      <c r="J953" s="3">
        <f t="shared" si="72"/>
        <v>58.02</v>
      </c>
      <c r="K953" s="3">
        <v>7.3000000000000007</v>
      </c>
      <c r="L953" s="3">
        <v>35.44</v>
      </c>
      <c r="M953" s="3">
        <v>3.5</v>
      </c>
      <c r="N953" s="3">
        <f t="shared" si="73"/>
        <v>46.24</v>
      </c>
      <c r="O953" s="3">
        <f t="shared" si="74"/>
        <v>104.26</v>
      </c>
      <c r="P953" s="2"/>
      <c r="Q953" s="5"/>
    </row>
    <row r="954" spans="1:17">
      <c r="A954" s="2">
        <f t="shared" si="70"/>
        <v>952</v>
      </c>
      <c r="B954" s="2">
        <f t="shared" si="71"/>
        <v>131</v>
      </c>
      <c r="C954" s="2" t="s">
        <v>15</v>
      </c>
      <c r="D954" s="2" t="s">
        <v>16</v>
      </c>
      <c r="E954" s="2" t="s">
        <v>1964</v>
      </c>
      <c r="F954" s="2" t="s">
        <v>1965</v>
      </c>
      <c r="G954" s="3">
        <v>10.4</v>
      </c>
      <c r="H954" s="3">
        <v>44.83</v>
      </c>
      <c r="I954" s="3">
        <v>3</v>
      </c>
      <c r="J954" s="3">
        <f t="shared" si="72"/>
        <v>58.23</v>
      </c>
      <c r="K954" s="3">
        <v>7.3000000000000007</v>
      </c>
      <c r="L954" s="3">
        <v>34.909999999999997</v>
      </c>
      <c r="M954" s="3">
        <v>3.7</v>
      </c>
      <c r="N954" s="3">
        <f t="shared" si="73"/>
        <v>45.91</v>
      </c>
      <c r="O954" s="3">
        <f t="shared" si="74"/>
        <v>104.14</v>
      </c>
      <c r="P954" s="2"/>
      <c r="Q954" s="5"/>
    </row>
    <row r="955" spans="1:17">
      <c r="A955" s="2">
        <f t="shared" si="70"/>
        <v>953</v>
      </c>
      <c r="B955" s="2">
        <f t="shared" si="71"/>
        <v>338</v>
      </c>
      <c r="C955" s="2" t="s">
        <v>20</v>
      </c>
      <c r="D955" s="2" t="s">
        <v>29</v>
      </c>
      <c r="E955" s="2" t="s">
        <v>1966</v>
      </c>
      <c r="F955" s="2" t="s">
        <v>1967</v>
      </c>
      <c r="G955" s="3">
        <v>9.8000000000000007</v>
      </c>
      <c r="H955" s="3">
        <v>39.33</v>
      </c>
      <c r="I955" s="3">
        <v>3</v>
      </c>
      <c r="J955" s="3">
        <f t="shared" si="72"/>
        <v>52.13</v>
      </c>
      <c r="K955" s="3">
        <v>9.8000000000000007</v>
      </c>
      <c r="L955" s="3">
        <v>38.35</v>
      </c>
      <c r="M955" s="3">
        <v>3.5</v>
      </c>
      <c r="N955" s="3">
        <f t="shared" si="73"/>
        <v>51.65</v>
      </c>
      <c r="O955" s="3">
        <f t="shared" si="74"/>
        <v>103.78</v>
      </c>
      <c r="P955" s="2"/>
      <c r="Q955" s="5"/>
    </row>
    <row r="956" spans="1:17">
      <c r="A956" s="2">
        <f t="shared" si="70"/>
        <v>954</v>
      </c>
      <c r="B956" s="2">
        <f t="shared" si="71"/>
        <v>132</v>
      </c>
      <c r="C956" s="2" t="s">
        <v>15</v>
      </c>
      <c r="D956" s="2" t="s">
        <v>181</v>
      </c>
      <c r="E956" s="2" t="s">
        <v>1968</v>
      </c>
      <c r="F956" s="2" t="s">
        <v>1969</v>
      </c>
      <c r="G956" s="3">
        <v>10</v>
      </c>
      <c r="H956" s="3">
        <v>49.22</v>
      </c>
      <c r="I956" s="3">
        <v>4</v>
      </c>
      <c r="J956" s="3">
        <f t="shared" si="72"/>
        <v>63.22</v>
      </c>
      <c r="K956" s="3">
        <v>7.5</v>
      </c>
      <c r="L956" s="3">
        <v>27.83</v>
      </c>
      <c r="M956" s="3">
        <v>4</v>
      </c>
      <c r="N956" s="3">
        <f t="shared" si="73"/>
        <v>39.33</v>
      </c>
      <c r="O956" s="3">
        <f t="shared" si="74"/>
        <v>102.55</v>
      </c>
      <c r="P956" s="2"/>
      <c r="Q956" s="5"/>
    </row>
    <row r="957" spans="1:17">
      <c r="A957" s="2">
        <f t="shared" si="70"/>
        <v>955</v>
      </c>
      <c r="B957" s="2">
        <f t="shared" si="71"/>
        <v>133</v>
      </c>
      <c r="C957" s="2" t="s">
        <v>15</v>
      </c>
      <c r="D957" s="2" t="s">
        <v>16</v>
      </c>
      <c r="E957" s="2" t="s">
        <v>1970</v>
      </c>
      <c r="F957" s="2" t="s">
        <v>1971</v>
      </c>
      <c r="G957" s="3">
        <v>7.3</v>
      </c>
      <c r="H957" s="3">
        <v>40.299999999999997</v>
      </c>
      <c r="I957" s="3">
        <v>3</v>
      </c>
      <c r="J957" s="3">
        <f t="shared" si="72"/>
        <v>50.6</v>
      </c>
      <c r="K957" s="3">
        <v>7.3000000000000007</v>
      </c>
      <c r="L957" s="3">
        <v>39.659999999999997</v>
      </c>
      <c r="M957" s="3">
        <v>3.5</v>
      </c>
      <c r="N957" s="3">
        <f t="shared" si="73"/>
        <v>50.46</v>
      </c>
      <c r="O957" s="3">
        <f t="shared" si="74"/>
        <v>101.06</v>
      </c>
      <c r="P957" s="2"/>
      <c r="Q957" s="5"/>
    </row>
    <row r="958" spans="1:17">
      <c r="A958" s="2">
        <f t="shared" si="70"/>
        <v>956</v>
      </c>
      <c r="B958" s="2">
        <f t="shared" si="71"/>
        <v>134</v>
      </c>
      <c r="C958" s="2" t="s">
        <v>15</v>
      </c>
      <c r="D958" s="2" t="s">
        <v>39</v>
      </c>
      <c r="E958" s="2" t="s">
        <v>1972</v>
      </c>
      <c r="F958" s="2" t="s">
        <v>1973</v>
      </c>
      <c r="G958" s="3">
        <v>10</v>
      </c>
      <c r="H958" s="3">
        <v>44.64</v>
      </c>
      <c r="I958" s="3">
        <v>3</v>
      </c>
      <c r="J958" s="3">
        <f t="shared" si="72"/>
        <v>57.64</v>
      </c>
      <c r="K958" s="3">
        <v>7.5</v>
      </c>
      <c r="L958" s="3">
        <v>32.11</v>
      </c>
      <c r="M958" s="3">
        <v>3.5</v>
      </c>
      <c r="N958" s="3">
        <f t="shared" si="73"/>
        <v>43.11</v>
      </c>
      <c r="O958" s="3">
        <f t="shared" si="74"/>
        <v>100.75</v>
      </c>
      <c r="P958" s="2"/>
      <c r="Q958" s="5"/>
    </row>
    <row r="959" spans="1:17">
      <c r="A959" s="2">
        <f t="shared" si="70"/>
        <v>957</v>
      </c>
      <c r="B959" s="2">
        <f t="shared" si="71"/>
        <v>339</v>
      </c>
      <c r="C959" s="2" t="s">
        <v>20</v>
      </c>
      <c r="D959" s="2" t="s">
        <v>164</v>
      </c>
      <c r="E959" s="2" t="s">
        <v>1974</v>
      </c>
      <c r="F959" s="2" t="s">
        <v>1975</v>
      </c>
      <c r="G959" s="3">
        <v>9.8000000000000007</v>
      </c>
      <c r="H959" s="3">
        <v>32.299999999999997</v>
      </c>
      <c r="I959" s="3">
        <v>3.2</v>
      </c>
      <c r="J959" s="3">
        <f t="shared" si="72"/>
        <v>45.3</v>
      </c>
      <c r="K959" s="3">
        <v>9.8000000000000007</v>
      </c>
      <c r="L959" s="3">
        <v>42.1</v>
      </c>
      <c r="M959" s="3">
        <v>3.5</v>
      </c>
      <c r="N959" s="3">
        <f t="shared" si="73"/>
        <v>55.4</v>
      </c>
      <c r="O959" s="3">
        <f t="shared" si="74"/>
        <v>100.7</v>
      </c>
      <c r="P959" s="2"/>
      <c r="Q959" s="5"/>
    </row>
    <row r="960" spans="1:17">
      <c r="A960" s="2">
        <f t="shared" si="70"/>
        <v>958</v>
      </c>
      <c r="B960" s="2">
        <f t="shared" si="71"/>
        <v>347</v>
      </c>
      <c r="C960" s="2" t="s">
        <v>45</v>
      </c>
      <c r="D960" s="2" t="s">
        <v>232</v>
      </c>
      <c r="E960" s="2" t="s">
        <v>1976</v>
      </c>
      <c r="F960" s="2" t="s">
        <v>1977</v>
      </c>
      <c r="G960" s="3">
        <v>9.6</v>
      </c>
      <c r="H960" s="3">
        <v>33.36</v>
      </c>
      <c r="I960" s="3">
        <v>3</v>
      </c>
      <c r="J960" s="3">
        <f t="shared" si="72"/>
        <v>45.96</v>
      </c>
      <c r="K960" s="3">
        <v>9.8000000000000007</v>
      </c>
      <c r="L960" s="3">
        <v>41.06</v>
      </c>
      <c r="M960" s="3">
        <v>3.5</v>
      </c>
      <c r="N960" s="3">
        <f t="shared" si="73"/>
        <v>54.36</v>
      </c>
      <c r="O960" s="3">
        <f t="shared" si="74"/>
        <v>100.32</v>
      </c>
      <c r="P960" s="2"/>
      <c r="Q960" s="5"/>
    </row>
    <row r="961" spans="1:17">
      <c r="A961" s="2">
        <f t="shared" si="70"/>
        <v>959</v>
      </c>
      <c r="B961" s="2">
        <f t="shared" si="71"/>
        <v>135</v>
      </c>
      <c r="C961" s="2" t="s">
        <v>15</v>
      </c>
      <c r="D961" s="2" t="s">
        <v>181</v>
      </c>
      <c r="E961" s="2" t="s">
        <v>1978</v>
      </c>
      <c r="F961" s="2" t="s">
        <v>1979</v>
      </c>
      <c r="G961" s="3">
        <v>11.4</v>
      </c>
      <c r="H961" s="3">
        <v>39.64</v>
      </c>
      <c r="I961" s="3">
        <v>4.4000000000000004</v>
      </c>
      <c r="J961" s="3">
        <f t="shared" si="72"/>
        <v>55.44</v>
      </c>
      <c r="K961" s="3">
        <v>7.3000000000000007</v>
      </c>
      <c r="L961" s="3">
        <v>33.479999999999997</v>
      </c>
      <c r="M961" s="3">
        <v>3.5</v>
      </c>
      <c r="N961" s="3">
        <f t="shared" si="73"/>
        <v>44.28</v>
      </c>
      <c r="O961" s="3">
        <f t="shared" si="74"/>
        <v>99.72</v>
      </c>
      <c r="P961" s="2"/>
      <c r="Q961" s="5"/>
    </row>
    <row r="962" spans="1:17">
      <c r="A962" s="2">
        <f t="shared" si="70"/>
        <v>960</v>
      </c>
      <c r="B962" s="2">
        <f t="shared" si="71"/>
        <v>340</v>
      </c>
      <c r="C962" s="2" t="s">
        <v>20</v>
      </c>
      <c r="D962" s="2" t="s">
        <v>42</v>
      </c>
      <c r="E962" s="2" t="s">
        <v>1980</v>
      </c>
      <c r="F962" s="2" t="s">
        <v>1981</v>
      </c>
      <c r="G962" s="3">
        <v>10</v>
      </c>
      <c r="H962" s="3">
        <v>46.633333333333297</v>
      </c>
      <c r="I962" s="3">
        <v>3</v>
      </c>
      <c r="J962" s="3">
        <f t="shared" si="72"/>
        <v>59.63</v>
      </c>
      <c r="K962" s="3">
        <v>10</v>
      </c>
      <c r="L962" s="3">
        <v>26.93</v>
      </c>
      <c r="M962" s="3">
        <v>3</v>
      </c>
      <c r="N962" s="3">
        <f t="shared" si="73"/>
        <v>39.93</v>
      </c>
      <c r="O962" s="3">
        <f t="shared" si="74"/>
        <v>99.56</v>
      </c>
      <c r="P962" s="2"/>
      <c r="Q962" s="5"/>
    </row>
    <row r="963" spans="1:17">
      <c r="A963" s="2">
        <f t="shared" ref="A963:A994" si="75">COUNTIFS($C$3:$C$1025,"&lt;&gt;大数据",$O$3:$O$1025,"&gt;"&amp;O963)+1</f>
        <v>961</v>
      </c>
      <c r="B963" s="2">
        <f t="shared" ref="B963:B994" si="76">COUNTIFS($C$3:$C$1025,C963,$O$3:$O$1025,"&gt;"&amp;O963)+1</f>
        <v>341</v>
      </c>
      <c r="C963" s="2" t="s">
        <v>20</v>
      </c>
      <c r="D963" s="2" t="s">
        <v>117</v>
      </c>
      <c r="E963" s="2" t="s">
        <v>1982</v>
      </c>
      <c r="F963" s="2" t="s">
        <v>1983</v>
      </c>
      <c r="G963" s="3">
        <v>9.4</v>
      </c>
      <c r="H963" s="3">
        <v>45.55</v>
      </c>
      <c r="I963" s="3">
        <v>3</v>
      </c>
      <c r="J963" s="3">
        <f t="shared" ref="J963:J982" si="77">ROUND(SUM(G963:I963),2)</f>
        <v>57.95</v>
      </c>
      <c r="K963" s="3">
        <v>9.4</v>
      </c>
      <c r="L963" s="3">
        <v>28.51</v>
      </c>
      <c r="M963" s="3">
        <v>3</v>
      </c>
      <c r="N963" s="3">
        <f t="shared" ref="N963:N980" si="78">ROUND(SUM(K963:M963),2)</f>
        <v>40.909999999999997</v>
      </c>
      <c r="O963" s="3">
        <f t="shared" ref="O963:O994" si="79">ROUND(SUM(J963,N963),2)</f>
        <v>98.86</v>
      </c>
      <c r="P963" s="2"/>
      <c r="Q963" s="5"/>
    </row>
    <row r="964" spans="1:17">
      <c r="A964" s="2">
        <f t="shared" si="75"/>
        <v>962</v>
      </c>
      <c r="B964" s="2">
        <f t="shared" si="76"/>
        <v>348</v>
      </c>
      <c r="C964" s="2" t="s">
        <v>45</v>
      </c>
      <c r="D964" s="2" t="s">
        <v>46</v>
      </c>
      <c r="E964" s="2" t="s">
        <v>1984</v>
      </c>
      <c r="F964" s="2" t="s">
        <v>1985</v>
      </c>
      <c r="G964" s="3">
        <v>10.5</v>
      </c>
      <c r="H964" s="3">
        <v>43.22</v>
      </c>
      <c r="I964" s="3">
        <v>3</v>
      </c>
      <c r="J964" s="3">
        <f t="shared" si="77"/>
        <v>56.72</v>
      </c>
      <c r="K964" s="3">
        <v>7.5</v>
      </c>
      <c r="L964" s="3">
        <v>31.5</v>
      </c>
      <c r="M964" s="3">
        <v>3</v>
      </c>
      <c r="N964" s="3">
        <f t="shared" si="78"/>
        <v>42</v>
      </c>
      <c r="O964" s="3">
        <f t="shared" si="79"/>
        <v>98.72</v>
      </c>
      <c r="P964" s="2"/>
      <c r="Q964" s="5"/>
    </row>
    <row r="965" spans="1:17">
      <c r="A965" s="2">
        <f t="shared" si="75"/>
        <v>963</v>
      </c>
      <c r="B965" s="2">
        <f t="shared" si="76"/>
        <v>136</v>
      </c>
      <c r="C965" s="2" t="s">
        <v>15</v>
      </c>
      <c r="D965" s="2" t="s">
        <v>181</v>
      </c>
      <c r="E965" s="2" t="s">
        <v>1986</v>
      </c>
      <c r="F965" s="2" t="s">
        <v>1987</v>
      </c>
      <c r="G965" s="3">
        <v>9.8000000000000007</v>
      </c>
      <c r="H965" s="3">
        <v>43.95</v>
      </c>
      <c r="I965" s="3">
        <v>4.5</v>
      </c>
      <c r="J965" s="3">
        <f t="shared" si="77"/>
        <v>58.25</v>
      </c>
      <c r="K965" s="3">
        <v>7.3000000000000007</v>
      </c>
      <c r="L965" s="3">
        <v>29.52</v>
      </c>
      <c r="M965" s="3">
        <v>3.5</v>
      </c>
      <c r="N965" s="3">
        <f t="shared" si="78"/>
        <v>40.32</v>
      </c>
      <c r="O965" s="3">
        <f t="shared" si="79"/>
        <v>98.57</v>
      </c>
      <c r="P965" s="2"/>
      <c r="Q965" s="5"/>
    </row>
    <row r="966" spans="1:17">
      <c r="A966" s="2">
        <f t="shared" si="75"/>
        <v>964</v>
      </c>
      <c r="B966" s="2">
        <f t="shared" si="76"/>
        <v>139</v>
      </c>
      <c r="C966" s="2" t="s">
        <v>24</v>
      </c>
      <c r="D966" s="2" t="s">
        <v>58</v>
      </c>
      <c r="E966" s="2" t="s">
        <v>1988</v>
      </c>
      <c r="F966" s="2" t="s">
        <v>1989</v>
      </c>
      <c r="G966" s="3">
        <v>12.8</v>
      </c>
      <c r="H966" s="3">
        <v>45.963414634146403</v>
      </c>
      <c r="I966" s="3">
        <v>4</v>
      </c>
      <c r="J966" s="3">
        <f t="shared" si="77"/>
        <v>62.76</v>
      </c>
      <c r="K966" s="3">
        <v>7.3000000000000007</v>
      </c>
      <c r="L966" s="3">
        <v>25.3</v>
      </c>
      <c r="M966" s="3">
        <v>3</v>
      </c>
      <c r="N966" s="3">
        <f t="shared" si="78"/>
        <v>35.6</v>
      </c>
      <c r="O966" s="3">
        <f t="shared" si="79"/>
        <v>98.36</v>
      </c>
      <c r="P966" s="2"/>
      <c r="Q966" s="5"/>
    </row>
    <row r="967" spans="1:17">
      <c r="A967" s="2">
        <f t="shared" si="75"/>
        <v>965</v>
      </c>
      <c r="B967" s="2">
        <f t="shared" si="76"/>
        <v>349</v>
      </c>
      <c r="C967" s="2" t="s">
        <v>45</v>
      </c>
      <c r="D967" s="2" t="s">
        <v>220</v>
      </c>
      <c r="E967" s="2" t="s">
        <v>1990</v>
      </c>
      <c r="F967" s="2" t="s">
        <v>1991</v>
      </c>
      <c r="G967" s="3">
        <v>9.8000000000000007</v>
      </c>
      <c r="H967" s="3">
        <v>56.04</v>
      </c>
      <c r="I967" s="3">
        <v>3.9</v>
      </c>
      <c r="J967" s="3">
        <f t="shared" si="77"/>
        <v>69.739999999999995</v>
      </c>
      <c r="K967" s="3">
        <v>9.8000000000000007</v>
      </c>
      <c r="L967" s="3">
        <v>13.5</v>
      </c>
      <c r="M967" s="3">
        <v>4.5</v>
      </c>
      <c r="N967" s="3">
        <f t="shared" si="78"/>
        <v>27.8</v>
      </c>
      <c r="O967" s="3">
        <f t="shared" si="79"/>
        <v>97.54</v>
      </c>
      <c r="P967" s="2"/>
      <c r="Q967" s="5"/>
    </row>
    <row r="968" spans="1:17">
      <c r="A968" s="2">
        <f t="shared" si="75"/>
        <v>966</v>
      </c>
      <c r="B968" s="2">
        <f t="shared" si="76"/>
        <v>350</v>
      </c>
      <c r="C968" s="2" t="s">
        <v>45</v>
      </c>
      <c r="D968" s="2" t="s">
        <v>46</v>
      </c>
      <c r="E968" s="2" t="s">
        <v>1992</v>
      </c>
      <c r="F968" s="2" t="s">
        <v>1993</v>
      </c>
      <c r="G968" s="3">
        <v>7.5</v>
      </c>
      <c r="H968" s="3">
        <v>42.88</v>
      </c>
      <c r="I968" s="3">
        <v>3</v>
      </c>
      <c r="J968" s="3">
        <f t="shared" si="77"/>
        <v>53.38</v>
      </c>
      <c r="K968" s="3">
        <v>7.5</v>
      </c>
      <c r="L968" s="3">
        <v>32.82</v>
      </c>
      <c r="M968" s="3">
        <v>3</v>
      </c>
      <c r="N968" s="3">
        <f t="shared" si="78"/>
        <v>43.32</v>
      </c>
      <c r="O968" s="3">
        <f t="shared" si="79"/>
        <v>96.7</v>
      </c>
      <c r="P968" s="2"/>
      <c r="Q968" s="5"/>
    </row>
    <row r="969" spans="1:17">
      <c r="A969" s="2">
        <f t="shared" si="75"/>
        <v>967</v>
      </c>
      <c r="B969" s="2">
        <f t="shared" si="76"/>
        <v>342</v>
      </c>
      <c r="C969" s="2" t="s">
        <v>20</v>
      </c>
      <c r="D969" s="2" t="s">
        <v>117</v>
      </c>
      <c r="E969" s="2" t="s">
        <v>1994</v>
      </c>
      <c r="F969" s="2" t="s">
        <v>1995</v>
      </c>
      <c r="G969" s="3">
        <v>9.8000000000000007</v>
      </c>
      <c r="H969" s="3">
        <v>40.020000000000003</v>
      </c>
      <c r="I969" s="3">
        <v>3</v>
      </c>
      <c r="J969" s="3">
        <f t="shared" si="77"/>
        <v>52.82</v>
      </c>
      <c r="K969" s="3">
        <v>9.8000000000000007</v>
      </c>
      <c r="L969" s="3">
        <v>30.92</v>
      </c>
      <c r="M969" s="3">
        <v>3</v>
      </c>
      <c r="N969" s="3">
        <f t="shared" si="78"/>
        <v>43.72</v>
      </c>
      <c r="O969" s="3">
        <f t="shared" si="79"/>
        <v>96.54</v>
      </c>
      <c r="P969" s="2"/>
      <c r="Q969" s="5"/>
    </row>
    <row r="970" spans="1:17">
      <c r="A970" s="2">
        <f t="shared" si="75"/>
        <v>968</v>
      </c>
      <c r="B970" s="2">
        <f t="shared" si="76"/>
        <v>343</v>
      </c>
      <c r="C970" s="2" t="s">
        <v>20</v>
      </c>
      <c r="D970" s="2" t="s">
        <v>29</v>
      </c>
      <c r="E970" s="2" t="s">
        <v>1996</v>
      </c>
      <c r="F970" s="2" t="s">
        <v>1997</v>
      </c>
      <c r="G970" s="3">
        <v>9.8000000000000007</v>
      </c>
      <c r="H970" s="3">
        <v>40.58</v>
      </c>
      <c r="I970" s="3">
        <v>3</v>
      </c>
      <c r="J970" s="3">
        <f t="shared" si="77"/>
        <v>53.38</v>
      </c>
      <c r="K970" s="3">
        <v>9.8000000000000007</v>
      </c>
      <c r="L970" s="3">
        <v>29.01</v>
      </c>
      <c r="M970" s="3">
        <v>3.5</v>
      </c>
      <c r="N970" s="3">
        <f t="shared" si="78"/>
        <v>42.31</v>
      </c>
      <c r="O970" s="3">
        <f t="shared" si="79"/>
        <v>95.69</v>
      </c>
      <c r="P970" s="2"/>
      <c r="Q970" s="5"/>
    </row>
    <row r="971" spans="1:17">
      <c r="A971" s="2">
        <f t="shared" si="75"/>
        <v>969</v>
      </c>
      <c r="B971" s="2">
        <f t="shared" si="76"/>
        <v>344</v>
      </c>
      <c r="C971" s="2" t="s">
        <v>20</v>
      </c>
      <c r="D971" s="2" t="s">
        <v>117</v>
      </c>
      <c r="E971" s="2" t="s">
        <v>1998</v>
      </c>
      <c r="F971" s="2" t="s">
        <v>1999</v>
      </c>
      <c r="G971" s="3">
        <v>7.3</v>
      </c>
      <c r="H971" s="3">
        <v>42.62</v>
      </c>
      <c r="I971" s="3">
        <v>3</v>
      </c>
      <c r="J971" s="3">
        <f t="shared" si="77"/>
        <v>52.92</v>
      </c>
      <c r="K971" s="3">
        <v>9.8000000000000007</v>
      </c>
      <c r="L971" s="3">
        <v>29.78</v>
      </c>
      <c r="M971" s="3">
        <v>3</v>
      </c>
      <c r="N971" s="3">
        <f t="shared" si="78"/>
        <v>42.58</v>
      </c>
      <c r="O971" s="3">
        <f t="shared" si="79"/>
        <v>95.5</v>
      </c>
      <c r="P971" s="2"/>
      <c r="Q971" s="5"/>
    </row>
    <row r="972" spans="1:17">
      <c r="A972" s="2">
        <f t="shared" si="75"/>
        <v>970</v>
      </c>
      <c r="B972" s="2">
        <f t="shared" si="76"/>
        <v>351</v>
      </c>
      <c r="C972" s="2" t="s">
        <v>45</v>
      </c>
      <c r="D972" s="2" t="s">
        <v>266</v>
      </c>
      <c r="E972" s="2" t="s">
        <v>2000</v>
      </c>
      <c r="F972" s="2" t="s">
        <v>2001</v>
      </c>
      <c r="G972" s="3">
        <v>9.8000000000000007</v>
      </c>
      <c r="H972" s="3">
        <v>39.03</v>
      </c>
      <c r="I972" s="3">
        <v>3</v>
      </c>
      <c r="J972" s="3">
        <f t="shared" si="77"/>
        <v>51.83</v>
      </c>
      <c r="K972" s="3">
        <v>9.8000000000000007</v>
      </c>
      <c r="L972" s="3">
        <v>29.46</v>
      </c>
      <c r="M972" s="3">
        <v>3</v>
      </c>
      <c r="N972" s="3">
        <f t="shared" si="78"/>
        <v>42.26</v>
      </c>
      <c r="O972" s="3">
        <f t="shared" si="79"/>
        <v>94.09</v>
      </c>
      <c r="P972" s="2"/>
      <c r="Q972" s="5"/>
    </row>
    <row r="973" spans="1:17">
      <c r="A973" s="2">
        <f t="shared" si="75"/>
        <v>971</v>
      </c>
      <c r="B973" s="2">
        <f t="shared" si="76"/>
        <v>345</v>
      </c>
      <c r="C973" s="2" t="s">
        <v>20</v>
      </c>
      <c r="D973" s="2" t="s">
        <v>117</v>
      </c>
      <c r="E973" s="2" t="s">
        <v>2002</v>
      </c>
      <c r="F973" s="2" t="s">
        <v>2003</v>
      </c>
      <c r="G973" s="3">
        <v>7.3</v>
      </c>
      <c r="H973" s="3">
        <v>35.18</v>
      </c>
      <c r="I973" s="3">
        <v>3</v>
      </c>
      <c r="J973" s="3">
        <f t="shared" si="77"/>
        <v>45.48</v>
      </c>
      <c r="K973" s="3">
        <v>10</v>
      </c>
      <c r="L973" s="3">
        <v>34.22</v>
      </c>
      <c r="M973" s="3">
        <v>3</v>
      </c>
      <c r="N973" s="3">
        <f t="shared" si="78"/>
        <v>47.22</v>
      </c>
      <c r="O973" s="3">
        <f t="shared" si="79"/>
        <v>92.7</v>
      </c>
      <c r="P973" s="2"/>
      <c r="Q973" s="5"/>
    </row>
    <row r="974" spans="1:17">
      <c r="A974" s="2">
        <f t="shared" si="75"/>
        <v>972</v>
      </c>
      <c r="B974" s="2">
        <f t="shared" si="76"/>
        <v>346</v>
      </c>
      <c r="C974" s="2" t="s">
        <v>20</v>
      </c>
      <c r="D974" s="2" t="s">
        <v>29</v>
      </c>
      <c r="E974" s="2" t="s">
        <v>2004</v>
      </c>
      <c r="F974" s="2" t="s">
        <v>2005</v>
      </c>
      <c r="G974" s="3">
        <v>10</v>
      </c>
      <c r="H974" s="3">
        <v>48.36</v>
      </c>
      <c r="I974" s="3">
        <v>3.2</v>
      </c>
      <c r="J974" s="3">
        <f t="shared" si="77"/>
        <v>61.56</v>
      </c>
      <c r="K974" s="3">
        <v>10</v>
      </c>
      <c r="L974" s="3">
        <v>15.53</v>
      </c>
      <c r="M974" s="3">
        <v>3.5</v>
      </c>
      <c r="N974" s="3">
        <f t="shared" si="78"/>
        <v>29.03</v>
      </c>
      <c r="O974" s="3">
        <f t="shared" si="79"/>
        <v>90.59</v>
      </c>
      <c r="P974" s="2"/>
      <c r="Q974" s="5"/>
    </row>
    <row r="975" spans="1:17">
      <c r="A975" s="2">
        <f t="shared" si="75"/>
        <v>973</v>
      </c>
      <c r="B975" s="2">
        <f t="shared" si="76"/>
        <v>347</v>
      </c>
      <c r="C975" s="2" t="s">
        <v>20</v>
      </c>
      <c r="D975" s="2" t="s">
        <v>65</v>
      </c>
      <c r="E975" s="2" t="s">
        <v>2006</v>
      </c>
      <c r="F975" s="2" t="s">
        <v>2007</v>
      </c>
      <c r="G975" s="3">
        <v>7.3</v>
      </c>
      <c r="H975" s="3">
        <v>36.74</v>
      </c>
      <c r="I975" s="3">
        <v>3</v>
      </c>
      <c r="J975" s="3">
        <f t="shared" si="77"/>
        <v>47.04</v>
      </c>
      <c r="K975" s="3">
        <v>7.3000000000000007</v>
      </c>
      <c r="L975" s="3">
        <v>32.61</v>
      </c>
      <c r="M975" s="3">
        <v>3</v>
      </c>
      <c r="N975" s="3">
        <f t="shared" si="78"/>
        <v>42.91</v>
      </c>
      <c r="O975" s="3">
        <f t="shared" si="79"/>
        <v>89.95</v>
      </c>
      <c r="P975" s="2"/>
      <c r="Q975" s="5"/>
    </row>
    <row r="976" spans="1:17">
      <c r="A976" s="2">
        <f t="shared" si="75"/>
        <v>974</v>
      </c>
      <c r="B976" s="2">
        <f t="shared" si="76"/>
        <v>137</v>
      </c>
      <c r="C976" s="2" t="s">
        <v>15</v>
      </c>
      <c r="D976" s="2" t="s">
        <v>181</v>
      </c>
      <c r="E976" s="2" t="s">
        <v>2008</v>
      </c>
      <c r="F976" s="2" t="s">
        <v>2009</v>
      </c>
      <c r="G976" s="3">
        <v>9.4</v>
      </c>
      <c r="H976" s="3">
        <v>35.130000000000003</v>
      </c>
      <c r="I976" s="3">
        <v>4.5</v>
      </c>
      <c r="J976" s="3">
        <f t="shared" si="77"/>
        <v>49.03</v>
      </c>
      <c r="K976" s="3">
        <v>7.3000000000000007</v>
      </c>
      <c r="L976" s="3">
        <v>29.64</v>
      </c>
      <c r="M976" s="3">
        <v>3.5</v>
      </c>
      <c r="N976" s="3">
        <f t="shared" si="78"/>
        <v>40.44</v>
      </c>
      <c r="O976" s="3">
        <f t="shared" si="79"/>
        <v>89.47</v>
      </c>
      <c r="P976" s="2"/>
      <c r="Q976" s="5"/>
    </row>
    <row r="977" spans="1:17">
      <c r="A977" s="2">
        <f t="shared" si="75"/>
        <v>975</v>
      </c>
      <c r="B977" s="2">
        <f t="shared" si="76"/>
        <v>348</v>
      </c>
      <c r="C977" s="2" t="s">
        <v>20</v>
      </c>
      <c r="D977" s="2" t="s">
        <v>117</v>
      </c>
      <c r="E977" s="2" t="s">
        <v>2010</v>
      </c>
      <c r="F977" s="2" t="s">
        <v>2011</v>
      </c>
      <c r="G977" s="3">
        <v>7.5</v>
      </c>
      <c r="H977" s="3">
        <v>36.79</v>
      </c>
      <c r="I977" s="3">
        <v>3</v>
      </c>
      <c r="J977" s="3">
        <f t="shared" si="77"/>
        <v>47.29</v>
      </c>
      <c r="K977" s="3">
        <v>9.4</v>
      </c>
      <c r="L977" s="3">
        <v>28.9</v>
      </c>
      <c r="M977" s="3">
        <v>3</v>
      </c>
      <c r="N977" s="3">
        <f t="shared" si="78"/>
        <v>41.3</v>
      </c>
      <c r="O977" s="3">
        <f t="shared" si="79"/>
        <v>88.59</v>
      </c>
      <c r="P977" s="2"/>
      <c r="Q977" s="5"/>
    </row>
    <row r="978" spans="1:17">
      <c r="A978" s="2">
        <f t="shared" si="75"/>
        <v>976</v>
      </c>
      <c r="B978" s="2">
        <f t="shared" si="76"/>
        <v>349</v>
      </c>
      <c r="C978" s="2" t="s">
        <v>20</v>
      </c>
      <c r="D978" s="2" t="s">
        <v>229</v>
      </c>
      <c r="E978" s="2" t="s">
        <v>2012</v>
      </c>
      <c r="F978" s="2" t="s">
        <v>2013</v>
      </c>
      <c r="G978" s="3">
        <v>9.8000000000000007</v>
      </c>
      <c r="H978" s="3">
        <v>32.08</v>
      </c>
      <c r="I978" s="3">
        <v>3</v>
      </c>
      <c r="J978" s="3">
        <f t="shared" si="77"/>
        <v>44.88</v>
      </c>
      <c r="K978" s="3">
        <v>7.3000000000000007</v>
      </c>
      <c r="L978" s="3">
        <v>32.82</v>
      </c>
      <c r="M978" s="3">
        <v>3.5</v>
      </c>
      <c r="N978" s="3">
        <f t="shared" si="78"/>
        <v>43.62</v>
      </c>
      <c r="O978" s="3">
        <f t="shared" si="79"/>
        <v>88.5</v>
      </c>
      <c r="P978" s="2"/>
      <c r="Q978" s="5"/>
    </row>
    <row r="979" spans="1:17">
      <c r="A979" s="2">
        <f t="shared" si="75"/>
        <v>977</v>
      </c>
      <c r="B979" s="2">
        <f t="shared" si="76"/>
        <v>350</v>
      </c>
      <c r="C979" s="2" t="s">
        <v>20</v>
      </c>
      <c r="D979" s="2" t="s">
        <v>36</v>
      </c>
      <c r="E979" s="2" t="s">
        <v>2014</v>
      </c>
      <c r="F979" s="2" t="s">
        <v>2015</v>
      </c>
      <c r="G979" s="3">
        <v>8.6</v>
      </c>
      <c r="H979" s="3">
        <v>43.28</v>
      </c>
      <c r="I979" s="3">
        <v>4.0999999999999996</v>
      </c>
      <c r="J979" s="3">
        <f t="shared" si="77"/>
        <v>55.98</v>
      </c>
      <c r="K979" s="3">
        <v>9</v>
      </c>
      <c r="L979" s="3">
        <v>18.96</v>
      </c>
      <c r="M979" s="3">
        <v>4.5</v>
      </c>
      <c r="N979" s="3">
        <f t="shared" si="78"/>
        <v>32.46</v>
      </c>
      <c r="O979" s="3">
        <f t="shared" si="79"/>
        <v>88.44</v>
      </c>
      <c r="P979" s="2"/>
      <c r="Q979" s="5"/>
    </row>
    <row r="980" spans="1:17">
      <c r="A980" s="2">
        <f t="shared" si="75"/>
        <v>978</v>
      </c>
      <c r="B980" s="2">
        <f t="shared" si="76"/>
        <v>352</v>
      </c>
      <c r="C980" s="2" t="s">
        <v>45</v>
      </c>
      <c r="D980" s="2" t="s">
        <v>266</v>
      </c>
      <c r="E980" s="2" t="s">
        <v>2016</v>
      </c>
      <c r="F980" s="2" t="s">
        <v>2017</v>
      </c>
      <c r="G980" s="3">
        <v>9</v>
      </c>
      <c r="H980" s="3">
        <v>41.79</v>
      </c>
      <c r="I980" s="3">
        <v>3</v>
      </c>
      <c r="J980" s="3">
        <f t="shared" si="77"/>
        <v>53.79</v>
      </c>
      <c r="K980" s="3">
        <v>7.5</v>
      </c>
      <c r="L980" s="3">
        <v>20.28</v>
      </c>
      <c r="M980" s="3">
        <v>3</v>
      </c>
      <c r="N980" s="3">
        <f t="shared" si="78"/>
        <v>30.78</v>
      </c>
      <c r="O980" s="3">
        <f t="shared" si="79"/>
        <v>84.57</v>
      </c>
      <c r="P980" s="2"/>
      <c r="Q980" s="5"/>
    </row>
    <row r="981" spans="1:17">
      <c r="A981" s="2">
        <f t="shared" si="75"/>
        <v>979</v>
      </c>
      <c r="B981" s="2">
        <f t="shared" si="76"/>
        <v>353</v>
      </c>
      <c r="C981" s="2" t="s">
        <v>45</v>
      </c>
      <c r="D981" s="2" t="s">
        <v>96</v>
      </c>
      <c r="E981" s="2" t="s">
        <v>2018</v>
      </c>
      <c r="F981" s="2" t="s">
        <v>2019</v>
      </c>
      <c r="G981" s="3">
        <v>9.8000000000000007</v>
      </c>
      <c r="H981" s="3">
        <v>71.25</v>
      </c>
      <c r="I981" s="3">
        <v>3</v>
      </c>
      <c r="J981" s="3">
        <f t="shared" si="77"/>
        <v>84.05</v>
      </c>
      <c r="K981" s="3"/>
      <c r="L981" s="3"/>
      <c r="M981" s="3"/>
      <c r="N981" s="3"/>
      <c r="O981" s="3">
        <f t="shared" si="79"/>
        <v>84.05</v>
      </c>
      <c r="P981" s="2"/>
      <c r="Q981" s="5" t="s">
        <v>2020</v>
      </c>
    </row>
    <row r="982" spans="1:17">
      <c r="A982" s="2">
        <f t="shared" si="75"/>
        <v>980</v>
      </c>
      <c r="B982" s="2">
        <f t="shared" si="76"/>
        <v>351</v>
      </c>
      <c r="C982" s="2" t="s">
        <v>20</v>
      </c>
      <c r="D982" s="2" t="s">
        <v>42</v>
      </c>
      <c r="E982" s="2" t="s">
        <v>2021</v>
      </c>
      <c r="F982" s="2" t="s">
        <v>2022</v>
      </c>
      <c r="G982" s="3">
        <v>7.3</v>
      </c>
      <c r="H982" s="3">
        <v>30.285714285714299</v>
      </c>
      <c r="I982" s="3">
        <v>3</v>
      </c>
      <c r="J982" s="3">
        <f t="shared" si="77"/>
        <v>40.590000000000003</v>
      </c>
      <c r="K982" s="3">
        <v>9.8000000000000007</v>
      </c>
      <c r="L982" s="3">
        <v>29.19</v>
      </c>
      <c r="M982" s="3">
        <v>4</v>
      </c>
      <c r="N982" s="3">
        <f t="shared" ref="N982:N988" si="80">ROUND(SUM(K982:M982),2)</f>
        <v>42.99</v>
      </c>
      <c r="O982" s="3">
        <f t="shared" si="79"/>
        <v>83.58</v>
      </c>
      <c r="P982" s="2"/>
      <c r="Q982" s="5"/>
    </row>
    <row r="983" spans="1:17" ht="30">
      <c r="A983" s="2">
        <f t="shared" si="75"/>
        <v>981</v>
      </c>
      <c r="B983" s="2">
        <f t="shared" si="76"/>
        <v>138</v>
      </c>
      <c r="C983" s="2" t="s">
        <v>15</v>
      </c>
      <c r="D983" s="2" t="s">
        <v>16</v>
      </c>
      <c r="E983" s="2" t="s">
        <v>2023</v>
      </c>
      <c r="F983" s="2" t="s">
        <v>2024</v>
      </c>
      <c r="G983" s="3"/>
      <c r="H983" s="3"/>
      <c r="I983" s="3"/>
      <c r="J983" s="3"/>
      <c r="K983" s="3">
        <v>14.3</v>
      </c>
      <c r="L983" s="3">
        <v>63.8</v>
      </c>
      <c r="M983" s="3">
        <v>4.5999999999999996</v>
      </c>
      <c r="N983" s="3">
        <f t="shared" si="80"/>
        <v>82.7</v>
      </c>
      <c r="O983" s="3">
        <f t="shared" si="79"/>
        <v>82.7</v>
      </c>
      <c r="P983" s="4" t="s">
        <v>2025</v>
      </c>
      <c r="Q983" s="5" t="s">
        <v>2026</v>
      </c>
    </row>
    <row r="984" spans="1:17">
      <c r="A984" s="2">
        <f t="shared" si="75"/>
        <v>982</v>
      </c>
      <c r="B984" s="2">
        <f t="shared" si="76"/>
        <v>352</v>
      </c>
      <c r="C984" s="2" t="s">
        <v>20</v>
      </c>
      <c r="D984" s="2" t="s">
        <v>82</v>
      </c>
      <c r="E984" s="2" t="s">
        <v>2027</v>
      </c>
      <c r="F984" s="2" t="s">
        <v>2028</v>
      </c>
      <c r="G984" s="3">
        <v>6.5</v>
      </c>
      <c r="H984" s="3">
        <v>37.275510204081598</v>
      </c>
      <c r="I984" s="3">
        <v>3</v>
      </c>
      <c r="J984" s="3">
        <f t="shared" ref="J984:J990" si="81">ROUND(SUM(G984:I984),2)</f>
        <v>46.78</v>
      </c>
      <c r="K984" s="3">
        <v>7.3000000000000007</v>
      </c>
      <c r="L984" s="3">
        <v>23.96</v>
      </c>
      <c r="M984" s="3">
        <v>3.5</v>
      </c>
      <c r="N984" s="3">
        <f t="shared" si="80"/>
        <v>34.76</v>
      </c>
      <c r="O984" s="3">
        <f t="shared" si="79"/>
        <v>81.540000000000006</v>
      </c>
      <c r="P984" s="2"/>
      <c r="Q984" s="5"/>
    </row>
    <row r="985" spans="1:17">
      <c r="A985" s="2">
        <f t="shared" si="75"/>
        <v>983</v>
      </c>
      <c r="B985" s="2">
        <f t="shared" si="76"/>
        <v>353</v>
      </c>
      <c r="C985" s="2" t="s">
        <v>20</v>
      </c>
      <c r="D985" s="2" t="s">
        <v>117</v>
      </c>
      <c r="E985" s="2" t="s">
        <v>2029</v>
      </c>
      <c r="F985" s="2" t="s">
        <v>2030</v>
      </c>
      <c r="G985" s="3">
        <v>9.8000000000000007</v>
      </c>
      <c r="H985" s="3">
        <v>36.630000000000003</v>
      </c>
      <c r="I985" s="3">
        <v>3</v>
      </c>
      <c r="J985" s="3">
        <f t="shared" si="81"/>
        <v>49.43</v>
      </c>
      <c r="K985" s="3">
        <v>9.8000000000000007</v>
      </c>
      <c r="L985" s="3">
        <v>14.33</v>
      </c>
      <c r="M985" s="3">
        <v>3</v>
      </c>
      <c r="N985" s="3">
        <f t="shared" si="80"/>
        <v>27.13</v>
      </c>
      <c r="O985" s="3">
        <f t="shared" si="79"/>
        <v>76.56</v>
      </c>
      <c r="P985" s="2"/>
      <c r="Q985" s="5"/>
    </row>
    <row r="986" spans="1:17">
      <c r="A986" s="2">
        <f t="shared" si="75"/>
        <v>984</v>
      </c>
      <c r="B986" s="2">
        <f t="shared" si="76"/>
        <v>354</v>
      </c>
      <c r="C986" s="2" t="s">
        <v>20</v>
      </c>
      <c r="D986" s="2" t="s">
        <v>65</v>
      </c>
      <c r="E986" s="2" t="s">
        <v>2031</v>
      </c>
      <c r="F986" s="2" t="s">
        <v>2032</v>
      </c>
      <c r="G986" s="3">
        <v>7.3</v>
      </c>
      <c r="H986" s="3">
        <v>33.94</v>
      </c>
      <c r="I986" s="3">
        <v>3</v>
      </c>
      <c r="J986" s="3">
        <f t="shared" si="81"/>
        <v>44.24</v>
      </c>
      <c r="K986" s="3">
        <v>7.3000000000000007</v>
      </c>
      <c r="L986" s="3">
        <v>18.89</v>
      </c>
      <c r="M986" s="3">
        <v>3</v>
      </c>
      <c r="N986" s="3">
        <f t="shared" si="80"/>
        <v>29.19</v>
      </c>
      <c r="O986" s="3">
        <f t="shared" si="79"/>
        <v>73.430000000000007</v>
      </c>
      <c r="P986" s="2"/>
      <c r="Q986" s="5"/>
    </row>
    <row r="987" spans="1:17">
      <c r="A987" s="2">
        <f t="shared" si="75"/>
        <v>985</v>
      </c>
      <c r="B987" s="2">
        <f t="shared" si="76"/>
        <v>354</v>
      </c>
      <c r="C987" s="2" t="s">
        <v>45</v>
      </c>
      <c r="D987" s="2" t="s">
        <v>266</v>
      </c>
      <c r="E987" s="2" t="s">
        <v>2033</v>
      </c>
      <c r="F987" s="2" t="s">
        <v>2034</v>
      </c>
      <c r="G987" s="3">
        <v>7.3</v>
      </c>
      <c r="H987" s="3">
        <v>13.69</v>
      </c>
      <c r="I987" s="3">
        <v>3</v>
      </c>
      <c r="J987" s="3">
        <f t="shared" si="81"/>
        <v>23.99</v>
      </c>
      <c r="K987" s="3">
        <v>7.3000000000000007</v>
      </c>
      <c r="L987" s="3">
        <v>29.25</v>
      </c>
      <c r="M987" s="3">
        <v>3</v>
      </c>
      <c r="N987" s="3">
        <f t="shared" si="80"/>
        <v>39.549999999999997</v>
      </c>
      <c r="O987" s="3">
        <f t="shared" si="79"/>
        <v>63.54</v>
      </c>
      <c r="P987" s="2"/>
      <c r="Q987" s="5"/>
    </row>
    <row r="988" spans="1:17">
      <c r="A988" s="2">
        <f t="shared" si="75"/>
        <v>986</v>
      </c>
      <c r="B988" s="2">
        <f t="shared" si="76"/>
        <v>355</v>
      </c>
      <c r="C988" s="2" t="s">
        <v>45</v>
      </c>
      <c r="D988" s="2" t="s">
        <v>114</v>
      </c>
      <c r="E988" s="2" t="s">
        <v>2035</v>
      </c>
      <c r="F988" s="2" t="s">
        <v>2036</v>
      </c>
      <c r="G988" s="3">
        <v>9.8000000000000007</v>
      </c>
      <c r="H988" s="3">
        <v>24.88</v>
      </c>
      <c r="I988" s="3">
        <v>3</v>
      </c>
      <c r="J988" s="3">
        <f t="shared" si="81"/>
        <v>37.68</v>
      </c>
      <c r="K988" s="3">
        <v>9.8000000000000007</v>
      </c>
      <c r="L988" s="3">
        <v>11.78</v>
      </c>
      <c r="M988" s="3">
        <v>3</v>
      </c>
      <c r="N988" s="3">
        <f t="shared" si="80"/>
        <v>24.58</v>
      </c>
      <c r="O988" s="3">
        <f t="shared" si="79"/>
        <v>62.26</v>
      </c>
      <c r="P988" s="2"/>
      <c r="Q988" s="5"/>
    </row>
    <row r="989" spans="1:17">
      <c r="A989" s="2">
        <f t="shared" si="75"/>
        <v>987</v>
      </c>
      <c r="B989" s="2">
        <f t="shared" si="76"/>
        <v>139</v>
      </c>
      <c r="C989" s="2" t="s">
        <v>15</v>
      </c>
      <c r="D989" s="2" t="s">
        <v>181</v>
      </c>
      <c r="E989" s="2" t="s">
        <v>2037</v>
      </c>
      <c r="F989" s="2" t="s">
        <v>2038</v>
      </c>
      <c r="G989" s="3">
        <v>7.3</v>
      </c>
      <c r="H989" s="3">
        <v>48.83</v>
      </c>
      <c r="I989" s="3">
        <v>3</v>
      </c>
      <c r="J989" s="3">
        <f t="shared" si="81"/>
        <v>59.13</v>
      </c>
      <c r="K989" s="3"/>
      <c r="L989" s="3"/>
      <c r="M989" s="3"/>
      <c r="N989" s="3"/>
      <c r="O989" s="3">
        <f t="shared" si="79"/>
        <v>59.13</v>
      </c>
      <c r="P989" s="2"/>
      <c r="Q989" s="5" t="s">
        <v>2020</v>
      </c>
    </row>
    <row r="990" spans="1:17">
      <c r="A990" s="2">
        <f t="shared" si="75"/>
        <v>988</v>
      </c>
      <c r="B990" s="2">
        <f t="shared" si="76"/>
        <v>356</v>
      </c>
      <c r="C990" s="2" t="s">
        <v>45</v>
      </c>
      <c r="D990" s="2" t="s">
        <v>114</v>
      </c>
      <c r="E990" s="2" t="s">
        <v>2039</v>
      </c>
      <c r="F990" s="2" t="s">
        <v>2040</v>
      </c>
      <c r="G990" s="3">
        <v>10</v>
      </c>
      <c r="H990" s="3">
        <v>31.65</v>
      </c>
      <c r="I990" s="3">
        <v>3</v>
      </c>
      <c r="J990" s="3">
        <f t="shared" si="81"/>
        <v>44.65</v>
      </c>
      <c r="K990" s="3">
        <v>10</v>
      </c>
      <c r="L990" s="3">
        <v>0</v>
      </c>
      <c r="M990" s="3">
        <v>3</v>
      </c>
      <c r="N990" s="3">
        <f>ROUND(SUM(K990:M990),2)</f>
        <v>13</v>
      </c>
      <c r="O990" s="3">
        <f t="shared" si="79"/>
        <v>57.65</v>
      </c>
      <c r="P990" s="2"/>
      <c r="Q990" s="5"/>
    </row>
    <row r="991" spans="1:17">
      <c r="A991" s="2">
        <f t="shared" si="75"/>
        <v>989</v>
      </c>
      <c r="B991" s="2">
        <f t="shared" si="76"/>
        <v>355</v>
      </c>
      <c r="C991" s="2" t="s">
        <v>20</v>
      </c>
      <c r="D991" s="2" t="s">
        <v>229</v>
      </c>
      <c r="E991" s="2" t="s">
        <v>2041</v>
      </c>
      <c r="F991" s="2" t="s">
        <v>2042</v>
      </c>
      <c r="G991" s="3"/>
      <c r="H991" s="3"/>
      <c r="I991" s="3"/>
      <c r="J991" s="3"/>
      <c r="K991" s="3">
        <v>9.8000000000000007</v>
      </c>
      <c r="L991" s="3">
        <v>39.29</v>
      </c>
      <c r="M991" s="3">
        <v>3.5</v>
      </c>
      <c r="N991" s="3">
        <f>ROUND(SUM(K991:M991),2)</f>
        <v>52.59</v>
      </c>
      <c r="O991" s="3">
        <f t="shared" si="79"/>
        <v>52.59</v>
      </c>
      <c r="P991" s="4" t="s">
        <v>2043</v>
      </c>
      <c r="Q991" s="5" t="s">
        <v>2026</v>
      </c>
    </row>
    <row r="992" spans="1:17">
      <c r="A992" s="2">
        <f t="shared" si="75"/>
        <v>990</v>
      </c>
      <c r="B992" s="2">
        <f t="shared" si="76"/>
        <v>356</v>
      </c>
      <c r="C992" s="2" t="s">
        <v>20</v>
      </c>
      <c r="D992" s="2" t="s">
        <v>229</v>
      </c>
      <c r="E992" s="2" t="s">
        <v>2044</v>
      </c>
      <c r="F992" s="2" t="s">
        <v>2045</v>
      </c>
      <c r="G992" s="3">
        <v>8.3000000000000007</v>
      </c>
      <c r="H992" s="3">
        <v>22.29</v>
      </c>
      <c r="I992" s="3">
        <v>3</v>
      </c>
      <c r="J992" s="3">
        <f>ROUND(SUM(G992:I992),2)</f>
        <v>33.590000000000003</v>
      </c>
      <c r="K992" s="3">
        <v>9.8000000000000007</v>
      </c>
      <c r="L992" s="3">
        <v>0</v>
      </c>
      <c r="M992" s="3">
        <v>3.5</v>
      </c>
      <c r="N992" s="3">
        <f>ROUND(SUM(K992:M992),2)</f>
        <v>13.3</v>
      </c>
      <c r="O992" s="3">
        <f t="shared" si="79"/>
        <v>46.89</v>
      </c>
      <c r="P992" s="2"/>
      <c r="Q992" s="5"/>
    </row>
    <row r="993" spans="1:17">
      <c r="A993" s="2">
        <f t="shared" si="75"/>
        <v>991</v>
      </c>
      <c r="B993" s="2">
        <f t="shared" si="76"/>
        <v>140</v>
      </c>
      <c r="C993" s="2" t="s">
        <v>15</v>
      </c>
      <c r="D993" s="2" t="s">
        <v>181</v>
      </c>
      <c r="E993" s="2" t="s">
        <v>2046</v>
      </c>
      <c r="F993" s="2" t="s">
        <v>2047</v>
      </c>
      <c r="G993" s="3"/>
      <c r="H993" s="3"/>
      <c r="I993" s="3"/>
      <c r="J993" s="3"/>
      <c r="K993" s="3">
        <v>9.8000000000000007</v>
      </c>
      <c r="L993" s="3">
        <v>17.829999999999998</v>
      </c>
      <c r="M993" s="3">
        <v>3</v>
      </c>
      <c r="N993" s="3">
        <f>ROUND(SUM(K993:M993),2)</f>
        <v>30.63</v>
      </c>
      <c r="O993" s="3">
        <f t="shared" si="79"/>
        <v>30.63</v>
      </c>
      <c r="P993" s="2"/>
      <c r="Q993" s="5" t="s">
        <v>2026</v>
      </c>
    </row>
    <row r="994" spans="1:17">
      <c r="A994" s="2">
        <f t="shared" si="75"/>
        <v>992</v>
      </c>
      <c r="B994" s="2">
        <f t="shared" si="76"/>
        <v>140</v>
      </c>
      <c r="C994" s="2" t="s">
        <v>24</v>
      </c>
      <c r="D994" s="2" t="s">
        <v>25</v>
      </c>
      <c r="E994" s="2" t="s">
        <v>2048</v>
      </c>
      <c r="F994" s="2" t="s">
        <v>2049</v>
      </c>
      <c r="G994" s="3"/>
      <c r="H994" s="3"/>
      <c r="I994" s="3"/>
      <c r="J994" s="3"/>
      <c r="K994" s="3">
        <v>9.8000000000000007</v>
      </c>
      <c r="L994" s="3">
        <v>0</v>
      </c>
      <c r="M994" s="3">
        <v>3</v>
      </c>
      <c r="N994" s="3">
        <f>ROUND(SUM(K994:M994),2)</f>
        <v>12.8</v>
      </c>
      <c r="O994" s="3">
        <f t="shared" si="79"/>
        <v>12.8</v>
      </c>
      <c r="P994" s="2"/>
      <c r="Q994" s="5" t="s">
        <v>2026</v>
      </c>
    </row>
    <row r="995" spans="1:17">
      <c r="A995" s="6" t="s">
        <v>2050</v>
      </c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 spans="1:17">
      <c r="A996" s="2">
        <f t="shared" ref="A996:A1025" si="82">B996</f>
        <v>1</v>
      </c>
      <c r="B996" s="2">
        <f t="shared" ref="B996:B1025" si="83">COUNTIFS($C$3:$C$1025,C996,$O$3:$O$1025,"&gt;"&amp;O996)+1</f>
        <v>1</v>
      </c>
      <c r="C996" s="2" t="s">
        <v>2051</v>
      </c>
      <c r="D996" s="2" t="s">
        <v>2052</v>
      </c>
      <c r="E996" s="2" t="s">
        <v>2053</v>
      </c>
      <c r="F996" s="2" t="s">
        <v>2054</v>
      </c>
      <c r="G996" s="3">
        <v>9.8000000000000007</v>
      </c>
      <c r="H996" s="3">
        <v>74.430000000000007</v>
      </c>
      <c r="I996" s="3">
        <v>5.0999999999999996</v>
      </c>
      <c r="J996" s="3">
        <f t="shared" ref="J996:J1025" si="84">ROUND(SUM(G996:I996),2)</f>
        <v>89.33</v>
      </c>
      <c r="K996" s="3">
        <v>9.8000000000000007</v>
      </c>
      <c r="L996" s="3">
        <v>69.69</v>
      </c>
      <c r="M996" s="3">
        <v>6.6</v>
      </c>
      <c r="N996" s="3">
        <f t="shared" ref="N996:N1025" si="85">ROUND(SUM(K996:M996),2)</f>
        <v>86.09</v>
      </c>
      <c r="O996" s="3">
        <f t="shared" ref="O996:O1025" si="86">ROUND(SUM(J996,N996),2)</f>
        <v>175.42</v>
      </c>
      <c r="P996" s="4" t="s">
        <v>35</v>
      </c>
      <c r="Q996" s="5"/>
    </row>
    <row r="997" spans="1:17">
      <c r="A997" s="2">
        <f t="shared" si="82"/>
        <v>2</v>
      </c>
      <c r="B997" s="2">
        <f t="shared" si="83"/>
        <v>2</v>
      </c>
      <c r="C997" s="2" t="s">
        <v>2051</v>
      </c>
      <c r="D997" s="2" t="s">
        <v>2052</v>
      </c>
      <c r="E997" s="2" t="s">
        <v>2055</v>
      </c>
      <c r="F997" s="2" t="s">
        <v>2056</v>
      </c>
      <c r="G997" s="3">
        <v>13</v>
      </c>
      <c r="H997" s="3">
        <v>70.36</v>
      </c>
      <c r="I997" s="3">
        <v>5.4</v>
      </c>
      <c r="J997" s="3">
        <f t="shared" si="84"/>
        <v>88.76</v>
      </c>
      <c r="K997" s="3">
        <v>12.5</v>
      </c>
      <c r="L997" s="3">
        <v>65.41</v>
      </c>
      <c r="M997" s="3">
        <v>7.5</v>
      </c>
      <c r="N997" s="3">
        <f t="shared" si="85"/>
        <v>85.41</v>
      </c>
      <c r="O997" s="3">
        <f t="shared" si="86"/>
        <v>174.17</v>
      </c>
      <c r="P997" s="4" t="s">
        <v>79</v>
      </c>
      <c r="Q997" s="5"/>
    </row>
    <row r="998" spans="1:17">
      <c r="A998" s="2">
        <f t="shared" si="82"/>
        <v>3</v>
      </c>
      <c r="B998" s="2">
        <f t="shared" si="83"/>
        <v>3</v>
      </c>
      <c r="C998" s="2" t="s">
        <v>2051</v>
      </c>
      <c r="D998" s="2" t="s">
        <v>2052</v>
      </c>
      <c r="E998" s="2" t="s">
        <v>2057</v>
      </c>
      <c r="F998" s="2" t="s">
        <v>2058</v>
      </c>
      <c r="G998" s="3">
        <v>9.8000000000000007</v>
      </c>
      <c r="H998" s="3">
        <v>73.5</v>
      </c>
      <c r="I998" s="3">
        <v>4.2</v>
      </c>
      <c r="J998" s="3">
        <f t="shared" si="84"/>
        <v>87.5</v>
      </c>
      <c r="K998" s="3">
        <v>9.8000000000000007</v>
      </c>
      <c r="L998" s="3">
        <v>69.5</v>
      </c>
      <c r="M998" s="3">
        <v>5.3</v>
      </c>
      <c r="N998" s="3">
        <f t="shared" si="85"/>
        <v>84.6</v>
      </c>
      <c r="O998" s="3">
        <f t="shared" si="86"/>
        <v>172.1</v>
      </c>
      <c r="P998" s="4" t="s">
        <v>130</v>
      </c>
      <c r="Q998" s="5"/>
    </row>
    <row r="999" spans="1:17">
      <c r="A999" s="2">
        <f t="shared" si="82"/>
        <v>4</v>
      </c>
      <c r="B999" s="2">
        <f t="shared" si="83"/>
        <v>4</v>
      </c>
      <c r="C999" s="2" t="s">
        <v>2051</v>
      </c>
      <c r="D999" s="2" t="s">
        <v>2052</v>
      </c>
      <c r="E999" s="2" t="s">
        <v>2059</v>
      </c>
      <c r="F999" s="2" t="s">
        <v>2060</v>
      </c>
      <c r="G999" s="3">
        <v>9.8000000000000007</v>
      </c>
      <c r="H999" s="3">
        <v>72.5</v>
      </c>
      <c r="I999" s="3">
        <v>3</v>
      </c>
      <c r="J999" s="3">
        <f t="shared" si="84"/>
        <v>85.3</v>
      </c>
      <c r="K999" s="3">
        <v>9.8000000000000007</v>
      </c>
      <c r="L999" s="3">
        <v>69.08</v>
      </c>
      <c r="M999" s="3">
        <v>3</v>
      </c>
      <c r="N999" s="3">
        <f t="shared" si="85"/>
        <v>81.88</v>
      </c>
      <c r="O999" s="3">
        <f t="shared" si="86"/>
        <v>167.18</v>
      </c>
      <c r="P999" s="4" t="s">
        <v>130</v>
      </c>
      <c r="Q999" s="5"/>
    </row>
    <row r="1000" spans="1:17">
      <c r="A1000" s="2">
        <f t="shared" si="82"/>
        <v>5</v>
      </c>
      <c r="B1000" s="2">
        <f t="shared" si="83"/>
        <v>5</v>
      </c>
      <c r="C1000" s="2" t="s">
        <v>2051</v>
      </c>
      <c r="D1000" s="2" t="s">
        <v>2052</v>
      </c>
      <c r="E1000" s="2" t="s">
        <v>2061</v>
      </c>
      <c r="F1000" s="2" t="s">
        <v>2062</v>
      </c>
      <c r="G1000" s="3">
        <v>10.3</v>
      </c>
      <c r="H1000" s="3">
        <v>67.87</v>
      </c>
      <c r="I1000" s="3">
        <v>4</v>
      </c>
      <c r="J1000" s="3">
        <f t="shared" si="84"/>
        <v>82.17</v>
      </c>
      <c r="K1000" s="3">
        <v>9.8000000000000007</v>
      </c>
      <c r="L1000" s="3">
        <v>67.52</v>
      </c>
      <c r="M1000" s="3">
        <v>5.3</v>
      </c>
      <c r="N1000" s="3">
        <f t="shared" si="85"/>
        <v>82.62</v>
      </c>
      <c r="O1000" s="3">
        <f t="shared" si="86"/>
        <v>164.79</v>
      </c>
      <c r="P1000" s="4" t="s">
        <v>130</v>
      </c>
      <c r="Q1000" s="5"/>
    </row>
    <row r="1001" spans="1:17">
      <c r="A1001" s="2">
        <f t="shared" si="82"/>
        <v>6</v>
      </c>
      <c r="B1001" s="2">
        <f t="shared" si="83"/>
        <v>6</v>
      </c>
      <c r="C1001" s="2" t="s">
        <v>2051</v>
      </c>
      <c r="D1001" s="2" t="s">
        <v>2052</v>
      </c>
      <c r="E1001" s="2" t="s">
        <v>2063</v>
      </c>
      <c r="F1001" s="2" t="s">
        <v>2064</v>
      </c>
      <c r="G1001" s="3">
        <v>9.8000000000000007</v>
      </c>
      <c r="H1001" s="3">
        <v>66.2</v>
      </c>
      <c r="I1001" s="3">
        <v>6.85</v>
      </c>
      <c r="J1001" s="3">
        <f t="shared" si="84"/>
        <v>82.85</v>
      </c>
      <c r="K1001" s="3">
        <v>11.3</v>
      </c>
      <c r="L1001" s="3">
        <v>63.38</v>
      </c>
      <c r="M1001" s="3">
        <v>7.1</v>
      </c>
      <c r="N1001" s="3">
        <f t="shared" si="85"/>
        <v>81.78</v>
      </c>
      <c r="O1001" s="3">
        <f t="shared" si="86"/>
        <v>164.63</v>
      </c>
      <c r="P1001" s="2"/>
      <c r="Q1001" s="5"/>
    </row>
    <row r="1002" spans="1:17">
      <c r="A1002" s="2">
        <f t="shared" si="82"/>
        <v>7</v>
      </c>
      <c r="B1002" s="2">
        <f t="shared" si="83"/>
        <v>7</v>
      </c>
      <c r="C1002" s="2" t="s">
        <v>2051</v>
      </c>
      <c r="D1002" s="2" t="s">
        <v>2052</v>
      </c>
      <c r="E1002" s="2" t="s">
        <v>2065</v>
      </c>
      <c r="F1002" s="2" t="s">
        <v>2066</v>
      </c>
      <c r="G1002" s="3">
        <v>10.3</v>
      </c>
      <c r="H1002" s="3">
        <v>66.5</v>
      </c>
      <c r="I1002" s="3">
        <v>4.5</v>
      </c>
      <c r="J1002" s="3">
        <f t="shared" si="84"/>
        <v>81.3</v>
      </c>
      <c r="K1002" s="3">
        <v>9.8000000000000007</v>
      </c>
      <c r="L1002" s="3">
        <v>61.49</v>
      </c>
      <c r="M1002" s="3">
        <v>5.6</v>
      </c>
      <c r="N1002" s="3">
        <f t="shared" si="85"/>
        <v>76.89</v>
      </c>
      <c r="O1002" s="3">
        <f t="shared" si="86"/>
        <v>158.19</v>
      </c>
      <c r="P1002" s="2"/>
      <c r="Q1002" s="5"/>
    </row>
    <row r="1003" spans="1:17">
      <c r="A1003" s="2">
        <f t="shared" si="82"/>
        <v>8</v>
      </c>
      <c r="B1003" s="2">
        <f t="shared" si="83"/>
        <v>8</v>
      </c>
      <c r="C1003" s="2" t="s">
        <v>2051</v>
      </c>
      <c r="D1003" s="2" t="s">
        <v>2052</v>
      </c>
      <c r="E1003" s="2" t="s">
        <v>2067</v>
      </c>
      <c r="F1003" s="2" t="s">
        <v>2068</v>
      </c>
      <c r="G1003" s="3">
        <v>10</v>
      </c>
      <c r="H1003" s="3">
        <v>66.73</v>
      </c>
      <c r="I1003" s="3">
        <v>3</v>
      </c>
      <c r="J1003" s="3">
        <f t="shared" si="84"/>
        <v>79.73</v>
      </c>
      <c r="K1003" s="3">
        <v>10</v>
      </c>
      <c r="L1003" s="3">
        <v>64.62</v>
      </c>
      <c r="M1003" s="3">
        <v>3.7</v>
      </c>
      <c r="N1003" s="3">
        <f t="shared" si="85"/>
        <v>78.319999999999993</v>
      </c>
      <c r="O1003" s="3">
        <f t="shared" si="86"/>
        <v>158.05000000000001</v>
      </c>
      <c r="P1003" s="2"/>
      <c r="Q1003" s="5"/>
    </row>
    <row r="1004" spans="1:17">
      <c r="A1004" s="2">
        <f t="shared" si="82"/>
        <v>9</v>
      </c>
      <c r="B1004" s="2">
        <f t="shared" si="83"/>
        <v>9</v>
      </c>
      <c r="C1004" s="2" t="s">
        <v>2051</v>
      </c>
      <c r="D1004" s="2" t="s">
        <v>2052</v>
      </c>
      <c r="E1004" s="2" t="s">
        <v>2069</v>
      </c>
      <c r="F1004" s="2" t="s">
        <v>2070</v>
      </c>
      <c r="G1004" s="3">
        <v>9.8000000000000007</v>
      </c>
      <c r="H1004" s="3">
        <v>64.53</v>
      </c>
      <c r="I1004" s="3">
        <v>4.5999999999999996</v>
      </c>
      <c r="J1004" s="3">
        <f t="shared" si="84"/>
        <v>78.930000000000007</v>
      </c>
      <c r="K1004" s="3">
        <v>9.8000000000000007</v>
      </c>
      <c r="L1004" s="3">
        <v>63.98</v>
      </c>
      <c r="M1004" s="3">
        <v>4.8</v>
      </c>
      <c r="N1004" s="3">
        <f t="shared" si="85"/>
        <v>78.58</v>
      </c>
      <c r="O1004" s="3">
        <f t="shared" si="86"/>
        <v>157.51</v>
      </c>
      <c r="P1004" s="2"/>
      <c r="Q1004" s="5"/>
    </row>
    <row r="1005" spans="1:17">
      <c r="A1005" s="2">
        <f t="shared" si="82"/>
        <v>10</v>
      </c>
      <c r="B1005" s="2">
        <f t="shared" si="83"/>
        <v>10</v>
      </c>
      <c r="C1005" s="2" t="s">
        <v>2051</v>
      </c>
      <c r="D1005" s="2" t="s">
        <v>2052</v>
      </c>
      <c r="E1005" s="2" t="s">
        <v>2071</v>
      </c>
      <c r="F1005" s="2" t="s">
        <v>2072</v>
      </c>
      <c r="G1005" s="3">
        <v>9.8000000000000007</v>
      </c>
      <c r="H1005" s="3">
        <v>65.849999999999994</v>
      </c>
      <c r="I1005" s="3">
        <v>3</v>
      </c>
      <c r="J1005" s="3">
        <f t="shared" si="84"/>
        <v>78.650000000000006</v>
      </c>
      <c r="K1005" s="3">
        <v>10.8</v>
      </c>
      <c r="L1005" s="3">
        <v>64.17</v>
      </c>
      <c r="M1005" s="3">
        <v>3.8</v>
      </c>
      <c r="N1005" s="3">
        <f t="shared" si="85"/>
        <v>78.77</v>
      </c>
      <c r="O1005" s="3">
        <f t="shared" si="86"/>
        <v>157.41999999999999</v>
      </c>
      <c r="P1005" s="2"/>
      <c r="Q1005" s="5"/>
    </row>
    <row r="1006" spans="1:17">
      <c r="A1006" s="2">
        <f t="shared" si="82"/>
        <v>11</v>
      </c>
      <c r="B1006" s="2">
        <f t="shared" si="83"/>
        <v>11</v>
      </c>
      <c r="C1006" s="2" t="s">
        <v>2051</v>
      </c>
      <c r="D1006" s="2" t="s">
        <v>2052</v>
      </c>
      <c r="E1006" s="2" t="s">
        <v>2073</v>
      </c>
      <c r="F1006" s="2" t="s">
        <v>2074</v>
      </c>
      <c r="G1006" s="3">
        <v>10.8</v>
      </c>
      <c r="H1006" s="3">
        <v>65.81</v>
      </c>
      <c r="I1006" s="3">
        <v>5</v>
      </c>
      <c r="J1006" s="3">
        <f t="shared" si="84"/>
        <v>81.61</v>
      </c>
      <c r="K1006" s="3">
        <v>9.8000000000000007</v>
      </c>
      <c r="L1006" s="3">
        <v>59.88</v>
      </c>
      <c r="M1006" s="3">
        <v>5.5</v>
      </c>
      <c r="N1006" s="3">
        <f t="shared" si="85"/>
        <v>75.180000000000007</v>
      </c>
      <c r="O1006" s="3">
        <f t="shared" si="86"/>
        <v>156.79</v>
      </c>
      <c r="P1006" s="2"/>
      <c r="Q1006" s="5"/>
    </row>
    <row r="1007" spans="1:17">
      <c r="A1007" s="2">
        <f t="shared" si="82"/>
        <v>12</v>
      </c>
      <c r="B1007" s="2">
        <f t="shared" si="83"/>
        <v>12</v>
      </c>
      <c r="C1007" s="2" t="s">
        <v>2051</v>
      </c>
      <c r="D1007" s="2" t="s">
        <v>2052</v>
      </c>
      <c r="E1007" s="2" t="s">
        <v>2075</v>
      </c>
      <c r="F1007" s="2" t="s">
        <v>2076</v>
      </c>
      <c r="G1007" s="3">
        <v>9.8000000000000007</v>
      </c>
      <c r="H1007" s="3">
        <v>68.599999999999994</v>
      </c>
      <c r="I1007" s="3">
        <v>3</v>
      </c>
      <c r="J1007" s="3">
        <f t="shared" si="84"/>
        <v>81.400000000000006</v>
      </c>
      <c r="K1007" s="3">
        <v>9.8000000000000007</v>
      </c>
      <c r="L1007" s="3">
        <v>61.24</v>
      </c>
      <c r="M1007" s="3">
        <v>3.5</v>
      </c>
      <c r="N1007" s="3">
        <f t="shared" si="85"/>
        <v>74.540000000000006</v>
      </c>
      <c r="O1007" s="3">
        <f t="shared" si="86"/>
        <v>155.94</v>
      </c>
      <c r="P1007" s="2"/>
      <c r="Q1007" s="5"/>
    </row>
    <row r="1008" spans="1:17">
      <c r="A1008" s="2">
        <f t="shared" si="82"/>
        <v>13</v>
      </c>
      <c r="B1008" s="2">
        <f t="shared" si="83"/>
        <v>13</v>
      </c>
      <c r="C1008" s="2" t="s">
        <v>2051</v>
      </c>
      <c r="D1008" s="2" t="s">
        <v>2052</v>
      </c>
      <c r="E1008" s="2" t="s">
        <v>2077</v>
      </c>
      <c r="F1008" s="2" t="s">
        <v>2078</v>
      </c>
      <c r="G1008" s="3">
        <v>9.8000000000000007</v>
      </c>
      <c r="H1008" s="3">
        <v>62.63</v>
      </c>
      <c r="I1008" s="3">
        <v>3</v>
      </c>
      <c r="J1008" s="3">
        <f t="shared" si="84"/>
        <v>75.430000000000007</v>
      </c>
      <c r="K1008" s="3">
        <v>9.8000000000000007</v>
      </c>
      <c r="L1008" s="3">
        <v>64.78</v>
      </c>
      <c r="M1008" s="3">
        <v>4.2</v>
      </c>
      <c r="N1008" s="3">
        <f t="shared" si="85"/>
        <v>78.78</v>
      </c>
      <c r="O1008" s="3">
        <f t="shared" si="86"/>
        <v>154.21</v>
      </c>
      <c r="P1008" s="2"/>
      <c r="Q1008" s="5"/>
    </row>
    <row r="1009" spans="1:17">
      <c r="A1009" s="2">
        <f t="shared" si="82"/>
        <v>14</v>
      </c>
      <c r="B1009" s="2">
        <f t="shared" si="83"/>
        <v>14</v>
      </c>
      <c r="C1009" s="2" t="s">
        <v>2051</v>
      </c>
      <c r="D1009" s="2" t="s">
        <v>2052</v>
      </c>
      <c r="E1009" s="2" t="s">
        <v>2079</v>
      </c>
      <c r="F1009" s="2" t="s">
        <v>2080</v>
      </c>
      <c r="G1009" s="3">
        <v>9.8000000000000007</v>
      </c>
      <c r="H1009" s="3">
        <v>63.3</v>
      </c>
      <c r="I1009" s="3">
        <v>4.3</v>
      </c>
      <c r="J1009" s="3">
        <f t="shared" si="84"/>
        <v>77.400000000000006</v>
      </c>
      <c r="K1009" s="3">
        <v>10.8</v>
      </c>
      <c r="L1009" s="3">
        <v>60.58</v>
      </c>
      <c r="M1009" s="3">
        <v>4.7</v>
      </c>
      <c r="N1009" s="3">
        <f t="shared" si="85"/>
        <v>76.08</v>
      </c>
      <c r="O1009" s="3">
        <f t="shared" si="86"/>
        <v>153.47999999999999</v>
      </c>
      <c r="P1009" s="2"/>
      <c r="Q1009" s="5"/>
    </row>
    <row r="1010" spans="1:17">
      <c r="A1010" s="2">
        <f t="shared" si="82"/>
        <v>15</v>
      </c>
      <c r="B1010" s="2">
        <f t="shared" si="83"/>
        <v>15</v>
      </c>
      <c r="C1010" s="2" t="s">
        <v>2051</v>
      </c>
      <c r="D1010" s="2" t="s">
        <v>2052</v>
      </c>
      <c r="E1010" s="2" t="s">
        <v>2081</v>
      </c>
      <c r="F1010" s="2" t="s">
        <v>2082</v>
      </c>
      <c r="G1010" s="3">
        <v>10</v>
      </c>
      <c r="H1010" s="3">
        <v>63.27</v>
      </c>
      <c r="I1010" s="3">
        <v>5.25</v>
      </c>
      <c r="J1010" s="3">
        <f t="shared" si="84"/>
        <v>78.52</v>
      </c>
      <c r="K1010" s="3">
        <v>10</v>
      </c>
      <c r="L1010" s="3">
        <v>59.22</v>
      </c>
      <c r="M1010" s="3">
        <v>5.25</v>
      </c>
      <c r="N1010" s="3">
        <f t="shared" si="85"/>
        <v>74.47</v>
      </c>
      <c r="O1010" s="3">
        <f t="shared" si="86"/>
        <v>152.99</v>
      </c>
      <c r="P1010" s="2"/>
      <c r="Q1010" s="5"/>
    </row>
    <row r="1011" spans="1:17">
      <c r="A1011" s="2">
        <f t="shared" si="82"/>
        <v>16</v>
      </c>
      <c r="B1011" s="2">
        <f t="shared" si="83"/>
        <v>16</v>
      </c>
      <c r="C1011" s="2" t="s">
        <v>2051</v>
      </c>
      <c r="D1011" s="2" t="s">
        <v>2052</v>
      </c>
      <c r="E1011" s="2" t="s">
        <v>2083</v>
      </c>
      <c r="F1011" s="2" t="s">
        <v>2084</v>
      </c>
      <c r="G1011" s="3">
        <v>11</v>
      </c>
      <c r="H1011" s="3">
        <v>60.63</v>
      </c>
      <c r="I1011" s="3">
        <v>4.3</v>
      </c>
      <c r="J1011" s="3">
        <f t="shared" si="84"/>
        <v>75.930000000000007</v>
      </c>
      <c r="K1011" s="3">
        <v>10</v>
      </c>
      <c r="L1011" s="3">
        <v>60.94</v>
      </c>
      <c r="M1011" s="3">
        <v>4.5</v>
      </c>
      <c r="N1011" s="3">
        <f t="shared" si="85"/>
        <v>75.44</v>
      </c>
      <c r="O1011" s="3">
        <f t="shared" si="86"/>
        <v>151.37</v>
      </c>
      <c r="P1011" s="2"/>
      <c r="Q1011" s="5"/>
    </row>
    <row r="1012" spans="1:17">
      <c r="A1012" s="2">
        <f t="shared" si="82"/>
        <v>17</v>
      </c>
      <c r="B1012" s="2">
        <f t="shared" si="83"/>
        <v>17</v>
      </c>
      <c r="C1012" s="2" t="s">
        <v>2051</v>
      </c>
      <c r="D1012" s="2" t="s">
        <v>2052</v>
      </c>
      <c r="E1012" s="2" t="s">
        <v>2085</v>
      </c>
      <c r="F1012" s="2" t="s">
        <v>2086</v>
      </c>
      <c r="G1012" s="3">
        <v>9.8000000000000007</v>
      </c>
      <c r="H1012" s="3">
        <v>65.27</v>
      </c>
      <c r="I1012" s="3">
        <v>3</v>
      </c>
      <c r="J1012" s="3">
        <f t="shared" si="84"/>
        <v>78.069999999999993</v>
      </c>
      <c r="K1012" s="3">
        <v>9.8000000000000007</v>
      </c>
      <c r="L1012" s="3">
        <v>58.91</v>
      </c>
      <c r="M1012" s="3">
        <v>4.4000000000000004</v>
      </c>
      <c r="N1012" s="3">
        <f t="shared" si="85"/>
        <v>73.11</v>
      </c>
      <c r="O1012" s="3">
        <f t="shared" si="86"/>
        <v>151.18</v>
      </c>
      <c r="P1012" s="2"/>
      <c r="Q1012" s="5"/>
    </row>
    <row r="1013" spans="1:17">
      <c r="A1013" s="2">
        <f t="shared" si="82"/>
        <v>18</v>
      </c>
      <c r="B1013" s="2">
        <f t="shared" si="83"/>
        <v>18</v>
      </c>
      <c r="C1013" s="2" t="s">
        <v>2051</v>
      </c>
      <c r="D1013" s="2" t="s">
        <v>2052</v>
      </c>
      <c r="E1013" s="2" t="s">
        <v>2087</v>
      </c>
      <c r="F1013" s="2" t="s">
        <v>2088</v>
      </c>
      <c r="G1013" s="3">
        <v>9.8000000000000007</v>
      </c>
      <c r="H1013" s="3">
        <v>59.8</v>
      </c>
      <c r="I1013" s="3">
        <v>4.5</v>
      </c>
      <c r="J1013" s="3">
        <f t="shared" si="84"/>
        <v>74.099999999999994</v>
      </c>
      <c r="K1013" s="3">
        <v>9.8000000000000007</v>
      </c>
      <c r="L1013" s="3">
        <v>61.02</v>
      </c>
      <c r="M1013" s="3">
        <v>5.25</v>
      </c>
      <c r="N1013" s="3">
        <f t="shared" si="85"/>
        <v>76.069999999999993</v>
      </c>
      <c r="O1013" s="3">
        <f t="shared" si="86"/>
        <v>150.16999999999999</v>
      </c>
      <c r="P1013" s="2"/>
      <c r="Q1013" s="5"/>
    </row>
    <row r="1014" spans="1:17">
      <c r="A1014" s="2">
        <f t="shared" si="82"/>
        <v>19</v>
      </c>
      <c r="B1014" s="2">
        <f t="shared" si="83"/>
        <v>19</v>
      </c>
      <c r="C1014" s="2" t="s">
        <v>2051</v>
      </c>
      <c r="D1014" s="2" t="s">
        <v>2052</v>
      </c>
      <c r="E1014" s="2" t="s">
        <v>2089</v>
      </c>
      <c r="F1014" s="2" t="s">
        <v>2090</v>
      </c>
      <c r="G1014" s="3">
        <v>11.4</v>
      </c>
      <c r="H1014" s="3">
        <v>59.23</v>
      </c>
      <c r="I1014" s="3">
        <v>4.2</v>
      </c>
      <c r="J1014" s="3">
        <f t="shared" si="84"/>
        <v>74.83</v>
      </c>
      <c r="K1014" s="3">
        <v>11.8</v>
      </c>
      <c r="L1014" s="3">
        <v>56.71</v>
      </c>
      <c r="M1014" s="3">
        <v>6.5</v>
      </c>
      <c r="N1014" s="3">
        <f t="shared" si="85"/>
        <v>75.010000000000005</v>
      </c>
      <c r="O1014" s="3">
        <f t="shared" si="86"/>
        <v>149.84</v>
      </c>
      <c r="P1014" s="2"/>
      <c r="Q1014" s="5"/>
    </row>
    <row r="1015" spans="1:17">
      <c r="A1015" s="2">
        <f t="shared" si="82"/>
        <v>20</v>
      </c>
      <c r="B1015" s="2">
        <f t="shared" si="83"/>
        <v>20</v>
      </c>
      <c r="C1015" s="2" t="s">
        <v>2051</v>
      </c>
      <c r="D1015" s="2" t="s">
        <v>2052</v>
      </c>
      <c r="E1015" s="2" t="s">
        <v>2091</v>
      </c>
      <c r="F1015" s="2" t="s">
        <v>2092</v>
      </c>
      <c r="G1015" s="3">
        <v>10</v>
      </c>
      <c r="H1015" s="3">
        <v>62.27</v>
      </c>
      <c r="I1015" s="3">
        <v>4.9000000000000004</v>
      </c>
      <c r="J1015" s="3">
        <f t="shared" si="84"/>
        <v>77.17</v>
      </c>
      <c r="K1015" s="3">
        <v>10</v>
      </c>
      <c r="L1015" s="3">
        <v>56.94</v>
      </c>
      <c r="M1015" s="3">
        <v>4.9000000000000004</v>
      </c>
      <c r="N1015" s="3">
        <f t="shared" si="85"/>
        <v>71.84</v>
      </c>
      <c r="O1015" s="3">
        <f t="shared" si="86"/>
        <v>149.01</v>
      </c>
      <c r="P1015" s="2"/>
      <c r="Q1015" s="5"/>
    </row>
    <row r="1016" spans="1:17">
      <c r="A1016" s="2">
        <f t="shared" si="82"/>
        <v>21</v>
      </c>
      <c r="B1016" s="2">
        <f t="shared" si="83"/>
        <v>21</v>
      </c>
      <c r="C1016" s="2" t="s">
        <v>2051</v>
      </c>
      <c r="D1016" s="2" t="s">
        <v>2052</v>
      </c>
      <c r="E1016" s="2" t="s">
        <v>2093</v>
      </c>
      <c r="F1016" s="2" t="s">
        <v>2094</v>
      </c>
      <c r="G1016" s="3">
        <v>9.4</v>
      </c>
      <c r="H1016" s="3">
        <v>61.33</v>
      </c>
      <c r="I1016" s="3">
        <v>3</v>
      </c>
      <c r="J1016" s="3">
        <f t="shared" si="84"/>
        <v>73.73</v>
      </c>
      <c r="K1016" s="3">
        <v>9.4</v>
      </c>
      <c r="L1016" s="3">
        <v>59.43</v>
      </c>
      <c r="M1016" s="3">
        <v>3.5</v>
      </c>
      <c r="N1016" s="3">
        <f t="shared" si="85"/>
        <v>72.33</v>
      </c>
      <c r="O1016" s="3">
        <f t="shared" si="86"/>
        <v>146.06</v>
      </c>
      <c r="P1016" s="2"/>
      <c r="Q1016" s="5"/>
    </row>
    <row r="1017" spans="1:17">
      <c r="A1017" s="2">
        <f t="shared" si="82"/>
        <v>22</v>
      </c>
      <c r="B1017" s="2">
        <f t="shared" si="83"/>
        <v>22</v>
      </c>
      <c r="C1017" s="2" t="s">
        <v>2051</v>
      </c>
      <c r="D1017" s="2" t="s">
        <v>2052</v>
      </c>
      <c r="E1017" s="2" t="s">
        <v>2095</v>
      </c>
      <c r="F1017" s="2" t="s">
        <v>2096</v>
      </c>
      <c r="G1017" s="3">
        <v>11</v>
      </c>
      <c r="H1017" s="3">
        <v>62.35</v>
      </c>
      <c r="I1017" s="3">
        <v>3</v>
      </c>
      <c r="J1017" s="3">
        <f t="shared" si="84"/>
        <v>76.349999999999994</v>
      </c>
      <c r="K1017" s="3">
        <v>10</v>
      </c>
      <c r="L1017" s="3">
        <v>55.26</v>
      </c>
      <c r="M1017" s="3">
        <v>4.2</v>
      </c>
      <c r="N1017" s="3">
        <f t="shared" si="85"/>
        <v>69.459999999999994</v>
      </c>
      <c r="O1017" s="3">
        <f t="shared" si="86"/>
        <v>145.81</v>
      </c>
      <c r="P1017" s="2"/>
      <c r="Q1017" s="5"/>
    </row>
    <row r="1018" spans="1:17">
      <c r="A1018" s="2">
        <f t="shared" si="82"/>
        <v>23</v>
      </c>
      <c r="B1018" s="2">
        <f t="shared" si="83"/>
        <v>23</v>
      </c>
      <c r="C1018" s="2" t="s">
        <v>2051</v>
      </c>
      <c r="D1018" s="2" t="s">
        <v>2052</v>
      </c>
      <c r="E1018" s="2" t="s">
        <v>2097</v>
      </c>
      <c r="F1018" s="2" t="s">
        <v>2098</v>
      </c>
      <c r="G1018" s="3">
        <v>9.8000000000000007</v>
      </c>
      <c r="H1018" s="3">
        <v>58.8</v>
      </c>
      <c r="I1018" s="3">
        <v>3.7</v>
      </c>
      <c r="J1018" s="3">
        <f t="shared" si="84"/>
        <v>72.3</v>
      </c>
      <c r="K1018" s="3">
        <v>9.8000000000000007</v>
      </c>
      <c r="L1018" s="3">
        <v>57.28</v>
      </c>
      <c r="M1018" s="3">
        <v>4.5</v>
      </c>
      <c r="N1018" s="3">
        <f t="shared" si="85"/>
        <v>71.58</v>
      </c>
      <c r="O1018" s="3">
        <f t="shared" si="86"/>
        <v>143.88</v>
      </c>
      <c r="P1018" s="2"/>
      <c r="Q1018" s="5"/>
    </row>
    <row r="1019" spans="1:17">
      <c r="A1019" s="2">
        <f t="shared" si="82"/>
        <v>24</v>
      </c>
      <c r="B1019" s="2">
        <f t="shared" si="83"/>
        <v>24</v>
      </c>
      <c r="C1019" s="2" t="s">
        <v>2051</v>
      </c>
      <c r="D1019" s="2" t="s">
        <v>2052</v>
      </c>
      <c r="E1019" s="2" t="s">
        <v>2099</v>
      </c>
      <c r="F1019" s="2" t="s">
        <v>2100</v>
      </c>
      <c r="G1019" s="3">
        <v>9.8000000000000007</v>
      </c>
      <c r="H1019" s="3">
        <v>54.34</v>
      </c>
      <c r="I1019" s="3">
        <v>5.2</v>
      </c>
      <c r="J1019" s="3">
        <f t="shared" si="84"/>
        <v>69.34</v>
      </c>
      <c r="K1019" s="3">
        <v>9.8000000000000007</v>
      </c>
      <c r="L1019" s="3">
        <v>57.44</v>
      </c>
      <c r="M1019" s="3">
        <v>6.1</v>
      </c>
      <c r="N1019" s="3">
        <f t="shared" si="85"/>
        <v>73.34</v>
      </c>
      <c r="O1019" s="3">
        <f t="shared" si="86"/>
        <v>142.68</v>
      </c>
      <c r="P1019" s="2"/>
      <c r="Q1019" s="5"/>
    </row>
    <row r="1020" spans="1:17">
      <c r="A1020" s="2">
        <f t="shared" si="82"/>
        <v>25</v>
      </c>
      <c r="B1020" s="2">
        <f t="shared" si="83"/>
        <v>25</v>
      </c>
      <c r="C1020" s="2" t="s">
        <v>2051</v>
      </c>
      <c r="D1020" s="2" t="s">
        <v>2052</v>
      </c>
      <c r="E1020" s="2" t="s">
        <v>2101</v>
      </c>
      <c r="F1020" s="2" t="s">
        <v>2102</v>
      </c>
      <c r="G1020" s="3">
        <v>10</v>
      </c>
      <c r="H1020" s="3">
        <v>55.9</v>
      </c>
      <c r="I1020" s="3">
        <v>4</v>
      </c>
      <c r="J1020" s="3">
        <f t="shared" si="84"/>
        <v>69.900000000000006</v>
      </c>
      <c r="K1020" s="3">
        <v>11</v>
      </c>
      <c r="L1020" s="3">
        <v>57</v>
      </c>
      <c r="M1020" s="3">
        <v>4.3</v>
      </c>
      <c r="N1020" s="3">
        <f t="shared" si="85"/>
        <v>72.3</v>
      </c>
      <c r="O1020" s="3">
        <f t="shared" si="86"/>
        <v>142.19999999999999</v>
      </c>
      <c r="P1020" s="2"/>
      <c r="Q1020" s="5"/>
    </row>
    <row r="1021" spans="1:17">
      <c r="A1021" s="2">
        <f t="shared" si="82"/>
        <v>26</v>
      </c>
      <c r="B1021" s="2">
        <f t="shared" si="83"/>
        <v>26</v>
      </c>
      <c r="C1021" s="2" t="s">
        <v>2051</v>
      </c>
      <c r="D1021" s="2" t="s">
        <v>2052</v>
      </c>
      <c r="E1021" s="2" t="s">
        <v>2103</v>
      </c>
      <c r="F1021" s="2" t="s">
        <v>2104</v>
      </c>
      <c r="G1021" s="3">
        <v>9.8000000000000007</v>
      </c>
      <c r="H1021" s="3">
        <v>57.7</v>
      </c>
      <c r="I1021" s="3">
        <v>3</v>
      </c>
      <c r="J1021" s="3">
        <f t="shared" si="84"/>
        <v>70.5</v>
      </c>
      <c r="K1021" s="3">
        <v>9.8000000000000007</v>
      </c>
      <c r="L1021" s="3">
        <v>54.29</v>
      </c>
      <c r="M1021" s="3">
        <v>3.7</v>
      </c>
      <c r="N1021" s="3">
        <f t="shared" si="85"/>
        <v>67.790000000000006</v>
      </c>
      <c r="O1021" s="3">
        <f t="shared" si="86"/>
        <v>138.29</v>
      </c>
      <c r="P1021" s="2"/>
      <c r="Q1021" s="5"/>
    </row>
    <row r="1022" spans="1:17">
      <c r="A1022" s="2">
        <f t="shared" si="82"/>
        <v>27</v>
      </c>
      <c r="B1022" s="2">
        <f t="shared" si="83"/>
        <v>27</v>
      </c>
      <c r="C1022" s="2" t="s">
        <v>2051</v>
      </c>
      <c r="D1022" s="2" t="s">
        <v>2052</v>
      </c>
      <c r="E1022" s="2" t="s">
        <v>2105</v>
      </c>
      <c r="F1022" s="2" t="s">
        <v>2106</v>
      </c>
      <c r="G1022" s="3">
        <v>9.8000000000000007</v>
      </c>
      <c r="H1022" s="3">
        <v>58.3</v>
      </c>
      <c r="I1022" s="3">
        <v>3</v>
      </c>
      <c r="J1022" s="3">
        <f t="shared" si="84"/>
        <v>71.099999999999994</v>
      </c>
      <c r="K1022" s="3">
        <v>9.8000000000000007</v>
      </c>
      <c r="L1022" s="3">
        <v>50.6</v>
      </c>
      <c r="M1022" s="3">
        <v>3.5</v>
      </c>
      <c r="N1022" s="3">
        <f t="shared" si="85"/>
        <v>63.9</v>
      </c>
      <c r="O1022" s="3">
        <f t="shared" si="86"/>
        <v>135</v>
      </c>
      <c r="P1022" s="2"/>
      <c r="Q1022" s="5"/>
    </row>
    <row r="1023" spans="1:17">
      <c r="A1023" s="2">
        <f t="shared" si="82"/>
        <v>28</v>
      </c>
      <c r="B1023" s="2">
        <f t="shared" si="83"/>
        <v>28</v>
      </c>
      <c r="C1023" s="2" t="s">
        <v>2051</v>
      </c>
      <c r="D1023" s="2" t="s">
        <v>2052</v>
      </c>
      <c r="E1023" s="2" t="s">
        <v>2107</v>
      </c>
      <c r="F1023" s="2" t="s">
        <v>2108</v>
      </c>
      <c r="G1023" s="3">
        <v>9.8000000000000007</v>
      </c>
      <c r="H1023" s="3">
        <v>56.17</v>
      </c>
      <c r="I1023" s="3">
        <v>3</v>
      </c>
      <c r="J1023" s="3">
        <f t="shared" si="84"/>
        <v>68.97</v>
      </c>
      <c r="K1023" s="3">
        <v>9.8000000000000007</v>
      </c>
      <c r="L1023" s="3">
        <v>49.81</v>
      </c>
      <c r="M1023" s="3">
        <v>3</v>
      </c>
      <c r="N1023" s="3">
        <f t="shared" si="85"/>
        <v>62.61</v>
      </c>
      <c r="O1023" s="3">
        <f t="shared" si="86"/>
        <v>131.58000000000001</v>
      </c>
      <c r="P1023" s="2"/>
      <c r="Q1023" s="5"/>
    </row>
    <row r="1024" spans="1:17">
      <c r="A1024" s="2">
        <f t="shared" si="82"/>
        <v>29</v>
      </c>
      <c r="B1024" s="2">
        <f t="shared" si="83"/>
        <v>29</v>
      </c>
      <c r="C1024" s="2" t="s">
        <v>2051</v>
      </c>
      <c r="D1024" s="2" t="s">
        <v>2052</v>
      </c>
      <c r="E1024" s="2" t="s">
        <v>2109</v>
      </c>
      <c r="F1024" s="2" t="s">
        <v>2110</v>
      </c>
      <c r="G1024" s="3">
        <v>10</v>
      </c>
      <c r="H1024" s="3">
        <v>49.17</v>
      </c>
      <c r="I1024" s="3">
        <v>4.5999999999999996</v>
      </c>
      <c r="J1024" s="3">
        <f t="shared" si="84"/>
        <v>63.77</v>
      </c>
      <c r="K1024" s="3">
        <v>10</v>
      </c>
      <c r="L1024" s="3">
        <v>49.1</v>
      </c>
      <c r="M1024" s="3">
        <v>4.2</v>
      </c>
      <c r="N1024" s="3">
        <f t="shared" si="85"/>
        <v>63.3</v>
      </c>
      <c r="O1024" s="3">
        <f t="shared" si="86"/>
        <v>127.07</v>
      </c>
      <c r="P1024" s="2"/>
      <c r="Q1024" s="5"/>
    </row>
    <row r="1025" spans="1:17">
      <c r="A1025" s="2">
        <f t="shared" si="82"/>
        <v>30</v>
      </c>
      <c r="B1025" s="2">
        <f t="shared" si="83"/>
        <v>30</v>
      </c>
      <c r="C1025" s="2" t="s">
        <v>2051</v>
      </c>
      <c r="D1025" s="2" t="s">
        <v>2052</v>
      </c>
      <c r="E1025" s="2" t="s">
        <v>2111</v>
      </c>
      <c r="F1025" s="2" t="s">
        <v>2112</v>
      </c>
      <c r="G1025" s="3">
        <v>9.4</v>
      </c>
      <c r="H1025" s="3">
        <v>55.8</v>
      </c>
      <c r="I1025" s="3">
        <v>3</v>
      </c>
      <c r="J1025" s="3">
        <f t="shared" si="84"/>
        <v>68.2</v>
      </c>
      <c r="K1025" s="3">
        <v>7.3</v>
      </c>
      <c r="L1025" s="3">
        <v>46.35</v>
      </c>
      <c r="M1025" s="3">
        <v>3</v>
      </c>
      <c r="N1025" s="3">
        <f t="shared" si="85"/>
        <v>56.65</v>
      </c>
      <c r="O1025" s="3">
        <f t="shared" si="86"/>
        <v>124.85</v>
      </c>
      <c r="P1025" s="2"/>
      <c r="Q1025" s="5"/>
    </row>
  </sheetData>
  <autoFilter ref="A2:Q1025" xr:uid="{00000000-0009-0000-0000-000000000000}"/>
  <mergeCells count="11">
    <mergeCell ref="A1:A2"/>
    <mergeCell ref="P1:P2"/>
    <mergeCell ref="Q1:Q2"/>
    <mergeCell ref="K1:N1"/>
    <mergeCell ref="C1:C2"/>
    <mergeCell ref="B1:B2"/>
    <mergeCell ref="D1:D2"/>
    <mergeCell ref="E1:E2"/>
    <mergeCell ref="F1:F2"/>
    <mergeCell ref="G1:J1"/>
    <mergeCell ref="O1:O2"/>
  </mergeCells>
  <pageMargins left="0.75" right="0.75" top="1" bottom="1" header="0.5" footer="0.5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42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2" width="6" customWidth="1"/>
    <col min="3" max="3" width="7" customWidth="1"/>
    <col min="4" max="5" width="11" customWidth="1"/>
    <col min="6" max="6" width="9" customWidth="1"/>
    <col min="7" max="9" width="7.5" customWidth="1"/>
    <col min="10" max="10" width="8" customWidth="1"/>
    <col min="11" max="13" width="7.5" customWidth="1"/>
    <col min="14" max="14" width="8" customWidth="1"/>
    <col min="15" max="15" width="9" customWidth="1"/>
    <col min="16" max="16" width="18" customWidth="1"/>
    <col min="17" max="17" width="22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/>
      <c r="I1" s="8"/>
      <c r="J1" s="8"/>
      <c r="K1" s="8" t="s">
        <v>7</v>
      </c>
      <c r="L1" s="8"/>
      <c r="M1" s="8"/>
      <c r="N1" s="8"/>
      <c r="O1" s="8" t="s">
        <v>8</v>
      </c>
      <c r="P1" s="8" t="s">
        <v>9</v>
      </c>
      <c r="Q1" s="8" t="s">
        <v>10</v>
      </c>
    </row>
    <row r="2" spans="1:17" ht="28" customHeight="1">
      <c r="A2" s="8"/>
      <c r="B2" s="8"/>
      <c r="C2" s="8"/>
      <c r="D2" s="8"/>
      <c r="E2" s="8"/>
      <c r="F2" s="8"/>
      <c r="G2" s="1" t="s">
        <v>11</v>
      </c>
      <c r="H2" s="1" t="s">
        <v>12</v>
      </c>
      <c r="I2" s="1" t="s">
        <v>13</v>
      </c>
      <c r="J2" s="1" t="s">
        <v>14</v>
      </c>
      <c r="K2" s="1" t="s">
        <v>11</v>
      </c>
      <c r="L2" s="1" t="s">
        <v>12</v>
      </c>
      <c r="M2" s="1" t="s">
        <v>13</v>
      </c>
      <c r="N2" s="1" t="s">
        <v>14</v>
      </c>
      <c r="O2" s="8"/>
      <c r="P2" s="8"/>
      <c r="Q2" s="8"/>
    </row>
    <row r="3" spans="1:17">
      <c r="A3" s="2">
        <f>IF(INDEX(学年度总表!$A$3:$A$1025,MATCH($E3,学年度总表!$E$3:$E$1025,0))="","",INDEX(学年度总表!$A$3:$A$1025,MATCH($E3,学年度总表!$E$3:$E$1025,0)))</f>
        <v>3</v>
      </c>
      <c r="B3" s="2">
        <f>IF(INDEX(学年度总表!$B$3:$B$1025,MATCH($E3,学年度总表!$E$3:$E$1025,0))="","",INDEX(学年度总表!$B$3:$B$1025,MATCH($E3,学年度总表!$E$3:$E$1025,0)))</f>
        <v>1</v>
      </c>
      <c r="C3" s="2" t="str">
        <f>IF(INDEX(学年度总表!$C$3:$C$1025,MATCH($E3,学年度总表!$E$3:$E$1025,0))="","",INDEX(学年度总表!$C$3:$C$1025,MATCH($E3,学年度总表!$E$3:$E$1025,0)))</f>
        <v>计科</v>
      </c>
      <c r="D3" s="2" t="str">
        <f>IF(INDEX(学年度总表!$D$3:$D$1025,MATCH($E3,学年度总表!$E$3:$E$1025,0))="","",INDEX(学年度总表!$D$3:$D$1025,MATCH($E3,学年度总表!$E$3:$E$1025,0)))</f>
        <v>计科二班</v>
      </c>
      <c r="E3" s="2" t="s">
        <v>26</v>
      </c>
      <c r="F3" s="2" t="str">
        <f>IF(INDEX(学年度总表!$F$3:$F$1025,MATCH($E3,学年度总表!$E$3:$E$1025,0))="","",INDEX(学年度总表!$F$3:$F$1025,MATCH($E3,学年度总表!$E$3:$E$1025,0)))</f>
        <v>薛继来</v>
      </c>
      <c r="G3" s="3">
        <f>IF(INDEX(学年度总表!$G$3:$G$1025,MATCH($E3,学年度总表!$E$3:$E$1025,0))="","",INDEX(学年度总表!$G$3:$G$1025,MATCH($E3,学年度总表!$E$3:$E$1025,0)))</f>
        <v>10.8</v>
      </c>
      <c r="H3" s="3">
        <f>IF(INDEX(学年度总表!$H$3:$H$1025,MATCH($E3,学年度总表!$E$3:$E$1025,0))="","",INDEX(学年度总表!$H$3:$H$1025,MATCH($E3,学年度总表!$E$3:$E$1025,0)))</f>
        <v>73.066666666666706</v>
      </c>
      <c r="I3" s="3">
        <f>IF(INDEX(学年度总表!$I$3:$I$1025,MATCH($E3,学年度总表!$E$3:$E$1025,0))="","",INDEX(学年度总表!$I$3:$I$1025,MATCH($E3,学年度总表!$E$3:$E$1025,0)))</f>
        <v>4.2</v>
      </c>
      <c r="J3" s="3">
        <f>IF(INDEX(学年度总表!$J$3:$J$1025,MATCH($E3,学年度总表!$E$3:$E$1025,0))="","",INDEX(学年度总表!$J$3:$J$1025,MATCH($E3,学年度总表!$E$3:$E$1025,0)))</f>
        <v>88.07</v>
      </c>
      <c r="K3" s="3">
        <f>IF(INDEX(学年度总表!$K$3:$K$1025,MATCH($E3,学年度总表!$E$3:$E$1025,0))="","",INDEX(学年度总表!$K$3:$K$1025,MATCH($E3,学年度总表!$E$3:$E$1025,0)))</f>
        <v>10.8</v>
      </c>
      <c r="L3" s="3">
        <f>IF(INDEX(学年度总表!$L$3:$L$1025,MATCH($E3,学年度总表!$E$3:$E$1025,0))="","",INDEX(学年度总表!$L$3:$L$1025,MATCH($E3,学年度总表!$E$3:$E$1025,0)))</f>
        <v>74.710000000000008</v>
      </c>
      <c r="M3" s="3">
        <f>IF(INDEX(学年度总表!$M$3:$M$1025,MATCH($E3,学年度总表!$E$3:$E$1025,0))="","",INDEX(学年度总表!$M$3:$M$1025,MATCH($E3,学年度总表!$E$3:$E$1025,0)))</f>
        <v>5.7</v>
      </c>
      <c r="N3" s="3">
        <f>IF(INDEX(学年度总表!$N$3:$N$1025,MATCH($E3,学年度总表!$E$3:$E$1025,0))="","",INDEX(学年度总表!$N$3:$N$1025,MATCH($E3,学年度总表!$E$3:$E$1025,0)))</f>
        <v>91.21</v>
      </c>
      <c r="O3" s="3">
        <f>IF(INDEX(学年度总表!$O$3:$O$1025,MATCH($E3,学年度总表!$E$3:$E$1025,0))="","",INDEX(学年度总表!$O$3:$O$1025,MATCH($E3,学年度总表!$E$3:$E$1025,0)))</f>
        <v>179.28</v>
      </c>
      <c r="P3" s="4" t="str">
        <f>IF(INDEX(学年度总表!$P$3:$P$1025,MATCH($E3,学年度总表!$E$3:$E$1025,0))="","",INDEX(学年度总表!$P$3:$P$1025,MATCH($E3,学年度总表!$E$3:$E$1025,0)))</f>
        <v>省奖</v>
      </c>
      <c r="Q3" s="5" t="str">
        <f>IF(INDEX(学年度总表!$Q$3:$Q$1025,MATCH($E3,学年度总表!$E$3:$E$1025,0))="","",INDEX(学年度总表!$Q$3:$Q$1025,MATCH($E3,学年度总表!$E$3:$E$1025,0)))</f>
        <v/>
      </c>
    </row>
    <row r="4" spans="1:17">
      <c r="A4" s="2">
        <f>IF(INDEX(学年度总表!$A$3:$A$1025,MATCH($E4,学年度总表!$E$3:$E$1025,0))="","",INDEX(学年度总表!$A$3:$A$1025,MATCH($E4,学年度总表!$E$3:$E$1025,0)))</f>
        <v>10</v>
      </c>
      <c r="B4" s="2">
        <f>IF(INDEX(学年度总表!$B$3:$B$1025,MATCH($E4,学年度总表!$E$3:$E$1025,0))="","",INDEX(学年度总表!$B$3:$B$1025,MATCH($E4,学年度总表!$E$3:$E$1025,0)))</f>
        <v>2</v>
      </c>
      <c r="C4" s="2" t="str">
        <f>IF(INDEX(学年度总表!$C$3:$C$1025,MATCH($E4,学年度总表!$E$3:$E$1025,0))="","",INDEX(学年度总表!$C$3:$C$1025,MATCH($E4,学年度总表!$E$3:$E$1025,0)))</f>
        <v>计科</v>
      </c>
      <c r="D4" s="2" t="str">
        <f>IF(INDEX(学年度总表!$D$3:$D$1025,MATCH($E4,学年度总表!$E$3:$E$1025,0))="","",INDEX(学年度总表!$D$3:$D$1025,MATCH($E4,学年度总表!$E$3:$E$1025,0)))</f>
        <v>计科一班</v>
      </c>
      <c r="E4" s="2" t="s">
        <v>50</v>
      </c>
      <c r="F4" s="2" t="str">
        <f>IF(INDEX(学年度总表!$F$3:$F$1025,MATCH($E4,学年度总表!$E$3:$E$1025,0))="","",INDEX(学年度总表!$F$3:$F$1025,MATCH($E4,学年度总表!$E$3:$E$1025,0)))</f>
        <v>胡天淼</v>
      </c>
      <c r="G4" s="3">
        <f>IF(INDEX(学年度总表!$G$3:$G$1025,MATCH($E4,学年度总表!$E$3:$E$1025,0))="","",INDEX(学年度总表!$G$3:$G$1025,MATCH($E4,学年度总表!$E$3:$E$1025,0)))</f>
        <v>12</v>
      </c>
      <c r="H4" s="3">
        <f>IF(INDEX(学年度总表!$H$3:$H$1025,MATCH($E4,学年度总表!$E$3:$E$1025,0))="","",INDEX(学年度总表!$H$3:$H$1025,MATCH($E4,学年度总表!$E$3:$E$1025,0)))</f>
        <v>69.304878048780495</v>
      </c>
      <c r="I4" s="3">
        <f>IF(INDEX(学年度总表!$I$3:$I$1025,MATCH($E4,学年度总表!$E$3:$E$1025,0))="","",INDEX(学年度总表!$I$3:$I$1025,MATCH($E4,学年度总表!$E$3:$E$1025,0)))</f>
        <v>3.6</v>
      </c>
      <c r="J4" s="3">
        <f>IF(INDEX(学年度总表!$J$3:$J$1025,MATCH($E4,学年度总表!$E$3:$E$1025,0))="","",INDEX(学年度总表!$J$3:$J$1025,MATCH($E4,学年度总表!$E$3:$E$1025,0)))</f>
        <v>84.9</v>
      </c>
      <c r="K4" s="3">
        <f>IF(INDEX(学年度总表!$K$3:$K$1025,MATCH($E4,学年度总表!$E$3:$E$1025,0))="","",INDEX(学年度总表!$K$3:$K$1025,MATCH($E4,学年度总表!$E$3:$E$1025,0)))</f>
        <v>12</v>
      </c>
      <c r="L4" s="3">
        <f>IF(INDEX(学年度总表!$L$3:$L$1025,MATCH($E4,学年度总表!$E$3:$E$1025,0))="","",INDEX(学年度总表!$L$3:$L$1025,MATCH($E4,学年度总表!$E$3:$E$1025,0)))</f>
        <v>70.13</v>
      </c>
      <c r="M4" s="3">
        <f>IF(INDEX(学年度总表!$M$3:$M$1025,MATCH($E4,学年度总表!$E$3:$E$1025,0))="","",INDEX(学年度总表!$M$3:$M$1025,MATCH($E4,学年度总表!$E$3:$E$1025,0)))</f>
        <v>4.3</v>
      </c>
      <c r="N4" s="3">
        <f>IF(INDEX(学年度总表!$N$3:$N$1025,MATCH($E4,学年度总表!$E$3:$E$1025,0))="","",INDEX(学年度总表!$N$3:$N$1025,MATCH($E4,学年度总表!$E$3:$E$1025,0)))</f>
        <v>86.43</v>
      </c>
      <c r="O4" s="3">
        <f>IF(INDEX(学年度总表!$O$3:$O$1025,MATCH($E4,学年度总表!$E$3:$E$1025,0))="","",INDEX(学年度总表!$O$3:$O$1025,MATCH($E4,学年度总表!$E$3:$E$1025,0)))</f>
        <v>171.33</v>
      </c>
      <c r="P4" s="4" t="str">
        <f>IF(INDEX(学年度总表!$P$3:$P$1025,MATCH($E4,学年度总表!$E$3:$E$1025,0))="","",INDEX(学年度总表!$P$3:$P$1025,MATCH($E4,学年度总表!$E$3:$E$1025,0)))</f>
        <v>校一等</v>
      </c>
      <c r="Q4" s="5" t="str">
        <f>IF(INDEX(学年度总表!$Q$3:$Q$1025,MATCH($E4,学年度总表!$E$3:$E$1025,0))="","",INDEX(学年度总表!$Q$3:$Q$1025,MATCH($E4,学年度总表!$E$3:$E$1025,0)))</f>
        <v/>
      </c>
    </row>
    <row r="5" spans="1:17">
      <c r="A5" s="2">
        <f>IF(INDEX(学年度总表!$A$3:$A$1025,MATCH($E5,学年度总表!$E$3:$E$1025,0))="","",INDEX(学年度总表!$A$3:$A$1025,MATCH($E5,学年度总表!$E$3:$E$1025,0)))</f>
        <v>11</v>
      </c>
      <c r="B5" s="2">
        <f>IF(INDEX(学年度总表!$B$3:$B$1025,MATCH($E5,学年度总表!$E$3:$E$1025,0))="","",INDEX(学年度总表!$B$3:$B$1025,MATCH($E5,学年度总表!$E$3:$E$1025,0)))</f>
        <v>3</v>
      </c>
      <c r="C5" s="2" t="str">
        <f>IF(INDEX(学年度总表!$C$3:$C$1025,MATCH($E5,学年度总表!$E$3:$E$1025,0))="","",INDEX(学年度总表!$C$3:$C$1025,MATCH($E5,学年度总表!$E$3:$E$1025,0)))</f>
        <v>计科</v>
      </c>
      <c r="D5" s="2" t="str">
        <f>IF(INDEX(学年度总表!$D$3:$D$1025,MATCH($E5,学年度总表!$E$3:$E$1025,0))="","",INDEX(学年度总表!$D$3:$D$1025,MATCH($E5,学年度总表!$E$3:$E$1025,0)))</f>
        <v>计科一班</v>
      </c>
      <c r="E5" s="2" t="s">
        <v>52</v>
      </c>
      <c r="F5" s="2" t="str">
        <f>IF(INDEX(学年度总表!$F$3:$F$1025,MATCH($E5,学年度总表!$E$3:$E$1025,0))="","",INDEX(学年度总表!$F$3:$F$1025,MATCH($E5,学年度总表!$E$3:$E$1025,0)))</f>
        <v>佟奕辰</v>
      </c>
      <c r="G5" s="3">
        <f>IF(INDEX(学年度总表!$G$3:$G$1025,MATCH($E5,学年度总表!$E$3:$E$1025,0))="","",INDEX(学年度总表!$G$3:$G$1025,MATCH($E5,学年度总表!$E$3:$E$1025,0)))</f>
        <v>10.3</v>
      </c>
      <c r="H5" s="3">
        <f>IF(INDEX(学年度总表!$H$3:$H$1025,MATCH($E5,学年度总表!$E$3:$E$1025,0))="","",INDEX(学年度总表!$H$3:$H$1025,MATCH($E5,学年度总表!$E$3:$E$1025,0)))</f>
        <v>67.902439024390205</v>
      </c>
      <c r="I5" s="3">
        <f>IF(INDEX(学年度总表!$I$3:$I$1025,MATCH($E5,学年度总表!$E$3:$E$1025,0))="","",INDEX(学年度总表!$I$3:$I$1025,MATCH($E5,学年度总表!$E$3:$E$1025,0)))</f>
        <v>4.7</v>
      </c>
      <c r="J5" s="3">
        <f>IF(INDEX(学年度总表!$J$3:$J$1025,MATCH($E5,学年度总表!$E$3:$E$1025,0))="","",INDEX(学年度总表!$J$3:$J$1025,MATCH($E5,学年度总表!$E$3:$E$1025,0)))</f>
        <v>82.9</v>
      </c>
      <c r="K5" s="3">
        <f>IF(INDEX(学年度总表!$K$3:$K$1025,MATCH($E5,学年度总表!$E$3:$E$1025,0))="","",INDEX(学年度总表!$K$3:$K$1025,MATCH($E5,学年度总表!$E$3:$E$1025,0)))</f>
        <v>11.3</v>
      </c>
      <c r="L5" s="3">
        <f>IF(INDEX(学年度总表!$L$3:$L$1025,MATCH($E5,学年度总表!$E$3:$E$1025,0))="","",INDEX(学年度总表!$L$3:$L$1025,MATCH($E5,学年度总表!$E$3:$E$1025,0)))</f>
        <v>70.650000000000006</v>
      </c>
      <c r="M5" s="3">
        <f>IF(INDEX(学年度总表!$M$3:$M$1025,MATCH($E5,学年度总表!$E$3:$E$1025,0))="","",INDEX(学年度总表!$M$3:$M$1025,MATCH($E5,学年度总表!$E$3:$E$1025,0)))</f>
        <v>6.4</v>
      </c>
      <c r="N5" s="3">
        <f>IF(INDEX(学年度总表!$N$3:$N$1025,MATCH($E5,学年度总表!$E$3:$E$1025,0))="","",INDEX(学年度总表!$N$3:$N$1025,MATCH($E5,学年度总表!$E$3:$E$1025,0)))</f>
        <v>88.35</v>
      </c>
      <c r="O5" s="3">
        <f>IF(INDEX(学年度总表!$O$3:$O$1025,MATCH($E5,学年度总表!$E$3:$E$1025,0))="","",INDEX(学年度总表!$O$3:$O$1025,MATCH($E5,学年度总表!$E$3:$E$1025,0)))</f>
        <v>171.25</v>
      </c>
      <c r="P5" s="4" t="str">
        <f>IF(INDEX(学年度总表!$P$3:$P$1025,MATCH($E5,学年度总表!$E$3:$E$1025,0))="","",INDEX(学年度总表!$P$3:$P$1025,MATCH($E5,学年度总表!$E$3:$E$1025,0)))</f>
        <v>校一等</v>
      </c>
      <c r="Q5" s="5" t="str">
        <f>IF(INDEX(学年度总表!$Q$3:$Q$1025,MATCH($E5,学年度总表!$E$3:$E$1025,0))="","",INDEX(学年度总表!$Q$3:$Q$1025,MATCH($E5,学年度总表!$E$3:$E$1025,0)))</f>
        <v/>
      </c>
    </row>
    <row r="6" spans="1:17">
      <c r="A6" s="2">
        <f>IF(INDEX(学年度总表!$A$3:$A$1025,MATCH($E6,学年度总表!$E$3:$E$1025,0))="","",INDEX(学年度总表!$A$3:$A$1025,MATCH($E6,学年度总表!$E$3:$E$1025,0)))</f>
        <v>13</v>
      </c>
      <c r="B6" s="2">
        <f>IF(INDEX(学年度总表!$B$3:$B$1025,MATCH($E6,学年度总表!$E$3:$E$1025,0))="","",INDEX(学年度总表!$B$3:$B$1025,MATCH($E6,学年度总表!$E$3:$E$1025,0)))</f>
        <v>4</v>
      </c>
      <c r="C6" s="2" t="str">
        <f>IF(INDEX(学年度总表!$C$3:$C$1025,MATCH($E6,学年度总表!$E$3:$E$1025,0))="","",INDEX(学年度总表!$C$3:$C$1025,MATCH($E6,学年度总表!$E$3:$E$1025,0)))</f>
        <v>计科</v>
      </c>
      <c r="D6" s="2" t="str">
        <f>IF(INDEX(学年度总表!$D$3:$D$1025,MATCH($E6,学年度总表!$E$3:$E$1025,0))="","",INDEX(学年度总表!$D$3:$D$1025,MATCH($E6,学年度总表!$E$3:$E$1025,0)))</f>
        <v>计科四班</v>
      </c>
      <c r="E6" s="2" t="s">
        <v>59</v>
      </c>
      <c r="F6" s="2" t="str">
        <f>IF(INDEX(学年度总表!$F$3:$F$1025,MATCH($E6,学年度总表!$E$3:$E$1025,0))="","",INDEX(学年度总表!$F$3:$F$1025,MATCH($E6,学年度总表!$E$3:$E$1025,0)))</f>
        <v>迟钰莹</v>
      </c>
      <c r="G6" s="3">
        <f>IF(INDEX(学年度总表!$G$3:$G$1025,MATCH($E6,学年度总表!$E$3:$E$1025,0))="","",INDEX(学年度总表!$G$3:$G$1025,MATCH($E6,学年度总表!$E$3:$E$1025,0)))</f>
        <v>10.8</v>
      </c>
      <c r="H6" s="3">
        <f>IF(INDEX(学年度总表!$H$3:$H$1025,MATCH($E6,学年度总表!$E$3:$E$1025,0))="","",INDEX(学年度总表!$H$3:$H$1025,MATCH($E6,学年度总表!$E$3:$E$1025,0)))</f>
        <v>67.633333333333297</v>
      </c>
      <c r="I6" s="3">
        <f>IF(INDEX(学年度总表!$I$3:$I$1025,MATCH($E6,学年度总表!$E$3:$E$1025,0))="","",INDEX(学年度总表!$I$3:$I$1025,MATCH($E6,学年度总表!$E$3:$E$1025,0)))</f>
        <v>5.5</v>
      </c>
      <c r="J6" s="3">
        <f>IF(INDEX(学年度总表!$J$3:$J$1025,MATCH($E6,学年度总表!$E$3:$E$1025,0))="","",INDEX(学年度总表!$J$3:$J$1025,MATCH($E6,学年度总表!$E$3:$E$1025,0)))</f>
        <v>83.93</v>
      </c>
      <c r="K6" s="3">
        <f>IF(INDEX(学年度总表!$K$3:$K$1025,MATCH($E6,学年度总表!$E$3:$E$1025,0))="","",INDEX(学年度总表!$K$3:$K$1025,MATCH($E6,学年度总表!$E$3:$E$1025,0)))</f>
        <v>10</v>
      </c>
      <c r="L6" s="3">
        <f>IF(INDEX(学年度总表!$L$3:$L$1025,MATCH($E6,学年度总表!$E$3:$E$1025,0))="","",INDEX(学年度总表!$L$3:$L$1025,MATCH($E6,学年度总表!$E$3:$E$1025,0)))</f>
        <v>71.75</v>
      </c>
      <c r="M6" s="3">
        <f>IF(INDEX(学年度总表!$M$3:$M$1025,MATCH($E6,学年度总表!$E$3:$E$1025,0))="","",INDEX(学年度总表!$M$3:$M$1025,MATCH($E6,学年度总表!$E$3:$E$1025,0)))</f>
        <v>5.4</v>
      </c>
      <c r="N6" s="3">
        <f>IF(INDEX(学年度总表!$N$3:$N$1025,MATCH($E6,学年度总表!$E$3:$E$1025,0))="","",INDEX(学年度总表!$N$3:$N$1025,MATCH($E6,学年度总表!$E$3:$E$1025,0)))</f>
        <v>87.15</v>
      </c>
      <c r="O6" s="3">
        <f>IF(INDEX(学年度总表!$O$3:$O$1025,MATCH($E6,学年度总表!$E$3:$E$1025,0))="","",INDEX(学年度总表!$O$3:$O$1025,MATCH($E6,学年度总表!$E$3:$E$1025,0)))</f>
        <v>171.08</v>
      </c>
      <c r="P6" s="4" t="str">
        <f>IF(INDEX(学年度总表!$P$3:$P$1025,MATCH($E6,学年度总表!$E$3:$E$1025,0))="","",INDEX(学年度总表!$P$3:$P$1025,MATCH($E6,学年度总表!$E$3:$E$1025,0)))</f>
        <v>校一等</v>
      </c>
      <c r="Q6" s="5" t="str">
        <f>IF(INDEX(学年度总表!$Q$3:$Q$1025,MATCH($E6,学年度总表!$E$3:$E$1025,0))="","",INDEX(学年度总表!$Q$3:$Q$1025,MATCH($E6,学年度总表!$E$3:$E$1025,0)))</f>
        <v/>
      </c>
    </row>
    <row r="7" spans="1:17">
      <c r="A7" s="2">
        <f>IF(INDEX(学年度总表!$A$3:$A$1025,MATCH($E7,学年度总表!$E$3:$E$1025,0))="","",INDEX(学年度总表!$A$3:$A$1025,MATCH($E7,学年度总表!$E$3:$E$1025,0)))</f>
        <v>20</v>
      </c>
      <c r="B7" s="2">
        <f>IF(INDEX(学年度总表!$B$3:$B$1025,MATCH($E7,学年度总表!$E$3:$E$1025,0))="","",INDEX(学年度总表!$B$3:$B$1025,MATCH($E7,学年度总表!$E$3:$E$1025,0)))</f>
        <v>5</v>
      </c>
      <c r="C7" s="2" t="str">
        <f>IF(INDEX(学年度总表!$C$3:$C$1025,MATCH($E7,学年度总表!$E$3:$E$1025,0))="","",INDEX(学年度总表!$C$3:$C$1025,MATCH($E7,学年度总表!$E$3:$E$1025,0)))</f>
        <v>计科</v>
      </c>
      <c r="D7" s="2" t="str">
        <f>IF(INDEX(学年度总表!$D$3:$D$1025,MATCH($E7,学年度总表!$E$3:$E$1025,0))="","",INDEX(学年度总表!$D$3:$D$1025,MATCH($E7,学年度总表!$E$3:$E$1025,0)))</f>
        <v>计科三班</v>
      </c>
      <c r="E7" s="2" t="s">
        <v>77</v>
      </c>
      <c r="F7" s="2" t="str">
        <f>IF(INDEX(学年度总表!$F$3:$F$1025,MATCH($E7,学年度总表!$E$3:$E$1025,0))="","",INDEX(学年度总表!$F$3:$F$1025,MATCH($E7,学年度总表!$E$3:$E$1025,0)))</f>
        <v>程俊杰</v>
      </c>
      <c r="G7" s="3">
        <f>IF(INDEX(学年度总表!$G$3:$G$1025,MATCH($E7,学年度总表!$E$3:$E$1025,0))="","",INDEX(学年度总表!$G$3:$G$1025,MATCH($E7,学年度总表!$E$3:$E$1025,0)))</f>
        <v>9.8000000000000007</v>
      </c>
      <c r="H7" s="3">
        <f>IF(INDEX(学年度总表!$H$3:$H$1025,MATCH($E7,学年度总表!$E$3:$E$1025,0))="","",INDEX(学年度总表!$H$3:$H$1025,MATCH($E7,学年度总表!$E$3:$E$1025,0)))</f>
        <v>71.232558139534902</v>
      </c>
      <c r="I7" s="3">
        <f>IF(INDEX(学年度总表!$I$3:$I$1025,MATCH($E7,学年度总表!$E$3:$E$1025,0))="","",INDEX(学年度总表!$I$3:$I$1025,MATCH($E7,学年度总表!$E$3:$E$1025,0)))</f>
        <v>5.2</v>
      </c>
      <c r="J7" s="3">
        <f>IF(INDEX(学年度总表!$J$3:$J$1025,MATCH($E7,学年度总表!$E$3:$E$1025,0))="","",INDEX(学年度总表!$J$3:$J$1025,MATCH($E7,学年度总表!$E$3:$E$1025,0)))</f>
        <v>86.23</v>
      </c>
      <c r="K7" s="3">
        <f>IF(INDEX(学年度总表!$K$3:$K$1025,MATCH($E7,学年度总表!$E$3:$E$1025,0))="","",INDEX(学年度总表!$K$3:$K$1025,MATCH($E7,学年度总表!$E$3:$E$1025,0)))</f>
        <v>9</v>
      </c>
      <c r="L7" s="3">
        <f>IF(INDEX(学年度总表!$L$3:$L$1025,MATCH($E7,学年度总表!$E$3:$E$1025,0))="","",INDEX(学年度总表!$L$3:$L$1025,MATCH($E7,学年度总表!$E$3:$E$1025,0)))</f>
        <v>68.5</v>
      </c>
      <c r="M7" s="3">
        <f>IF(INDEX(学年度总表!$M$3:$M$1025,MATCH($E7,学年度总表!$E$3:$E$1025,0))="","",INDEX(学年度总表!$M$3:$M$1025,MATCH($E7,学年度总表!$E$3:$E$1025,0)))</f>
        <v>5.2</v>
      </c>
      <c r="N7" s="3">
        <f>IF(INDEX(学年度总表!$N$3:$N$1025,MATCH($E7,学年度总表!$E$3:$E$1025,0))="","",INDEX(学年度总表!$N$3:$N$1025,MATCH($E7,学年度总表!$E$3:$E$1025,0)))</f>
        <v>82.7</v>
      </c>
      <c r="O7" s="3">
        <f>IF(INDEX(学年度总表!$O$3:$O$1025,MATCH($E7,学年度总表!$E$3:$E$1025,0))="","",INDEX(学年度总表!$O$3:$O$1025,MATCH($E7,学年度总表!$E$3:$E$1025,0)))</f>
        <v>168.93</v>
      </c>
      <c r="P7" s="4" t="str">
        <f>IF(INDEX(学年度总表!$P$3:$P$1025,MATCH($E7,学年度总表!$E$3:$E$1025,0))="","",INDEX(学年度总表!$P$3:$P$1025,MATCH($E7,学年度总表!$E$3:$E$1025,0)))</f>
        <v>校二等</v>
      </c>
      <c r="Q7" s="5" t="str">
        <f>IF(INDEX(学年度总表!$Q$3:$Q$1025,MATCH($E7,学年度总表!$E$3:$E$1025,0))="","",INDEX(学年度总表!$Q$3:$Q$1025,MATCH($E7,学年度总表!$E$3:$E$1025,0)))</f>
        <v/>
      </c>
    </row>
    <row r="8" spans="1:17">
      <c r="A8" s="2">
        <f>IF(INDEX(学年度总表!$A$3:$A$1025,MATCH($E8,学年度总表!$E$3:$E$1025,0))="","",INDEX(学年度总表!$A$3:$A$1025,MATCH($E8,学年度总表!$E$3:$E$1025,0)))</f>
        <v>26</v>
      </c>
      <c r="B8" s="2">
        <f>IF(INDEX(学年度总表!$B$3:$B$1025,MATCH($E8,学年度总表!$E$3:$E$1025,0))="","",INDEX(学年度总表!$B$3:$B$1025,MATCH($E8,学年度总表!$E$3:$E$1025,0)))</f>
        <v>6</v>
      </c>
      <c r="C8" s="2" t="str">
        <f>IF(INDEX(学年度总表!$C$3:$C$1025,MATCH($E8,学年度总表!$E$3:$E$1025,0))="","",INDEX(学年度总表!$C$3:$C$1025,MATCH($E8,学年度总表!$E$3:$E$1025,0)))</f>
        <v>计科</v>
      </c>
      <c r="D8" s="2" t="str">
        <f>IF(INDEX(学年度总表!$D$3:$D$1025,MATCH($E8,学年度总表!$E$3:$E$1025,0))="","",INDEX(学年度总表!$D$3:$D$1025,MATCH($E8,学年度总表!$E$3:$E$1025,0)))</f>
        <v>计科二班</v>
      </c>
      <c r="E8" s="2" t="s">
        <v>92</v>
      </c>
      <c r="F8" s="2" t="str">
        <f>IF(INDEX(学年度总表!$F$3:$F$1025,MATCH($E8,学年度总表!$E$3:$E$1025,0))="","",INDEX(学年度总表!$F$3:$F$1025,MATCH($E8,学年度总表!$E$3:$E$1025,0)))</f>
        <v>郭子萌</v>
      </c>
      <c r="G8" s="3">
        <f>IF(INDEX(学年度总表!$G$3:$G$1025,MATCH($E8,学年度总表!$E$3:$E$1025,0))="","",INDEX(学年度总表!$G$3:$G$1025,MATCH($E8,学年度总表!$E$3:$E$1025,0)))</f>
        <v>9.8000000000000007</v>
      </c>
      <c r="H8" s="3">
        <f>IF(INDEX(学年度总表!$H$3:$H$1025,MATCH($E8,学年度总表!$E$3:$E$1025,0))="","",INDEX(学年度总表!$H$3:$H$1025,MATCH($E8,学年度总表!$E$3:$E$1025,0)))</f>
        <v>68.573170731707293</v>
      </c>
      <c r="I8" s="3">
        <f>IF(INDEX(学年度总表!$I$3:$I$1025,MATCH($E8,学年度总表!$E$3:$E$1025,0))="","",INDEX(学年度总表!$I$3:$I$1025,MATCH($E8,学年度总表!$E$3:$E$1025,0)))</f>
        <v>4.2</v>
      </c>
      <c r="J8" s="3">
        <f>IF(INDEX(学年度总表!$J$3:$J$1025,MATCH($E8,学年度总表!$E$3:$E$1025,0))="","",INDEX(学年度总表!$J$3:$J$1025,MATCH($E8,学年度总表!$E$3:$E$1025,0)))</f>
        <v>82.57</v>
      </c>
      <c r="K8" s="3">
        <f>IF(INDEX(学年度总表!$K$3:$K$1025,MATCH($E8,学年度总表!$E$3:$E$1025,0))="","",INDEX(学年度总表!$K$3:$K$1025,MATCH($E8,学年度总表!$E$3:$E$1025,0)))</f>
        <v>9.8000000000000007</v>
      </c>
      <c r="L8" s="3">
        <f>IF(INDEX(学年度总表!$L$3:$L$1025,MATCH($E8,学年度总表!$E$3:$E$1025,0))="","",INDEX(学年度总表!$L$3:$L$1025,MATCH($E8,学年度总表!$E$3:$E$1025,0)))</f>
        <v>71.45</v>
      </c>
      <c r="M8" s="3">
        <f>IF(INDEX(学年度总表!$M$3:$M$1025,MATCH($E8,学年度总表!$E$3:$E$1025,0))="","",INDEX(学年度总表!$M$3:$M$1025,MATCH($E8,学年度总表!$E$3:$E$1025,0)))</f>
        <v>4</v>
      </c>
      <c r="N8" s="3">
        <f>IF(INDEX(学年度总表!$N$3:$N$1025,MATCH($E8,学年度总表!$E$3:$E$1025,0))="","",INDEX(学年度总表!$N$3:$N$1025,MATCH($E8,学年度总表!$E$3:$E$1025,0)))</f>
        <v>85.25</v>
      </c>
      <c r="O8" s="3">
        <f>IF(INDEX(学年度总表!$O$3:$O$1025,MATCH($E8,学年度总表!$E$3:$E$1025,0))="","",INDEX(学年度总表!$O$3:$O$1025,MATCH($E8,学年度总表!$E$3:$E$1025,0)))</f>
        <v>167.82</v>
      </c>
      <c r="P8" s="4" t="str">
        <f>IF(INDEX(学年度总表!$P$3:$P$1025,MATCH($E8,学年度总表!$E$3:$E$1025,0))="","",INDEX(学年度总表!$P$3:$P$1025,MATCH($E8,学年度总表!$E$3:$E$1025,0)))</f>
        <v>校二等</v>
      </c>
      <c r="Q8" s="5" t="str">
        <f>IF(INDEX(学年度总表!$Q$3:$Q$1025,MATCH($E8,学年度总表!$E$3:$E$1025,0))="","",INDEX(学年度总表!$Q$3:$Q$1025,MATCH($E8,学年度总表!$E$3:$E$1025,0)))</f>
        <v/>
      </c>
    </row>
    <row r="9" spans="1:17">
      <c r="A9" s="2">
        <f>IF(INDEX(学年度总表!$A$3:$A$1025,MATCH($E9,学年度总表!$E$3:$E$1025,0))="","",INDEX(学年度总表!$A$3:$A$1025,MATCH($E9,学年度总表!$E$3:$E$1025,0)))</f>
        <v>30</v>
      </c>
      <c r="B9" s="2">
        <f>IF(INDEX(学年度总表!$B$3:$B$1025,MATCH($E9,学年度总表!$E$3:$E$1025,0))="","",INDEX(学年度总表!$B$3:$B$1025,MATCH($E9,学年度总表!$E$3:$E$1025,0)))</f>
        <v>7</v>
      </c>
      <c r="C9" s="2" t="str">
        <f>IF(INDEX(学年度总表!$C$3:$C$1025,MATCH($E9,学年度总表!$E$3:$E$1025,0))="","",INDEX(学年度总表!$C$3:$C$1025,MATCH($E9,学年度总表!$E$3:$E$1025,0)))</f>
        <v>计科</v>
      </c>
      <c r="D9" s="2" t="str">
        <f>IF(INDEX(学年度总表!$D$3:$D$1025,MATCH($E9,学年度总表!$E$3:$E$1025,0))="","",INDEX(学年度总表!$D$3:$D$1025,MATCH($E9,学年度总表!$E$3:$E$1025,0)))</f>
        <v>计科三班</v>
      </c>
      <c r="E9" s="2" t="s">
        <v>101</v>
      </c>
      <c r="F9" s="2" t="str">
        <f>IF(INDEX(学年度总表!$F$3:$F$1025,MATCH($E9,学年度总表!$E$3:$E$1025,0))="","",INDEX(学年度总表!$F$3:$F$1025,MATCH($E9,学年度总表!$E$3:$E$1025,0)))</f>
        <v>赵紫仪</v>
      </c>
      <c r="G9" s="3">
        <f>IF(INDEX(学年度总表!$G$3:$G$1025,MATCH($E9,学年度总表!$E$3:$E$1025,0))="","",INDEX(学年度总表!$G$3:$G$1025,MATCH($E9,学年度总表!$E$3:$E$1025,0)))</f>
        <v>13.1</v>
      </c>
      <c r="H9" s="3">
        <f>IF(INDEX(学年度总表!$H$3:$H$1025,MATCH($E9,学年度总表!$E$3:$E$1025,0))="","",INDEX(学年度总表!$H$3:$H$1025,MATCH($E9,学年度总表!$E$3:$E$1025,0)))</f>
        <v>70.646341463414601</v>
      </c>
      <c r="I9" s="3">
        <f>IF(INDEX(学年度总表!$I$3:$I$1025,MATCH($E9,学年度总表!$E$3:$E$1025,0))="","",INDEX(学年度总表!$I$3:$I$1025,MATCH($E9,学年度总表!$E$3:$E$1025,0)))</f>
        <v>4.5</v>
      </c>
      <c r="J9" s="3">
        <f>IF(INDEX(学年度总表!$J$3:$J$1025,MATCH($E9,学年度总表!$E$3:$E$1025,0))="","",INDEX(学年度总表!$J$3:$J$1025,MATCH($E9,学年度总表!$E$3:$E$1025,0)))</f>
        <v>88.25</v>
      </c>
      <c r="K9" s="3">
        <f>IF(INDEX(学年度总表!$K$3:$K$1025,MATCH($E9,学年度总表!$E$3:$E$1025,0))="","",INDEX(学年度总表!$K$3:$K$1025,MATCH($E9,学年度总表!$E$3:$E$1025,0)))</f>
        <v>11</v>
      </c>
      <c r="L9" s="3">
        <f>IF(INDEX(学年度总表!$L$3:$L$1025,MATCH($E9,学年度总表!$E$3:$E$1025,0))="","",INDEX(学年度总表!$L$3:$L$1025,MATCH($E9,学年度总表!$E$3:$E$1025,0)))</f>
        <v>61.75</v>
      </c>
      <c r="M9" s="3">
        <f>IF(INDEX(学年度总表!$M$3:$M$1025,MATCH($E9,学年度总表!$E$3:$E$1025,0))="","",INDEX(学年度总表!$M$3:$M$1025,MATCH($E9,学年度总表!$E$3:$E$1025,0)))</f>
        <v>5.4</v>
      </c>
      <c r="N9" s="3">
        <f>IF(INDEX(学年度总表!$N$3:$N$1025,MATCH($E9,学年度总表!$E$3:$E$1025,0))="","",INDEX(学年度总表!$N$3:$N$1025,MATCH($E9,学年度总表!$E$3:$E$1025,0)))</f>
        <v>78.150000000000006</v>
      </c>
      <c r="O9" s="3">
        <f>IF(INDEX(学年度总表!$O$3:$O$1025,MATCH($E9,学年度总表!$E$3:$E$1025,0))="","",INDEX(学年度总表!$O$3:$O$1025,MATCH($E9,学年度总表!$E$3:$E$1025,0)))</f>
        <v>166.4</v>
      </c>
      <c r="P9" s="4" t="str">
        <f>IF(INDEX(学年度总表!$P$3:$P$1025,MATCH($E9,学年度总表!$E$3:$E$1025,0))="","",INDEX(学年度总表!$P$3:$P$1025,MATCH($E9,学年度总表!$E$3:$E$1025,0)))</f>
        <v>校二等</v>
      </c>
      <c r="Q9" s="5" t="str">
        <f>IF(INDEX(学年度总表!$Q$3:$Q$1025,MATCH($E9,学年度总表!$E$3:$E$1025,0))="","",INDEX(学年度总表!$Q$3:$Q$1025,MATCH($E9,学年度总表!$E$3:$E$1025,0)))</f>
        <v/>
      </c>
    </row>
    <row r="10" spans="1:17">
      <c r="A10" s="2">
        <f>IF(INDEX(学年度总表!$A$3:$A$1025,MATCH($E10,学年度总表!$E$3:$E$1025,0))="","",INDEX(学年度总表!$A$3:$A$1025,MATCH($E10,学年度总表!$E$3:$E$1025,0)))</f>
        <v>32</v>
      </c>
      <c r="B10" s="2">
        <f>IF(INDEX(学年度总表!$B$3:$B$1025,MATCH($E10,学年度总表!$E$3:$E$1025,0))="","",INDEX(学年度总表!$B$3:$B$1025,MATCH($E10,学年度总表!$E$3:$E$1025,0)))</f>
        <v>8</v>
      </c>
      <c r="C10" s="2" t="str">
        <f>IF(INDEX(学年度总表!$C$3:$C$1025,MATCH($E10,学年度总表!$E$3:$E$1025,0))="","",INDEX(学年度总表!$C$3:$C$1025,MATCH($E10,学年度总表!$E$3:$E$1025,0)))</f>
        <v>计科</v>
      </c>
      <c r="D10" s="2" t="str">
        <f>IF(INDEX(学年度总表!$D$3:$D$1025,MATCH($E10,学年度总表!$E$3:$E$1025,0))="","",INDEX(学年度总表!$D$3:$D$1025,MATCH($E10,学年度总表!$E$3:$E$1025,0)))</f>
        <v>计科一班</v>
      </c>
      <c r="E10" s="2" t="s">
        <v>105</v>
      </c>
      <c r="F10" s="2" t="str">
        <f>IF(INDEX(学年度总表!$F$3:$F$1025,MATCH($E10,学年度总表!$E$3:$E$1025,0))="","",INDEX(学年度总表!$F$3:$F$1025,MATCH($E10,学年度总表!$E$3:$E$1025,0)))</f>
        <v>张淅傲</v>
      </c>
      <c r="G10" s="3">
        <f>IF(INDEX(学年度总表!$G$3:$G$1025,MATCH($E10,学年度总表!$E$3:$E$1025,0))="","",INDEX(学年度总表!$G$3:$G$1025,MATCH($E10,学年度总表!$E$3:$E$1025,0)))</f>
        <v>12.8</v>
      </c>
      <c r="H10" s="3">
        <f>IF(INDEX(学年度总表!$H$3:$H$1025,MATCH($E10,学年度总表!$E$3:$E$1025,0))="","",INDEX(学年度总表!$H$3:$H$1025,MATCH($E10,学年度总表!$E$3:$E$1025,0)))</f>
        <v>66.533333333333303</v>
      </c>
      <c r="I10" s="3">
        <f>IF(INDEX(学年度总表!$I$3:$I$1025,MATCH($E10,学年度总表!$E$3:$E$1025,0))="","",INDEX(学年度总表!$I$3:$I$1025,MATCH($E10,学年度总表!$E$3:$E$1025,0)))</f>
        <v>5.8</v>
      </c>
      <c r="J10" s="3">
        <f>IF(INDEX(学年度总表!$J$3:$J$1025,MATCH($E10,学年度总表!$E$3:$E$1025,0))="","",INDEX(学年度总表!$J$3:$J$1025,MATCH($E10,学年度总表!$E$3:$E$1025,0)))</f>
        <v>85.13</v>
      </c>
      <c r="K10" s="3">
        <f>IF(INDEX(学年度总表!$K$3:$K$1025,MATCH($E10,学年度总表!$E$3:$E$1025,0))="","",INDEX(学年度总表!$K$3:$K$1025,MATCH($E10,学年度总表!$E$3:$E$1025,0)))</f>
        <v>11.3</v>
      </c>
      <c r="L10" s="3">
        <f>IF(INDEX(学年度总表!$L$3:$L$1025,MATCH($E10,学年度总表!$E$3:$E$1025,0))="","",INDEX(学年度总表!$L$3:$L$1025,MATCH($E10,学年度总表!$E$3:$E$1025,0)))</f>
        <v>61.55</v>
      </c>
      <c r="M10" s="3">
        <f>IF(INDEX(学年度总表!$M$3:$M$1025,MATCH($E10,学年度总表!$E$3:$E$1025,0))="","",INDEX(学年度总表!$M$3:$M$1025,MATCH($E10,学年度总表!$E$3:$E$1025,0)))</f>
        <v>8.4</v>
      </c>
      <c r="N10" s="3">
        <f>IF(INDEX(学年度总表!$N$3:$N$1025,MATCH($E10,学年度总表!$E$3:$E$1025,0))="","",INDEX(学年度总表!$N$3:$N$1025,MATCH($E10,学年度总表!$E$3:$E$1025,0)))</f>
        <v>81.25</v>
      </c>
      <c r="O10" s="3">
        <f>IF(INDEX(学年度总表!$O$3:$O$1025,MATCH($E10,学年度总表!$E$3:$E$1025,0))="","",INDEX(学年度总表!$O$3:$O$1025,MATCH($E10,学年度总表!$E$3:$E$1025,0)))</f>
        <v>166.38</v>
      </c>
      <c r="P10" s="2" t="str">
        <f>IF(INDEX(学年度总表!$P$3:$P$1025,MATCH($E10,学年度总表!$E$3:$E$1025,0))="","",INDEX(学年度总表!$P$3:$P$1025,MATCH($E10,学年度总表!$E$3:$E$1025,0)))</f>
        <v/>
      </c>
      <c r="Q10" s="5" t="str">
        <f>IF(INDEX(学年度总表!$Q$3:$Q$1025,MATCH($E10,学年度总表!$E$3:$E$1025,0))="","",INDEX(学年度总表!$Q$3:$Q$1025,MATCH($E10,学年度总表!$E$3:$E$1025,0)))</f>
        <v/>
      </c>
    </row>
    <row r="11" spans="1:17">
      <c r="A11" s="2">
        <f>IF(INDEX(学年度总表!$A$3:$A$1025,MATCH($E11,学年度总表!$E$3:$E$1025,0))="","",INDEX(学年度总表!$A$3:$A$1025,MATCH($E11,学年度总表!$E$3:$E$1025,0)))</f>
        <v>41</v>
      </c>
      <c r="B11" s="2">
        <f>IF(INDEX(学年度总表!$B$3:$B$1025,MATCH($E11,学年度总表!$E$3:$E$1025,0))="","",INDEX(学年度总表!$B$3:$B$1025,MATCH($E11,学年度总表!$E$3:$E$1025,0)))</f>
        <v>9</v>
      </c>
      <c r="C11" s="2" t="str">
        <f>IF(INDEX(学年度总表!$C$3:$C$1025,MATCH($E11,学年度总表!$E$3:$E$1025,0))="","",INDEX(学年度总表!$C$3:$C$1025,MATCH($E11,学年度总表!$E$3:$E$1025,0)))</f>
        <v>计科</v>
      </c>
      <c r="D11" s="2" t="str">
        <f>IF(INDEX(学年度总表!$D$3:$D$1025,MATCH($E11,学年度总表!$E$3:$E$1025,0))="","",INDEX(学年度总表!$D$3:$D$1025,MATCH($E11,学年度总表!$E$3:$E$1025,0)))</f>
        <v>计科一班</v>
      </c>
      <c r="E11" s="2" t="s">
        <v>126</v>
      </c>
      <c r="F11" s="2" t="str">
        <f>IF(INDEX(学年度总表!$F$3:$F$1025,MATCH($E11,学年度总表!$E$3:$E$1025,0))="","",INDEX(学年度总表!$F$3:$F$1025,MATCH($E11,学年度总表!$E$3:$E$1025,0)))</f>
        <v>刘奕含</v>
      </c>
      <c r="G11" s="3">
        <f>IF(INDEX(学年度总表!$G$3:$G$1025,MATCH($E11,学年度总表!$E$3:$E$1025,0))="","",INDEX(学年度总表!$G$3:$G$1025,MATCH($E11,学年度总表!$E$3:$E$1025,0)))</f>
        <v>10.8</v>
      </c>
      <c r="H11" s="3">
        <f>IF(INDEX(学年度总表!$H$3:$H$1025,MATCH($E11,学年度总表!$E$3:$E$1025,0))="","",INDEX(学年度总表!$H$3:$H$1025,MATCH($E11,学年度总表!$E$3:$E$1025,0)))</f>
        <v>65.865853658536594</v>
      </c>
      <c r="I11" s="3">
        <f>IF(INDEX(学年度总表!$I$3:$I$1025,MATCH($E11,学年度总表!$E$3:$E$1025,0))="","",INDEX(学年度总表!$I$3:$I$1025,MATCH($E11,学年度总表!$E$3:$E$1025,0)))</f>
        <v>5</v>
      </c>
      <c r="J11" s="3">
        <f>IF(INDEX(学年度总表!$J$3:$J$1025,MATCH($E11,学年度总表!$E$3:$E$1025,0))="","",INDEX(学年度总表!$J$3:$J$1025,MATCH($E11,学年度总表!$E$3:$E$1025,0)))</f>
        <v>81.67</v>
      </c>
      <c r="K11" s="3">
        <f>IF(INDEX(学年度总表!$K$3:$K$1025,MATCH($E11,学年度总表!$E$3:$E$1025,0))="","",INDEX(学年度总表!$K$3:$K$1025,MATCH($E11,学年度总表!$E$3:$E$1025,0)))</f>
        <v>10.8</v>
      </c>
      <c r="L11" s="3">
        <f>IF(INDEX(学年度总表!$L$3:$L$1025,MATCH($E11,学年度总表!$E$3:$E$1025,0))="","",INDEX(学年度总表!$L$3:$L$1025,MATCH($E11,学年度总表!$E$3:$E$1025,0)))</f>
        <v>66.239999999999995</v>
      </c>
      <c r="M11" s="3">
        <f>IF(INDEX(学年度总表!$M$3:$M$1025,MATCH($E11,学年度总表!$E$3:$E$1025,0))="","",INDEX(学年度总表!$M$3:$M$1025,MATCH($E11,学年度总表!$E$3:$E$1025,0)))</f>
        <v>6.2</v>
      </c>
      <c r="N11" s="3">
        <f>IF(INDEX(学年度总表!$N$3:$N$1025,MATCH($E11,学年度总表!$E$3:$E$1025,0))="","",INDEX(学年度总表!$N$3:$N$1025,MATCH($E11,学年度总表!$E$3:$E$1025,0)))</f>
        <v>83.24</v>
      </c>
      <c r="O11" s="3">
        <f>IF(INDEX(学年度总表!$O$3:$O$1025,MATCH($E11,学年度总表!$E$3:$E$1025,0))="","",INDEX(学年度总表!$O$3:$O$1025,MATCH($E11,学年度总表!$E$3:$E$1025,0)))</f>
        <v>164.91</v>
      </c>
      <c r="P11" s="4" t="str">
        <f>IF(INDEX(学年度总表!$P$3:$P$1025,MATCH($E11,学年度总表!$E$3:$E$1025,0))="","",INDEX(学年度总表!$P$3:$P$1025,MATCH($E11,学年度总表!$E$3:$E$1025,0)))</f>
        <v>校二等</v>
      </c>
      <c r="Q11" s="5" t="str">
        <f>IF(INDEX(学年度总表!$Q$3:$Q$1025,MATCH($E11,学年度总表!$E$3:$E$1025,0))="","",INDEX(学年度总表!$Q$3:$Q$1025,MATCH($E11,学年度总表!$E$3:$E$1025,0)))</f>
        <v/>
      </c>
    </row>
    <row r="12" spans="1:17">
      <c r="A12" s="2">
        <f>IF(INDEX(学年度总表!$A$3:$A$1025,MATCH($E12,学年度总表!$E$3:$E$1025,0))="","",INDEX(学年度总表!$A$3:$A$1025,MATCH($E12,学年度总表!$E$3:$E$1025,0)))</f>
        <v>42</v>
      </c>
      <c r="B12" s="2">
        <f>IF(INDEX(学年度总表!$B$3:$B$1025,MATCH($E12,学年度总表!$E$3:$E$1025,0))="","",INDEX(学年度总表!$B$3:$B$1025,MATCH($E12,学年度总表!$E$3:$E$1025,0)))</f>
        <v>10</v>
      </c>
      <c r="C12" s="2" t="str">
        <f>IF(INDEX(学年度总表!$C$3:$C$1025,MATCH($E12,学年度总表!$E$3:$E$1025,0))="","",INDEX(学年度总表!$C$3:$C$1025,MATCH($E12,学年度总表!$E$3:$E$1025,0)))</f>
        <v>计科</v>
      </c>
      <c r="D12" s="2" t="str">
        <f>IF(INDEX(学年度总表!$D$3:$D$1025,MATCH($E12,学年度总表!$E$3:$E$1025,0))="","",INDEX(学年度总表!$D$3:$D$1025,MATCH($E12,学年度总表!$E$3:$E$1025,0)))</f>
        <v>计科三班</v>
      </c>
      <c r="E12" s="2" t="s">
        <v>128</v>
      </c>
      <c r="F12" s="2" t="str">
        <f>IF(INDEX(学年度总表!$F$3:$F$1025,MATCH($E12,学年度总表!$E$3:$E$1025,0))="","",INDEX(学年度总表!$F$3:$F$1025,MATCH($E12,学年度总表!$E$3:$E$1025,0)))</f>
        <v>吕佳妮</v>
      </c>
      <c r="G12" s="3">
        <f>IF(INDEX(学年度总表!$G$3:$G$1025,MATCH($E12,学年度总表!$E$3:$E$1025,0))="","",INDEX(学年度总表!$G$3:$G$1025,MATCH($E12,学年度总表!$E$3:$E$1025,0)))</f>
        <v>10.8</v>
      </c>
      <c r="H12" s="3">
        <f>IF(INDEX(学年度总表!$H$3:$H$1025,MATCH($E12,学年度总表!$E$3:$E$1025,0))="","",INDEX(学年度总表!$H$3:$H$1025,MATCH($E12,学年度总表!$E$3:$E$1025,0)))</f>
        <v>69.170731707317103</v>
      </c>
      <c r="I12" s="3">
        <f>IF(INDEX(学年度总表!$I$3:$I$1025,MATCH($E12,学年度总表!$E$3:$E$1025,0))="","",INDEX(学年度总表!$I$3:$I$1025,MATCH($E12,学年度总表!$E$3:$E$1025,0)))</f>
        <v>4.5</v>
      </c>
      <c r="J12" s="3">
        <f>IF(INDEX(学年度总表!$J$3:$J$1025,MATCH($E12,学年度总表!$E$3:$E$1025,0))="","",INDEX(学年度总表!$J$3:$J$1025,MATCH($E12,学年度总表!$E$3:$E$1025,0)))</f>
        <v>84.47</v>
      </c>
      <c r="K12" s="3">
        <f>IF(INDEX(学年度总表!$K$3:$K$1025,MATCH($E12,学年度总表!$E$3:$E$1025,0))="","",INDEX(学年度总表!$K$3:$K$1025,MATCH($E12,学年度总表!$E$3:$E$1025,0)))</f>
        <v>9</v>
      </c>
      <c r="L12" s="3">
        <f>IF(INDEX(学年度总表!$L$3:$L$1025,MATCH($E12,学年度总表!$E$3:$E$1025,0))="","",INDEX(学年度总表!$L$3:$L$1025,MATCH($E12,学年度总表!$E$3:$E$1025,0)))</f>
        <v>65.489999999999995</v>
      </c>
      <c r="M12" s="3">
        <f>IF(INDEX(学年度总表!$M$3:$M$1025,MATCH($E12,学年度总表!$E$3:$E$1025,0))="","",INDEX(学年度总表!$M$3:$M$1025,MATCH($E12,学年度总表!$E$3:$E$1025,0)))</f>
        <v>5.9</v>
      </c>
      <c r="N12" s="3">
        <f>IF(INDEX(学年度总表!$N$3:$N$1025,MATCH($E12,学年度总表!$E$3:$E$1025,0))="","",INDEX(学年度总表!$N$3:$N$1025,MATCH($E12,学年度总表!$E$3:$E$1025,0)))</f>
        <v>80.39</v>
      </c>
      <c r="O12" s="3">
        <f>IF(INDEX(学年度总表!$O$3:$O$1025,MATCH($E12,学年度总表!$E$3:$E$1025,0))="","",INDEX(学年度总表!$O$3:$O$1025,MATCH($E12,学年度总表!$E$3:$E$1025,0)))</f>
        <v>164.86</v>
      </c>
      <c r="P12" s="4" t="str">
        <f>IF(INDEX(学年度总表!$P$3:$P$1025,MATCH($E12,学年度总表!$E$3:$E$1025,0))="","",INDEX(学年度总表!$P$3:$P$1025,MATCH($E12,学年度总表!$E$3:$E$1025,0)))</f>
        <v>校三等</v>
      </c>
      <c r="Q12" s="5" t="str">
        <f>IF(INDEX(学年度总表!$Q$3:$Q$1025,MATCH($E12,学年度总表!$E$3:$E$1025,0))="","",INDEX(学年度总表!$Q$3:$Q$1025,MATCH($E12,学年度总表!$E$3:$E$1025,0)))</f>
        <v/>
      </c>
    </row>
    <row r="13" spans="1:17">
      <c r="A13" s="2">
        <f>IF(INDEX(学年度总表!$A$3:$A$1025,MATCH($E13,学年度总表!$E$3:$E$1025,0))="","",INDEX(学年度总表!$A$3:$A$1025,MATCH($E13,学年度总表!$E$3:$E$1025,0)))</f>
        <v>45</v>
      </c>
      <c r="B13" s="2">
        <f>IF(INDEX(学年度总表!$B$3:$B$1025,MATCH($E13,学年度总表!$E$3:$E$1025,0))="","",INDEX(学年度总表!$B$3:$B$1025,MATCH($E13,学年度总表!$E$3:$E$1025,0)))</f>
        <v>11</v>
      </c>
      <c r="C13" s="2" t="str">
        <f>IF(INDEX(学年度总表!$C$3:$C$1025,MATCH($E13,学年度总表!$E$3:$E$1025,0))="","",INDEX(学年度总表!$C$3:$C$1025,MATCH($E13,学年度总表!$E$3:$E$1025,0)))</f>
        <v>计科</v>
      </c>
      <c r="D13" s="2" t="str">
        <f>IF(INDEX(学年度总表!$D$3:$D$1025,MATCH($E13,学年度总表!$E$3:$E$1025,0))="","",INDEX(学年度总表!$D$3:$D$1025,MATCH($E13,学年度总表!$E$3:$E$1025,0)))</f>
        <v>计科二班</v>
      </c>
      <c r="E13" s="2" t="s">
        <v>136</v>
      </c>
      <c r="F13" s="2" t="str">
        <f>IF(INDEX(学年度总表!$F$3:$F$1025,MATCH($E13,学年度总表!$E$3:$E$1025,0))="","",INDEX(学年度总表!$F$3:$F$1025,MATCH($E13,学年度总表!$E$3:$E$1025,0)))</f>
        <v>聂煜翀</v>
      </c>
      <c r="G13" s="3">
        <f>IF(INDEX(学年度总表!$G$3:$G$1025,MATCH($E13,学年度总表!$E$3:$E$1025,0))="","",INDEX(学年度总表!$G$3:$G$1025,MATCH($E13,学年度总表!$E$3:$E$1025,0)))</f>
        <v>10.3</v>
      </c>
      <c r="H13" s="3">
        <f>IF(INDEX(学年度总表!$H$3:$H$1025,MATCH($E13,学年度总表!$E$3:$E$1025,0))="","",INDEX(学年度总表!$H$3:$H$1025,MATCH($E13,学年度总表!$E$3:$E$1025,0)))</f>
        <v>67.366666666666703</v>
      </c>
      <c r="I13" s="3">
        <f>IF(INDEX(学年度总表!$I$3:$I$1025,MATCH($E13,学年度总表!$E$3:$E$1025,0))="","",INDEX(学年度总表!$I$3:$I$1025,MATCH($E13,学年度总表!$E$3:$E$1025,0)))</f>
        <v>4.9000000000000004</v>
      </c>
      <c r="J13" s="3">
        <f>IF(INDEX(学年度总表!$J$3:$J$1025,MATCH($E13,学年度总表!$E$3:$E$1025,0))="","",INDEX(学年度总表!$J$3:$J$1025,MATCH($E13,学年度总表!$E$3:$E$1025,0)))</f>
        <v>82.57</v>
      </c>
      <c r="K13" s="3">
        <f>IF(INDEX(学年度总表!$K$3:$K$1025,MATCH($E13,学年度总表!$E$3:$E$1025,0))="","",INDEX(学年度总表!$K$3:$K$1025,MATCH($E13,学年度总表!$E$3:$E$1025,0)))</f>
        <v>9.8000000000000007</v>
      </c>
      <c r="L13" s="3">
        <f>IF(INDEX(学年度总表!$L$3:$L$1025,MATCH($E13,学年度总表!$E$3:$E$1025,0))="","",INDEX(学年度总表!$L$3:$L$1025,MATCH($E13,学年度总表!$E$3:$E$1025,0)))</f>
        <v>67.569999999999993</v>
      </c>
      <c r="M13" s="3">
        <f>IF(INDEX(学年度总表!$M$3:$M$1025,MATCH($E13,学年度总表!$E$3:$E$1025,0))="","",INDEX(学年度总表!$M$3:$M$1025,MATCH($E13,学年度总表!$E$3:$E$1025,0)))</f>
        <v>4.7</v>
      </c>
      <c r="N13" s="3">
        <f>IF(INDEX(学年度总表!$N$3:$N$1025,MATCH($E13,学年度总表!$E$3:$E$1025,0))="","",INDEX(学年度总表!$N$3:$N$1025,MATCH($E13,学年度总表!$E$3:$E$1025,0)))</f>
        <v>82.07</v>
      </c>
      <c r="O13" s="3">
        <f>IF(INDEX(学年度总表!$O$3:$O$1025,MATCH($E13,学年度总表!$E$3:$E$1025,0))="","",INDEX(学年度总表!$O$3:$O$1025,MATCH($E13,学年度总表!$E$3:$E$1025,0)))</f>
        <v>164.64</v>
      </c>
      <c r="P13" s="4" t="str">
        <f>IF(INDEX(学年度总表!$P$3:$P$1025,MATCH($E13,学年度总表!$E$3:$E$1025,0))="","",INDEX(学年度总表!$P$3:$P$1025,MATCH($E13,学年度总表!$E$3:$E$1025,0)))</f>
        <v>校三等</v>
      </c>
      <c r="Q13" s="5" t="str">
        <f>IF(INDEX(学年度总表!$Q$3:$Q$1025,MATCH($E13,学年度总表!$E$3:$E$1025,0))="","",INDEX(学年度总表!$Q$3:$Q$1025,MATCH($E13,学年度总表!$E$3:$E$1025,0)))</f>
        <v/>
      </c>
    </row>
    <row r="14" spans="1:17">
      <c r="A14" s="2">
        <f>IF(INDEX(学年度总表!$A$3:$A$1025,MATCH($E14,学年度总表!$E$3:$E$1025,0))="","",INDEX(学年度总表!$A$3:$A$1025,MATCH($E14,学年度总表!$E$3:$E$1025,0)))</f>
        <v>46</v>
      </c>
      <c r="B14" s="2">
        <f>IF(INDEX(学年度总表!$B$3:$B$1025,MATCH($E14,学年度总表!$E$3:$E$1025,0))="","",INDEX(学年度总表!$B$3:$B$1025,MATCH($E14,学年度总表!$E$3:$E$1025,0)))</f>
        <v>12</v>
      </c>
      <c r="C14" s="2" t="str">
        <f>IF(INDEX(学年度总表!$C$3:$C$1025,MATCH($E14,学年度总表!$E$3:$E$1025,0))="","",INDEX(学年度总表!$C$3:$C$1025,MATCH($E14,学年度总表!$E$3:$E$1025,0)))</f>
        <v>计科</v>
      </c>
      <c r="D14" s="2" t="str">
        <f>IF(INDEX(学年度总表!$D$3:$D$1025,MATCH($E14,学年度总表!$E$3:$E$1025,0))="","",INDEX(学年度总表!$D$3:$D$1025,MATCH($E14,学年度总表!$E$3:$E$1025,0)))</f>
        <v>计科三班</v>
      </c>
      <c r="E14" s="2" t="s">
        <v>138</v>
      </c>
      <c r="F14" s="2" t="str">
        <f>IF(INDEX(学年度总表!$F$3:$F$1025,MATCH($E14,学年度总表!$E$3:$E$1025,0))="","",INDEX(学年度总表!$F$3:$F$1025,MATCH($E14,学年度总表!$E$3:$E$1025,0)))</f>
        <v>袁世博</v>
      </c>
      <c r="G14" s="3">
        <f>IF(INDEX(学年度总表!$G$3:$G$1025,MATCH($E14,学年度总表!$E$3:$E$1025,0))="","",INDEX(学年度总表!$G$3:$G$1025,MATCH($E14,学年度总表!$E$3:$E$1025,0)))</f>
        <v>11.3</v>
      </c>
      <c r="H14" s="3">
        <f>IF(INDEX(学年度总表!$H$3:$H$1025,MATCH($E14,学年度总表!$E$3:$E$1025,0))="","",INDEX(学年度总表!$H$3:$H$1025,MATCH($E14,学年度总表!$E$3:$E$1025,0)))</f>
        <v>68.099999999999994</v>
      </c>
      <c r="I14" s="3">
        <f>IF(INDEX(学年度总表!$I$3:$I$1025,MATCH($E14,学年度总表!$E$3:$E$1025,0))="","",INDEX(学年度总表!$I$3:$I$1025,MATCH($E14,学年度总表!$E$3:$E$1025,0)))</f>
        <v>3.5</v>
      </c>
      <c r="J14" s="3">
        <f>IF(INDEX(学年度总表!$J$3:$J$1025,MATCH($E14,学年度总表!$E$3:$E$1025,0))="","",INDEX(学年度总表!$J$3:$J$1025,MATCH($E14,学年度总表!$E$3:$E$1025,0)))</f>
        <v>82.9</v>
      </c>
      <c r="K14" s="3">
        <f>IF(INDEX(学年度总表!$K$3:$K$1025,MATCH($E14,学年度总表!$E$3:$E$1025,0))="","",INDEX(学年度总表!$K$3:$K$1025,MATCH($E14,学年度总表!$E$3:$E$1025,0)))</f>
        <v>9</v>
      </c>
      <c r="L14" s="3">
        <f>IF(INDEX(学年度总表!$L$3:$L$1025,MATCH($E14,学年度总表!$E$3:$E$1025,0))="","",INDEX(学年度总表!$L$3:$L$1025,MATCH($E14,学年度总表!$E$3:$E$1025,0)))</f>
        <v>66.510000000000005</v>
      </c>
      <c r="M14" s="3">
        <f>IF(INDEX(学年度总表!$M$3:$M$1025,MATCH($E14,学年度总表!$E$3:$E$1025,0))="","",INDEX(学年度总表!$M$3:$M$1025,MATCH($E14,学年度总表!$E$3:$E$1025,0)))</f>
        <v>6.2</v>
      </c>
      <c r="N14" s="3">
        <f>IF(INDEX(学年度总表!$N$3:$N$1025,MATCH($E14,学年度总表!$E$3:$E$1025,0))="","",INDEX(学年度总表!$N$3:$N$1025,MATCH($E14,学年度总表!$E$3:$E$1025,0)))</f>
        <v>81.709999999999994</v>
      </c>
      <c r="O14" s="3">
        <f>IF(INDEX(学年度总表!$O$3:$O$1025,MATCH($E14,学年度总表!$E$3:$E$1025,0))="","",INDEX(学年度总表!$O$3:$O$1025,MATCH($E14,学年度总表!$E$3:$E$1025,0)))</f>
        <v>164.61</v>
      </c>
      <c r="P14" s="4" t="str">
        <f>IF(INDEX(学年度总表!$P$3:$P$1025,MATCH($E14,学年度总表!$E$3:$E$1025,0))="","",INDEX(学年度总表!$P$3:$P$1025,MATCH($E14,学年度总表!$E$3:$E$1025,0)))</f>
        <v>校三等</v>
      </c>
      <c r="Q14" s="5" t="str">
        <f>IF(INDEX(学年度总表!$Q$3:$Q$1025,MATCH($E14,学年度总表!$E$3:$E$1025,0))="","",INDEX(学年度总表!$Q$3:$Q$1025,MATCH($E14,学年度总表!$E$3:$E$1025,0)))</f>
        <v/>
      </c>
    </row>
    <row r="15" spans="1:17">
      <c r="A15" s="2">
        <f>IF(INDEX(学年度总表!$A$3:$A$1025,MATCH($E15,学年度总表!$E$3:$E$1025,0))="","",INDEX(学年度总表!$A$3:$A$1025,MATCH($E15,学年度总表!$E$3:$E$1025,0)))</f>
        <v>49</v>
      </c>
      <c r="B15" s="2">
        <f>IF(INDEX(学年度总表!$B$3:$B$1025,MATCH($E15,学年度总表!$E$3:$E$1025,0))="","",INDEX(学年度总表!$B$3:$B$1025,MATCH($E15,学年度总表!$E$3:$E$1025,0)))</f>
        <v>13</v>
      </c>
      <c r="C15" s="2" t="str">
        <f>IF(INDEX(学年度总表!$C$3:$C$1025,MATCH($E15,学年度总表!$E$3:$E$1025,0))="","",INDEX(学年度总表!$C$3:$C$1025,MATCH($E15,学年度总表!$E$3:$E$1025,0)))</f>
        <v>计科</v>
      </c>
      <c r="D15" s="2" t="str">
        <f>IF(INDEX(学年度总表!$D$3:$D$1025,MATCH($E15,学年度总表!$E$3:$E$1025,0))="","",INDEX(学年度总表!$D$3:$D$1025,MATCH($E15,学年度总表!$E$3:$E$1025,0)))</f>
        <v>计科二班</v>
      </c>
      <c r="E15" s="2" t="s">
        <v>144</v>
      </c>
      <c r="F15" s="2" t="str">
        <f>IF(INDEX(学年度总表!$F$3:$F$1025,MATCH($E15,学年度总表!$E$3:$E$1025,0))="","",INDEX(学年度总表!$F$3:$F$1025,MATCH($E15,学年度总表!$E$3:$E$1025,0)))</f>
        <v>王梓丞</v>
      </c>
      <c r="G15" s="3">
        <f>IF(INDEX(学年度总表!$G$3:$G$1025,MATCH($E15,学年度总表!$E$3:$E$1025,0))="","",INDEX(学年度总表!$G$3:$G$1025,MATCH($E15,学年度总表!$E$3:$E$1025,0)))</f>
        <v>10</v>
      </c>
      <c r="H15" s="3">
        <f>IF(INDEX(学年度总表!$H$3:$H$1025,MATCH($E15,学年度总表!$E$3:$E$1025,0))="","",INDEX(学年度总表!$H$3:$H$1025,MATCH($E15,学年度总表!$E$3:$E$1025,0)))</f>
        <v>69.3333333333333</v>
      </c>
      <c r="I15" s="3">
        <f>IF(INDEX(学年度总表!$I$3:$I$1025,MATCH($E15,学年度总表!$E$3:$E$1025,0))="","",INDEX(学年度总表!$I$3:$I$1025,MATCH($E15,学年度总表!$E$3:$E$1025,0)))</f>
        <v>3</v>
      </c>
      <c r="J15" s="3">
        <f>IF(INDEX(学年度总表!$J$3:$J$1025,MATCH($E15,学年度总表!$E$3:$E$1025,0))="","",INDEX(学年度总表!$J$3:$J$1025,MATCH($E15,学年度总表!$E$3:$E$1025,0)))</f>
        <v>82.33</v>
      </c>
      <c r="K15" s="3">
        <f>IF(INDEX(学年度总表!$K$3:$K$1025,MATCH($E15,学年度总表!$E$3:$E$1025,0))="","",INDEX(学年度总表!$K$3:$K$1025,MATCH($E15,学年度总表!$E$3:$E$1025,0)))</f>
        <v>10</v>
      </c>
      <c r="L15" s="3">
        <f>IF(INDEX(学年度总表!$L$3:$L$1025,MATCH($E15,学年度总表!$E$3:$E$1025,0))="","",INDEX(学年度总表!$L$3:$L$1025,MATCH($E15,学年度总表!$E$3:$E$1025,0)))</f>
        <v>68.209999999999994</v>
      </c>
      <c r="M15" s="3">
        <f>IF(INDEX(学年度总表!$M$3:$M$1025,MATCH($E15,学年度总表!$E$3:$E$1025,0))="","",INDEX(学年度总表!$M$3:$M$1025,MATCH($E15,学年度总表!$E$3:$E$1025,0)))</f>
        <v>3.5</v>
      </c>
      <c r="N15" s="3">
        <f>IF(INDEX(学年度总表!$N$3:$N$1025,MATCH($E15,学年度总表!$E$3:$E$1025,0))="","",INDEX(学年度总表!$N$3:$N$1025,MATCH($E15,学年度总表!$E$3:$E$1025,0)))</f>
        <v>81.709999999999994</v>
      </c>
      <c r="O15" s="3">
        <f>IF(INDEX(学年度总表!$O$3:$O$1025,MATCH($E15,学年度总表!$E$3:$E$1025,0))="","",INDEX(学年度总表!$O$3:$O$1025,MATCH($E15,学年度总表!$E$3:$E$1025,0)))</f>
        <v>164.04</v>
      </c>
      <c r="P15" s="4" t="str">
        <f>IF(INDEX(学年度总表!$P$3:$P$1025,MATCH($E15,学年度总表!$E$3:$E$1025,0))="","",INDEX(学年度总表!$P$3:$P$1025,MATCH($E15,学年度总表!$E$3:$E$1025,0)))</f>
        <v>校三等</v>
      </c>
      <c r="Q15" s="5" t="str">
        <f>IF(INDEX(学年度总表!$Q$3:$Q$1025,MATCH($E15,学年度总表!$E$3:$E$1025,0))="","",INDEX(学年度总表!$Q$3:$Q$1025,MATCH($E15,学年度总表!$E$3:$E$1025,0)))</f>
        <v/>
      </c>
    </row>
    <row r="16" spans="1:17">
      <c r="A16" s="2">
        <f>IF(INDEX(学年度总表!$A$3:$A$1025,MATCH($E16,学年度总表!$E$3:$E$1025,0))="","",INDEX(学年度总表!$A$3:$A$1025,MATCH($E16,学年度总表!$E$3:$E$1025,0)))</f>
        <v>55</v>
      </c>
      <c r="B16" s="2">
        <f>IF(INDEX(学年度总表!$B$3:$B$1025,MATCH($E16,学年度总表!$E$3:$E$1025,0))="","",INDEX(学年度总表!$B$3:$B$1025,MATCH($E16,学年度总表!$E$3:$E$1025,0)))</f>
        <v>14</v>
      </c>
      <c r="C16" s="2" t="str">
        <f>IF(INDEX(学年度总表!$C$3:$C$1025,MATCH($E16,学年度总表!$E$3:$E$1025,0))="","",INDEX(学年度总表!$C$3:$C$1025,MATCH($E16,学年度总表!$E$3:$E$1025,0)))</f>
        <v>计科</v>
      </c>
      <c r="D16" s="2" t="str">
        <f>IF(INDEX(学年度总表!$D$3:$D$1025,MATCH($E16,学年度总表!$E$3:$E$1025,0))="","",INDEX(学年度总表!$D$3:$D$1025,MATCH($E16,学年度总表!$E$3:$E$1025,0)))</f>
        <v>计科一班</v>
      </c>
      <c r="E16" s="2" t="s">
        <v>156</v>
      </c>
      <c r="F16" s="2" t="str">
        <f>IF(INDEX(学年度总表!$F$3:$F$1025,MATCH($E16,学年度总表!$E$3:$E$1025,0))="","",INDEX(学年度总表!$F$3:$F$1025,MATCH($E16,学年度总表!$E$3:$E$1025,0)))</f>
        <v>石佳怡</v>
      </c>
      <c r="G16" s="3">
        <f>IF(INDEX(学年度总表!$G$3:$G$1025,MATCH($E16,学年度总表!$E$3:$E$1025,0))="","",INDEX(学年度总表!$G$3:$G$1025,MATCH($E16,学年度总表!$E$3:$E$1025,0)))</f>
        <v>9.8000000000000007</v>
      </c>
      <c r="H16" s="3">
        <f>IF(INDEX(学年度总表!$H$3:$H$1025,MATCH($E16,学年度总表!$E$3:$E$1025,0))="","",INDEX(学年度总表!$H$3:$H$1025,MATCH($E16,学年度总表!$E$3:$E$1025,0)))</f>
        <v>65.280487804878007</v>
      </c>
      <c r="I16" s="3">
        <f>IF(INDEX(学年度总表!$I$3:$I$1025,MATCH($E16,学年度总表!$E$3:$E$1025,0))="","",INDEX(学年度总表!$I$3:$I$1025,MATCH($E16,学年度总表!$E$3:$E$1025,0)))</f>
        <v>4.2</v>
      </c>
      <c r="J16" s="3">
        <f>IF(INDEX(学年度总表!$J$3:$J$1025,MATCH($E16,学年度总表!$E$3:$E$1025,0))="","",INDEX(学年度总表!$J$3:$J$1025,MATCH($E16,学年度总表!$E$3:$E$1025,0)))</f>
        <v>79.28</v>
      </c>
      <c r="K16" s="3">
        <f>IF(INDEX(学年度总表!$K$3:$K$1025,MATCH($E16,学年度总表!$E$3:$E$1025,0))="","",INDEX(学年度总表!$K$3:$K$1025,MATCH($E16,学年度总表!$E$3:$E$1025,0)))</f>
        <v>10</v>
      </c>
      <c r="L16" s="3">
        <f>IF(INDEX(学年度总表!$L$3:$L$1025,MATCH($E16,学年度总表!$E$3:$E$1025,0))="","",INDEX(学年度总表!$L$3:$L$1025,MATCH($E16,学年度总表!$E$3:$E$1025,0)))</f>
        <v>69.42</v>
      </c>
      <c r="M16" s="3">
        <f>IF(INDEX(学年度总表!$M$3:$M$1025,MATCH($E16,学年度总表!$E$3:$E$1025,0))="","",INDEX(学年度总表!$M$3:$M$1025,MATCH($E16,学年度总表!$E$3:$E$1025,0)))</f>
        <v>4.9000000000000004</v>
      </c>
      <c r="N16" s="3">
        <f>IF(INDEX(学年度总表!$N$3:$N$1025,MATCH($E16,学年度总表!$E$3:$E$1025,0))="","",INDEX(学年度总表!$N$3:$N$1025,MATCH($E16,学年度总表!$E$3:$E$1025,0)))</f>
        <v>84.32</v>
      </c>
      <c r="O16" s="3">
        <f>IF(INDEX(学年度总表!$O$3:$O$1025,MATCH($E16,学年度总表!$E$3:$E$1025,0))="","",INDEX(学年度总表!$O$3:$O$1025,MATCH($E16,学年度总表!$E$3:$E$1025,0)))</f>
        <v>163.6</v>
      </c>
      <c r="P16" s="4" t="str">
        <f>IF(INDEX(学年度总表!$P$3:$P$1025,MATCH($E16,学年度总表!$E$3:$E$1025,0))="","",INDEX(学年度总表!$P$3:$P$1025,MATCH($E16,学年度总表!$E$3:$E$1025,0)))</f>
        <v>校三等</v>
      </c>
      <c r="Q16" s="5" t="str">
        <f>IF(INDEX(学年度总表!$Q$3:$Q$1025,MATCH($E16,学年度总表!$E$3:$E$1025,0))="","",INDEX(学年度总表!$Q$3:$Q$1025,MATCH($E16,学年度总表!$E$3:$E$1025,0)))</f>
        <v/>
      </c>
    </row>
    <row r="17" spans="1:17">
      <c r="A17" s="2">
        <f>IF(INDEX(学年度总表!$A$3:$A$1025,MATCH($E17,学年度总表!$E$3:$E$1025,0))="","",INDEX(学年度总表!$A$3:$A$1025,MATCH($E17,学年度总表!$E$3:$E$1025,0)))</f>
        <v>61</v>
      </c>
      <c r="B17" s="2">
        <f>IF(INDEX(学年度总表!$B$3:$B$1025,MATCH($E17,学年度总表!$E$3:$E$1025,0))="","",INDEX(学年度总表!$B$3:$B$1025,MATCH($E17,学年度总表!$E$3:$E$1025,0)))</f>
        <v>15</v>
      </c>
      <c r="C17" s="2" t="str">
        <f>IF(INDEX(学年度总表!$C$3:$C$1025,MATCH($E17,学年度总表!$E$3:$E$1025,0))="","",INDEX(学年度总表!$C$3:$C$1025,MATCH($E17,学年度总表!$E$3:$E$1025,0)))</f>
        <v>计科</v>
      </c>
      <c r="D17" s="2" t="str">
        <f>IF(INDEX(学年度总表!$D$3:$D$1025,MATCH($E17,学年度总表!$E$3:$E$1025,0))="","",INDEX(学年度总表!$D$3:$D$1025,MATCH($E17,学年度总表!$E$3:$E$1025,0)))</f>
        <v>计科一班</v>
      </c>
      <c r="E17" s="2" t="s">
        <v>169</v>
      </c>
      <c r="F17" s="2" t="str">
        <f>IF(INDEX(学年度总表!$F$3:$F$1025,MATCH($E17,学年度总表!$E$3:$E$1025,0))="","",INDEX(学年度总表!$F$3:$F$1025,MATCH($E17,学年度总表!$E$3:$E$1025,0)))</f>
        <v>肖家宜</v>
      </c>
      <c r="G17" s="3">
        <f>IF(INDEX(学年度总表!$G$3:$G$1025,MATCH($E17,学年度总表!$E$3:$E$1025,0))="","",INDEX(学年度总表!$G$3:$G$1025,MATCH($E17,学年度总表!$E$3:$E$1025,0)))</f>
        <v>11</v>
      </c>
      <c r="H17" s="3">
        <f>IF(INDEX(学年度总表!$H$3:$H$1025,MATCH($E17,学年度总表!$E$3:$E$1025,0))="","",INDEX(学年度总表!$H$3:$H$1025,MATCH($E17,学年度总表!$E$3:$E$1025,0)))</f>
        <v>65.280487804878007</v>
      </c>
      <c r="I17" s="3">
        <f>IF(INDEX(学年度总表!$I$3:$I$1025,MATCH($E17,学年度总表!$E$3:$E$1025,0))="","",INDEX(学年度总表!$I$3:$I$1025,MATCH($E17,学年度总表!$E$3:$E$1025,0)))</f>
        <v>4</v>
      </c>
      <c r="J17" s="3">
        <f>IF(INDEX(学年度总表!$J$3:$J$1025,MATCH($E17,学年度总表!$E$3:$E$1025,0))="","",INDEX(学年度总表!$J$3:$J$1025,MATCH($E17,学年度总表!$E$3:$E$1025,0)))</f>
        <v>80.28</v>
      </c>
      <c r="K17" s="3">
        <f>IF(INDEX(学年度总表!$K$3:$K$1025,MATCH($E17,学年度总表!$E$3:$E$1025,0))="","",INDEX(学年度总表!$K$3:$K$1025,MATCH($E17,学年度总表!$E$3:$E$1025,0)))</f>
        <v>10</v>
      </c>
      <c r="L17" s="3">
        <f>IF(INDEX(学年度总表!$L$3:$L$1025,MATCH($E17,学年度总表!$E$3:$E$1025,0))="","",INDEX(学年度总表!$L$3:$L$1025,MATCH($E17,学年度总表!$E$3:$E$1025,0)))</f>
        <v>66.72</v>
      </c>
      <c r="M17" s="3">
        <f>IF(INDEX(学年度总表!$M$3:$M$1025,MATCH($E17,学年度总表!$E$3:$E$1025,0))="","",INDEX(学年度总表!$M$3:$M$1025,MATCH($E17,学年度总表!$E$3:$E$1025,0)))</f>
        <v>5</v>
      </c>
      <c r="N17" s="3">
        <f>IF(INDEX(学年度总表!$N$3:$N$1025,MATCH($E17,学年度总表!$E$3:$E$1025,0))="","",INDEX(学年度总表!$N$3:$N$1025,MATCH($E17,学年度总表!$E$3:$E$1025,0)))</f>
        <v>81.72</v>
      </c>
      <c r="O17" s="3">
        <f>IF(INDEX(学年度总表!$O$3:$O$1025,MATCH($E17,学年度总表!$E$3:$E$1025,0))="","",INDEX(学年度总表!$O$3:$O$1025,MATCH($E17,学年度总表!$E$3:$E$1025,0)))</f>
        <v>162</v>
      </c>
      <c r="P17" s="4" t="str">
        <f>IF(INDEX(学年度总表!$P$3:$P$1025,MATCH($E17,学年度总表!$E$3:$E$1025,0))="","",INDEX(学年度总表!$P$3:$P$1025,MATCH($E17,学年度总表!$E$3:$E$1025,0)))</f>
        <v>校三等</v>
      </c>
      <c r="Q17" s="5" t="str">
        <f>IF(INDEX(学年度总表!$Q$3:$Q$1025,MATCH($E17,学年度总表!$E$3:$E$1025,0))="","",INDEX(学年度总表!$Q$3:$Q$1025,MATCH($E17,学年度总表!$E$3:$E$1025,0)))</f>
        <v/>
      </c>
    </row>
    <row r="18" spans="1:17">
      <c r="A18" s="2">
        <f>IF(INDEX(学年度总表!$A$3:$A$1025,MATCH($E18,学年度总表!$E$3:$E$1025,0))="","",INDEX(学年度总表!$A$3:$A$1025,MATCH($E18,学年度总表!$E$3:$E$1025,0)))</f>
        <v>62</v>
      </c>
      <c r="B18" s="2">
        <f>IF(INDEX(学年度总表!$B$3:$B$1025,MATCH($E18,学年度总表!$E$3:$E$1025,0))="","",INDEX(学年度总表!$B$3:$B$1025,MATCH($E18,学年度总表!$E$3:$E$1025,0)))</f>
        <v>16</v>
      </c>
      <c r="C18" s="2" t="str">
        <f>IF(INDEX(学年度总表!$C$3:$C$1025,MATCH($E18,学年度总表!$E$3:$E$1025,0))="","",INDEX(学年度总表!$C$3:$C$1025,MATCH($E18,学年度总表!$E$3:$E$1025,0)))</f>
        <v>计科</v>
      </c>
      <c r="D18" s="2" t="str">
        <f>IF(INDEX(学年度总表!$D$3:$D$1025,MATCH($E18,学年度总表!$E$3:$E$1025,0))="","",INDEX(学年度总表!$D$3:$D$1025,MATCH($E18,学年度总表!$E$3:$E$1025,0)))</f>
        <v>计科四班</v>
      </c>
      <c r="E18" s="2" t="s">
        <v>171</v>
      </c>
      <c r="F18" s="2" t="str">
        <f>IF(INDEX(学年度总表!$F$3:$F$1025,MATCH($E18,学年度总表!$E$3:$E$1025,0))="","",INDEX(学年度总表!$F$3:$F$1025,MATCH($E18,学年度总表!$E$3:$E$1025,0)))</f>
        <v>刘育辰</v>
      </c>
      <c r="G18" s="3">
        <f>IF(INDEX(学年度总表!$G$3:$G$1025,MATCH($E18,学年度总表!$E$3:$E$1025,0))="","",INDEX(学年度总表!$G$3:$G$1025,MATCH($E18,学年度总表!$E$3:$E$1025,0)))</f>
        <v>9.8000000000000007</v>
      </c>
      <c r="H18" s="3">
        <f>IF(INDEX(学年度总表!$H$3:$H$1025,MATCH($E18,学年度总表!$E$3:$E$1025,0))="","",INDEX(学年度总表!$H$3:$H$1025,MATCH($E18,学年度总表!$E$3:$E$1025,0)))</f>
        <v>66.646341463414601</v>
      </c>
      <c r="I18" s="3">
        <f>IF(INDEX(学年度总表!$I$3:$I$1025,MATCH($E18,学年度总表!$E$3:$E$1025,0))="","",INDEX(学年度总表!$I$3:$I$1025,MATCH($E18,学年度总表!$E$3:$E$1025,0)))</f>
        <v>5.2</v>
      </c>
      <c r="J18" s="3">
        <f>IF(INDEX(学年度总表!$J$3:$J$1025,MATCH($E18,学年度总表!$E$3:$E$1025,0))="","",INDEX(学年度总表!$J$3:$J$1025,MATCH($E18,学年度总表!$E$3:$E$1025,0)))</f>
        <v>81.650000000000006</v>
      </c>
      <c r="K18" s="3">
        <f>IF(INDEX(学年度总表!$K$3:$K$1025,MATCH($E18,学年度总表!$E$3:$E$1025,0))="","",INDEX(学年度总表!$K$3:$K$1025,MATCH($E18,学年度总表!$E$3:$E$1025,0)))</f>
        <v>9.8000000000000007</v>
      </c>
      <c r="L18" s="3">
        <f>IF(INDEX(学年度总表!$L$3:$L$1025,MATCH($E18,学年度总表!$E$3:$E$1025,0))="","",INDEX(学年度总表!$L$3:$L$1025,MATCH($E18,学年度总表!$E$3:$E$1025,0)))</f>
        <v>63.96</v>
      </c>
      <c r="M18" s="3">
        <f>IF(INDEX(学年度总表!$M$3:$M$1025,MATCH($E18,学年度总表!$E$3:$E$1025,0))="","",INDEX(学年度总表!$M$3:$M$1025,MATCH($E18,学年度总表!$E$3:$E$1025,0)))</f>
        <v>6.5</v>
      </c>
      <c r="N18" s="3">
        <f>IF(INDEX(学年度总表!$N$3:$N$1025,MATCH($E18,学年度总表!$E$3:$E$1025,0))="","",INDEX(学年度总表!$N$3:$N$1025,MATCH($E18,学年度总表!$E$3:$E$1025,0)))</f>
        <v>80.260000000000005</v>
      </c>
      <c r="O18" s="3">
        <f>IF(INDEX(学年度总表!$O$3:$O$1025,MATCH($E18,学年度总表!$E$3:$E$1025,0))="","",INDEX(学年度总表!$O$3:$O$1025,MATCH($E18,学年度总表!$E$3:$E$1025,0)))</f>
        <v>161.91</v>
      </c>
      <c r="P18" s="4" t="str">
        <f>IF(INDEX(学年度总表!$P$3:$P$1025,MATCH($E18,学年度总表!$E$3:$E$1025,0))="","",INDEX(学年度总表!$P$3:$P$1025,MATCH($E18,学年度总表!$E$3:$E$1025,0)))</f>
        <v>校三等</v>
      </c>
      <c r="Q18" s="5" t="str">
        <f>IF(INDEX(学年度总表!$Q$3:$Q$1025,MATCH($E18,学年度总表!$E$3:$E$1025,0))="","",INDEX(学年度总表!$Q$3:$Q$1025,MATCH($E18,学年度总表!$E$3:$E$1025,0)))</f>
        <v/>
      </c>
    </row>
    <row r="19" spans="1:17">
      <c r="A19" s="2">
        <f>IF(INDEX(学年度总表!$A$3:$A$1025,MATCH($E19,学年度总表!$E$3:$E$1025,0))="","",INDEX(学年度总表!$A$3:$A$1025,MATCH($E19,学年度总表!$E$3:$E$1025,0)))</f>
        <v>68</v>
      </c>
      <c r="B19" s="2">
        <f>IF(INDEX(学年度总表!$B$3:$B$1025,MATCH($E19,学年度总表!$E$3:$E$1025,0))="","",INDEX(学年度总表!$B$3:$B$1025,MATCH($E19,学年度总表!$E$3:$E$1025,0)))</f>
        <v>17</v>
      </c>
      <c r="C19" s="2" t="str">
        <f>IF(INDEX(学年度总表!$C$3:$C$1025,MATCH($E19,学年度总表!$E$3:$E$1025,0))="","",INDEX(学年度总表!$C$3:$C$1025,MATCH($E19,学年度总表!$E$3:$E$1025,0)))</f>
        <v>计科</v>
      </c>
      <c r="D19" s="2" t="str">
        <f>IF(INDEX(学年度总表!$D$3:$D$1025,MATCH($E19,学年度总表!$E$3:$E$1025,0))="","",INDEX(学年度总表!$D$3:$D$1025,MATCH($E19,学年度总表!$E$3:$E$1025,0)))</f>
        <v>计科四班</v>
      </c>
      <c r="E19" s="2" t="s">
        <v>184</v>
      </c>
      <c r="F19" s="2" t="str">
        <f>IF(INDEX(学年度总表!$F$3:$F$1025,MATCH($E19,学年度总表!$E$3:$E$1025,0))="","",INDEX(学年度总表!$F$3:$F$1025,MATCH($E19,学年度总表!$E$3:$E$1025,0)))</f>
        <v>蔡柯丞</v>
      </c>
      <c r="G19" s="3">
        <f>IF(INDEX(学年度总表!$G$3:$G$1025,MATCH($E19,学年度总表!$E$3:$E$1025,0))="","",INDEX(学年度总表!$G$3:$G$1025,MATCH($E19,学年度总表!$E$3:$E$1025,0)))</f>
        <v>10</v>
      </c>
      <c r="H19" s="3">
        <f>IF(INDEX(学年度总表!$H$3:$H$1025,MATCH($E19,学年度总表!$E$3:$E$1025,0))="","",INDEX(学年度总表!$H$3:$H$1025,MATCH($E19,学年度总表!$E$3:$E$1025,0)))</f>
        <v>65.914634146341498</v>
      </c>
      <c r="I19" s="3">
        <f>IF(INDEX(学年度总表!$I$3:$I$1025,MATCH($E19,学年度总表!$E$3:$E$1025,0))="","",INDEX(学年度总表!$I$3:$I$1025,MATCH($E19,学年度总表!$E$3:$E$1025,0)))</f>
        <v>4</v>
      </c>
      <c r="J19" s="3">
        <f>IF(INDEX(学年度总表!$J$3:$J$1025,MATCH($E19,学年度总表!$E$3:$E$1025,0))="","",INDEX(学年度总表!$J$3:$J$1025,MATCH($E19,学年度总表!$E$3:$E$1025,0)))</f>
        <v>79.91</v>
      </c>
      <c r="K19" s="3">
        <f>IF(INDEX(学年度总表!$K$3:$K$1025,MATCH($E19,学年度总表!$E$3:$E$1025,0))="","",INDEX(学年度总表!$K$3:$K$1025,MATCH($E19,学年度总表!$E$3:$E$1025,0)))</f>
        <v>10</v>
      </c>
      <c r="L19" s="3">
        <f>IF(INDEX(学年度总表!$L$3:$L$1025,MATCH($E19,学年度总表!$E$3:$E$1025,0))="","",INDEX(学年度总表!$L$3:$L$1025,MATCH($E19,学年度总表!$E$3:$E$1025,0)))</f>
        <v>66.86</v>
      </c>
      <c r="M19" s="3">
        <f>IF(INDEX(学年度总表!$M$3:$M$1025,MATCH($E19,学年度总表!$E$3:$E$1025,0))="","",INDEX(学年度总表!$M$3:$M$1025,MATCH($E19,学年度总表!$E$3:$E$1025,0)))</f>
        <v>4.5</v>
      </c>
      <c r="N19" s="3">
        <f>IF(INDEX(学年度总表!$N$3:$N$1025,MATCH($E19,学年度总表!$E$3:$E$1025,0))="","",INDEX(学年度总表!$N$3:$N$1025,MATCH($E19,学年度总表!$E$3:$E$1025,0)))</f>
        <v>81.36</v>
      </c>
      <c r="O19" s="3">
        <f>IF(INDEX(学年度总表!$O$3:$O$1025,MATCH($E19,学年度总表!$E$3:$E$1025,0))="","",INDEX(学年度总表!$O$3:$O$1025,MATCH($E19,学年度总表!$E$3:$E$1025,0)))</f>
        <v>161.27000000000001</v>
      </c>
      <c r="P19" s="4" t="str">
        <f>IF(INDEX(学年度总表!$P$3:$P$1025,MATCH($E19,学年度总表!$E$3:$E$1025,0))="","",INDEX(学年度总表!$P$3:$P$1025,MATCH($E19,学年度总表!$E$3:$E$1025,0)))</f>
        <v>校三等</v>
      </c>
      <c r="Q19" s="5" t="str">
        <f>IF(INDEX(学年度总表!$Q$3:$Q$1025,MATCH($E19,学年度总表!$E$3:$E$1025,0))="","",INDEX(学年度总表!$Q$3:$Q$1025,MATCH($E19,学年度总表!$E$3:$E$1025,0)))</f>
        <v/>
      </c>
    </row>
    <row r="20" spans="1:17">
      <c r="A20" s="2">
        <f>IF(INDEX(学年度总表!$A$3:$A$1025,MATCH($E20,学年度总表!$E$3:$E$1025,0))="","",INDEX(学年度总表!$A$3:$A$1025,MATCH($E20,学年度总表!$E$3:$E$1025,0)))</f>
        <v>69</v>
      </c>
      <c r="B20" s="2">
        <f>IF(INDEX(学年度总表!$B$3:$B$1025,MATCH($E20,学年度总表!$E$3:$E$1025,0))="","",INDEX(学年度总表!$B$3:$B$1025,MATCH($E20,学年度总表!$E$3:$E$1025,0)))</f>
        <v>18</v>
      </c>
      <c r="C20" s="2" t="str">
        <f>IF(INDEX(学年度总表!$C$3:$C$1025,MATCH($E20,学年度总表!$E$3:$E$1025,0))="","",INDEX(学年度总表!$C$3:$C$1025,MATCH($E20,学年度总表!$E$3:$E$1025,0)))</f>
        <v>计科</v>
      </c>
      <c r="D20" s="2" t="str">
        <f>IF(INDEX(学年度总表!$D$3:$D$1025,MATCH($E20,学年度总表!$E$3:$E$1025,0))="","",INDEX(学年度总表!$D$3:$D$1025,MATCH($E20,学年度总表!$E$3:$E$1025,0)))</f>
        <v>计科四班</v>
      </c>
      <c r="E20" s="2" t="s">
        <v>186</v>
      </c>
      <c r="F20" s="2" t="str">
        <f>IF(INDEX(学年度总表!$F$3:$F$1025,MATCH($E20,学年度总表!$E$3:$E$1025,0))="","",INDEX(学年度总表!$F$3:$F$1025,MATCH($E20,学年度总表!$E$3:$E$1025,0)))</f>
        <v>肖遥</v>
      </c>
      <c r="G20" s="3">
        <f>IF(INDEX(学年度总表!$G$3:$G$1025,MATCH($E20,学年度总表!$E$3:$E$1025,0))="","",INDEX(学年度总表!$G$3:$G$1025,MATCH($E20,学年度总表!$E$3:$E$1025,0)))</f>
        <v>9.8000000000000007</v>
      </c>
      <c r="H20" s="3">
        <f>IF(INDEX(学年度总表!$H$3:$H$1025,MATCH($E20,学年度总表!$E$3:$E$1025,0))="","",INDEX(学年度总表!$H$3:$H$1025,MATCH($E20,学年度总表!$E$3:$E$1025,0)))</f>
        <v>66.536585365853696</v>
      </c>
      <c r="I20" s="3">
        <f>IF(INDEX(学年度总表!$I$3:$I$1025,MATCH($E20,学年度总表!$E$3:$E$1025,0))="","",INDEX(学年度总表!$I$3:$I$1025,MATCH($E20,学年度总表!$E$3:$E$1025,0)))</f>
        <v>4.4000000000000004</v>
      </c>
      <c r="J20" s="3">
        <f>IF(INDEX(学年度总表!$J$3:$J$1025,MATCH($E20,学年度总表!$E$3:$E$1025,0))="","",INDEX(学年度总表!$J$3:$J$1025,MATCH($E20,学年度总表!$E$3:$E$1025,0)))</f>
        <v>80.739999999999995</v>
      </c>
      <c r="K20" s="3">
        <f>IF(INDEX(学年度总表!$K$3:$K$1025,MATCH($E20,学年度总表!$E$3:$E$1025,0))="","",INDEX(学年度总表!$K$3:$K$1025,MATCH($E20,学年度总表!$E$3:$E$1025,0)))</f>
        <v>9.8000000000000007</v>
      </c>
      <c r="L20" s="3">
        <f>IF(INDEX(学年度总表!$L$3:$L$1025,MATCH($E20,学年度总表!$E$3:$E$1025,0))="","",INDEX(学年度总表!$L$3:$L$1025,MATCH($E20,学年度总表!$E$3:$E$1025,0)))</f>
        <v>66.12</v>
      </c>
      <c r="M20" s="3">
        <f>IF(INDEX(学年度总表!$M$3:$M$1025,MATCH($E20,学年度总表!$E$3:$E$1025,0))="","",INDEX(学年度总表!$M$3:$M$1025,MATCH($E20,学年度总表!$E$3:$E$1025,0)))</f>
        <v>4.5999999999999996</v>
      </c>
      <c r="N20" s="3">
        <f>IF(INDEX(学年度总表!$N$3:$N$1025,MATCH($E20,学年度总表!$E$3:$E$1025,0))="","",INDEX(学年度总表!$N$3:$N$1025,MATCH($E20,学年度总表!$E$3:$E$1025,0)))</f>
        <v>80.52</v>
      </c>
      <c r="O20" s="3">
        <f>IF(INDEX(学年度总表!$O$3:$O$1025,MATCH($E20,学年度总表!$E$3:$E$1025,0))="","",INDEX(学年度总表!$O$3:$O$1025,MATCH($E20,学年度总表!$E$3:$E$1025,0)))</f>
        <v>161.26</v>
      </c>
      <c r="P20" s="4" t="str">
        <f>IF(INDEX(学年度总表!$P$3:$P$1025,MATCH($E20,学年度总表!$E$3:$E$1025,0))="","",INDEX(学年度总表!$P$3:$P$1025,MATCH($E20,学年度总表!$E$3:$E$1025,0)))</f>
        <v>国励</v>
      </c>
      <c r="Q20" s="5" t="str">
        <f>IF(INDEX(学年度总表!$Q$3:$Q$1025,MATCH($E20,学年度总表!$E$3:$E$1025,0))="","",INDEX(学年度总表!$Q$3:$Q$1025,MATCH($E20,学年度总表!$E$3:$E$1025,0)))</f>
        <v/>
      </c>
    </row>
    <row r="21" spans="1:17">
      <c r="A21" s="2">
        <f>IF(INDEX(学年度总表!$A$3:$A$1025,MATCH($E21,学年度总表!$E$3:$E$1025,0))="","",INDEX(学年度总表!$A$3:$A$1025,MATCH($E21,学年度总表!$E$3:$E$1025,0)))</f>
        <v>77</v>
      </c>
      <c r="B21" s="2">
        <f>IF(INDEX(学年度总表!$B$3:$B$1025,MATCH($E21,学年度总表!$E$3:$E$1025,0))="","",INDEX(学年度总表!$B$3:$B$1025,MATCH($E21,学年度总表!$E$3:$E$1025,0)))</f>
        <v>19</v>
      </c>
      <c r="C21" s="2" t="str">
        <f>IF(INDEX(学年度总表!$C$3:$C$1025,MATCH($E21,学年度总表!$E$3:$E$1025,0))="","",INDEX(学年度总表!$C$3:$C$1025,MATCH($E21,学年度总表!$E$3:$E$1025,0)))</f>
        <v>计科</v>
      </c>
      <c r="D21" s="2" t="str">
        <f>IF(INDEX(学年度总表!$D$3:$D$1025,MATCH($E21,学年度总表!$E$3:$E$1025,0))="","",INDEX(学年度总表!$D$3:$D$1025,MATCH($E21,学年度总表!$E$3:$E$1025,0)))</f>
        <v>计科三班</v>
      </c>
      <c r="E21" s="2" t="s">
        <v>204</v>
      </c>
      <c r="F21" s="2" t="str">
        <f>IF(INDEX(学年度总表!$F$3:$F$1025,MATCH($E21,学年度总表!$E$3:$E$1025,0))="","",INDEX(学年度总表!$F$3:$F$1025,MATCH($E21,学年度总表!$E$3:$E$1025,0)))</f>
        <v>孙畅研</v>
      </c>
      <c r="G21" s="3">
        <f>IF(INDEX(学年度总表!$G$3:$G$1025,MATCH($E21,学年度总表!$E$3:$E$1025,0))="","",INDEX(学年度总表!$G$3:$G$1025,MATCH($E21,学年度总表!$E$3:$E$1025,0)))</f>
        <v>10.3</v>
      </c>
      <c r="H21" s="3">
        <f>IF(INDEX(学年度总表!$H$3:$H$1025,MATCH($E21,学年度总表!$E$3:$E$1025,0))="","",INDEX(学年度总表!$H$3:$H$1025,MATCH($E21,学年度总表!$E$3:$E$1025,0)))</f>
        <v>69.402439024390205</v>
      </c>
      <c r="I21" s="3">
        <f>IF(INDEX(学年度总表!$I$3:$I$1025,MATCH($E21,学年度总表!$E$3:$E$1025,0))="","",INDEX(学年度总表!$I$3:$I$1025,MATCH($E21,学年度总表!$E$3:$E$1025,0)))</f>
        <v>4.2</v>
      </c>
      <c r="J21" s="3">
        <f>IF(INDEX(学年度总表!$J$3:$J$1025,MATCH($E21,学年度总表!$E$3:$E$1025,0))="","",INDEX(学年度总表!$J$3:$J$1025,MATCH($E21,学年度总表!$E$3:$E$1025,0)))</f>
        <v>83.9</v>
      </c>
      <c r="K21" s="3">
        <f>IF(INDEX(学年度总表!$K$3:$K$1025,MATCH($E21,学年度总表!$E$3:$E$1025,0))="","",INDEX(学年度总表!$K$3:$K$1025,MATCH($E21,学年度总表!$E$3:$E$1025,0)))</f>
        <v>10.5</v>
      </c>
      <c r="L21" s="3">
        <f>IF(INDEX(学年度总表!$L$3:$L$1025,MATCH($E21,学年度总表!$E$3:$E$1025,0))="","",INDEX(学年度总表!$L$3:$L$1025,MATCH($E21,学年度总表!$E$3:$E$1025,0)))</f>
        <v>61.36</v>
      </c>
      <c r="M21" s="3">
        <f>IF(INDEX(学年度总表!$M$3:$M$1025,MATCH($E21,学年度总表!$E$3:$E$1025,0))="","",INDEX(学年度总表!$M$3:$M$1025,MATCH($E21,学年度总表!$E$3:$E$1025,0)))</f>
        <v>4.5</v>
      </c>
      <c r="N21" s="3">
        <f>IF(INDEX(学年度总表!$N$3:$N$1025,MATCH($E21,学年度总表!$E$3:$E$1025,0))="","",INDEX(学年度总表!$N$3:$N$1025,MATCH($E21,学年度总表!$E$3:$E$1025,0)))</f>
        <v>76.36</v>
      </c>
      <c r="O21" s="3">
        <f>IF(INDEX(学年度总表!$O$3:$O$1025,MATCH($E21,学年度总表!$E$3:$E$1025,0))="","",INDEX(学年度总表!$O$3:$O$1025,MATCH($E21,学年度总表!$E$3:$E$1025,0)))</f>
        <v>160.26</v>
      </c>
      <c r="P21" s="4" t="str">
        <f>IF(INDEX(学年度总表!$P$3:$P$1025,MATCH($E21,学年度总表!$E$3:$E$1025,0))="","",INDEX(学年度总表!$P$3:$P$1025,MATCH($E21,学年度总表!$E$3:$E$1025,0)))</f>
        <v>校三等</v>
      </c>
      <c r="Q21" s="5" t="str">
        <f>IF(INDEX(学年度总表!$Q$3:$Q$1025,MATCH($E21,学年度总表!$E$3:$E$1025,0))="","",INDEX(学年度总表!$Q$3:$Q$1025,MATCH($E21,学年度总表!$E$3:$E$1025,0)))</f>
        <v/>
      </c>
    </row>
    <row r="22" spans="1:17">
      <c r="A22" s="2">
        <f>IF(INDEX(学年度总表!$A$3:$A$1025,MATCH($E22,学年度总表!$E$3:$E$1025,0))="","",INDEX(学年度总表!$A$3:$A$1025,MATCH($E22,学年度总表!$E$3:$E$1025,0)))</f>
        <v>81</v>
      </c>
      <c r="B22" s="2">
        <f>IF(INDEX(学年度总表!$B$3:$B$1025,MATCH($E22,学年度总表!$E$3:$E$1025,0))="","",INDEX(学年度总表!$B$3:$B$1025,MATCH($E22,学年度总表!$E$3:$E$1025,0)))</f>
        <v>20</v>
      </c>
      <c r="C22" s="2" t="str">
        <f>IF(INDEX(学年度总表!$C$3:$C$1025,MATCH($E22,学年度总表!$E$3:$E$1025,0))="","",INDEX(学年度总表!$C$3:$C$1025,MATCH($E22,学年度总表!$E$3:$E$1025,0)))</f>
        <v>计科</v>
      </c>
      <c r="D22" s="2" t="str">
        <f>IF(INDEX(学年度总表!$D$3:$D$1025,MATCH($E22,学年度总表!$E$3:$E$1025,0))="","",INDEX(学年度总表!$D$3:$D$1025,MATCH($E22,学年度总表!$E$3:$E$1025,0)))</f>
        <v>计科二班</v>
      </c>
      <c r="E22" s="2" t="s">
        <v>212</v>
      </c>
      <c r="F22" s="2" t="str">
        <f>IF(INDEX(学年度总表!$F$3:$F$1025,MATCH($E22,学年度总表!$E$3:$E$1025,0))="","",INDEX(学年度总表!$F$3:$F$1025,MATCH($E22,学年度总表!$E$3:$E$1025,0)))</f>
        <v>董家贝</v>
      </c>
      <c r="G22" s="3">
        <f>IF(INDEX(学年度总表!$G$3:$G$1025,MATCH($E22,学年度总表!$E$3:$E$1025,0))="","",INDEX(学年度总表!$G$3:$G$1025,MATCH($E22,学年度总表!$E$3:$E$1025,0)))</f>
        <v>11</v>
      </c>
      <c r="H22" s="3">
        <f>IF(INDEX(学年度总表!$H$3:$H$1025,MATCH($E22,学年度总表!$E$3:$E$1025,0))="","",INDEX(学年度总表!$H$3:$H$1025,MATCH($E22,学年度总表!$E$3:$E$1025,0)))</f>
        <v>62.9</v>
      </c>
      <c r="I22" s="3">
        <f>IF(INDEX(学年度总表!$I$3:$I$1025,MATCH($E22,学年度总表!$E$3:$E$1025,0))="","",INDEX(学年度总表!$I$3:$I$1025,MATCH($E22,学年度总表!$E$3:$E$1025,0)))</f>
        <v>5.9</v>
      </c>
      <c r="J22" s="3">
        <f>IF(INDEX(学年度总表!$J$3:$J$1025,MATCH($E22,学年度总表!$E$3:$E$1025,0))="","",INDEX(学年度总表!$J$3:$J$1025,MATCH($E22,学年度总表!$E$3:$E$1025,0)))</f>
        <v>79.8</v>
      </c>
      <c r="K22" s="3">
        <f>IF(INDEX(学年度总表!$K$3:$K$1025,MATCH($E22,学年度总表!$E$3:$E$1025,0))="","",INDEX(学年度总表!$K$3:$K$1025,MATCH($E22,学年度总表!$E$3:$E$1025,0)))</f>
        <v>10</v>
      </c>
      <c r="L22" s="3">
        <f>IF(INDEX(学年度总表!$L$3:$L$1025,MATCH($E22,学年度总表!$E$3:$E$1025,0))="","",INDEX(学年度总表!$L$3:$L$1025,MATCH($E22,学年度总表!$E$3:$E$1025,0)))</f>
        <v>62.93</v>
      </c>
      <c r="M22" s="3">
        <f>IF(INDEX(学年度总表!$M$3:$M$1025,MATCH($E22,学年度总表!$E$3:$E$1025,0))="","",INDEX(学年度总表!$M$3:$M$1025,MATCH($E22,学年度总表!$E$3:$E$1025,0)))</f>
        <v>7.05</v>
      </c>
      <c r="N22" s="3">
        <f>IF(INDEX(学年度总表!$N$3:$N$1025,MATCH($E22,学年度总表!$E$3:$E$1025,0))="","",INDEX(学年度总表!$N$3:$N$1025,MATCH($E22,学年度总表!$E$3:$E$1025,0)))</f>
        <v>79.98</v>
      </c>
      <c r="O22" s="3">
        <f>IF(INDEX(学年度总表!$O$3:$O$1025,MATCH($E22,学年度总表!$E$3:$E$1025,0))="","",INDEX(学年度总表!$O$3:$O$1025,MATCH($E22,学年度总表!$E$3:$E$1025,0)))</f>
        <v>159.78</v>
      </c>
      <c r="P22" s="4" t="str">
        <f>IF(INDEX(学年度总表!$P$3:$P$1025,MATCH($E22,学年度总表!$E$3:$E$1025,0))="","",INDEX(学年度总表!$P$3:$P$1025,MATCH($E22,学年度总表!$E$3:$E$1025,0)))</f>
        <v>校三等</v>
      </c>
      <c r="Q22" s="5" t="str">
        <f>IF(INDEX(学年度总表!$Q$3:$Q$1025,MATCH($E22,学年度总表!$E$3:$E$1025,0))="","",INDEX(学年度总表!$Q$3:$Q$1025,MATCH($E22,学年度总表!$E$3:$E$1025,0)))</f>
        <v/>
      </c>
    </row>
    <row r="23" spans="1:17">
      <c r="A23" s="2">
        <f>IF(INDEX(学年度总表!$A$3:$A$1025,MATCH($E23,学年度总表!$E$3:$E$1025,0))="","",INDEX(学年度总表!$A$3:$A$1025,MATCH($E23,学年度总表!$E$3:$E$1025,0)))</f>
        <v>84</v>
      </c>
      <c r="B23" s="2">
        <f>IF(INDEX(学年度总表!$B$3:$B$1025,MATCH($E23,学年度总表!$E$3:$E$1025,0))="","",INDEX(学年度总表!$B$3:$B$1025,MATCH($E23,学年度总表!$E$3:$E$1025,0)))</f>
        <v>21</v>
      </c>
      <c r="C23" s="2" t="str">
        <f>IF(INDEX(学年度总表!$C$3:$C$1025,MATCH($E23,学年度总表!$E$3:$E$1025,0))="","",INDEX(学年度总表!$C$3:$C$1025,MATCH($E23,学年度总表!$E$3:$E$1025,0)))</f>
        <v>计科</v>
      </c>
      <c r="D23" s="2" t="str">
        <f>IF(INDEX(学年度总表!$D$3:$D$1025,MATCH($E23,学年度总表!$E$3:$E$1025,0))="","",INDEX(学年度总表!$D$3:$D$1025,MATCH($E23,学年度总表!$E$3:$E$1025,0)))</f>
        <v>计科一班</v>
      </c>
      <c r="E23" s="2" t="s">
        <v>218</v>
      </c>
      <c r="F23" s="2" t="str">
        <f>IF(INDEX(学年度总表!$F$3:$F$1025,MATCH($E23,学年度总表!$E$3:$E$1025,0))="","",INDEX(学年度总表!$F$3:$F$1025,MATCH($E23,学年度总表!$E$3:$E$1025,0)))</f>
        <v>严钦</v>
      </c>
      <c r="G23" s="3">
        <f>IF(INDEX(学年度总表!$G$3:$G$1025,MATCH($E23,学年度总表!$E$3:$E$1025,0))="","",INDEX(学年度总表!$G$3:$G$1025,MATCH($E23,学年度总表!$E$3:$E$1025,0)))</f>
        <v>9.8000000000000007</v>
      </c>
      <c r="H23" s="3">
        <f>IF(INDEX(学年度总表!$H$3:$H$1025,MATCH($E23,学年度总表!$E$3:$E$1025,0))="","",INDEX(学年度总表!$H$3:$H$1025,MATCH($E23,学年度总表!$E$3:$E$1025,0)))</f>
        <v>68.599999999999994</v>
      </c>
      <c r="I23" s="3">
        <f>IF(INDEX(学年度总表!$I$3:$I$1025,MATCH($E23,学年度总表!$E$3:$E$1025,0))="","",INDEX(学年度总表!$I$3:$I$1025,MATCH($E23,学年度总表!$E$3:$E$1025,0)))</f>
        <v>3</v>
      </c>
      <c r="J23" s="3">
        <f>IF(INDEX(学年度总表!$J$3:$J$1025,MATCH($E23,学年度总表!$E$3:$E$1025,0))="","",INDEX(学年度总表!$J$3:$J$1025,MATCH($E23,学年度总表!$E$3:$E$1025,0)))</f>
        <v>81.400000000000006</v>
      </c>
      <c r="K23" s="3">
        <f>IF(INDEX(学年度总表!$K$3:$K$1025,MATCH($E23,学年度总表!$E$3:$E$1025,0))="","",INDEX(学年度总表!$K$3:$K$1025,MATCH($E23,学年度总表!$E$3:$E$1025,0)))</f>
        <v>9.8000000000000007</v>
      </c>
      <c r="L23" s="3">
        <f>IF(INDEX(学年度总表!$L$3:$L$1025,MATCH($E23,学年度总表!$E$3:$E$1025,0))="","",INDEX(学年度总表!$L$3:$L$1025,MATCH($E23,学年度总表!$E$3:$E$1025,0)))</f>
        <v>64.540000000000006</v>
      </c>
      <c r="M23" s="3">
        <f>IF(INDEX(学年度总表!$M$3:$M$1025,MATCH($E23,学年度总表!$E$3:$E$1025,0))="","",INDEX(学年度总表!$M$3:$M$1025,MATCH($E23,学年度总表!$E$3:$E$1025,0)))</f>
        <v>3.5</v>
      </c>
      <c r="N23" s="3">
        <f>IF(INDEX(学年度总表!$N$3:$N$1025,MATCH($E23,学年度总表!$E$3:$E$1025,0))="","",INDEX(学年度总表!$N$3:$N$1025,MATCH($E23,学年度总表!$E$3:$E$1025,0)))</f>
        <v>77.84</v>
      </c>
      <c r="O23" s="3">
        <f>IF(INDEX(学年度总表!$O$3:$O$1025,MATCH($E23,学年度总表!$E$3:$E$1025,0))="","",INDEX(学年度总表!$O$3:$O$1025,MATCH($E23,学年度总表!$E$3:$E$1025,0)))</f>
        <v>159.24</v>
      </c>
      <c r="P23" s="4" t="str">
        <f>IF(INDEX(学年度总表!$P$3:$P$1025,MATCH($E23,学年度总表!$E$3:$E$1025,0))="","",INDEX(学年度总表!$P$3:$P$1025,MATCH($E23,学年度总表!$E$3:$E$1025,0)))</f>
        <v>校三等</v>
      </c>
      <c r="Q23" s="5" t="str">
        <f>IF(INDEX(学年度总表!$Q$3:$Q$1025,MATCH($E23,学年度总表!$E$3:$E$1025,0))="","",INDEX(学年度总表!$Q$3:$Q$1025,MATCH($E23,学年度总表!$E$3:$E$1025,0)))</f>
        <v/>
      </c>
    </row>
    <row r="24" spans="1:17">
      <c r="A24" s="2">
        <f>IF(INDEX(学年度总表!$A$3:$A$1025,MATCH($E24,学年度总表!$E$3:$E$1025,0))="","",INDEX(学年度总表!$A$3:$A$1025,MATCH($E24,学年度总表!$E$3:$E$1025,0)))</f>
        <v>86</v>
      </c>
      <c r="B24" s="2">
        <f>IF(INDEX(学年度总表!$B$3:$B$1025,MATCH($E24,学年度总表!$E$3:$E$1025,0))="","",INDEX(学年度总表!$B$3:$B$1025,MATCH($E24,学年度总表!$E$3:$E$1025,0)))</f>
        <v>22</v>
      </c>
      <c r="C24" s="2" t="str">
        <f>IF(INDEX(学年度总表!$C$3:$C$1025,MATCH($E24,学年度总表!$E$3:$E$1025,0))="","",INDEX(学年度总表!$C$3:$C$1025,MATCH($E24,学年度总表!$E$3:$E$1025,0)))</f>
        <v>计科</v>
      </c>
      <c r="D24" s="2" t="str">
        <f>IF(INDEX(学年度总表!$D$3:$D$1025,MATCH($E24,学年度总表!$E$3:$E$1025,0))="","",INDEX(学年度总表!$D$3:$D$1025,MATCH($E24,学年度总表!$E$3:$E$1025,0)))</f>
        <v>计科二班</v>
      </c>
      <c r="E24" s="2" t="s">
        <v>223</v>
      </c>
      <c r="F24" s="2" t="str">
        <f>IF(INDEX(学年度总表!$F$3:$F$1025,MATCH($E24,学年度总表!$E$3:$E$1025,0))="","",INDEX(学年度总表!$F$3:$F$1025,MATCH($E24,学年度总表!$E$3:$E$1025,0)))</f>
        <v>杨瑞</v>
      </c>
      <c r="G24" s="3">
        <f>IF(INDEX(学年度总表!$G$3:$G$1025,MATCH($E24,学年度总表!$E$3:$E$1025,0))="","",INDEX(学年度总表!$G$3:$G$1025,MATCH($E24,学年度总表!$E$3:$E$1025,0)))</f>
        <v>11</v>
      </c>
      <c r="H24" s="3">
        <f>IF(INDEX(学年度总表!$H$3:$H$1025,MATCH($E24,学年度总表!$E$3:$E$1025,0))="","",INDEX(学年度总表!$H$3:$H$1025,MATCH($E24,学年度总表!$E$3:$E$1025,0)))</f>
        <v>67.695121951219505</v>
      </c>
      <c r="I24" s="3">
        <f>IF(INDEX(学年度总表!$I$3:$I$1025,MATCH($E24,学年度总表!$E$3:$E$1025,0))="","",INDEX(学年度总表!$I$3:$I$1025,MATCH($E24,学年度总表!$E$3:$E$1025,0)))</f>
        <v>4</v>
      </c>
      <c r="J24" s="3">
        <f>IF(INDEX(学年度总表!$J$3:$J$1025,MATCH($E24,学年度总表!$E$3:$E$1025,0))="","",INDEX(学年度总表!$J$3:$J$1025,MATCH($E24,学年度总表!$E$3:$E$1025,0)))</f>
        <v>82.7</v>
      </c>
      <c r="K24" s="3">
        <f>IF(INDEX(学年度总表!$K$3:$K$1025,MATCH($E24,学年度总表!$E$3:$E$1025,0))="","",INDEX(学年度总表!$K$3:$K$1025,MATCH($E24,学年度总表!$E$3:$E$1025,0)))</f>
        <v>10</v>
      </c>
      <c r="L24" s="3">
        <f>IF(INDEX(学年度总表!$L$3:$L$1025,MATCH($E24,学年度总表!$E$3:$E$1025,0))="","",INDEX(学年度总表!$L$3:$L$1025,MATCH($E24,学年度总表!$E$3:$E$1025,0)))</f>
        <v>62</v>
      </c>
      <c r="M24" s="3">
        <f>IF(INDEX(学年度总表!$M$3:$M$1025,MATCH($E24,学年度总表!$E$3:$E$1025,0))="","",INDEX(学年度总表!$M$3:$M$1025,MATCH($E24,学年度总表!$E$3:$E$1025,0)))</f>
        <v>4.5</v>
      </c>
      <c r="N24" s="3">
        <f>IF(INDEX(学年度总表!$N$3:$N$1025,MATCH($E24,学年度总表!$E$3:$E$1025,0))="","",INDEX(学年度总表!$N$3:$N$1025,MATCH($E24,学年度总表!$E$3:$E$1025,0)))</f>
        <v>76.5</v>
      </c>
      <c r="O24" s="3">
        <f>IF(INDEX(学年度总表!$O$3:$O$1025,MATCH($E24,学年度总表!$E$3:$E$1025,0))="","",INDEX(学年度总表!$O$3:$O$1025,MATCH($E24,学年度总表!$E$3:$E$1025,0)))</f>
        <v>159.19999999999999</v>
      </c>
      <c r="P24" s="4" t="str">
        <f>IF(INDEX(学年度总表!$P$3:$P$1025,MATCH($E24,学年度总表!$E$3:$E$1025,0))="","",INDEX(学年度总表!$P$3:$P$1025,MATCH($E24,学年度总表!$E$3:$E$1025,0)))</f>
        <v>校三等</v>
      </c>
      <c r="Q24" s="5" t="str">
        <f>IF(INDEX(学年度总表!$Q$3:$Q$1025,MATCH($E24,学年度总表!$E$3:$E$1025,0))="","",INDEX(学年度总表!$Q$3:$Q$1025,MATCH($E24,学年度总表!$E$3:$E$1025,0)))</f>
        <v/>
      </c>
    </row>
    <row r="25" spans="1:17">
      <c r="A25" s="2">
        <f>IF(INDEX(学年度总表!$A$3:$A$1025,MATCH($E25,学年度总表!$E$3:$E$1025,0))="","",INDEX(学年度总表!$A$3:$A$1025,MATCH($E25,学年度总表!$E$3:$E$1025,0)))</f>
        <v>91</v>
      </c>
      <c r="B25" s="2">
        <f>IF(INDEX(学年度总表!$B$3:$B$1025,MATCH($E25,学年度总表!$E$3:$E$1025,0))="","",INDEX(学年度总表!$B$3:$B$1025,MATCH($E25,学年度总表!$E$3:$E$1025,0)))</f>
        <v>23</v>
      </c>
      <c r="C25" s="2" t="str">
        <f>IF(INDEX(学年度总表!$C$3:$C$1025,MATCH($E25,学年度总表!$E$3:$E$1025,0))="","",INDEX(学年度总表!$C$3:$C$1025,MATCH($E25,学年度总表!$E$3:$E$1025,0)))</f>
        <v>计科</v>
      </c>
      <c r="D25" s="2" t="str">
        <f>IF(INDEX(学年度总表!$D$3:$D$1025,MATCH($E25,学年度总表!$E$3:$E$1025,0))="","",INDEX(学年度总表!$D$3:$D$1025,MATCH($E25,学年度总表!$E$3:$E$1025,0)))</f>
        <v>计科二班</v>
      </c>
      <c r="E25" s="2" t="s">
        <v>235</v>
      </c>
      <c r="F25" s="2" t="str">
        <f>IF(INDEX(学年度总表!$F$3:$F$1025,MATCH($E25,学年度总表!$E$3:$E$1025,0))="","",INDEX(学年度总表!$F$3:$F$1025,MATCH($E25,学年度总表!$E$3:$E$1025,0)))</f>
        <v>张讯歌</v>
      </c>
      <c r="G25" s="3">
        <f>IF(INDEX(学年度总表!$G$3:$G$1025,MATCH($E25,学年度总表!$E$3:$E$1025,0))="","",INDEX(学年度总表!$G$3:$G$1025,MATCH($E25,学年度总表!$E$3:$E$1025,0)))</f>
        <v>9.8000000000000007</v>
      </c>
      <c r="H25" s="3">
        <f>IF(INDEX(学年度总表!$H$3:$H$1025,MATCH($E25,学年度总表!$E$3:$E$1025,0))="","",INDEX(学年度总表!$H$3:$H$1025,MATCH($E25,学年度总表!$E$3:$E$1025,0)))</f>
        <v>66.195121951219505</v>
      </c>
      <c r="I25" s="3">
        <f>IF(INDEX(学年度总表!$I$3:$I$1025,MATCH($E25,学年度总表!$E$3:$E$1025,0))="","",INDEX(学年度总表!$I$3:$I$1025,MATCH($E25,学年度总表!$E$3:$E$1025,0)))</f>
        <v>5.0999999999999996</v>
      </c>
      <c r="J25" s="3">
        <f>IF(INDEX(学年度总表!$J$3:$J$1025,MATCH($E25,学年度总表!$E$3:$E$1025,0))="","",INDEX(学年度总表!$J$3:$J$1025,MATCH($E25,学年度总表!$E$3:$E$1025,0)))</f>
        <v>81.099999999999994</v>
      </c>
      <c r="K25" s="3">
        <f>IF(INDEX(学年度总表!$K$3:$K$1025,MATCH($E25,学年度总表!$E$3:$E$1025,0))="","",INDEX(学年度总表!$K$3:$K$1025,MATCH($E25,学年度总表!$E$3:$E$1025,0)))</f>
        <v>9.8000000000000007</v>
      </c>
      <c r="L25" s="3">
        <f>IF(INDEX(学年度总表!$L$3:$L$1025,MATCH($E25,学年度总表!$E$3:$E$1025,0))="","",INDEX(学年度总表!$L$3:$L$1025,MATCH($E25,学年度总表!$E$3:$E$1025,0)))</f>
        <v>63.47</v>
      </c>
      <c r="M25" s="3">
        <f>IF(INDEX(学年度总表!$M$3:$M$1025,MATCH($E25,学年度总表!$E$3:$E$1025,0))="","",INDEX(学年度总表!$M$3:$M$1025,MATCH($E25,学年度总表!$E$3:$E$1025,0)))</f>
        <v>4.3</v>
      </c>
      <c r="N25" s="3">
        <f>IF(INDEX(学年度总表!$N$3:$N$1025,MATCH($E25,学年度总表!$E$3:$E$1025,0))="","",INDEX(学年度总表!$N$3:$N$1025,MATCH($E25,学年度总表!$E$3:$E$1025,0)))</f>
        <v>77.569999999999993</v>
      </c>
      <c r="O25" s="3">
        <f>IF(INDEX(学年度总表!$O$3:$O$1025,MATCH($E25,学年度总表!$E$3:$E$1025,0))="","",INDEX(学年度总表!$O$3:$O$1025,MATCH($E25,学年度总表!$E$3:$E$1025,0)))</f>
        <v>158.66999999999999</v>
      </c>
      <c r="P25" s="4" t="str">
        <f>IF(INDEX(学年度总表!$P$3:$P$1025,MATCH($E25,学年度总表!$E$3:$E$1025,0))="","",INDEX(学年度总表!$P$3:$P$1025,MATCH($E25,学年度总表!$E$3:$E$1025,0)))</f>
        <v>校三等</v>
      </c>
      <c r="Q25" s="5" t="str">
        <f>IF(INDEX(学年度总表!$Q$3:$Q$1025,MATCH($E25,学年度总表!$E$3:$E$1025,0))="","",INDEX(学年度总表!$Q$3:$Q$1025,MATCH($E25,学年度总表!$E$3:$E$1025,0)))</f>
        <v/>
      </c>
    </row>
    <row r="26" spans="1:17">
      <c r="A26" s="2">
        <f>IF(INDEX(学年度总表!$A$3:$A$1025,MATCH($E26,学年度总表!$E$3:$E$1025,0))="","",INDEX(学年度总表!$A$3:$A$1025,MATCH($E26,学年度总表!$E$3:$E$1025,0)))</f>
        <v>92</v>
      </c>
      <c r="B26" s="2">
        <f>IF(INDEX(学年度总表!$B$3:$B$1025,MATCH($E26,学年度总表!$E$3:$E$1025,0))="","",INDEX(学年度总表!$B$3:$B$1025,MATCH($E26,学年度总表!$E$3:$E$1025,0)))</f>
        <v>24</v>
      </c>
      <c r="C26" s="2" t="str">
        <f>IF(INDEX(学年度总表!$C$3:$C$1025,MATCH($E26,学年度总表!$E$3:$E$1025,0))="","",INDEX(学年度总表!$C$3:$C$1025,MATCH($E26,学年度总表!$E$3:$E$1025,0)))</f>
        <v>计科</v>
      </c>
      <c r="D26" s="2" t="str">
        <f>IF(INDEX(学年度总表!$D$3:$D$1025,MATCH($E26,学年度总表!$E$3:$E$1025,0))="","",INDEX(学年度总表!$D$3:$D$1025,MATCH($E26,学年度总表!$E$3:$E$1025,0)))</f>
        <v>计科二班</v>
      </c>
      <c r="E26" s="2" t="s">
        <v>237</v>
      </c>
      <c r="F26" s="2" t="str">
        <f>IF(INDEX(学年度总表!$F$3:$F$1025,MATCH($E26,学年度总表!$E$3:$E$1025,0))="","",INDEX(学年度总表!$F$3:$F$1025,MATCH($E26,学年度总表!$E$3:$E$1025,0)))</f>
        <v>周小雅</v>
      </c>
      <c r="G26" s="3">
        <f>IF(INDEX(学年度总表!$G$3:$G$1025,MATCH($E26,学年度总表!$E$3:$E$1025,0))="","",INDEX(学年度总表!$G$3:$G$1025,MATCH($E26,学年度总表!$E$3:$E$1025,0)))</f>
        <v>9.8000000000000007</v>
      </c>
      <c r="H26" s="3">
        <f>IF(INDEX(学年度总表!$H$3:$H$1025,MATCH($E26,学年度总表!$E$3:$E$1025,0))="","",INDEX(学年度总表!$H$3:$H$1025,MATCH($E26,学年度总表!$E$3:$E$1025,0)))</f>
        <v>64.548780487804905</v>
      </c>
      <c r="I26" s="3">
        <f>IF(INDEX(学年度总表!$I$3:$I$1025,MATCH($E26,学年度总表!$E$3:$E$1025,0))="","",INDEX(学年度总表!$I$3:$I$1025,MATCH($E26,学年度总表!$E$3:$E$1025,0)))</f>
        <v>4.5</v>
      </c>
      <c r="J26" s="3">
        <f>IF(INDEX(学年度总表!$J$3:$J$1025,MATCH($E26,学年度总表!$E$3:$E$1025,0))="","",INDEX(学年度总表!$J$3:$J$1025,MATCH($E26,学年度总表!$E$3:$E$1025,0)))</f>
        <v>78.849999999999994</v>
      </c>
      <c r="K26" s="3">
        <f>IF(INDEX(学年度总表!$K$3:$K$1025,MATCH($E26,学年度总表!$E$3:$E$1025,0))="","",INDEX(学年度总表!$K$3:$K$1025,MATCH($E26,学年度总表!$E$3:$E$1025,0)))</f>
        <v>9.8000000000000007</v>
      </c>
      <c r="L26" s="3">
        <f>IF(INDEX(学年度总表!$L$3:$L$1025,MATCH($E26,学年度总表!$E$3:$E$1025,0))="","",INDEX(学年度总表!$L$3:$L$1025,MATCH($E26,学年度总表!$E$3:$E$1025,0)))</f>
        <v>65.010000000000005</v>
      </c>
      <c r="M26" s="3">
        <f>IF(INDEX(学年度总表!$M$3:$M$1025,MATCH($E26,学年度总表!$E$3:$E$1025,0))="","",INDEX(学年度总表!$M$3:$M$1025,MATCH($E26,学年度总表!$E$3:$E$1025,0)))</f>
        <v>5</v>
      </c>
      <c r="N26" s="3">
        <f>IF(INDEX(学年度总表!$N$3:$N$1025,MATCH($E26,学年度总表!$E$3:$E$1025,0))="","",INDEX(学年度总表!$N$3:$N$1025,MATCH($E26,学年度总表!$E$3:$E$1025,0)))</f>
        <v>79.81</v>
      </c>
      <c r="O26" s="3">
        <f>IF(INDEX(学年度总表!$O$3:$O$1025,MATCH($E26,学年度总表!$E$3:$E$1025,0))="","",INDEX(学年度总表!$O$3:$O$1025,MATCH($E26,学年度总表!$E$3:$E$1025,0)))</f>
        <v>158.66</v>
      </c>
      <c r="P26" s="4" t="str">
        <f>IF(INDEX(学年度总表!$P$3:$P$1025,MATCH($E26,学年度总表!$E$3:$E$1025,0))="","",INDEX(学年度总表!$P$3:$P$1025,MATCH($E26,学年度总表!$E$3:$E$1025,0)))</f>
        <v>校三等</v>
      </c>
      <c r="Q26" s="5" t="str">
        <f>IF(INDEX(学年度总表!$Q$3:$Q$1025,MATCH($E26,学年度总表!$E$3:$E$1025,0))="","",INDEX(学年度总表!$Q$3:$Q$1025,MATCH($E26,学年度总表!$E$3:$E$1025,0)))</f>
        <v/>
      </c>
    </row>
    <row r="27" spans="1:17">
      <c r="A27" s="2">
        <f>IF(INDEX(学年度总表!$A$3:$A$1025,MATCH($E27,学年度总表!$E$3:$E$1025,0))="","",INDEX(学年度总表!$A$3:$A$1025,MATCH($E27,学年度总表!$E$3:$E$1025,0)))</f>
        <v>98</v>
      </c>
      <c r="B27" s="2">
        <f>IF(INDEX(学年度总表!$B$3:$B$1025,MATCH($E27,学年度总表!$E$3:$E$1025,0))="","",INDEX(学年度总表!$B$3:$B$1025,MATCH($E27,学年度总表!$E$3:$E$1025,0)))</f>
        <v>25</v>
      </c>
      <c r="C27" s="2" t="str">
        <f>IF(INDEX(学年度总表!$C$3:$C$1025,MATCH($E27,学年度总表!$E$3:$E$1025,0))="","",INDEX(学年度总表!$C$3:$C$1025,MATCH($E27,学年度总表!$E$3:$E$1025,0)))</f>
        <v>计科</v>
      </c>
      <c r="D27" s="2" t="str">
        <f>IF(INDEX(学年度总表!$D$3:$D$1025,MATCH($E27,学年度总表!$E$3:$E$1025,0))="","",INDEX(学年度总表!$D$3:$D$1025,MATCH($E27,学年度总表!$E$3:$E$1025,0)))</f>
        <v>计科一班</v>
      </c>
      <c r="E27" s="2" t="s">
        <v>249</v>
      </c>
      <c r="F27" s="2" t="str">
        <f>IF(INDEX(学年度总表!$F$3:$F$1025,MATCH($E27,学年度总表!$E$3:$E$1025,0))="","",INDEX(学年度总表!$F$3:$F$1025,MATCH($E27,学年度总表!$E$3:$E$1025,0)))</f>
        <v>孟珈惠</v>
      </c>
      <c r="G27" s="3">
        <f>IF(INDEX(学年度总表!$G$3:$G$1025,MATCH($E27,学年度总表!$E$3:$E$1025,0))="","",INDEX(学年度总表!$G$3:$G$1025,MATCH($E27,学年度总表!$E$3:$E$1025,0)))</f>
        <v>10</v>
      </c>
      <c r="H27" s="3">
        <f>IF(INDEX(学年度总表!$H$3:$H$1025,MATCH($E27,学年度总表!$E$3:$E$1025,0))="","",INDEX(学年度总表!$H$3:$H$1025,MATCH($E27,学年度总表!$E$3:$E$1025,0)))</f>
        <v>65.3</v>
      </c>
      <c r="I27" s="3">
        <f>IF(INDEX(学年度总表!$I$3:$I$1025,MATCH($E27,学年度总表!$E$3:$E$1025,0))="","",INDEX(学年度总表!$I$3:$I$1025,MATCH($E27,学年度总表!$E$3:$E$1025,0)))</f>
        <v>3</v>
      </c>
      <c r="J27" s="3">
        <f>IF(INDEX(学年度总表!$J$3:$J$1025,MATCH($E27,学年度总表!$E$3:$E$1025,0))="","",INDEX(学年度总表!$J$3:$J$1025,MATCH($E27,学年度总表!$E$3:$E$1025,0)))</f>
        <v>78.3</v>
      </c>
      <c r="K27" s="3">
        <f>IF(INDEX(学年度总表!$K$3:$K$1025,MATCH($E27,学年度总表!$E$3:$E$1025,0))="","",INDEX(学年度总表!$K$3:$K$1025,MATCH($E27,学年度总表!$E$3:$E$1025,0)))</f>
        <v>10</v>
      </c>
      <c r="L27" s="3">
        <f>IF(INDEX(学年度总表!$L$3:$L$1025,MATCH($E27,学年度总表!$E$3:$E$1025,0))="","",INDEX(学年度总表!$L$3:$L$1025,MATCH($E27,学年度总表!$E$3:$E$1025,0)))</f>
        <v>65.260000000000005</v>
      </c>
      <c r="M27" s="3">
        <f>IF(INDEX(学年度总表!$M$3:$M$1025,MATCH($E27,学年度总表!$E$3:$E$1025,0))="","",INDEX(学年度总表!$M$3:$M$1025,MATCH($E27,学年度总表!$E$3:$E$1025,0)))</f>
        <v>4.4000000000000004</v>
      </c>
      <c r="N27" s="3">
        <f>IF(INDEX(学年度总表!$N$3:$N$1025,MATCH($E27,学年度总表!$E$3:$E$1025,0))="","",INDEX(学年度总表!$N$3:$N$1025,MATCH($E27,学年度总表!$E$3:$E$1025,0)))</f>
        <v>79.66</v>
      </c>
      <c r="O27" s="3">
        <f>IF(INDEX(学年度总表!$O$3:$O$1025,MATCH($E27,学年度总表!$E$3:$E$1025,0))="","",INDEX(学年度总表!$O$3:$O$1025,MATCH($E27,学年度总表!$E$3:$E$1025,0)))</f>
        <v>157.96</v>
      </c>
      <c r="P27" s="2" t="str">
        <f>IF(INDEX(学年度总表!$P$3:$P$1025,MATCH($E27,学年度总表!$E$3:$E$1025,0))="","",INDEX(学年度总表!$P$3:$P$1025,MATCH($E27,学年度总表!$E$3:$E$1025,0)))</f>
        <v/>
      </c>
      <c r="Q27" s="5" t="str">
        <f>IF(INDEX(学年度总表!$Q$3:$Q$1025,MATCH($E27,学年度总表!$E$3:$E$1025,0))="","",INDEX(学年度总表!$Q$3:$Q$1025,MATCH($E27,学年度总表!$E$3:$E$1025,0)))</f>
        <v/>
      </c>
    </row>
    <row r="28" spans="1:17">
      <c r="A28" s="2">
        <f>IF(INDEX(学年度总表!$A$3:$A$1025,MATCH($E28,学年度总表!$E$3:$E$1025,0))="","",INDEX(学年度总表!$A$3:$A$1025,MATCH($E28,学年度总表!$E$3:$E$1025,0)))</f>
        <v>99</v>
      </c>
      <c r="B28" s="2">
        <f>IF(INDEX(学年度总表!$B$3:$B$1025,MATCH($E28,学年度总表!$E$3:$E$1025,0))="","",INDEX(学年度总表!$B$3:$B$1025,MATCH($E28,学年度总表!$E$3:$E$1025,0)))</f>
        <v>26</v>
      </c>
      <c r="C28" s="2" t="str">
        <f>IF(INDEX(学年度总表!$C$3:$C$1025,MATCH($E28,学年度总表!$E$3:$E$1025,0))="","",INDEX(学年度总表!$C$3:$C$1025,MATCH($E28,学年度总表!$E$3:$E$1025,0)))</f>
        <v>计科</v>
      </c>
      <c r="D28" s="2" t="str">
        <f>IF(INDEX(学年度总表!$D$3:$D$1025,MATCH($E28,学年度总表!$E$3:$E$1025,0))="","",INDEX(学年度总表!$D$3:$D$1025,MATCH($E28,学年度总表!$E$3:$E$1025,0)))</f>
        <v>计科三班</v>
      </c>
      <c r="E28" s="2" t="s">
        <v>251</v>
      </c>
      <c r="F28" s="2" t="str">
        <f>IF(INDEX(学年度总表!$F$3:$F$1025,MATCH($E28,学年度总表!$E$3:$E$1025,0))="","",INDEX(学年度总表!$F$3:$F$1025,MATCH($E28,学年度总表!$E$3:$E$1025,0)))</f>
        <v>蒋析睿</v>
      </c>
      <c r="G28" s="3">
        <f>IF(INDEX(学年度总表!$G$3:$G$1025,MATCH($E28,学年度总表!$E$3:$E$1025,0))="","",INDEX(学年度总表!$G$3:$G$1025,MATCH($E28,学年度总表!$E$3:$E$1025,0)))</f>
        <v>10.6</v>
      </c>
      <c r="H28" s="3">
        <f>IF(INDEX(学年度总表!$H$3:$H$1025,MATCH($E28,学年度总表!$E$3:$E$1025,0))="","",INDEX(学年度总表!$H$3:$H$1025,MATCH($E28,学年度总表!$E$3:$E$1025,0)))</f>
        <v>63.560975609756099</v>
      </c>
      <c r="I28" s="3">
        <f>IF(INDEX(学年度总表!$I$3:$I$1025,MATCH($E28,学年度总表!$E$3:$E$1025,0))="","",INDEX(学年度总表!$I$3:$I$1025,MATCH($E28,学年度总表!$E$3:$E$1025,0)))</f>
        <v>4.4000000000000004</v>
      </c>
      <c r="J28" s="3">
        <f>IF(INDEX(学年度总表!$J$3:$J$1025,MATCH($E28,学年度总表!$E$3:$E$1025,0))="","",INDEX(学年度总表!$J$3:$J$1025,MATCH($E28,学年度总表!$E$3:$E$1025,0)))</f>
        <v>78.56</v>
      </c>
      <c r="K28" s="3">
        <f>IF(INDEX(学年度总表!$K$3:$K$1025,MATCH($E28,学年度总表!$E$3:$E$1025,0))="","",INDEX(学年度总表!$K$3:$K$1025,MATCH($E28,学年度总表!$E$3:$E$1025,0)))</f>
        <v>10.5</v>
      </c>
      <c r="L28" s="3">
        <f>IF(INDEX(学年度总表!$L$3:$L$1025,MATCH($E28,学年度总表!$E$3:$E$1025,0))="","",INDEX(学年度总表!$L$3:$L$1025,MATCH($E28,学年度总表!$E$3:$E$1025,0)))</f>
        <v>63.3</v>
      </c>
      <c r="M28" s="3">
        <f>IF(INDEX(学年度总表!$M$3:$M$1025,MATCH($E28,学年度总表!$E$3:$E$1025,0))="","",INDEX(学年度总表!$M$3:$M$1025,MATCH($E28,学年度总表!$E$3:$E$1025,0)))</f>
        <v>5.5</v>
      </c>
      <c r="N28" s="3">
        <f>IF(INDEX(学年度总表!$N$3:$N$1025,MATCH($E28,学年度总表!$E$3:$E$1025,0))="","",INDEX(学年度总表!$N$3:$N$1025,MATCH($E28,学年度总表!$E$3:$E$1025,0)))</f>
        <v>79.3</v>
      </c>
      <c r="O28" s="3">
        <f>IF(INDEX(学年度总表!$O$3:$O$1025,MATCH($E28,学年度总表!$E$3:$E$1025,0))="","",INDEX(学年度总表!$O$3:$O$1025,MATCH($E28,学年度总表!$E$3:$E$1025,0)))</f>
        <v>157.86000000000001</v>
      </c>
      <c r="P28" s="2" t="str">
        <f>IF(INDEX(学年度总表!$P$3:$P$1025,MATCH($E28,学年度总表!$E$3:$E$1025,0))="","",INDEX(学年度总表!$P$3:$P$1025,MATCH($E28,学年度总表!$E$3:$E$1025,0)))</f>
        <v/>
      </c>
      <c r="Q28" s="5" t="str">
        <f>IF(INDEX(学年度总表!$Q$3:$Q$1025,MATCH($E28,学年度总表!$E$3:$E$1025,0))="","",INDEX(学年度总表!$Q$3:$Q$1025,MATCH($E28,学年度总表!$E$3:$E$1025,0)))</f>
        <v/>
      </c>
    </row>
    <row r="29" spans="1:17">
      <c r="A29" s="2">
        <f>IF(INDEX(学年度总表!$A$3:$A$1025,MATCH($E29,学年度总表!$E$3:$E$1025,0))="","",INDEX(学年度总表!$A$3:$A$1025,MATCH($E29,学年度总表!$E$3:$E$1025,0)))</f>
        <v>108</v>
      </c>
      <c r="B29" s="2">
        <f>IF(INDEX(学年度总表!$B$3:$B$1025,MATCH($E29,学年度总表!$E$3:$E$1025,0))="","",INDEX(学年度总表!$B$3:$B$1025,MATCH($E29,学年度总表!$E$3:$E$1025,0)))</f>
        <v>27</v>
      </c>
      <c r="C29" s="2" t="str">
        <f>IF(INDEX(学年度总表!$C$3:$C$1025,MATCH($E29,学年度总表!$E$3:$E$1025,0))="","",INDEX(学年度总表!$C$3:$C$1025,MATCH($E29,学年度总表!$E$3:$E$1025,0)))</f>
        <v>计科</v>
      </c>
      <c r="D29" s="2" t="str">
        <f>IF(INDEX(学年度总表!$D$3:$D$1025,MATCH($E29,学年度总表!$E$3:$E$1025,0))="","",INDEX(学年度总表!$D$3:$D$1025,MATCH($E29,学年度总表!$E$3:$E$1025,0)))</f>
        <v>计科四班</v>
      </c>
      <c r="E29" s="2" t="s">
        <v>271</v>
      </c>
      <c r="F29" s="2" t="str">
        <f>IF(INDEX(学年度总表!$F$3:$F$1025,MATCH($E29,学年度总表!$E$3:$E$1025,0))="","",INDEX(学年度总表!$F$3:$F$1025,MATCH($E29,学年度总表!$E$3:$E$1025,0)))</f>
        <v>王思媛</v>
      </c>
      <c r="G29" s="3">
        <f>IF(INDEX(学年度总表!$G$3:$G$1025,MATCH($E29,学年度总表!$E$3:$E$1025,0))="","",INDEX(学年度总表!$G$3:$G$1025,MATCH($E29,学年度总表!$E$3:$E$1025,0)))</f>
        <v>9.8000000000000007</v>
      </c>
      <c r="H29" s="3">
        <f>IF(INDEX(学年度总表!$H$3:$H$1025,MATCH($E29,学年度总表!$E$3:$E$1025,0))="","",INDEX(学年度总表!$H$3:$H$1025,MATCH($E29,学年度总表!$E$3:$E$1025,0)))</f>
        <v>64.890243902438996</v>
      </c>
      <c r="I29" s="3">
        <f>IF(INDEX(学年度总表!$I$3:$I$1025,MATCH($E29,学年度总表!$E$3:$E$1025,0))="","",INDEX(学年度总表!$I$3:$I$1025,MATCH($E29,学年度总表!$E$3:$E$1025,0)))</f>
        <v>4.2</v>
      </c>
      <c r="J29" s="3">
        <f>IF(INDEX(学年度总表!$J$3:$J$1025,MATCH($E29,学年度总表!$E$3:$E$1025,0))="","",INDEX(学年度总表!$J$3:$J$1025,MATCH($E29,学年度总表!$E$3:$E$1025,0)))</f>
        <v>78.89</v>
      </c>
      <c r="K29" s="3">
        <f>IF(INDEX(学年度总表!$K$3:$K$1025,MATCH($E29,学年度总表!$E$3:$E$1025,0))="","",INDEX(学年度总表!$K$3:$K$1025,MATCH($E29,学年度总表!$E$3:$E$1025,0)))</f>
        <v>9.8000000000000007</v>
      </c>
      <c r="L29" s="3">
        <f>IF(INDEX(学年度总表!$L$3:$L$1025,MATCH($E29,学年度总表!$E$3:$E$1025,0))="","",INDEX(学年度总表!$L$3:$L$1025,MATCH($E29,学年度总表!$E$3:$E$1025,0)))</f>
        <v>64.58</v>
      </c>
      <c r="M29" s="3">
        <f>IF(INDEX(学年度总表!$M$3:$M$1025,MATCH($E29,学年度总表!$E$3:$E$1025,0))="","",INDEX(学年度总表!$M$3:$M$1025,MATCH($E29,学年度总表!$E$3:$E$1025,0)))</f>
        <v>4.2</v>
      </c>
      <c r="N29" s="3">
        <f>IF(INDEX(学年度总表!$N$3:$N$1025,MATCH($E29,学年度总表!$E$3:$E$1025,0))="","",INDEX(学年度总表!$N$3:$N$1025,MATCH($E29,学年度总表!$E$3:$E$1025,0)))</f>
        <v>78.58</v>
      </c>
      <c r="O29" s="3">
        <f>IF(INDEX(学年度总表!$O$3:$O$1025,MATCH($E29,学年度总表!$E$3:$E$1025,0))="","",INDEX(学年度总表!$O$3:$O$1025,MATCH($E29,学年度总表!$E$3:$E$1025,0)))</f>
        <v>157.47</v>
      </c>
      <c r="P29" s="2" t="str">
        <f>IF(INDEX(学年度总表!$P$3:$P$1025,MATCH($E29,学年度总表!$E$3:$E$1025,0))="","",INDEX(学年度总表!$P$3:$P$1025,MATCH($E29,学年度总表!$E$3:$E$1025,0)))</f>
        <v/>
      </c>
      <c r="Q29" s="5" t="str">
        <f>IF(INDEX(学年度总表!$Q$3:$Q$1025,MATCH($E29,学年度总表!$E$3:$E$1025,0))="","",INDEX(学年度总表!$Q$3:$Q$1025,MATCH($E29,学年度总表!$E$3:$E$1025,0)))</f>
        <v/>
      </c>
    </row>
    <row r="30" spans="1:17">
      <c r="A30" s="2">
        <f>IF(INDEX(学年度总表!$A$3:$A$1025,MATCH($E30,学年度总表!$E$3:$E$1025,0))="","",INDEX(学年度总表!$A$3:$A$1025,MATCH($E30,学年度总表!$E$3:$E$1025,0)))</f>
        <v>110</v>
      </c>
      <c r="B30" s="2">
        <f>IF(INDEX(学年度总表!$B$3:$B$1025,MATCH($E30,学年度总表!$E$3:$E$1025,0))="","",INDEX(学年度总表!$B$3:$B$1025,MATCH($E30,学年度总表!$E$3:$E$1025,0)))</f>
        <v>28</v>
      </c>
      <c r="C30" s="2" t="str">
        <f>IF(INDEX(学年度总表!$C$3:$C$1025,MATCH($E30,学年度总表!$E$3:$E$1025,0))="","",INDEX(学年度总表!$C$3:$C$1025,MATCH($E30,学年度总表!$E$3:$E$1025,0)))</f>
        <v>计科</v>
      </c>
      <c r="D30" s="2" t="str">
        <f>IF(INDEX(学年度总表!$D$3:$D$1025,MATCH($E30,学年度总表!$E$3:$E$1025,0))="","",INDEX(学年度总表!$D$3:$D$1025,MATCH($E30,学年度总表!$E$3:$E$1025,0)))</f>
        <v>计科一班</v>
      </c>
      <c r="E30" s="2" t="s">
        <v>275</v>
      </c>
      <c r="F30" s="2" t="str">
        <f>IF(INDEX(学年度总表!$F$3:$F$1025,MATCH($E30,学年度总表!$E$3:$E$1025,0))="","",INDEX(学年度总表!$F$3:$F$1025,MATCH($E30,学年度总表!$E$3:$E$1025,0)))</f>
        <v>芮嘉</v>
      </c>
      <c r="G30" s="3">
        <f>IF(INDEX(学年度总表!$G$3:$G$1025,MATCH($E30,学年度总表!$E$3:$E$1025,0))="","",INDEX(学年度总表!$G$3:$G$1025,MATCH($E30,学年度总表!$E$3:$E$1025,0)))</f>
        <v>10.8</v>
      </c>
      <c r="H30" s="3">
        <f>IF(INDEX(学年度总表!$H$3:$H$1025,MATCH($E30,学年度总表!$E$3:$E$1025,0))="","",INDEX(学年度总表!$H$3:$H$1025,MATCH($E30,学年度总表!$E$3:$E$1025,0)))</f>
        <v>61.878048780487802</v>
      </c>
      <c r="I30" s="3">
        <f>IF(INDEX(学年度总表!$I$3:$I$1025,MATCH($E30,学年度总表!$E$3:$E$1025,0))="","",INDEX(学年度总表!$I$3:$I$1025,MATCH($E30,学年度总表!$E$3:$E$1025,0)))</f>
        <v>5</v>
      </c>
      <c r="J30" s="3">
        <f>IF(INDEX(学年度总表!$J$3:$J$1025,MATCH($E30,学年度总表!$E$3:$E$1025,0))="","",INDEX(学年度总表!$J$3:$J$1025,MATCH($E30,学年度总表!$E$3:$E$1025,0)))</f>
        <v>77.680000000000007</v>
      </c>
      <c r="K30" s="3">
        <f>IF(INDEX(学年度总表!$K$3:$K$1025,MATCH($E30,学年度总表!$E$3:$E$1025,0))="","",INDEX(学年度总表!$K$3:$K$1025,MATCH($E30,学年度总表!$E$3:$E$1025,0)))</f>
        <v>9.8000000000000007</v>
      </c>
      <c r="L30" s="3">
        <f>IF(INDEX(学年度总表!$L$3:$L$1025,MATCH($E30,学年度总表!$E$3:$E$1025,0))="","",INDEX(学年度总表!$L$3:$L$1025,MATCH($E30,学年度总表!$E$3:$E$1025,0)))</f>
        <v>65.02</v>
      </c>
      <c r="M30" s="3">
        <f>IF(INDEX(学年度总表!$M$3:$M$1025,MATCH($E30,学年度总表!$E$3:$E$1025,0))="","",INDEX(学年度总表!$M$3:$M$1025,MATCH($E30,学年度总表!$E$3:$E$1025,0)))</f>
        <v>4.9000000000000004</v>
      </c>
      <c r="N30" s="3">
        <f>IF(INDEX(学年度总表!$N$3:$N$1025,MATCH($E30,学年度总表!$E$3:$E$1025,0))="","",INDEX(学年度总表!$N$3:$N$1025,MATCH($E30,学年度总表!$E$3:$E$1025,0)))</f>
        <v>79.72</v>
      </c>
      <c r="O30" s="3">
        <f>IF(INDEX(学年度总表!$O$3:$O$1025,MATCH($E30,学年度总表!$E$3:$E$1025,0))="","",INDEX(学年度总表!$O$3:$O$1025,MATCH($E30,学年度总表!$E$3:$E$1025,0)))</f>
        <v>157.4</v>
      </c>
      <c r="P30" s="2" t="str">
        <f>IF(INDEX(学年度总表!$P$3:$P$1025,MATCH($E30,学年度总表!$E$3:$E$1025,0))="","",INDEX(学年度总表!$P$3:$P$1025,MATCH($E30,学年度总表!$E$3:$E$1025,0)))</f>
        <v/>
      </c>
      <c r="Q30" s="5" t="str">
        <f>IF(INDEX(学年度总表!$Q$3:$Q$1025,MATCH($E30,学年度总表!$E$3:$E$1025,0))="","",INDEX(学年度总表!$Q$3:$Q$1025,MATCH($E30,学年度总表!$E$3:$E$1025,0)))</f>
        <v/>
      </c>
    </row>
    <row r="31" spans="1:17">
      <c r="A31" s="2">
        <f>IF(INDEX(学年度总表!$A$3:$A$1025,MATCH($E31,学年度总表!$E$3:$E$1025,0))="","",INDEX(学年度总表!$A$3:$A$1025,MATCH($E31,学年度总表!$E$3:$E$1025,0)))</f>
        <v>112</v>
      </c>
      <c r="B31" s="2">
        <f>IF(INDEX(学年度总表!$B$3:$B$1025,MATCH($E31,学年度总表!$E$3:$E$1025,0))="","",INDEX(学年度总表!$B$3:$B$1025,MATCH($E31,学年度总表!$E$3:$E$1025,0)))</f>
        <v>29</v>
      </c>
      <c r="C31" s="2" t="str">
        <f>IF(INDEX(学年度总表!$C$3:$C$1025,MATCH($E31,学年度总表!$E$3:$E$1025,0))="","",INDEX(学年度总表!$C$3:$C$1025,MATCH($E31,学年度总表!$E$3:$E$1025,0)))</f>
        <v>计科</v>
      </c>
      <c r="D31" s="2" t="str">
        <f>IF(INDEX(学年度总表!$D$3:$D$1025,MATCH($E31,学年度总表!$E$3:$E$1025,0))="","",INDEX(学年度总表!$D$3:$D$1025,MATCH($E31,学年度总表!$E$3:$E$1025,0)))</f>
        <v>计科一班</v>
      </c>
      <c r="E31" s="2" t="s">
        <v>279</v>
      </c>
      <c r="F31" s="2" t="str">
        <f>IF(INDEX(学年度总表!$F$3:$F$1025,MATCH($E31,学年度总表!$E$3:$E$1025,0))="","",INDEX(学年度总表!$F$3:$F$1025,MATCH($E31,学年度总表!$E$3:$E$1025,0)))</f>
        <v>史佳睿</v>
      </c>
      <c r="G31" s="3">
        <f>IF(INDEX(学年度总表!$G$3:$G$1025,MATCH($E31,学年度总表!$E$3:$E$1025,0))="","",INDEX(学年度总表!$G$3:$G$1025,MATCH($E31,学年度总表!$E$3:$E$1025,0)))</f>
        <v>11</v>
      </c>
      <c r="H31" s="3">
        <f>IF(INDEX(学年度总表!$H$3:$H$1025,MATCH($E31,学年度总表!$E$3:$E$1025,0))="","",INDEX(学年度总表!$H$3:$H$1025,MATCH($E31,学年度总表!$E$3:$E$1025,0)))</f>
        <v>61.060975609756099</v>
      </c>
      <c r="I31" s="3">
        <f>IF(INDEX(学年度总表!$I$3:$I$1025,MATCH($E31,学年度总表!$E$3:$E$1025,0))="","",INDEX(学年度总表!$I$3:$I$1025,MATCH($E31,学年度总表!$E$3:$E$1025,0)))</f>
        <v>5.2</v>
      </c>
      <c r="J31" s="3">
        <f>IF(INDEX(学年度总表!$J$3:$J$1025,MATCH($E31,学年度总表!$E$3:$E$1025,0))="","",INDEX(学年度总表!$J$3:$J$1025,MATCH($E31,学年度总表!$E$3:$E$1025,0)))</f>
        <v>77.260000000000005</v>
      </c>
      <c r="K31" s="3">
        <f>IF(INDEX(学年度总表!$K$3:$K$1025,MATCH($E31,学年度总表!$E$3:$E$1025,0))="","",INDEX(学年度总表!$K$3:$K$1025,MATCH($E31,学年度总表!$E$3:$E$1025,0)))</f>
        <v>11.5</v>
      </c>
      <c r="L31" s="3">
        <f>IF(INDEX(学年度总表!$L$3:$L$1025,MATCH($E31,学年度总表!$E$3:$E$1025,0))="","",INDEX(学年度总表!$L$3:$L$1025,MATCH($E31,学年度总表!$E$3:$E$1025,0)))</f>
        <v>62.65</v>
      </c>
      <c r="M31" s="3">
        <f>IF(INDEX(学年度总表!$M$3:$M$1025,MATCH($E31,学年度总表!$E$3:$E$1025,0))="","",INDEX(学年度总表!$M$3:$M$1025,MATCH($E31,学年度总表!$E$3:$E$1025,0)))</f>
        <v>5.7</v>
      </c>
      <c r="N31" s="3">
        <f>IF(INDEX(学年度总表!$N$3:$N$1025,MATCH($E31,学年度总表!$E$3:$E$1025,0))="","",INDEX(学年度总表!$N$3:$N$1025,MATCH($E31,学年度总表!$E$3:$E$1025,0)))</f>
        <v>79.849999999999994</v>
      </c>
      <c r="O31" s="3">
        <f>IF(INDEX(学年度总表!$O$3:$O$1025,MATCH($E31,学年度总表!$E$3:$E$1025,0))="","",INDEX(学年度总表!$O$3:$O$1025,MATCH($E31,学年度总表!$E$3:$E$1025,0)))</f>
        <v>157.11000000000001</v>
      </c>
      <c r="P31" s="2" t="str">
        <f>IF(INDEX(学年度总表!$P$3:$P$1025,MATCH($E31,学年度总表!$E$3:$E$1025,0))="","",INDEX(学年度总表!$P$3:$P$1025,MATCH($E31,学年度总表!$E$3:$E$1025,0)))</f>
        <v/>
      </c>
      <c r="Q31" s="5" t="str">
        <f>IF(INDEX(学年度总表!$Q$3:$Q$1025,MATCH($E31,学年度总表!$E$3:$E$1025,0))="","",INDEX(学年度总表!$Q$3:$Q$1025,MATCH($E31,学年度总表!$E$3:$E$1025,0)))</f>
        <v/>
      </c>
    </row>
    <row r="32" spans="1:17">
      <c r="A32" s="2">
        <f>IF(INDEX(学年度总表!$A$3:$A$1025,MATCH($E32,学年度总表!$E$3:$E$1025,0))="","",INDEX(学年度总表!$A$3:$A$1025,MATCH($E32,学年度总表!$E$3:$E$1025,0)))</f>
        <v>114</v>
      </c>
      <c r="B32" s="2">
        <f>IF(INDEX(学年度总表!$B$3:$B$1025,MATCH($E32,学年度总表!$E$3:$E$1025,0))="","",INDEX(学年度总表!$B$3:$B$1025,MATCH($E32,学年度总表!$E$3:$E$1025,0)))</f>
        <v>30</v>
      </c>
      <c r="C32" s="2" t="str">
        <f>IF(INDEX(学年度总表!$C$3:$C$1025,MATCH($E32,学年度总表!$E$3:$E$1025,0))="","",INDEX(学年度总表!$C$3:$C$1025,MATCH($E32,学年度总表!$E$3:$E$1025,0)))</f>
        <v>计科</v>
      </c>
      <c r="D32" s="2" t="str">
        <f>IF(INDEX(学年度总表!$D$3:$D$1025,MATCH($E32,学年度总表!$E$3:$E$1025,0))="","",INDEX(学年度总表!$D$3:$D$1025,MATCH($E32,学年度总表!$E$3:$E$1025,0)))</f>
        <v>计科二班</v>
      </c>
      <c r="E32" s="2" t="s">
        <v>283</v>
      </c>
      <c r="F32" s="2" t="str">
        <f>IF(INDEX(学年度总表!$F$3:$F$1025,MATCH($E32,学年度总表!$E$3:$E$1025,0))="","",INDEX(学年度总表!$F$3:$F$1025,MATCH($E32,学年度总表!$E$3:$E$1025,0)))</f>
        <v>王思博</v>
      </c>
      <c r="G32" s="3">
        <f>IF(INDEX(学年度总表!$G$3:$G$1025,MATCH($E32,学年度总表!$E$3:$E$1025,0))="","",INDEX(学年度总表!$G$3:$G$1025,MATCH($E32,学年度总表!$E$3:$E$1025,0)))</f>
        <v>9.8000000000000007</v>
      </c>
      <c r="H32" s="3">
        <f>IF(INDEX(学年度总表!$H$3:$H$1025,MATCH($E32,学年度总表!$E$3:$E$1025,0))="","",INDEX(学年度总表!$H$3:$H$1025,MATCH($E32,学年度总表!$E$3:$E$1025,0)))</f>
        <v>65.2</v>
      </c>
      <c r="I32" s="3">
        <f>IF(INDEX(学年度总表!$I$3:$I$1025,MATCH($E32,学年度总表!$E$3:$E$1025,0))="","",INDEX(学年度总表!$I$3:$I$1025,MATCH($E32,学年度总表!$E$3:$E$1025,0)))</f>
        <v>4.5999999999999996</v>
      </c>
      <c r="J32" s="3">
        <f>IF(INDEX(学年度总表!$J$3:$J$1025,MATCH($E32,学年度总表!$E$3:$E$1025,0))="","",INDEX(学年度总表!$J$3:$J$1025,MATCH($E32,学年度总表!$E$3:$E$1025,0)))</f>
        <v>79.599999999999994</v>
      </c>
      <c r="K32" s="3">
        <f>IF(INDEX(学年度总表!$K$3:$K$1025,MATCH($E32,学年度总表!$E$3:$E$1025,0))="","",INDEX(学年度总表!$K$3:$K$1025,MATCH($E32,学年度总表!$E$3:$E$1025,0)))</f>
        <v>9.4</v>
      </c>
      <c r="L32" s="3">
        <f>IF(INDEX(学年度总表!$L$3:$L$1025,MATCH($E32,学年度总表!$E$3:$E$1025,0))="","",INDEX(学年度总表!$L$3:$L$1025,MATCH($E32,学年度总表!$E$3:$E$1025,0)))</f>
        <v>63.44</v>
      </c>
      <c r="M32" s="3">
        <f>IF(INDEX(学年度总表!$M$3:$M$1025,MATCH($E32,学年度总表!$E$3:$E$1025,0))="","",INDEX(学年度总表!$M$3:$M$1025,MATCH($E32,学年度总表!$E$3:$E$1025,0)))</f>
        <v>4.5</v>
      </c>
      <c r="N32" s="3">
        <f>IF(INDEX(学年度总表!$N$3:$N$1025,MATCH($E32,学年度总表!$E$3:$E$1025,0))="","",INDEX(学年度总表!$N$3:$N$1025,MATCH($E32,学年度总表!$E$3:$E$1025,0)))</f>
        <v>77.34</v>
      </c>
      <c r="O32" s="3">
        <f>IF(INDEX(学年度总表!$O$3:$O$1025,MATCH($E32,学年度总表!$E$3:$E$1025,0))="","",INDEX(学年度总表!$O$3:$O$1025,MATCH($E32,学年度总表!$E$3:$E$1025,0)))</f>
        <v>156.94</v>
      </c>
      <c r="P32" s="2" t="str">
        <f>IF(INDEX(学年度总表!$P$3:$P$1025,MATCH($E32,学年度总表!$E$3:$E$1025,0))="","",INDEX(学年度总表!$P$3:$P$1025,MATCH($E32,学年度总表!$E$3:$E$1025,0)))</f>
        <v/>
      </c>
      <c r="Q32" s="5" t="str">
        <f>IF(INDEX(学年度总表!$Q$3:$Q$1025,MATCH($E32,学年度总表!$E$3:$E$1025,0))="","",INDEX(学年度总表!$Q$3:$Q$1025,MATCH($E32,学年度总表!$E$3:$E$1025,0)))</f>
        <v/>
      </c>
    </row>
    <row r="33" spans="1:17">
      <c r="A33" s="2">
        <f>IF(INDEX(学年度总表!$A$3:$A$1025,MATCH($E33,学年度总表!$E$3:$E$1025,0))="","",INDEX(学年度总表!$A$3:$A$1025,MATCH($E33,学年度总表!$E$3:$E$1025,0)))</f>
        <v>116</v>
      </c>
      <c r="B33" s="2">
        <f>IF(INDEX(学年度总表!$B$3:$B$1025,MATCH($E33,学年度总表!$E$3:$E$1025,0))="","",INDEX(学年度总表!$B$3:$B$1025,MATCH($E33,学年度总表!$E$3:$E$1025,0)))</f>
        <v>31</v>
      </c>
      <c r="C33" s="2" t="str">
        <f>IF(INDEX(学年度总表!$C$3:$C$1025,MATCH($E33,学年度总表!$E$3:$E$1025,0))="","",INDEX(学年度总表!$C$3:$C$1025,MATCH($E33,学年度总表!$E$3:$E$1025,0)))</f>
        <v>计科</v>
      </c>
      <c r="D33" s="2" t="str">
        <f>IF(INDEX(学年度总表!$D$3:$D$1025,MATCH($E33,学年度总表!$E$3:$E$1025,0))="","",INDEX(学年度总表!$D$3:$D$1025,MATCH($E33,学年度总表!$E$3:$E$1025,0)))</f>
        <v>计科二班</v>
      </c>
      <c r="E33" s="2" t="s">
        <v>287</v>
      </c>
      <c r="F33" s="2" t="str">
        <f>IF(INDEX(学年度总表!$F$3:$F$1025,MATCH($E33,学年度总表!$E$3:$E$1025,0))="","",INDEX(学年度总表!$F$3:$F$1025,MATCH($E33,学年度总表!$E$3:$E$1025,0)))</f>
        <v>崔嘉垚</v>
      </c>
      <c r="G33" s="3">
        <f>IF(INDEX(学年度总表!$G$3:$G$1025,MATCH($E33,学年度总表!$E$3:$E$1025,0))="","",INDEX(学年度总表!$G$3:$G$1025,MATCH($E33,学年度总表!$E$3:$E$1025,0)))</f>
        <v>9.8000000000000007</v>
      </c>
      <c r="H33" s="3">
        <f>IF(INDEX(学年度总表!$H$3:$H$1025,MATCH($E33,学年度总表!$E$3:$E$1025,0))="","",INDEX(学年度总表!$H$3:$H$1025,MATCH($E33,学年度总表!$E$3:$E$1025,0)))</f>
        <v>64.975609756097597</v>
      </c>
      <c r="I33" s="3">
        <f>IF(INDEX(学年度总表!$I$3:$I$1025,MATCH($E33,学年度总表!$E$3:$E$1025,0))="","",INDEX(学年度总表!$I$3:$I$1025,MATCH($E33,学年度总表!$E$3:$E$1025,0)))</f>
        <v>4</v>
      </c>
      <c r="J33" s="3">
        <f>IF(INDEX(学年度总表!$J$3:$J$1025,MATCH($E33,学年度总表!$E$3:$E$1025,0))="","",INDEX(学年度总表!$J$3:$J$1025,MATCH($E33,学年度总表!$E$3:$E$1025,0)))</f>
        <v>78.78</v>
      </c>
      <c r="K33" s="3">
        <f>IF(INDEX(学年度总表!$K$3:$K$1025,MATCH($E33,学年度总表!$E$3:$E$1025,0))="","",INDEX(学年度总表!$K$3:$K$1025,MATCH($E33,学年度总表!$E$3:$E$1025,0)))</f>
        <v>9.8000000000000007</v>
      </c>
      <c r="L33" s="3">
        <f>IF(INDEX(学年度总表!$L$3:$L$1025,MATCH($E33,学年度总表!$E$3:$E$1025,0))="","",INDEX(学年度总表!$L$3:$L$1025,MATCH($E33,学年度总表!$E$3:$E$1025,0)))</f>
        <v>63.79</v>
      </c>
      <c r="M33" s="3">
        <f>IF(INDEX(学年度总表!$M$3:$M$1025,MATCH($E33,学年度总表!$E$3:$E$1025,0))="","",INDEX(学年度总表!$M$3:$M$1025,MATCH($E33,学年度总表!$E$3:$E$1025,0)))</f>
        <v>4.5</v>
      </c>
      <c r="N33" s="3">
        <f>IF(INDEX(学年度总表!$N$3:$N$1025,MATCH($E33,学年度总表!$E$3:$E$1025,0))="","",INDEX(学年度总表!$N$3:$N$1025,MATCH($E33,学年度总表!$E$3:$E$1025,0)))</f>
        <v>78.09</v>
      </c>
      <c r="O33" s="3">
        <f>IF(INDEX(学年度总表!$O$3:$O$1025,MATCH($E33,学年度总表!$E$3:$E$1025,0))="","",INDEX(学年度总表!$O$3:$O$1025,MATCH($E33,学年度总表!$E$3:$E$1025,0)))</f>
        <v>156.87</v>
      </c>
      <c r="P33" s="2" t="str">
        <f>IF(INDEX(学年度总表!$P$3:$P$1025,MATCH($E33,学年度总表!$E$3:$E$1025,0))="","",INDEX(学年度总表!$P$3:$P$1025,MATCH($E33,学年度总表!$E$3:$E$1025,0)))</f>
        <v/>
      </c>
      <c r="Q33" s="5" t="str">
        <f>IF(INDEX(学年度总表!$Q$3:$Q$1025,MATCH($E33,学年度总表!$E$3:$E$1025,0))="","",INDEX(学年度总表!$Q$3:$Q$1025,MATCH($E33,学年度总表!$E$3:$E$1025,0)))</f>
        <v/>
      </c>
    </row>
    <row r="34" spans="1:17">
      <c r="A34" s="2">
        <f>IF(INDEX(学年度总表!$A$3:$A$1025,MATCH($E34,学年度总表!$E$3:$E$1025,0))="","",INDEX(学年度总表!$A$3:$A$1025,MATCH($E34,学年度总表!$E$3:$E$1025,0)))</f>
        <v>120</v>
      </c>
      <c r="B34" s="2">
        <f>IF(INDEX(学年度总表!$B$3:$B$1025,MATCH($E34,学年度总表!$E$3:$E$1025,0))="","",INDEX(学年度总表!$B$3:$B$1025,MATCH($E34,学年度总表!$E$3:$E$1025,0)))</f>
        <v>32</v>
      </c>
      <c r="C34" s="2" t="str">
        <f>IF(INDEX(学年度总表!$C$3:$C$1025,MATCH($E34,学年度总表!$E$3:$E$1025,0))="","",INDEX(学年度总表!$C$3:$C$1025,MATCH($E34,学年度总表!$E$3:$E$1025,0)))</f>
        <v>计科</v>
      </c>
      <c r="D34" s="2" t="str">
        <f>IF(INDEX(学年度总表!$D$3:$D$1025,MATCH($E34,学年度总表!$E$3:$E$1025,0))="","",INDEX(学年度总表!$D$3:$D$1025,MATCH($E34,学年度总表!$E$3:$E$1025,0)))</f>
        <v>计科一班</v>
      </c>
      <c r="E34" s="2" t="s">
        <v>295</v>
      </c>
      <c r="F34" s="2" t="str">
        <f>IF(INDEX(学年度总表!$F$3:$F$1025,MATCH($E34,学年度总表!$E$3:$E$1025,0))="","",INDEX(学年度总表!$F$3:$F$1025,MATCH($E34,学年度总表!$E$3:$E$1025,0)))</f>
        <v>常家豪</v>
      </c>
      <c r="G34" s="3">
        <f>IF(INDEX(学年度总表!$G$3:$G$1025,MATCH($E34,学年度总表!$E$3:$E$1025,0))="","",INDEX(学年度总表!$G$3:$G$1025,MATCH($E34,学年度总表!$E$3:$E$1025,0)))</f>
        <v>10</v>
      </c>
      <c r="H34" s="3">
        <f>IF(INDEX(学年度总表!$H$3:$H$1025,MATCH($E34,学年度总表!$E$3:$E$1025,0))="","",INDEX(学年度总表!$H$3:$H$1025,MATCH($E34,学年度总表!$E$3:$E$1025,0)))</f>
        <v>68.466666666666697</v>
      </c>
      <c r="I34" s="3">
        <f>IF(INDEX(学年度总表!$I$3:$I$1025,MATCH($E34,学年度总表!$E$3:$E$1025,0))="","",INDEX(学年度总表!$I$3:$I$1025,MATCH($E34,学年度总表!$E$3:$E$1025,0)))</f>
        <v>4</v>
      </c>
      <c r="J34" s="3">
        <f>IF(INDEX(学年度总表!$J$3:$J$1025,MATCH($E34,学年度总表!$E$3:$E$1025,0))="","",INDEX(学年度总表!$J$3:$J$1025,MATCH($E34,学年度总表!$E$3:$E$1025,0)))</f>
        <v>82.47</v>
      </c>
      <c r="K34" s="3">
        <f>IF(INDEX(学年度总表!$K$3:$K$1025,MATCH($E34,学年度总表!$E$3:$E$1025,0))="","",INDEX(学年度总表!$K$3:$K$1025,MATCH($E34,学年度总表!$E$3:$E$1025,0)))</f>
        <v>7.5</v>
      </c>
      <c r="L34" s="3">
        <f>IF(INDEX(学年度总表!$L$3:$L$1025,MATCH($E34,学年度总表!$E$3:$E$1025,0))="","",INDEX(学年度总表!$L$3:$L$1025,MATCH($E34,学年度总表!$E$3:$E$1025,0)))</f>
        <v>61.38</v>
      </c>
      <c r="M34" s="3">
        <f>IF(INDEX(学年度总表!$M$3:$M$1025,MATCH($E34,学年度总表!$E$3:$E$1025,0))="","",INDEX(学年度总表!$M$3:$M$1025,MATCH($E34,学年度总表!$E$3:$E$1025,0)))</f>
        <v>5.0999999999999996</v>
      </c>
      <c r="N34" s="3">
        <f>IF(INDEX(学年度总表!$N$3:$N$1025,MATCH($E34,学年度总表!$E$3:$E$1025,0))="","",INDEX(学年度总表!$N$3:$N$1025,MATCH($E34,学年度总表!$E$3:$E$1025,0)))</f>
        <v>73.98</v>
      </c>
      <c r="O34" s="3">
        <f>IF(INDEX(学年度总表!$O$3:$O$1025,MATCH($E34,学年度总表!$E$3:$E$1025,0))="","",INDEX(学年度总表!$O$3:$O$1025,MATCH($E34,学年度总表!$E$3:$E$1025,0)))</f>
        <v>156.44999999999999</v>
      </c>
      <c r="P34" s="2" t="str">
        <f>IF(INDEX(学年度总表!$P$3:$P$1025,MATCH($E34,学年度总表!$E$3:$E$1025,0))="","",INDEX(学年度总表!$P$3:$P$1025,MATCH($E34,学年度总表!$E$3:$E$1025,0)))</f>
        <v/>
      </c>
      <c r="Q34" s="5" t="str">
        <f>IF(INDEX(学年度总表!$Q$3:$Q$1025,MATCH($E34,学年度总表!$E$3:$E$1025,0))="","",INDEX(学年度总表!$Q$3:$Q$1025,MATCH($E34,学年度总表!$E$3:$E$1025,0)))</f>
        <v/>
      </c>
    </row>
    <row r="35" spans="1:17">
      <c r="A35" s="2">
        <f>IF(INDEX(学年度总表!$A$3:$A$1025,MATCH($E35,学年度总表!$E$3:$E$1025,0))="","",INDEX(学年度总表!$A$3:$A$1025,MATCH($E35,学年度总表!$E$3:$E$1025,0)))</f>
        <v>134</v>
      </c>
      <c r="B35" s="2">
        <f>IF(INDEX(学年度总表!$B$3:$B$1025,MATCH($E35,学年度总表!$E$3:$E$1025,0))="","",INDEX(学年度总表!$B$3:$B$1025,MATCH($E35,学年度总表!$E$3:$E$1025,0)))</f>
        <v>33</v>
      </c>
      <c r="C35" s="2" t="str">
        <f>IF(INDEX(学年度总表!$C$3:$C$1025,MATCH($E35,学年度总表!$E$3:$E$1025,0))="","",INDEX(学年度总表!$C$3:$C$1025,MATCH($E35,学年度总表!$E$3:$E$1025,0)))</f>
        <v>计科</v>
      </c>
      <c r="D35" s="2" t="str">
        <f>IF(INDEX(学年度总表!$D$3:$D$1025,MATCH($E35,学年度总表!$E$3:$E$1025,0))="","",INDEX(学年度总表!$D$3:$D$1025,MATCH($E35,学年度总表!$E$3:$E$1025,0)))</f>
        <v>计科一班</v>
      </c>
      <c r="E35" s="2" t="s">
        <v>323</v>
      </c>
      <c r="F35" s="2" t="str">
        <f>IF(INDEX(学年度总表!$F$3:$F$1025,MATCH($E35,学年度总表!$E$3:$E$1025,0))="","",INDEX(学年度总表!$F$3:$F$1025,MATCH($E35,学年度总表!$E$3:$E$1025,0)))</f>
        <v>焦梓雯</v>
      </c>
      <c r="G35" s="3">
        <f>IF(INDEX(学年度总表!$G$3:$G$1025,MATCH($E35,学年度总表!$E$3:$E$1025,0))="","",INDEX(学年度总表!$G$3:$G$1025,MATCH($E35,学年度总表!$E$3:$E$1025,0)))</f>
        <v>10.8</v>
      </c>
      <c r="H35" s="3">
        <f>IF(INDEX(学年度总表!$H$3:$H$1025,MATCH($E35,学年度总表!$E$3:$E$1025,0))="","",INDEX(学年度总表!$H$3:$H$1025,MATCH($E35,学年度总表!$E$3:$E$1025,0)))</f>
        <v>63.414634146341498</v>
      </c>
      <c r="I35" s="3">
        <f>IF(INDEX(学年度总表!$I$3:$I$1025,MATCH($E35,学年度总表!$E$3:$E$1025,0))="","",INDEX(学年度总表!$I$3:$I$1025,MATCH($E35,学年度总表!$E$3:$E$1025,0)))</f>
        <v>4.2</v>
      </c>
      <c r="J35" s="3">
        <f>IF(INDEX(学年度总表!$J$3:$J$1025,MATCH($E35,学年度总表!$E$3:$E$1025,0))="","",INDEX(学年度总表!$J$3:$J$1025,MATCH($E35,学年度总表!$E$3:$E$1025,0)))</f>
        <v>78.41</v>
      </c>
      <c r="K35" s="3">
        <f>IF(INDEX(学年度总表!$K$3:$K$1025,MATCH($E35,学年度总表!$E$3:$E$1025,0))="","",INDEX(学年度总表!$K$3:$K$1025,MATCH($E35,学年度总表!$E$3:$E$1025,0)))</f>
        <v>9.8000000000000007</v>
      </c>
      <c r="L35" s="3">
        <f>IF(INDEX(学年度总表!$L$3:$L$1025,MATCH($E35,学年度总表!$E$3:$E$1025,0))="","",INDEX(学年度总表!$L$3:$L$1025,MATCH($E35,学年度总表!$E$3:$E$1025,0)))</f>
        <v>63</v>
      </c>
      <c r="M35" s="3">
        <f>IF(INDEX(学年度总表!$M$3:$M$1025,MATCH($E35,学年度总表!$E$3:$E$1025,0))="","",INDEX(学年度总表!$M$3:$M$1025,MATCH($E35,学年度总表!$E$3:$E$1025,0)))</f>
        <v>4.5</v>
      </c>
      <c r="N35" s="3">
        <f>IF(INDEX(学年度总表!$N$3:$N$1025,MATCH($E35,学年度总表!$E$3:$E$1025,0))="","",INDEX(学年度总表!$N$3:$N$1025,MATCH($E35,学年度总表!$E$3:$E$1025,0)))</f>
        <v>77.3</v>
      </c>
      <c r="O35" s="3">
        <f>IF(INDEX(学年度总表!$O$3:$O$1025,MATCH($E35,学年度总表!$E$3:$E$1025,0))="","",INDEX(学年度总表!$O$3:$O$1025,MATCH($E35,学年度总表!$E$3:$E$1025,0)))</f>
        <v>155.71</v>
      </c>
      <c r="P35" s="2" t="str">
        <f>IF(INDEX(学年度总表!$P$3:$P$1025,MATCH($E35,学年度总表!$E$3:$E$1025,0))="","",INDEX(学年度总表!$P$3:$P$1025,MATCH($E35,学年度总表!$E$3:$E$1025,0)))</f>
        <v/>
      </c>
      <c r="Q35" s="5" t="str">
        <f>IF(INDEX(学年度总表!$Q$3:$Q$1025,MATCH($E35,学年度总表!$E$3:$E$1025,0))="","",INDEX(学年度总表!$Q$3:$Q$1025,MATCH($E35,学年度总表!$E$3:$E$1025,0)))</f>
        <v/>
      </c>
    </row>
    <row r="36" spans="1:17">
      <c r="A36" s="2">
        <f>IF(INDEX(学年度总表!$A$3:$A$1025,MATCH($E36,学年度总表!$E$3:$E$1025,0))="","",INDEX(学年度总表!$A$3:$A$1025,MATCH($E36,学年度总表!$E$3:$E$1025,0)))</f>
        <v>145</v>
      </c>
      <c r="B36" s="2">
        <f>IF(INDEX(学年度总表!$B$3:$B$1025,MATCH($E36,学年度总表!$E$3:$E$1025,0))="","",INDEX(学年度总表!$B$3:$B$1025,MATCH($E36,学年度总表!$E$3:$E$1025,0)))</f>
        <v>34</v>
      </c>
      <c r="C36" s="2" t="str">
        <f>IF(INDEX(学年度总表!$C$3:$C$1025,MATCH($E36,学年度总表!$E$3:$E$1025,0))="","",INDEX(学年度总表!$C$3:$C$1025,MATCH($E36,学年度总表!$E$3:$E$1025,0)))</f>
        <v>计科</v>
      </c>
      <c r="D36" s="2" t="str">
        <f>IF(INDEX(学年度总表!$D$3:$D$1025,MATCH($E36,学年度总表!$E$3:$E$1025,0))="","",INDEX(学年度总表!$D$3:$D$1025,MATCH($E36,学年度总表!$E$3:$E$1025,0)))</f>
        <v>计科二班</v>
      </c>
      <c r="E36" s="2" t="s">
        <v>346</v>
      </c>
      <c r="F36" s="2" t="str">
        <f>IF(INDEX(学年度总表!$F$3:$F$1025,MATCH($E36,学年度总表!$E$3:$E$1025,0))="","",INDEX(学年度总表!$F$3:$F$1025,MATCH($E36,学年度总表!$E$3:$E$1025,0)))</f>
        <v>于逸飞</v>
      </c>
      <c r="G36" s="3">
        <f>IF(INDEX(学年度总表!$G$3:$G$1025,MATCH($E36,学年度总表!$E$3:$E$1025,0))="","",INDEX(学年度总表!$G$3:$G$1025,MATCH($E36,学年度总表!$E$3:$E$1025,0)))</f>
        <v>9.8000000000000007</v>
      </c>
      <c r="H36" s="3">
        <f>IF(INDEX(学年度总表!$H$3:$H$1025,MATCH($E36,学年度总表!$E$3:$E$1025,0))="","",INDEX(学年度总表!$H$3:$H$1025,MATCH($E36,学年度总表!$E$3:$E$1025,0)))</f>
        <v>62.646341463414601</v>
      </c>
      <c r="I36" s="3">
        <f>IF(INDEX(学年度总表!$I$3:$I$1025,MATCH($E36,学年度总表!$E$3:$E$1025,0))="","",INDEX(学年度总表!$I$3:$I$1025,MATCH($E36,学年度总表!$E$3:$E$1025,0)))</f>
        <v>3</v>
      </c>
      <c r="J36" s="3">
        <f>IF(INDEX(学年度总表!$J$3:$J$1025,MATCH($E36,学年度总表!$E$3:$E$1025,0))="","",INDEX(学年度总表!$J$3:$J$1025,MATCH($E36,学年度总表!$E$3:$E$1025,0)))</f>
        <v>75.45</v>
      </c>
      <c r="K36" s="3">
        <f>IF(INDEX(学年度总表!$K$3:$K$1025,MATCH($E36,学年度总表!$E$3:$E$1025,0))="","",INDEX(学年度总表!$K$3:$K$1025,MATCH($E36,学年度总表!$E$3:$E$1025,0)))</f>
        <v>9.8000000000000007</v>
      </c>
      <c r="L36" s="3">
        <f>IF(INDEX(学年度总表!$L$3:$L$1025,MATCH($E36,学年度总表!$E$3:$E$1025,0))="","",INDEX(学年度总表!$L$3:$L$1025,MATCH($E36,学年度总表!$E$3:$E$1025,0)))</f>
        <v>65.95</v>
      </c>
      <c r="M36" s="3">
        <f>IF(INDEX(学年度总表!$M$3:$M$1025,MATCH($E36,学年度总表!$E$3:$E$1025,0))="","",INDEX(学年度总表!$M$3:$M$1025,MATCH($E36,学年度总表!$E$3:$E$1025,0)))</f>
        <v>4</v>
      </c>
      <c r="N36" s="3">
        <f>IF(INDEX(学年度总表!$N$3:$N$1025,MATCH($E36,学年度总表!$E$3:$E$1025,0))="","",INDEX(学年度总表!$N$3:$N$1025,MATCH($E36,学年度总表!$E$3:$E$1025,0)))</f>
        <v>79.75</v>
      </c>
      <c r="O36" s="3">
        <f>IF(INDEX(学年度总表!$O$3:$O$1025,MATCH($E36,学年度总表!$E$3:$E$1025,0))="","",INDEX(学年度总表!$O$3:$O$1025,MATCH($E36,学年度总表!$E$3:$E$1025,0)))</f>
        <v>155.19999999999999</v>
      </c>
      <c r="P36" s="2" t="str">
        <f>IF(INDEX(学年度总表!$P$3:$P$1025,MATCH($E36,学年度总表!$E$3:$E$1025,0))="","",INDEX(学年度总表!$P$3:$P$1025,MATCH($E36,学年度总表!$E$3:$E$1025,0)))</f>
        <v/>
      </c>
      <c r="Q36" s="5" t="str">
        <f>IF(INDEX(学年度总表!$Q$3:$Q$1025,MATCH($E36,学年度总表!$E$3:$E$1025,0))="","",INDEX(学年度总表!$Q$3:$Q$1025,MATCH($E36,学年度总表!$E$3:$E$1025,0)))</f>
        <v/>
      </c>
    </row>
    <row r="37" spans="1:17">
      <c r="A37" s="2">
        <f>IF(INDEX(学年度总表!$A$3:$A$1025,MATCH($E37,学年度总表!$E$3:$E$1025,0))="","",INDEX(学年度总表!$A$3:$A$1025,MATCH($E37,学年度总表!$E$3:$E$1025,0)))</f>
        <v>149</v>
      </c>
      <c r="B37" s="2">
        <f>IF(INDEX(学年度总表!$B$3:$B$1025,MATCH($E37,学年度总表!$E$3:$E$1025,0))="","",INDEX(学年度总表!$B$3:$B$1025,MATCH($E37,学年度总表!$E$3:$E$1025,0)))</f>
        <v>35</v>
      </c>
      <c r="C37" s="2" t="str">
        <f>IF(INDEX(学年度总表!$C$3:$C$1025,MATCH($E37,学年度总表!$E$3:$E$1025,0))="","",INDEX(学年度总表!$C$3:$C$1025,MATCH($E37,学年度总表!$E$3:$E$1025,0)))</f>
        <v>计科</v>
      </c>
      <c r="D37" s="2" t="str">
        <f>IF(INDEX(学年度总表!$D$3:$D$1025,MATCH($E37,学年度总表!$E$3:$E$1025,0))="","",INDEX(学年度总表!$D$3:$D$1025,MATCH($E37,学年度总表!$E$3:$E$1025,0)))</f>
        <v>计科四班</v>
      </c>
      <c r="E37" s="2" t="s">
        <v>354</v>
      </c>
      <c r="F37" s="2" t="str">
        <f>IF(INDEX(学年度总表!$F$3:$F$1025,MATCH($E37,学年度总表!$E$3:$E$1025,0))="","",INDEX(学年度总表!$F$3:$F$1025,MATCH($E37,学年度总表!$E$3:$E$1025,0)))</f>
        <v>王佳怡</v>
      </c>
      <c r="G37" s="3">
        <f>IF(INDEX(学年度总表!$G$3:$G$1025,MATCH($E37,学年度总表!$E$3:$E$1025,0))="","",INDEX(学年度总表!$G$3:$G$1025,MATCH($E37,学年度总表!$E$3:$E$1025,0)))</f>
        <v>10</v>
      </c>
      <c r="H37" s="3">
        <f>IF(INDEX(学年度总表!$H$3:$H$1025,MATCH($E37,学年度总表!$E$3:$E$1025,0))="","",INDEX(学年度总表!$H$3:$H$1025,MATCH($E37,学年度总表!$E$3:$E$1025,0)))</f>
        <v>62.231707317073202</v>
      </c>
      <c r="I37" s="3">
        <f>IF(INDEX(学年度总表!$I$3:$I$1025,MATCH($E37,学年度总表!$E$3:$E$1025,0))="","",INDEX(学年度总表!$I$3:$I$1025,MATCH($E37,学年度总表!$E$3:$E$1025,0)))</f>
        <v>4.2</v>
      </c>
      <c r="J37" s="3">
        <f>IF(INDEX(学年度总表!$J$3:$J$1025,MATCH($E37,学年度总表!$E$3:$E$1025,0))="","",INDEX(学年度总表!$J$3:$J$1025,MATCH($E37,学年度总表!$E$3:$E$1025,0)))</f>
        <v>76.430000000000007</v>
      </c>
      <c r="K37" s="3">
        <f>IF(INDEX(学年度总表!$K$3:$K$1025,MATCH($E37,学年度总表!$E$3:$E$1025,0))="","",INDEX(学年度总表!$K$3:$K$1025,MATCH($E37,学年度总表!$E$3:$E$1025,0)))</f>
        <v>10</v>
      </c>
      <c r="L37" s="3">
        <f>IF(INDEX(学年度总表!$L$3:$L$1025,MATCH($E37,学年度总表!$E$3:$E$1025,0))="","",INDEX(学年度总表!$L$3:$L$1025,MATCH($E37,学年度总表!$E$3:$E$1025,0)))</f>
        <v>63.92</v>
      </c>
      <c r="M37" s="3">
        <f>IF(INDEX(学年度总表!$M$3:$M$1025,MATCH($E37,学年度总表!$E$3:$E$1025,0))="","",INDEX(学年度总表!$M$3:$M$1025,MATCH($E37,学年度总表!$E$3:$E$1025,0)))</f>
        <v>4.7</v>
      </c>
      <c r="N37" s="3">
        <f>IF(INDEX(学年度总表!$N$3:$N$1025,MATCH($E37,学年度总表!$E$3:$E$1025,0))="","",INDEX(学年度总表!$N$3:$N$1025,MATCH($E37,学年度总表!$E$3:$E$1025,0)))</f>
        <v>78.62</v>
      </c>
      <c r="O37" s="3">
        <f>IF(INDEX(学年度总表!$O$3:$O$1025,MATCH($E37,学年度总表!$E$3:$E$1025,0))="","",INDEX(学年度总表!$O$3:$O$1025,MATCH($E37,学年度总表!$E$3:$E$1025,0)))</f>
        <v>155.05000000000001</v>
      </c>
      <c r="P37" s="2" t="str">
        <f>IF(INDEX(学年度总表!$P$3:$P$1025,MATCH($E37,学年度总表!$E$3:$E$1025,0))="","",INDEX(学年度总表!$P$3:$P$1025,MATCH($E37,学年度总表!$E$3:$E$1025,0)))</f>
        <v/>
      </c>
      <c r="Q37" s="5" t="str">
        <f>IF(INDEX(学年度总表!$Q$3:$Q$1025,MATCH($E37,学年度总表!$E$3:$E$1025,0))="","",INDEX(学年度总表!$Q$3:$Q$1025,MATCH($E37,学年度总表!$E$3:$E$1025,0)))</f>
        <v/>
      </c>
    </row>
    <row r="38" spans="1:17">
      <c r="A38" s="2">
        <f>IF(INDEX(学年度总表!$A$3:$A$1025,MATCH($E38,学年度总表!$E$3:$E$1025,0))="","",INDEX(学年度总表!$A$3:$A$1025,MATCH($E38,学年度总表!$E$3:$E$1025,0)))</f>
        <v>151</v>
      </c>
      <c r="B38" s="2">
        <f>IF(INDEX(学年度总表!$B$3:$B$1025,MATCH($E38,学年度总表!$E$3:$E$1025,0))="","",INDEX(学年度总表!$B$3:$B$1025,MATCH($E38,学年度总表!$E$3:$E$1025,0)))</f>
        <v>36</v>
      </c>
      <c r="C38" s="2" t="str">
        <f>IF(INDEX(学年度总表!$C$3:$C$1025,MATCH($E38,学年度总表!$E$3:$E$1025,0))="","",INDEX(学年度总表!$C$3:$C$1025,MATCH($E38,学年度总表!$E$3:$E$1025,0)))</f>
        <v>计科</v>
      </c>
      <c r="D38" s="2" t="str">
        <f>IF(INDEX(学年度总表!$D$3:$D$1025,MATCH($E38,学年度总表!$E$3:$E$1025,0))="","",INDEX(学年度总表!$D$3:$D$1025,MATCH($E38,学年度总表!$E$3:$E$1025,0)))</f>
        <v>计科一班</v>
      </c>
      <c r="E38" s="2" t="s">
        <v>358</v>
      </c>
      <c r="F38" s="2" t="str">
        <f>IF(INDEX(学年度总表!$F$3:$F$1025,MATCH($E38,学年度总表!$E$3:$E$1025,0))="","",INDEX(学年度总表!$F$3:$F$1025,MATCH($E38,学年度总表!$E$3:$E$1025,0)))</f>
        <v>黄禹萌</v>
      </c>
      <c r="G38" s="3">
        <f>IF(INDEX(学年度总表!$G$3:$G$1025,MATCH($E38,学年度总表!$E$3:$E$1025,0))="","",INDEX(学年度总表!$G$3:$G$1025,MATCH($E38,学年度总表!$E$3:$E$1025,0)))</f>
        <v>9.8000000000000007</v>
      </c>
      <c r="H38" s="3">
        <f>IF(INDEX(学年度总表!$H$3:$H$1025,MATCH($E38,学年度总表!$E$3:$E$1025,0))="","",INDEX(学年度总表!$H$3:$H$1025,MATCH($E38,学年度总表!$E$3:$E$1025,0)))</f>
        <v>64.842857142857099</v>
      </c>
      <c r="I38" s="3">
        <f>IF(INDEX(学年度总表!$I$3:$I$1025,MATCH($E38,学年度总表!$E$3:$E$1025,0))="","",INDEX(学年度总表!$I$3:$I$1025,MATCH($E38,学年度总表!$E$3:$E$1025,0)))</f>
        <v>3</v>
      </c>
      <c r="J38" s="3">
        <f>IF(INDEX(学年度总表!$J$3:$J$1025,MATCH($E38,学年度总表!$E$3:$E$1025,0))="","",INDEX(学年度总表!$J$3:$J$1025,MATCH($E38,学年度总表!$E$3:$E$1025,0)))</f>
        <v>77.64</v>
      </c>
      <c r="K38" s="3">
        <f>IF(INDEX(学年度总表!$K$3:$K$1025,MATCH($E38,学年度总表!$E$3:$E$1025,0))="","",INDEX(学年度总表!$K$3:$K$1025,MATCH($E38,学年度总表!$E$3:$E$1025,0)))</f>
        <v>9.8000000000000007</v>
      </c>
      <c r="L38" s="3">
        <f>IF(INDEX(学年度总表!$L$3:$L$1025,MATCH($E38,学年度总表!$E$3:$E$1025,0))="","",INDEX(学年度总表!$L$3:$L$1025,MATCH($E38,学年度总表!$E$3:$E$1025,0)))</f>
        <v>63.97</v>
      </c>
      <c r="M38" s="3">
        <f>IF(INDEX(学年度总表!$M$3:$M$1025,MATCH($E38,学年度总表!$E$3:$E$1025,0))="","",INDEX(学年度总表!$M$3:$M$1025,MATCH($E38,学年度总表!$E$3:$E$1025,0)))</f>
        <v>3.5</v>
      </c>
      <c r="N38" s="3">
        <f>IF(INDEX(学年度总表!$N$3:$N$1025,MATCH($E38,学年度总表!$E$3:$E$1025,0))="","",INDEX(学年度总表!$N$3:$N$1025,MATCH($E38,学年度总表!$E$3:$E$1025,0)))</f>
        <v>77.27</v>
      </c>
      <c r="O38" s="3">
        <f>IF(INDEX(学年度总表!$O$3:$O$1025,MATCH($E38,学年度总表!$E$3:$E$1025,0))="","",INDEX(学年度总表!$O$3:$O$1025,MATCH($E38,学年度总表!$E$3:$E$1025,0)))</f>
        <v>154.91</v>
      </c>
      <c r="P38" s="2" t="str">
        <f>IF(INDEX(学年度总表!$P$3:$P$1025,MATCH($E38,学年度总表!$E$3:$E$1025,0))="","",INDEX(学年度总表!$P$3:$P$1025,MATCH($E38,学年度总表!$E$3:$E$1025,0)))</f>
        <v/>
      </c>
      <c r="Q38" s="5" t="str">
        <f>IF(INDEX(学年度总表!$Q$3:$Q$1025,MATCH($E38,学年度总表!$E$3:$E$1025,0))="","",INDEX(学年度总表!$Q$3:$Q$1025,MATCH($E38,学年度总表!$E$3:$E$1025,0)))</f>
        <v/>
      </c>
    </row>
    <row r="39" spans="1:17">
      <c r="A39" s="2">
        <f>IF(INDEX(学年度总表!$A$3:$A$1025,MATCH($E39,学年度总表!$E$3:$E$1025,0))="","",INDEX(学年度总表!$A$3:$A$1025,MATCH($E39,学年度总表!$E$3:$E$1025,0)))</f>
        <v>160</v>
      </c>
      <c r="B39" s="2">
        <f>IF(INDEX(学年度总表!$B$3:$B$1025,MATCH($E39,学年度总表!$E$3:$E$1025,0))="","",INDEX(学年度总表!$B$3:$B$1025,MATCH($E39,学年度总表!$E$3:$E$1025,0)))</f>
        <v>37</v>
      </c>
      <c r="C39" s="2" t="str">
        <f>IF(INDEX(学年度总表!$C$3:$C$1025,MATCH($E39,学年度总表!$E$3:$E$1025,0))="","",INDEX(学年度总表!$C$3:$C$1025,MATCH($E39,学年度总表!$E$3:$E$1025,0)))</f>
        <v>计科</v>
      </c>
      <c r="D39" s="2" t="str">
        <f>IF(INDEX(学年度总表!$D$3:$D$1025,MATCH($E39,学年度总表!$E$3:$E$1025,0))="","",INDEX(学年度总表!$D$3:$D$1025,MATCH($E39,学年度总表!$E$3:$E$1025,0)))</f>
        <v>计科二班</v>
      </c>
      <c r="E39" s="2" t="s">
        <v>376</v>
      </c>
      <c r="F39" s="2" t="str">
        <f>IF(INDEX(学年度总表!$F$3:$F$1025,MATCH($E39,学年度总表!$E$3:$E$1025,0))="","",INDEX(学年度总表!$F$3:$F$1025,MATCH($E39,学年度总表!$E$3:$E$1025,0)))</f>
        <v>毕睿宁</v>
      </c>
      <c r="G39" s="3">
        <f>IF(INDEX(学年度总表!$G$3:$G$1025,MATCH($E39,学年度总表!$E$3:$E$1025,0))="","",INDEX(学年度总表!$G$3:$G$1025,MATCH($E39,学年度总表!$E$3:$E$1025,0)))</f>
        <v>10.3</v>
      </c>
      <c r="H39" s="3">
        <f>IF(INDEX(学年度总表!$H$3:$H$1025,MATCH($E39,学年度总表!$E$3:$E$1025,0))="","",INDEX(学年度总表!$H$3:$H$1025,MATCH($E39,学年度总表!$E$3:$E$1025,0)))</f>
        <v>61.768292682926798</v>
      </c>
      <c r="I39" s="3">
        <f>IF(INDEX(学年度总表!$I$3:$I$1025,MATCH($E39,学年度总表!$E$3:$E$1025,0))="","",INDEX(学年度总表!$I$3:$I$1025,MATCH($E39,学年度总表!$E$3:$E$1025,0)))</f>
        <v>4.5</v>
      </c>
      <c r="J39" s="3">
        <f>IF(INDEX(学年度总表!$J$3:$J$1025,MATCH($E39,学年度总表!$E$3:$E$1025,0))="","",INDEX(学年度总表!$J$3:$J$1025,MATCH($E39,学年度总表!$E$3:$E$1025,0)))</f>
        <v>76.569999999999993</v>
      </c>
      <c r="K39" s="3">
        <f>IF(INDEX(学年度总表!$K$3:$K$1025,MATCH($E39,学年度总表!$E$3:$E$1025,0))="","",INDEX(学年度总表!$K$3:$K$1025,MATCH($E39,学年度总表!$E$3:$E$1025,0)))</f>
        <v>9.8000000000000007</v>
      </c>
      <c r="L39" s="3">
        <f>IF(INDEX(学年度总表!$L$3:$L$1025,MATCH($E39,学年度总表!$E$3:$E$1025,0))="","",INDEX(学年度总表!$L$3:$L$1025,MATCH($E39,学年度总表!$E$3:$E$1025,0)))</f>
        <v>63.56</v>
      </c>
      <c r="M39" s="3">
        <f>IF(INDEX(学年度总表!$M$3:$M$1025,MATCH($E39,学年度总表!$E$3:$E$1025,0))="","",INDEX(学年度总表!$M$3:$M$1025,MATCH($E39,学年度总表!$E$3:$E$1025,0)))</f>
        <v>4.5</v>
      </c>
      <c r="N39" s="3">
        <f>IF(INDEX(学年度总表!$N$3:$N$1025,MATCH($E39,学年度总表!$E$3:$E$1025,0))="","",INDEX(学年度总表!$N$3:$N$1025,MATCH($E39,学年度总表!$E$3:$E$1025,0)))</f>
        <v>77.86</v>
      </c>
      <c r="O39" s="3">
        <f>IF(INDEX(学年度总表!$O$3:$O$1025,MATCH($E39,学年度总表!$E$3:$E$1025,0))="","",INDEX(学年度总表!$O$3:$O$1025,MATCH($E39,学年度总表!$E$3:$E$1025,0)))</f>
        <v>154.43</v>
      </c>
      <c r="P39" s="2" t="str">
        <f>IF(INDEX(学年度总表!$P$3:$P$1025,MATCH($E39,学年度总表!$E$3:$E$1025,0))="","",INDEX(学年度总表!$P$3:$P$1025,MATCH($E39,学年度总表!$E$3:$E$1025,0)))</f>
        <v/>
      </c>
      <c r="Q39" s="5" t="str">
        <f>IF(INDEX(学年度总表!$Q$3:$Q$1025,MATCH($E39,学年度总表!$E$3:$E$1025,0))="","",INDEX(学年度总表!$Q$3:$Q$1025,MATCH($E39,学年度总表!$E$3:$E$1025,0)))</f>
        <v/>
      </c>
    </row>
    <row r="40" spans="1:17">
      <c r="A40" s="2">
        <f>IF(INDEX(学年度总表!$A$3:$A$1025,MATCH($E40,学年度总表!$E$3:$E$1025,0))="","",INDEX(学年度总表!$A$3:$A$1025,MATCH($E40,学年度总表!$E$3:$E$1025,0)))</f>
        <v>172</v>
      </c>
      <c r="B40" s="2">
        <f>IF(INDEX(学年度总表!$B$3:$B$1025,MATCH($E40,学年度总表!$E$3:$E$1025,0))="","",INDEX(学年度总表!$B$3:$B$1025,MATCH($E40,学年度总表!$E$3:$E$1025,0)))</f>
        <v>38</v>
      </c>
      <c r="C40" s="2" t="str">
        <f>IF(INDEX(学年度总表!$C$3:$C$1025,MATCH($E40,学年度总表!$E$3:$E$1025,0))="","",INDEX(学年度总表!$C$3:$C$1025,MATCH($E40,学年度总表!$E$3:$E$1025,0)))</f>
        <v>计科</v>
      </c>
      <c r="D40" s="2" t="str">
        <f>IF(INDEX(学年度总表!$D$3:$D$1025,MATCH($E40,学年度总表!$E$3:$E$1025,0))="","",INDEX(学年度总表!$D$3:$D$1025,MATCH($E40,学年度总表!$E$3:$E$1025,0)))</f>
        <v>计科三班</v>
      </c>
      <c r="E40" s="2" t="s">
        <v>401</v>
      </c>
      <c r="F40" s="2" t="str">
        <f>IF(INDEX(学年度总表!$F$3:$F$1025,MATCH($E40,学年度总表!$E$3:$E$1025,0))="","",INDEX(学年度总表!$F$3:$F$1025,MATCH($E40,学年度总表!$E$3:$E$1025,0)))</f>
        <v>马一鸣</v>
      </c>
      <c r="G40" s="3">
        <f>IF(INDEX(学年度总表!$G$3:$G$1025,MATCH($E40,学年度总表!$E$3:$E$1025,0))="","",INDEX(学年度总表!$G$3:$G$1025,MATCH($E40,学年度总表!$E$3:$E$1025,0)))</f>
        <v>11.5</v>
      </c>
      <c r="H40" s="3">
        <f>IF(INDEX(学年度总表!$H$3:$H$1025,MATCH($E40,学年度总表!$E$3:$E$1025,0))="","",INDEX(学年度总表!$H$3:$H$1025,MATCH($E40,学年度总表!$E$3:$E$1025,0)))</f>
        <v>61.841463414634099</v>
      </c>
      <c r="I40" s="3">
        <f>IF(INDEX(学年度总表!$I$3:$I$1025,MATCH($E40,学年度总表!$E$3:$E$1025,0))="","",INDEX(学年度总表!$I$3:$I$1025,MATCH($E40,学年度总表!$E$3:$E$1025,0)))</f>
        <v>5</v>
      </c>
      <c r="J40" s="3">
        <f>IF(INDEX(学年度总表!$J$3:$J$1025,MATCH($E40,学年度总表!$E$3:$E$1025,0))="","",INDEX(学年度总表!$J$3:$J$1025,MATCH($E40,学年度总表!$E$3:$E$1025,0)))</f>
        <v>78.34</v>
      </c>
      <c r="K40" s="3">
        <f>IF(INDEX(学年度总表!$K$3:$K$1025,MATCH($E40,学年度总表!$E$3:$E$1025,0))="","",INDEX(学年度总表!$K$3:$K$1025,MATCH($E40,学年度总表!$E$3:$E$1025,0)))</f>
        <v>10</v>
      </c>
      <c r="L40" s="3">
        <f>IF(INDEX(学年度总表!$L$3:$L$1025,MATCH($E40,学年度总表!$E$3:$E$1025,0))="","",INDEX(学年度总表!$L$3:$L$1025,MATCH($E40,学年度总表!$E$3:$E$1025,0)))</f>
        <v>60</v>
      </c>
      <c r="M40" s="3">
        <f>IF(INDEX(学年度总表!$M$3:$M$1025,MATCH($E40,学年度总表!$E$3:$E$1025,0))="","",INDEX(学年度总表!$M$3:$M$1025,MATCH($E40,学年度总表!$E$3:$E$1025,0)))</f>
        <v>5.7</v>
      </c>
      <c r="N40" s="3">
        <f>IF(INDEX(学年度总表!$N$3:$N$1025,MATCH($E40,学年度总表!$E$3:$E$1025,0))="","",INDEX(学年度总表!$N$3:$N$1025,MATCH($E40,学年度总表!$E$3:$E$1025,0)))</f>
        <v>75.7</v>
      </c>
      <c r="O40" s="3">
        <f>IF(INDEX(学年度总表!$O$3:$O$1025,MATCH($E40,学年度总表!$E$3:$E$1025,0))="","",INDEX(学年度总表!$O$3:$O$1025,MATCH($E40,学年度总表!$E$3:$E$1025,0)))</f>
        <v>154.04</v>
      </c>
      <c r="P40" s="2" t="str">
        <f>IF(INDEX(学年度总表!$P$3:$P$1025,MATCH($E40,学年度总表!$E$3:$E$1025,0))="","",INDEX(学年度总表!$P$3:$P$1025,MATCH($E40,学年度总表!$E$3:$E$1025,0)))</f>
        <v/>
      </c>
      <c r="Q40" s="5" t="str">
        <f>IF(INDEX(学年度总表!$Q$3:$Q$1025,MATCH($E40,学年度总表!$E$3:$E$1025,0))="","",INDEX(学年度总表!$Q$3:$Q$1025,MATCH($E40,学年度总表!$E$3:$E$1025,0)))</f>
        <v/>
      </c>
    </row>
    <row r="41" spans="1:17">
      <c r="A41" s="2">
        <f>IF(INDEX(学年度总表!$A$3:$A$1025,MATCH($E41,学年度总表!$E$3:$E$1025,0))="","",INDEX(学年度总表!$A$3:$A$1025,MATCH($E41,学年度总表!$E$3:$E$1025,0)))</f>
        <v>174</v>
      </c>
      <c r="B41" s="2">
        <f>IF(INDEX(学年度总表!$B$3:$B$1025,MATCH($E41,学年度总表!$E$3:$E$1025,0))="","",INDEX(学年度总表!$B$3:$B$1025,MATCH($E41,学年度总表!$E$3:$E$1025,0)))</f>
        <v>39</v>
      </c>
      <c r="C41" s="2" t="str">
        <f>IF(INDEX(学年度总表!$C$3:$C$1025,MATCH($E41,学年度总表!$E$3:$E$1025,0))="","",INDEX(学年度总表!$C$3:$C$1025,MATCH($E41,学年度总表!$E$3:$E$1025,0)))</f>
        <v>计科</v>
      </c>
      <c r="D41" s="2" t="str">
        <f>IF(INDEX(学年度总表!$D$3:$D$1025,MATCH($E41,学年度总表!$E$3:$E$1025,0))="","",INDEX(学年度总表!$D$3:$D$1025,MATCH($E41,学年度总表!$E$3:$E$1025,0)))</f>
        <v>计科四班</v>
      </c>
      <c r="E41" s="2" t="s">
        <v>405</v>
      </c>
      <c r="F41" s="2" t="str">
        <f>IF(INDEX(学年度总表!$F$3:$F$1025,MATCH($E41,学年度总表!$E$3:$E$1025,0))="","",INDEX(学年度总表!$F$3:$F$1025,MATCH($E41,学年度总表!$E$3:$E$1025,0)))</f>
        <v>李金宇</v>
      </c>
      <c r="G41" s="3">
        <f>IF(INDEX(学年度总表!$G$3:$G$1025,MATCH($E41,学年度总表!$E$3:$E$1025,0))="","",INDEX(学年度总表!$G$3:$G$1025,MATCH($E41,学年度总表!$E$3:$E$1025,0)))</f>
        <v>9.8000000000000007</v>
      </c>
      <c r="H41" s="3">
        <f>IF(INDEX(学年度总表!$H$3:$H$1025,MATCH($E41,学年度总表!$E$3:$E$1025,0))="","",INDEX(学年度总表!$H$3:$H$1025,MATCH($E41,学年度总表!$E$3:$E$1025,0)))</f>
        <v>63.512195121951201</v>
      </c>
      <c r="I41" s="3">
        <f>IF(INDEX(学年度总表!$I$3:$I$1025,MATCH($E41,学年度总表!$E$3:$E$1025,0))="","",INDEX(学年度总表!$I$3:$I$1025,MATCH($E41,学年度总表!$E$3:$E$1025,0)))</f>
        <v>3.2</v>
      </c>
      <c r="J41" s="3">
        <f>IF(INDEX(学年度总表!$J$3:$J$1025,MATCH($E41,学年度总表!$E$3:$E$1025,0))="","",INDEX(学年度总表!$J$3:$J$1025,MATCH($E41,学年度总表!$E$3:$E$1025,0)))</f>
        <v>76.510000000000005</v>
      </c>
      <c r="K41" s="3">
        <f>IF(INDEX(学年度总表!$K$3:$K$1025,MATCH($E41,学年度总表!$E$3:$E$1025,0))="","",INDEX(学年度总表!$K$3:$K$1025,MATCH($E41,学年度总表!$E$3:$E$1025,0)))</f>
        <v>9.8000000000000007</v>
      </c>
      <c r="L41" s="3">
        <f>IF(INDEX(学年度总表!$L$3:$L$1025,MATCH($E41,学年度总表!$E$3:$E$1025,0))="","",INDEX(学年度总表!$L$3:$L$1025,MATCH($E41,学年度总表!$E$3:$E$1025,0)))</f>
        <v>63.92</v>
      </c>
      <c r="M41" s="3">
        <f>IF(INDEX(学年度总表!$M$3:$M$1025,MATCH($E41,学年度总表!$E$3:$E$1025,0))="","",INDEX(学年度总表!$M$3:$M$1025,MATCH($E41,学年度总表!$E$3:$E$1025,0)))</f>
        <v>3.5</v>
      </c>
      <c r="N41" s="3">
        <f>IF(INDEX(学年度总表!$N$3:$N$1025,MATCH($E41,学年度总表!$E$3:$E$1025,0))="","",INDEX(学年度总表!$N$3:$N$1025,MATCH($E41,学年度总表!$E$3:$E$1025,0)))</f>
        <v>77.22</v>
      </c>
      <c r="O41" s="3">
        <f>IF(INDEX(学年度总表!$O$3:$O$1025,MATCH($E41,学年度总表!$E$3:$E$1025,0))="","",INDEX(学年度总表!$O$3:$O$1025,MATCH($E41,学年度总表!$E$3:$E$1025,0)))</f>
        <v>153.72999999999999</v>
      </c>
      <c r="P41" s="2" t="str">
        <f>IF(INDEX(学年度总表!$P$3:$P$1025,MATCH($E41,学年度总表!$E$3:$E$1025,0))="","",INDEX(学年度总表!$P$3:$P$1025,MATCH($E41,学年度总表!$E$3:$E$1025,0)))</f>
        <v/>
      </c>
      <c r="Q41" s="5" t="str">
        <f>IF(INDEX(学年度总表!$Q$3:$Q$1025,MATCH($E41,学年度总表!$E$3:$E$1025,0))="","",INDEX(学年度总表!$Q$3:$Q$1025,MATCH($E41,学年度总表!$E$3:$E$1025,0)))</f>
        <v/>
      </c>
    </row>
    <row r="42" spans="1:17">
      <c r="A42" s="2">
        <f>IF(INDEX(学年度总表!$A$3:$A$1025,MATCH($E42,学年度总表!$E$3:$E$1025,0))="","",INDEX(学年度总表!$A$3:$A$1025,MATCH($E42,学年度总表!$E$3:$E$1025,0)))</f>
        <v>181</v>
      </c>
      <c r="B42" s="2">
        <f>IF(INDEX(学年度总表!$B$3:$B$1025,MATCH($E42,学年度总表!$E$3:$E$1025,0))="","",INDEX(学年度总表!$B$3:$B$1025,MATCH($E42,学年度总表!$E$3:$E$1025,0)))</f>
        <v>40</v>
      </c>
      <c r="C42" s="2" t="str">
        <f>IF(INDEX(学年度总表!$C$3:$C$1025,MATCH($E42,学年度总表!$E$3:$E$1025,0))="","",INDEX(学年度总表!$C$3:$C$1025,MATCH($E42,学年度总表!$E$3:$E$1025,0)))</f>
        <v>计科</v>
      </c>
      <c r="D42" s="2" t="str">
        <f>IF(INDEX(学年度总表!$D$3:$D$1025,MATCH($E42,学年度总表!$E$3:$E$1025,0))="","",INDEX(学年度总表!$D$3:$D$1025,MATCH($E42,学年度总表!$E$3:$E$1025,0)))</f>
        <v>计科四班</v>
      </c>
      <c r="E42" s="2" t="s">
        <v>419</v>
      </c>
      <c r="F42" s="2" t="str">
        <f>IF(INDEX(学年度总表!$F$3:$F$1025,MATCH($E42,学年度总表!$E$3:$E$1025,0))="","",INDEX(学年度总表!$F$3:$F$1025,MATCH($E42,学年度总表!$E$3:$E$1025,0)))</f>
        <v>刘斯琪</v>
      </c>
      <c r="G42" s="3">
        <f>IF(INDEX(学年度总表!$G$3:$G$1025,MATCH($E42,学年度总表!$E$3:$E$1025,0))="","",INDEX(学年度总表!$G$3:$G$1025,MATCH($E42,学年度总表!$E$3:$E$1025,0)))</f>
        <v>10.4</v>
      </c>
      <c r="H42" s="3">
        <f>IF(INDEX(学年度总表!$H$3:$H$1025,MATCH($E42,学年度总表!$E$3:$E$1025,0))="","",INDEX(学年度总表!$H$3:$H$1025,MATCH($E42,学年度总表!$E$3:$E$1025,0)))</f>
        <v>61.768292682926798</v>
      </c>
      <c r="I42" s="3">
        <f>IF(INDEX(学年度总表!$I$3:$I$1025,MATCH($E42,学年度总表!$E$3:$E$1025,0))="","",INDEX(学年度总表!$I$3:$I$1025,MATCH($E42,学年度总表!$E$3:$E$1025,0)))</f>
        <v>5.4</v>
      </c>
      <c r="J42" s="3">
        <f>IF(INDEX(学年度总表!$J$3:$J$1025,MATCH($E42,学年度总表!$E$3:$E$1025,0))="","",INDEX(学年度总表!$J$3:$J$1025,MATCH($E42,学年度总表!$E$3:$E$1025,0)))</f>
        <v>77.569999999999993</v>
      </c>
      <c r="K42" s="3">
        <f>IF(INDEX(学年度总表!$K$3:$K$1025,MATCH($E42,学年度总表!$E$3:$E$1025,0))="","",INDEX(学年度总表!$K$3:$K$1025,MATCH($E42,学年度总表!$E$3:$E$1025,0)))</f>
        <v>9.8000000000000007</v>
      </c>
      <c r="L42" s="3">
        <f>IF(INDEX(学年度总表!$L$3:$L$1025,MATCH($E42,学年度总表!$E$3:$E$1025,0))="","",INDEX(学年度总表!$L$3:$L$1025,MATCH($E42,学年度总表!$E$3:$E$1025,0)))</f>
        <v>60.13</v>
      </c>
      <c r="M42" s="3">
        <f>IF(INDEX(学年度总表!$M$3:$M$1025,MATCH($E42,学年度总表!$E$3:$E$1025,0))="","",INDEX(学年度总表!$M$3:$M$1025,MATCH($E42,学年度总表!$E$3:$E$1025,0)))</f>
        <v>5.8</v>
      </c>
      <c r="N42" s="3">
        <f>IF(INDEX(学年度总表!$N$3:$N$1025,MATCH($E42,学年度总表!$E$3:$E$1025,0))="","",INDEX(学年度总表!$N$3:$N$1025,MATCH($E42,学年度总表!$E$3:$E$1025,0)))</f>
        <v>75.73</v>
      </c>
      <c r="O42" s="3">
        <f>IF(INDEX(学年度总表!$O$3:$O$1025,MATCH($E42,学年度总表!$E$3:$E$1025,0))="","",INDEX(学年度总表!$O$3:$O$1025,MATCH($E42,学年度总表!$E$3:$E$1025,0)))</f>
        <v>153.30000000000001</v>
      </c>
      <c r="P42" s="4" t="str">
        <f>IF(INDEX(学年度总表!$P$3:$P$1025,MATCH($E42,学年度总表!$E$3:$E$1025,0))="","",INDEX(学年度总表!$P$3:$P$1025,MATCH($E42,学年度总表!$E$3:$E$1025,0)))</f>
        <v>文体奖学金</v>
      </c>
      <c r="Q42" s="5" t="str">
        <f>IF(INDEX(学年度总表!$Q$3:$Q$1025,MATCH($E42,学年度总表!$E$3:$E$1025,0))="","",INDEX(学年度总表!$Q$3:$Q$1025,MATCH($E42,学年度总表!$E$3:$E$1025,0)))</f>
        <v/>
      </c>
    </row>
    <row r="43" spans="1:17">
      <c r="A43" s="2">
        <f>IF(INDEX(学年度总表!$A$3:$A$1025,MATCH($E43,学年度总表!$E$3:$E$1025,0))="","",INDEX(学年度总表!$A$3:$A$1025,MATCH($E43,学年度总表!$E$3:$E$1025,0)))</f>
        <v>183</v>
      </c>
      <c r="B43" s="2">
        <f>IF(INDEX(学年度总表!$B$3:$B$1025,MATCH($E43,学年度总表!$E$3:$E$1025,0))="","",INDEX(学年度总表!$B$3:$B$1025,MATCH($E43,学年度总表!$E$3:$E$1025,0)))</f>
        <v>41</v>
      </c>
      <c r="C43" s="2" t="str">
        <f>IF(INDEX(学年度总表!$C$3:$C$1025,MATCH($E43,学年度总表!$E$3:$E$1025,0))="","",INDEX(学年度总表!$C$3:$C$1025,MATCH($E43,学年度总表!$E$3:$E$1025,0)))</f>
        <v>计科</v>
      </c>
      <c r="D43" s="2" t="str">
        <f>IF(INDEX(学年度总表!$D$3:$D$1025,MATCH($E43,学年度总表!$E$3:$E$1025,0))="","",INDEX(学年度总表!$D$3:$D$1025,MATCH($E43,学年度总表!$E$3:$E$1025,0)))</f>
        <v>计科三班</v>
      </c>
      <c r="E43" s="2" t="s">
        <v>424</v>
      </c>
      <c r="F43" s="2" t="str">
        <f>IF(INDEX(学年度总表!$F$3:$F$1025,MATCH($E43,学年度总表!$E$3:$E$1025,0))="","",INDEX(学年度总表!$F$3:$F$1025,MATCH($E43,学年度总表!$E$3:$E$1025,0)))</f>
        <v>陈韵妃</v>
      </c>
      <c r="G43" s="3">
        <f>IF(INDEX(学年度总表!$G$3:$G$1025,MATCH($E43,学年度总表!$E$3:$E$1025,0))="","",INDEX(学年度总表!$G$3:$G$1025,MATCH($E43,学年度总表!$E$3:$E$1025,0)))</f>
        <v>10</v>
      </c>
      <c r="H43" s="3">
        <f>IF(INDEX(学年度总表!$H$3:$H$1025,MATCH($E43,学年度总表!$E$3:$E$1025,0))="","",INDEX(学年度总表!$H$3:$H$1025,MATCH($E43,学年度总表!$E$3:$E$1025,0)))</f>
        <v>61.609756097560997</v>
      </c>
      <c r="I43" s="3">
        <f>IF(INDEX(学年度总表!$I$3:$I$1025,MATCH($E43,学年度总表!$E$3:$E$1025,0))="","",INDEX(学年度总表!$I$3:$I$1025,MATCH($E43,学年度总表!$E$3:$E$1025,0)))</f>
        <v>3.6</v>
      </c>
      <c r="J43" s="3">
        <f>IF(INDEX(学年度总表!$J$3:$J$1025,MATCH($E43,学年度总表!$E$3:$E$1025,0))="","",INDEX(学年度总表!$J$3:$J$1025,MATCH($E43,学年度总表!$E$3:$E$1025,0)))</f>
        <v>75.209999999999994</v>
      </c>
      <c r="K43" s="3">
        <f>IF(INDEX(学年度总表!$K$3:$K$1025,MATCH($E43,学年度总表!$E$3:$E$1025,0))="","",INDEX(学年度总表!$K$3:$K$1025,MATCH($E43,学年度总表!$E$3:$E$1025,0)))</f>
        <v>10</v>
      </c>
      <c r="L43" s="3">
        <f>IF(INDEX(学年度总表!$L$3:$L$1025,MATCH($E43,学年度总表!$E$3:$E$1025,0))="","",INDEX(学年度总表!$L$3:$L$1025,MATCH($E43,学年度总表!$E$3:$E$1025,0)))</f>
        <v>64.03</v>
      </c>
      <c r="M43" s="3">
        <f>IF(INDEX(学年度总表!$M$3:$M$1025,MATCH($E43,学年度总表!$E$3:$E$1025,0))="","",INDEX(学年度总表!$M$3:$M$1025,MATCH($E43,学年度总表!$E$3:$E$1025,0)))</f>
        <v>4</v>
      </c>
      <c r="N43" s="3">
        <f>IF(INDEX(学年度总表!$N$3:$N$1025,MATCH($E43,学年度总表!$E$3:$E$1025,0))="","",INDEX(学年度总表!$N$3:$N$1025,MATCH($E43,学年度总表!$E$3:$E$1025,0)))</f>
        <v>78.03</v>
      </c>
      <c r="O43" s="3">
        <f>IF(INDEX(学年度总表!$O$3:$O$1025,MATCH($E43,学年度总表!$E$3:$E$1025,0))="","",INDEX(学年度总表!$O$3:$O$1025,MATCH($E43,学年度总表!$E$3:$E$1025,0)))</f>
        <v>153.24</v>
      </c>
      <c r="P43" s="2" t="str">
        <f>IF(INDEX(学年度总表!$P$3:$P$1025,MATCH($E43,学年度总表!$E$3:$E$1025,0))="","",INDEX(学年度总表!$P$3:$P$1025,MATCH($E43,学年度总表!$E$3:$E$1025,0)))</f>
        <v/>
      </c>
      <c r="Q43" s="5" t="str">
        <f>IF(INDEX(学年度总表!$Q$3:$Q$1025,MATCH($E43,学年度总表!$E$3:$E$1025,0))="","",INDEX(学年度总表!$Q$3:$Q$1025,MATCH($E43,学年度总表!$E$3:$E$1025,0)))</f>
        <v/>
      </c>
    </row>
    <row r="44" spans="1:17">
      <c r="A44" s="2">
        <f>IF(INDEX(学年度总表!$A$3:$A$1025,MATCH($E44,学年度总表!$E$3:$E$1025,0))="","",INDEX(学年度总表!$A$3:$A$1025,MATCH($E44,学年度总表!$E$3:$E$1025,0)))</f>
        <v>191</v>
      </c>
      <c r="B44" s="2">
        <f>IF(INDEX(学年度总表!$B$3:$B$1025,MATCH($E44,学年度总表!$E$3:$E$1025,0))="","",INDEX(学年度总表!$B$3:$B$1025,MATCH($E44,学年度总表!$E$3:$E$1025,0)))</f>
        <v>42</v>
      </c>
      <c r="C44" s="2" t="str">
        <f>IF(INDEX(学年度总表!$C$3:$C$1025,MATCH($E44,学年度总表!$E$3:$E$1025,0))="","",INDEX(学年度总表!$C$3:$C$1025,MATCH($E44,学年度总表!$E$3:$E$1025,0)))</f>
        <v>计科</v>
      </c>
      <c r="D44" s="2" t="str">
        <f>IF(INDEX(学年度总表!$D$3:$D$1025,MATCH($E44,学年度总表!$E$3:$E$1025,0))="","",INDEX(学年度总表!$D$3:$D$1025,MATCH($E44,学年度总表!$E$3:$E$1025,0)))</f>
        <v>计科三班</v>
      </c>
      <c r="E44" s="2" t="s">
        <v>441</v>
      </c>
      <c r="F44" s="2" t="str">
        <f>IF(INDEX(学年度总表!$F$3:$F$1025,MATCH($E44,学年度总表!$E$3:$E$1025,0))="","",INDEX(学年度总表!$F$3:$F$1025,MATCH($E44,学年度总表!$E$3:$E$1025,0)))</f>
        <v>雷悦</v>
      </c>
      <c r="G44" s="3">
        <f>IF(INDEX(学年度总表!$G$3:$G$1025,MATCH($E44,学年度总表!$E$3:$E$1025,0))="","",INDEX(学年度总表!$G$3:$G$1025,MATCH($E44,学年度总表!$E$3:$E$1025,0)))</f>
        <v>9.8000000000000007</v>
      </c>
      <c r="H44" s="3">
        <f>IF(INDEX(学年度总表!$H$3:$H$1025,MATCH($E44,学年度总表!$E$3:$E$1025,0))="","",INDEX(学年度总表!$H$3:$H$1025,MATCH($E44,学年度总表!$E$3:$E$1025,0)))</f>
        <v>65.085365853658502</v>
      </c>
      <c r="I44" s="3">
        <f>IF(INDEX(学年度总表!$I$3:$I$1025,MATCH($E44,学年度总表!$E$3:$E$1025,0))="","",INDEX(学年度总表!$I$3:$I$1025,MATCH($E44,学年度总表!$E$3:$E$1025,0)))</f>
        <v>4.5</v>
      </c>
      <c r="J44" s="3">
        <f>IF(INDEX(学年度总表!$J$3:$J$1025,MATCH($E44,学年度总表!$E$3:$E$1025,0))="","",INDEX(学年度总表!$J$3:$J$1025,MATCH($E44,学年度总表!$E$3:$E$1025,0)))</f>
        <v>79.39</v>
      </c>
      <c r="K44" s="3">
        <f>IF(INDEX(学年度总表!$K$3:$K$1025,MATCH($E44,学年度总表!$E$3:$E$1025,0))="","",INDEX(学年度总表!$K$3:$K$1025,MATCH($E44,学年度总表!$E$3:$E$1025,0)))</f>
        <v>9</v>
      </c>
      <c r="L44" s="3">
        <f>IF(INDEX(学年度总表!$L$3:$L$1025,MATCH($E44,学年度总表!$E$3:$E$1025,0))="","",INDEX(学年度总表!$L$3:$L$1025,MATCH($E44,学年度总表!$E$3:$E$1025,0)))</f>
        <v>60.22</v>
      </c>
      <c r="M44" s="3">
        <f>IF(INDEX(学年度总表!$M$3:$M$1025,MATCH($E44,学年度总表!$E$3:$E$1025,0))="","",INDEX(学年度总表!$M$3:$M$1025,MATCH($E44,学年度总表!$E$3:$E$1025,0)))</f>
        <v>4</v>
      </c>
      <c r="N44" s="3">
        <f>IF(INDEX(学年度总表!$N$3:$N$1025,MATCH($E44,学年度总表!$E$3:$E$1025,0))="","",INDEX(学年度总表!$N$3:$N$1025,MATCH($E44,学年度总表!$E$3:$E$1025,0)))</f>
        <v>73.22</v>
      </c>
      <c r="O44" s="3">
        <f>IF(INDEX(学年度总表!$O$3:$O$1025,MATCH($E44,学年度总表!$E$3:$E$1025,0))="","",INDEX(学年度总表!$O$3:$O$1025,MATCH($E44,学年度总表!$E$3:$E$1025,0)))</f>
        <v>152.61000000000001</v>
      </c>
      <c r="P44" s="2" t="str">
        <f>IF(INDEX(学年度总表!$P$3:$P$1025,MATCH($E44,学年度总表!$E$3:$E$1025,0))="","",INDEX(学年度总表!$P$3:$P$1025,MATCH($E44,学年度总表!$E$3:$E$1025,0)))</f>
        <v/>
      </c>
      <c r="Q44" s="5" t="str">
        <f>IF(INDEX(学年度总表!$Q$3:$Q$1025,MATCH($E44,学年度总表!$E$3:$E$1025,0))="","",INDEX(学年度总表!$Q$3:$Q$1025,MATCH($E44,学年度总表!$E$3:$E$1025,0)))</f>
        <v/>
      </c>
    </row>
    <row r="45" spans="1:17">
      <c r="A45" s="2">
        <f>IF(INDEX(学年度总表!$A$3:$A$1025,MATCH($E45,学年度总表!$E$3:$E$1025,0))="","",INDEX(学年度总表!$A$3:$A$1025,MATCH($E45,学年度总表!$E$3:$E$1025,0)))</f>
        <v>192</v>
      </c>
      <c r="B45" s="2">
        <f>IF(INDEX(学年度总表!$B$3:$B$1025,MATCH($E45,学年度总表!$E$3:$E$1025,0))="","",INDEX(学年度总表!$B$3:$B$1025,MATCH($E45,学年度总表!$E$3:$E$1025,0)))</f>
        <v>43</v>
      </c>
      <c r="C45" s="2" t="str">
        <f>IF(INDEX(学年度总表!$C$3:$C$1025,MATCH($E45,学年度总表!$E$3:$E$1025,0))="","",INDEX(学年度总表!$C$3:$C$1025,MATCH($E45,学年度总表!$E$3:$E$1025,0)))</f>
        <v>计科</v>
      </c>
      <c r="D45" s="2" t="str">
        <f>IF(INDEX(学年度总表!$D$3:$D$1025,MATCH($E45,学年度总表!$E$3:$E$1025,0))="","",INDEX(学年度总表!$D$3:$D$1025,MATCH($E45,学年度总表!$E$3:$E$1025,0)))</f>
        <v>计科二班</v>
      </c>
      <c r="E45" s="2" t="s">
        <v>443</v>
      </c>
      <c r="F45" s="2" t="str">
        <f>IF(INDEX(学年度总表!$F$3:$F$1025,MATCH($E45,学年度总表!$E$3:$E$1025,0))="","",INDEX(学年度总表!$F$3:$F$1025,MATCH($E45,学年度总表!$E$3:$E$1025,0)))</f>
        <v>鄂卓玛</v>
      </c>
      <c r="G45" s="3">
        <f>IF(INDEX(学年度总表!$G$3:$G$1025,MATCH($E45,学年度总表!$E$3:$E$1025,0))="","",INDEX(学年度总表!$G$3:$G$1025,MATCH($E45,学年度总表!$E$3:$E$1025,0)))</f>
        <v>9.8000000000000007</v>
      </c>
      <c r="H45" s="3">
        <f>IF(INDEX(学年度总表!$H$3:$H$1025,MATCH($E45,学年度总表!$E$3:$E$1025,0))="","",INDEX(学年度总表!$H$3:$H$1025,MATCH($E45,学年度总表!$E$3:$E$1025,0)))</f>
        <v>58.939024390243901</v>
      </c>
      <c r="I45" s="3">
        <f>IF(INDEX(学年度总表!$I$3:$I$1025,MATCH($E45,学年度总表!$E$3:$E$1025,0))="","",INDEX(学年度总表!$I$3:$I$1025,MATCH($E45,学年度总表!$E$3:$E$1025,0)))</f>
        <v>6</v>
      </c>
      <c r="J45" s="3">
        <f>IF(INDEX(学年度总表!$J$3:$J$1025,MATCH($E45,学年度总表!$E$3:$E$1025,0))="","",INDEX(学年度总表!$J$3:$J$1025,MATCH($E45,学年度总表!$E$3:$E$1025,0)))</f>
        <v>74.739999999999995</v>
      </c>
      <c r="K45" s="3">
        <f>IF(INDEX(学年度总表!$K$3:$K$1025,MATCH($E45,学年度总表!$E$3:$E$1025,0))="","",INDEX(学年度总表!$K$3:$K$1025,MATCH($E45,学年度总表!$E$3:$E$1025,0)))</f>
        <v>11.3</v>
      </c>
      <c r="L45" s="3">
        <f>IF(INDEX(学年度总表!$L$3:$L$1025,MATCH($E45,学年度总表!$E$3:$E$1025,0))="","",INDEX(学年度总表!$L$3:$L$1025,MATCH($E45,学年度总表!$E$3:$E$1025,0)))</f>
        <v>61.83</v>
      </c>
      <c r="M45" s="3">
        <f>IF(INDEX(学年度总表!$M$3:$M$1025,MATCH($E45,学年度总表!$E$3:$E$1025,0))="","",INDEX(学年度总表!$M$3:$M$1025,MATCH($E45,学年度总表!$E$3:$E$1025,0)))</f>
        <v>4.7</v>
      </c>
      <c r="N45" s="3">
        <f>IF(INDEX(学年度总表!$N$3:$N$1025,MATCH($E45,学年度总表!$E$3:$E$1025,0))="","",INDEX(学年度总表!$N$3:$N$1025,MATCH($E45,学年度总表!$E$3:$E$1025,0)))</f>
        <v>77.83</v>
      </c>
      <c r="O45" s="3">
        <f>IF(INDEX(学年度总表!$O$3:$O$1025,MATCH($E45,学年度总表!$E$3:$E$1025,0))="","",INDEX(学年度总表!$O$3:$O$1025,MATCH($E45,学年度总表!$E$3:$E$1025,0)))</f>
        <v>152.57</v>
      </c>
      <c r="P45" s="2" t="str">
        <f>IF(INDEX(学年度总表!$P$3:$P$1025,MATCH($E45,学年度总表!$E$3:$E$1025,0))="","",INDEX(学年度总表!$P$3:$P$1025,MATCH($E45,学年度总表!$E$3:$E$1025,0)))</f>
        <v/>
      </c>
      <c r="Q45" s="5" t="str">
        <f>IF(INDEX(学年度总表!$Q$3:$Q$1025,MATCH($E45,学年度总表!$E$3:$E$1025,0))="","",INDEX(学年度总表!$Q$3:$Q$1025,MATCH($E45,学年度总表!$E$3:$E$1025,0)))</f>
        <v/>
      </c>
    </row>
    <row r="46" spans="1:17">
      <c r="A46" s="2">
        <f>IF(INDEX(学年度总表!$A$3:$A$1025,MATCH($E46,学年度总表!$E$3:$E$1025,0))="","",INDEX(学年度总表!$A$3:$A$1025,MATCH($E46,学年度总表!$E$3:$E$1025,0)))</f>
        <v>196</v>
      </c>
      <c r="B46" s="2">
        <f>IF(INDEX(学年度总表!$B$3:$B$1025,MATCH($E46,学年度总表!$E$3:$E$1025,0))="","",INDEX(学年度总表!$B$3:$B$1025,MATCH($E46,学年度总表!$E$3:$E$1025,0)))</f>
        <v>44</v>
      </c>
      <c r="C46" s="2" t="str">
        <f>IF(INDEX(学年度总表!$C$3:$C$1025,MATCH($E46,学年度总表!$E$3:$E$1025,0))="","",INDEX(学年度总表!$C$3:$C$1025,MATCH($E46,学年度总表!$E$3:$E$1025,0)))</f>
        <v>计科</v>
      </c>
      <c r="D46" s="2" t="str">
        <f>IF(INDEX(学年度总表!$D$3:$D$1025,MATCH($E46,学年度总表!$E$3:$E$1025,0))="","",INDEX(学年度总表!$D$3:$D$1025,MATCH($E46,学年度总表!$E$3:$E$1025,0)))</f>
        <v>计科三班</v>
      </c>
      <c r="E46" s="2" t="s">
        <v>451</v>
      </c>
      <c r="F46" s="2" t="str">
        <f>IF(INDEX(学年度总表!$F$3:$F$1025,MATCH($E46,学年度总表!$E$3:$E$1025,0))="","",INDEX(学年度总表!$F$3:$F$1025,MATCH($E46,学年度总表!$E$3:$E$1025,0)))</f>
        <v>纪思彤</v>
      </c>
      <c r="G46" s="3">
        <f>IF(INDEX(学年度总表!$G$3:$G$1025,MATCH($E46,学年度总表!$E$3:$E$1025,0))="","",INDEX(学年度总表!$G$3:$G$1025,MATCH($E46,学年度总表!$E$3:$E$1025,0)))</f>
        <v>10</v>
      </c>
      <c r="H46" s="3">
        <f>IF(INDEX(学年度总表!$H$3:$H$1025,MATCH($E46,学年度总表!$E$3:$E$1025,0))="","",INDEX(学年度总表!$H$3:$H$1025,MATCH($E46,学年度总表!$E$3:$E$1025,0)))</f>
        <v>60.878048780487802</v>
      </c>
      <c r="I46" s="3">
        <f>IF(INDEX(学年度总表!$I$3:$I$1025,MATCH($E46,学年度总表!$E$3:$E$1025,0))="","",INDEX(学年度总表!$I$3:$I$1025,MATCH($E46,学年度总表!$E$3:$E$1025,0)))</f>
        <v>3</v>
      </c>
      <c r="J46" s="3">
        <f>IF(INDEX(学年度总表!$J$3:$J$1025,MATCH($E46,学年度总表!$E$3:$E$1025,0))="","",INDEX(学年度总表!$J$3:$J$1025,MATCH($E46,学年度总表!$E$3:$E$1025,0)))</f>
        <v>73.88</v>
      </c>
      <c r="K46" s="3">
        <f>IF(INDEX(学年度总表!$K$3:$K$1025,MATCH($E46,学年度总表!$E$3:$E$1025,0))="","",INDEX(学年度总表!$K$3:$K$1025,MATCH($E46,学年度总表!$E$3:$E$1025,0)))</f>
        <v>11.5</v>
      </c>
      <c r="L46" s="3">
        <f>IF(INDEX(学年度总表!$L$3:$L$1025,MATCH($E46,学年度总表!$E$3:$E$1025,0))="","",INDEX(学年度总表!$L$3:$L$1025,MATCH($E46,学年度总表!$E$3:$E$1025,0)))</f>
        <v>63.68</v>
      </c>
      <c r="M46" s="3">
        <f>IF(INDEX(学年度总表!$M$3:$M$1025,MATCH($E46,学年度总表!$E$3:$E$1025,0))="","",INDEX(学年度总表!$M$3:$M$1025,MATCH($E46,学年度总表!$E$3:$E$1025,0)))</f>
        <v>3.2</v>
      </c>
      <c r="N46" s="3">
        <f>IF(INDEX(学年度总表!$N$3:$N$1025,MATCH($E46,学年度总表!$E$3:$E$1025,0))="","",INDEX(学年度总表!$N$3:$N$1025,MATCH($E46,学年度总表!$E$3:$E$1025,0)))</f>
        <v>78.38</v>
      </c>
      <c r="O46" s="3">
        <f>IF(INDEX(学年度总表!$O$3:$O$1025,MATCH($E46,学年度总表!$E$3:$E$1025,0))="","",INDEX(学年度总表!$O$3:$O$1025,MATCH($E46,学年度总表!$E$3:$E$1025,0)))</f>
        <v>152.26</v>
      </c>
      <c r="P46" s="4" t="str">
        <f>IF(INDEX(学年度总表!$P$3:$P$1025,MATCH($E46,学年度总表!$E$3:$E$1025,0))="","",INDEX(学年度总表!$P$3:$P$1025,MATCH($E46,学年度总表!$E$3:$E$1025,0)))</f>
        <v>国励</v>
      </c>
      <c r="Q46" s="5" t="str">
        <f>IF(INDEX(学年度总表!$Q$3:$Q$1025,MATCH($E46,学年度总表!$E$3:$E$1025,0))="","",INDEX(学年度总表!$Q$3:$Q$1025,MATCH($E46,学年度总表!$E$3:$E$1025,0)))</f>
        <v/>
      </c>
    </row>
    <row r="47" spans="1:17">
      <c r="A47" s="2">
        <f>IF(INDEX(学年度总表!$A$3:$A$1025,MATCH($E47,学年度总表!$E$3:$E$1025,0))="","",INDEX(学年度总表!$A$3:$A$1025,MATCH($E47,学年度总表!$E$3:$E$1025,0)))</f>
        <v>203</v>
      </c>
      <c r="B47" s="2">
        <f>IF(INDEX(学年度总表!$B$3:$B$1025,MATCH($E47,学年度总表!$E$3:$E$1025,0))="","",INDEX(学年度总表!$B$3:$B$1025,MATCH($E47,学年度总表!$E$3:$E$1025,0)))</f>
        <v>45</v>
      </c>
      <c r="C47" s="2" t="str">
        <f>IF(INDEX(学年度总表!$C$3:$C$1025,MATCH($E47,学年度总表!$E$3:$E$1025,0))="","",INDEX(学年度总表!$C$3:$C$1025,MATCH($E47,学年度总表!$E$3:$E$1025,0)))</f>
        <v>计科</v>
      </c>
      <c r="D47" s="2" t="str">
        <f>IF(INDEX(学年度总表!$D$3:$D$1025,MATCH($E47,学年度总表!$E$3:$E$1025,0))="","",INDEX(学年度总表!$D$3:$D$1025,MATCH($E47,学年度总表!$E$3:$E$1025,0)))</f>
        <v>计科二班</v>
      </c>
      <c r="E47" s="2" t="s">
        <v>465</v>
      </c>
      <c r="F47" s="2" t="str">
        <f>IF(INDEX(学年度总表!$F$3:$F$1025,MATCH($E47,学年度总表!$E$3:$E$1025,0))="","",INDEX(学年度总表!$F$3:$F$1025,MATCH($E47,学年度总表!$E$3:$E$1025,0)))</f>
        <v>姜依彤</v>
      </c>
      <c r="G47" s="3">
        <f>IF(INDEX(学年度总表!$G$3:$G$1025,MATCH($E47,学年度总表!$E$3:$E$1025,0))="","",INDEX(学年度总表!$G$3:$G$1025,MATCH($E47,学年度总表!$E$3:$E$1025,0)))</f>
        <v>10</v>
      </c>
      <c r="H47" s="3">
        <f>IF(INDEX(学年度总表!$H$3:$H$1025,MATCH($E47,学年度总表!$E$3:$E$1025,0))="","",INDEX(学年度总表!$H$3:$H$1025,MATCH($E47,学年度总表!$E$3:$E$1025,0)))</f>
        <v>63.658536585365901</v>
      </c>
      <c r="I47" s="3">
        <f>IF(INDEX(学年度总表!$I$3:$I$1025,MATCH($E47,学年度总表!$E$3:$E$1025,0))="","",INDEX(学年度总表!$I$3:$I$1025,MATCH($E47,学年度总表!$E$3:$E$1025,0)))</f>
        <v>5.4</v>
      </c>
      <c r="J47" s="3">
        <f>IF(INDEX(学年度总表!$J$3:$J$1025,MATCH($E47,学年度总表!$E$3:$E$1025,0))="","",INDEX(学年度总表!$J$3:$J$1025,MATCH($E47,学年度总表!$E$3:$E$1025,0)))</f>
        <v>79.06</v>
      </c>
      <c r="K47" s="3">
        <f>IF(INDEX(学年度总表!$K$3:$K$1025,MATCH($E47,学年度总表!$E$3:$E$1025,0))="","",INDEX(学年度总表!$K$3:$K$1025,MATCH($E47,学年度总表!$E$3:$E$1025,0)))</f>
        <v>9.6</v>
      </c>
      <c r="L47" s="3">
        <f>IF(INDEX(学年度总表!$L$3:$L$1025,MATCH($E47,学年度总表!$E$3:$E$1025,0))="","",INDEX(学年度总表!$L$3:$L$1025,MATCH($E47,学年度总表!$E$3:$E$1025,0)))</f>
        <v>57.36</v>
      </c>
      <c r="M47" s="3">
        <f>IF(INDEX(学年度总表!$M$3:$M$1025,MATCH($E47,学年度总表!$E$3:$E$1025,0))="","",INDEX(学年度总表!$M$3:$M$1025,MATCH($E47,学年度总表!$E$3:$E$1025,0)))</f>
        <v>5.9</v>
      </c>
      <c r="N47" s="3">
        <f>IF(INDEX(学年度总表!$N$3:$N$1025,MATCH($E47,学年度总表!$E$3:$E$1025,0))="","",INDEX(学年度总表!$N$3:$N$1025,MATCH($E47,学年度总表!$E$3:$E$1025,0)))</f>
        <v>72.86</v>
      </c>
      <c r="O47" s="3">
        <f>IF(INDEX(学年度总表!$O$3:$O$1025,MATCH($E47,学年度总表!$E$3:$E$1025,0))="","",INDEX(学年度总表!$O$3:$O$1025,MATCH($E47,学年度总表!$E$3:$E$1025,0)))</f>
        <v>151.91999999999999</v>
      </c>
      <c r="P47" s="2" t="str">
        <f>IF(INDEX(学年度总表!$P$3:$P$1025,MATCH($E47,学年度总表!$E$3:$E$1025,0))="","",INDEX(学年度总表!$P$3:$P$1025,MATCH($E47,学年度总表!$E$3:$E$1025,0)))</f>
        <v/>
      </c>
      <c r="Q47" s="5" t="str">
        <f>IF(INDEX(学年度总表!$Q$3:$Q$1025,MATCH($E47,学年度总表!$E$3:$E$1025,0))="","",INDEX(学年度总表!$Q$3:$Q$1025,MATCH($E47,学年度总表!$E$3:$E$1025,0)))</f>
        <v/>
      </c>
    </row>
    <row r="48" spans="1:17">
      <c r="A48" s="2">
        <f>IF(INDEX(学年度总表!$A$3:$A$1025,MATCH($E48,学年度总表!$E$3:$E$1025,0))="","",INDEX(学年度总表!$A$3:$A$1025,MATCH($E48,学年度总表!$E$3:$E$1025,0)))</f>
        <v>206</v>
      </c>
      <c r="B48" s="2">
        <f>IF(INDEX(学年度总表!$B$3:$B$1025,MATCH($E48,学年度总表!$E$3:$E$1025,0))="","",INDEX(学年度总表!$B$3:$B$1025,MATCH($E48,学年度总表!$E$3:$E$1025,0)))</f>
        <v>46</v>
      </c>
      <c r="C48" s="2" t="str">
        <f>IF(INDEX(学年度总表!$C$3:$C$1025,MATCH($E48,学年度总表!$E$3:$E$1025,0))="","",INDEX(学年度总表!$C$3:$C$1025,MATCH($E48,学年度总表!$E$3:$E$1025,0)))</f>
        <v>计科</v>
      </c>
      <c r="D48" s="2" t="str">
        <f>IF(INDEX(学年度总表!$D$3:$D$1025,MATCH($E48,学年度总表!$E$3:$E$1025,0))="","",INDEX(学年度总表!$D$3:$D$1025,MATCH($E48,学年度总表!$E$3:$E$1025,0)))</f>
        <v>计科三班</v>
      </c>
      <c r="E48" s="2" t="s">
        <v>471</v>
      </c>
      <c r="F48" s="2" t="str">
        <f>IF(INDEX(学年度总表!$F$3:$F$1025,MATCH($E48,学年度总表!$E$3:$E$1025,0))="","",INDEX(学年度总表!$F$3:$F$1025,MATCH($E48,学年度总表!$E$3:$E$1025,0)))</f>
        <v>肖涵竹</v>
      </c>
      <c r="G48" s="3">
        <f>IF(INDEX(学年度总表!$G$3:$G$1025,MATCH($E48,学年度总表!$E$3:$E$1025,0))="","",INDEX(学年度总表!$G$3:$G$1025,MATCH($E48,学年度总表!$E$3:$E$1025,0)))</f>
        <v>9.8000000000000007</v>
      </c>
      <c r="H48" s="3">
        <f>IF(INDEX(学年度总表!$H$3:$H$1025,MATCH($E48,学年度总表!$E$3:$E$1025,0))="","",INDEX(学年度总表!$H$3:$H$1025,MATCH($E48,学年度总表!$E$3:$E$1025,0)))</f>
        <v>64.219512195121993</v>
      </c>
      <c r="I48" s="3">
        <f>IF(INDEX(学年度总表!$I$3:$I$1025,MATCH($E48,学年度总表!$E$3:$E$1025,0))="","",INDEX(学年度总表!$I$3:$I$1025,MATCH($E48,学年度总表!$E$3:$E$1025,0)))</f>
        <v>4</v>
      </c>
      <c r="J48" s="3">
        <f>IF(INDEX(学年度总表!$J$3:$J$1025,MATCH($E48,学年度总表!$E$3:$E$1025,0))="","",INDEX(学年度总表!$J$3:$J$1025,MATCH($E48,学年度总表!$E$3:$E$1025,0)))</f>
        <v>78.02</v>
      </c>
      <c r="K48" s="3">
        <f>IF(INDEX(学年度总表!$K$3:$K$1025,MATCH($E48,学年度总表!$E$3:$E$1025,0))="","",INDEX(学年度总表!$K$3:$K$1025,MATCH($E48,学年度总表!$E$3:$E$1025,0)))</f>
        <v>9</v>
      </c>
      <c r="L48" s="3">
        <f>IF(INDEX(学年度总表!$L$3:$L$1025,MATCH($E48,学年度总表!$E$3:$E$1025,0))="","",INDEX(学年度总表!$L$3:$L$1025,MATCH($E48,学年度总表!$E$3:$E$1025,0)))</f>
        <v>60.27</v>
      </c>
      <c r="M48" s="3">
        <f>IF(INDEX(学年度总表!$M$3:$M$1025,MATCH($E48,学年度总表!$E$3:$E$1025,0))="","",INDEX(学年度总表!$M$3:$M$1025,MATCH($E48,学年度总表!$E$3:$E$1025,0)))</f>
        <v>4.4000000000000004</v>
      </c>
      <c r="N48" s="3">
        <f>IF(INDEX(学年度总表!$N$3:$N$1025,MATCH($E48,学年度总表!$E$3:$E$1025,0))="","",INDEX(学年度总表!$N$3:$N$1025,MATCH($E48,学年度总表!$E$3:$E$1025,0)))</f>
        <v>73.67</v>
      </c>
      <c r="O48" s="3">
        <f>IF(INDEX(学年度总表!$O$3:$O$1025,MATCH($E48,学年度总表!$E$3:$E$1025,0))="","",INDEX(学年度总表!$O$3:$O$1025,MATCH($E48,学年度总表!$E$3:$E$1025,0)))</f>
        <v>151.69</v>
      </c>
      <c r="P48" s="2" t="str">
        <f>IF(INDEX(学年度总表!$P$3:$P$1025,MATCH($E48,学年度总表!$E$3:$E$1025,0))="","",INDEX(学年度总表!$P$3:$P$1025,MATCH($E48,学年度总表!$E$3:$E$1025,0)))</f>
        <v/>
      </c>
      <c r="Q48" s="5" t="str">
        <f>IF(INDEX(学年度总表!$Q$3:$Q$1025,MATCH($E48,学年度总表!$E$3:$E$1025,0))="","",INDEX(学年度总表!$Q$3:$Q$1025,MATCH($E48,学年度总表!$E$3:$E$1025,0)))</f>
        <v/>
      </c>
    </row>
    <row r="49" spans="1:17">
      <c r="A49" s="2">
        <f>IF(INDEX(学年度总表!$A$3:$A$1025,MATCH($E49,学年度总表!$E$3:$E$1025,0))="","",INDEX(学年度总表!$A$3:$A$1025,MATCH($E49,学年度总表!$E$3:$E$1025,0)))</f>
        <v>213</v>
      </c>
      <c r="B49" s="2">
        <f>IF(INDEX(学年度总表!$B$3:$B$1025,MATCH($E49,学年度总表!$E$3:$E$1025,0))="","",INDEX(学年度总表!$B$3:$B$1025,MATCH($E49,学年度总表!$E$3:$E$1025,0)))</f>
        <v>47</v>
      </c>
      <c r="C49" s="2" t="str">
        <f>IF(INDEX(学年度总表!$C$3:$C$1025,MATCH($E49,学年度总表!$E$3:$E$1025,0))="","",INDEX(学年度总表!$C$3:$C$1025,MATCH($E49,学年度总表!$E$3:$E$1025,0)))</f>
        <v>计科</v>
      </c>
      <c r="D49" s="2" t="str">
        <f>IF(INDEX(学年度总表!$D$3:$D$1025,MATCH($E49,学年度总表!$E$3:$E$1025,0))="","",INDEX(学年度总表!$D$3:$D$1025,MATCH($E49,学年度总表!$E$3:$E$1025,0)))</f>
        <v>计科三班</v>
      </c>
      <c r="E49" s="2" t="s">
        <v>485</v>
      </c>
      <c r="F49" s="2" t="str">
        <f>IF(INDEX(学年度总表!$F$3:$F$1025,MATCH($E49,学年度总表!$E$3:$E$1025,0))="","",INDEX(学年度总表!$F$3:$F$1025,MATCH($E49,学年度总表!$E$3:$E$1025,0)))</f>
        <v>毛子旋</v>
      </c>
      <c r="G49" s="3">
        <f>IF(INDEX(学年度总表!$G$3:$G$1025,MATCH($E49,学年度总表!$E$3:$E$1025,0))="","",INDEX(学年度总表!$G$3:$G$1025,MATCH($E49,学年度总表!$E$3:$E$1025,0)))</f>
        <v>10.8</v>
      </c>
      <c r="H49" s="3">
        <f>IF(INDEX(学年度总表!$H$3:$H$1025,MATCH($E49,学年度总表!$E$3:$E$1025,0))="","",INDEX(学年度总表!$H$3:$H$1025,MATCH($E49,学年度总表!$E$3:$E$1025,0)))</f>
        <v>62.975609756097597</v>
      </c>
      <c r="I49" s="3">
        <f>IF(INDEX(学年度总表!$I$3:$I$1025,MATCH($E49,学年度总表!$E$3:$E$1025,0))="","",INDEX(学年度总表!$I$3:$I$1025,MATCH($E49,学年度总表!$E$3:$E$1025,0)))</f>
        <v>3</v>
      </c>
      <c r="J49" s="3">
        <f>IF(INDEX(学年度总表!$J$3:$J$1025,MATCH($E49,学年度总表!$E$3:$E$1025,0))="","",INDEX(学年度总表!$J$3:$J$1025,MATCH($E49,学年度总表!$E$3:$E$1025,0)))</f>
        <v>76.78</v>
      </c>
      <c r="K49" s="3">
        <f>IF(INDEX(学年度总表!$K$3:$K$1025,MATCH($E49,学年度总表!$E$3:$E$1025,0))="","",INDEX(学年度总表!$K$3:$K$1025,MATCH($E49,学年度总表!$E$3:$E$1025,0)))</f>
        <v>9</v>
      </c>
      <c r="L49" s="3">
        <f>IF(INDEX(学年度总表!$L$3:$L$1025,MATCH($E49,学年度总表!$E$3:$E$1025,0))="","",INDEX(学年度总表!$L$3:$L$1025,MATCH($E49,学年度总表!$E$3:$E$1025,0)))</f>
        <v>62.32</v>
      </c>
      <c r="M49" s="3">
        <f>IF(INDEX(学年度总表!$M$3:$M$1025,MATCH($E49,学年度总表!$E$3:$E$1025,0))="","",INDEX(学年度总表!$M$3:$M$1025,MATCH($E49,学年度总表!$E$3:$E$1025,0)))</f>
        <v>3.2</v>
      </c>
      <c r="N49" s="3">
        <f>IF(INDEX(学年度总表!$N$3:$N$1025,MATCH($E49,学年度总表!$E$3:$E$1025,0))="","",INDEX(学年度总表!$N$3:$N$1025,MATCH($E49,学年度总表!$E$3:$E$1025,0)))</f>
        <v>74.52</v>
      </c>
      <c r="O49" s="3">
        <f>IF(INDEX(学年度总表!$O$3:$O$1025,MATCH($E49,学年度总表!$E$3:$E$1025,0))="","",INDEX(学年度总表!$O$3:$O$1025,MATCH($E49,学年度总表!$E$3:$E$1025,0)))</f>
        <v>151.30000000000001</v>
      </c>
      <c r="P49" s="2" t="str">
        <f>IF(INDEX(学年度总表!$P$3:$P$1025,MATCH($E49,学年度总表!$E$3:$E$1025,0))="","",INDEX(学年度总表!$P$3:$P$1025,MATCH($E49,学年度总表!$E$3:$E$1025,0)))</f>
        <v/>
      </c>
      <c r="Q49" s="5" t="str">
        <f>IF(INDEX(学年度总表!$Q$3:$Q$1025,MATCH($E49,学年度总表!$E$3:$E$1025,0))="","",INDEX(学年度总表!$Q$3:$Q$1025,MATCH($E49,学年度总表!$E$3:$E$1025,0)))</f>
        <v/>
      </c>
    </row>
    <row r="50" spans="1:17">
      <c r="A50" s="2">
        <f>IF(INDEX(学年度总表!$A$3:$A$1025,MATCH($E50,学年度总表!$E$3:$E$1025,0))="","",INDEX(学年度总表!$A$3:$A$1025,MATCH($E50,学年度总表!$E$3:$E$1025,0)))</f>
        <v>214</v>
      </c>
      <c r="B50" s="2">
        <f>IF(INDEX(学年度总表!$B$3:$B$1025,MATCH($E50,学年度总表!$E$3:$E$1025,0))="","",INDEX(学年度总表!$B$3:$B$1025,MATCH($E50,学年度总表!$E$3:$E$1025,0)))</f>
        <v>48</v>
      </c>
      <c r="C50" s="2" t="str">
        <f>IF(INDEX(学年度总表!$C$3:$C$1025,MATCH($E50,学年度总表!$E$3:$E$1025,0))="","",INDEX(学年度总表!$C$3:$C$1025,MATCH($E50,学年度总表!$E$3:$E$1025,0)))</f>
        <v>计科</v>
      </c>
      <c r="D50" s="2" t="str">
        <f>IF(INDEX(学年度总表!$D$3:$D$1025,MATCH($E50,学年度总表!$E$3:$E$1025,0))="","",INDEX(学年度总表!$D$3:$D$1025,MATCH($E50,学年度总表!$E$3:$E$1025,0)))</f>
        <v>计科四班</v>
      </c>
      <c r="E50" s="2" t="s">
        <v>487</v>
      </c>
      <c r="F50" s="2" t="str">
        <f>IF(INDEX(学年度总表!$F$3:$F$1025,MATCH($E50,学年度总表!$E$3:$E$1025,0))="","",INDEX(学年度总表!$F$3:$F$1025,MATCH($E50,学年度总表!$E$3:$E$1025,0)))</f>
        <v>魏玉婷</v>
      </c>
      <c r="G50" s="3">
        <f>IF(INDEX(学年度总表!$G$3:$G$1025,MATCH($E50,学年度总表!$E$3:$E$1025,0))="","",INDEX(学年度总表!$G$3:$G$1025,MATCH($E50,学年度总表!$E$3:$E$1025,0)))</f>
        <v>10</v>
      </c>
      <c r="H50" s="3">
        <f>IF(INDEX(学年度总表!$H$3:$H$1025,MATCH($E50,学年度总表!$E$3:$E$1025,0))="","",INDEX(学年度总表!$H$3:$H$1025,MATCH($E50,学年度总表!$E$3:$E$1025,0)))</f>
        <v>58.756097560975597</v>
      </c>
      <c r="I50" s="3">
        <f>IF(INDEX(学年度总表!$I$3:$I$1025,MATCH($E50,学年度总表!$E$3:$E$1025,0))="","",INDEX(学年度总表!$I$3:$I$1025,MATCH($E50,学年度总表!$E$3:$E$1025,0)))</f>
        <v>4.2</v>
      </c>
      <c r="J50" s="3">
        <f>IF(INDEX(学年度总表!$J$3:$J$1025,MATCH($E50,学年度总表!$E$3:$E$1025,0))="","",INDEX(学年度总表!$J$3:$J$1025,MATCH($E50,学年度总表!$E$3:$E$1025,0)))</f>
        <v>72.959999999999994</v>
      </c>
      <c r="K50" s="3">
        <f>IF(INDEX(学年度总表!$K$3:$K$1025,MATCH($E50,学年度总表!$E$3:$E$1025,0))="","",INDEX(学年度总表!$K$3:$K$1025,MATCH($E50,学年度总表!$E$3:$E$1025,0)))</f>
        <v>10</v>
      </c>
      <c r="L50" s="3">
        <f>IF(INDEX(学年度总表!$L$3:$L$1025,MATCH($E50,学年度总表!$E$3:$E$1025,0))="","",INDEX(学年度总表!$L$3:$L$1025,MATCH($E50,学年度总表!$E$3:$E$1025,0)))</f>
        <v>63.52</v>
      </c>
      <c r="M50" s="3">
        <f>IF(INDEX(学年度总表!$M$3:$M$1025,MATCH($E50,学年度总表!$E$3:$E$1025,0))="","",INDEX(学年度总表!$M$3:$M$1025,MATCH($E50,学年度总表!$E$3:$E$1025,0)))</f>
        <v>4.7</v>
      </c>
      <c r="N50" s="3">
        <f>IF(INDEX(学年度总表!$N$3:$N$1025,MATCH($E50,学年度总表!$E$3:$E$1025,0))="","",INDEX(学年度总表!$N$3:$N$1025,MATCH($E50,学年度总表!$E$3:$E$1025,0)))</f>
        <v>78.22</v>
      </c>
      <c r="O50" s="3">
        <f>IF(INDEX(学年度总表!$O$3:$O$1025,MATCH($E50,学年度总表!$E$3:$E$1025,0))="","",INDEX(学年度总表!$O$3:$O$1025,MATCH($E50,学年度总表!$E$3:$E$1025,0)))</f>
        <v>151.18</v>
      </c>
      <c r="P50" s="2" t="str">
        <f>IF(INDEX(学年度总表!$P$3:$P$1025,MATCH($E50,学年度总表!$E$3:$E$1025,0))="","",INDEX(学年度总表!$P$3:$P$1025,MATCH($E50,学年度总表!$E$3:$E$1025,0)))</f>
        <v/>
      </c>
      <c r="Q50" s="5" t="str">
        <f>IF(INDEX(学年度总表!$Q$3:$Q$1025,MATCH($E50,学年度总表!$E$3:$E$1025,0))="","",INDEX(学年度总表!$Q$3:$Q$1025,MATCH($E50,学年度总表!$E$3:$E$1025,0)))</f>
        <v/>
      </c>
    </row>
    <row r="51" spans="1:17">
      <c r="A51" s="2">
        <f>IF(INDEX(学年度总表!$A$3:$A$1025,MATCH($E51,学年度总表!$E$3:$E$1025,0))="","",INDEX(学年度总表!$A$3:$A$1025,MATCH($E51,学年度总表!$E$3:$E$1025,0)))</f>
        <v>216</v>
      </c>
      <c r="B51" s="2">
        <f>IF(INDEX(学年度总表!$B$3:$B$1025,MATCH($E51,学年度总表!$E$3:$E$1025,0))="","",INDEX(学年度总表!$B$3:$B$1025,MATCH($E51,学年度总表!$E$3:$E$1025,0)))</f>
        <v>49</v>
      </c>
      <c r="C51" s="2" t="str">
        <f>IF(INDEX(学年度总表!$C$3:$C$1025,MATCH($E51,学年度总表!$E$3:$E$1025,0))="","",INDEX(学年度总表!$C$3:$C$1025,MATCH($E51,学年度总表!$E$3:$E$1025,0)))</f>
        <v>计科</v>
      </c>
      <c r="D51" s="2" t="str">
        <f>IF(INDEX(学年度总表!$D$3:$D$1025,MATCH($E51,学年度总表!$E$3:$E$1025,0))="","",INDEX(学年度总表!$D$3:$D$1025,MATCH($E51,学年度总表!$E$3:$E$1025,0)))</f>
        <v>计科三班</v>
      </c>
      <c r="E51" s="2" t="s">
        <v>491</v>
      </c>
      <c r="F51" s="2" t="str">
        <f>IF(INDEX(学年度总表!$F$3:$F$1025,MATCH($E51,学年度总表!$E$3:$E$1025,0))="","",INDEX(学年度总表!$F$3:$F$1025,MATCH($E51,学年度总表!$E$3:$E$1025,0)))</f>
        <v>王姝雯</v>
      </c>
      <c r="G51" s="3">
        <f>IF(INDEX(学年度总表!$G$3:$G$1025,MATCH($E51,学年度总表!$E$3:$E$1025,0))="","",INDEX(学年度总表!$G$3:$G$1025,MATCH($E51,学年度总表!$E$3:$E$1025,0)))</f>
        <v>10.6</v>
      </c>
      <c r="H51" s="3">
        <f>IF(INDEX(学年度总表!$H$3:$H$1025,MATCH($E51,学年度总表!$E$3:$E$1025,0))="","",INDEX(学年度总表!$H$3:$H$1025,MATCH($E51,学年度总表!$E$3:$E$1025,0)))</f>
        <v>62.939024390243901</v>
      </c>
      <c r="I51" s="3">
        <f>IF(INDEX(学年度总表!$I$3:$I$1025,MATCH($E51,学年度总表!$E$3:$E$1025,0))="","",INDEX(学年度总表!$I$3:$I$1025,MATCH($E51,学年度总表!$E$3:$E$1025,0)))</f>
        <v>5.0999999999999996</v>
      </c>
      <c r="J51" s="3">
        <f>IF(INDEX(学年度总表!$J$3:$J$1025,MATCH($E51,学年度总表!$E$3:$E$1025,0))="","",INDEX(学年度总表!$J$3:$J$1025,MATCH($E51,学年度总表!$E$3:$E$1025,0)))</f>
        <v>78.64</v>
      </c>
      <c r="K51" s="3">
        <f>IF(INDEX(学年度总表!$K$3:$K$1025,MATCH($E51,学年度总表!$E$3:$E$1025,0))="","",INDEX(学年度总表!$K$3:$K$1025,MATCH($E51,学年度总表!$E$3:$E$1025,0)))</f>
        <v>9</v>
      </c>
      <c r="L51" s="3">
        <f>IF(INDEX(学年度总表!$L$3:$L$1025,MATCH($E51,学年度总表!$E$3:$E$1025,0))="","",INDEX(学年度总表!$L$3:$L$1025,MATCH($E51,学年度总表!$E$3:$E$1025,0)))</f>
        <v>58.42</v>
      </c>
      <c r="M51" s="3">
        <f>IF(INDEX(学年度总表!$M$3:$M$1025,MATCH($E51,学年度总表!$E$3:$E$1025,0))="","",INDEX(学年度总表!$M$3:$M$1025,MATCH($E51,学年度总表!$E$3:$E$1025,0)))</f>
        <v>5.0999999999999996</v>
      </c>
      <c r="N51" s="3">
        <f>IF(INDEX(学年度总表!$N$3:$N$1025,MATCH($E51,学年度总表!$E$3:$E$1025,0))="","",INDEX(学年度总表!$N$3:$N$1025,MATCH($E51,学年度总表!$E$3:$E$1025,0)))</f>
        <v>72.52</v>
      </c>
      <c r="O51" s="3">
        <f>IF(INDEX(学年度总表!$O$3:$O$1025,MATCH($E51,学年度总表!$E$3:$E$1025,0))="","",INDEX(学年度总表!$O$3:$O$1025,MATCH($E51,学年度总表!$E$3:$E$1025,0)))</f>
        <v>151.16</v>
      </c>
      <c r="P51" s="2" t="str">
        <f>IF(INDEX(学年度总表!$P$3:$P$1025,MATCH($E51,学年度总表!$E$3:$E$1025,0))="","",INDEX(学年度总表!$P$3:$P$1025,MATCH($E51,学年度总表!$E$3:$E$1025,0)))</f>
        <v/>
      </c>
      <c r="Q51" s="5" t="str">
        <f>IF(INDEX(学年度总表!$Q$3:$Q$1025,MATCH($E51,学年度总表!$E$3:$E$1025,0))="","",INDEX(学年度总表!$Q$3:$Q$1025,MATCH($E51,学年度总表!$E$3:$E$1025,0)))</f>
        <v/>
      </c>
    </row>
    <row r="52" spans="1:17">
      <c r="A52" s="2">
        <f>IF(INDEX(学年度总表!$A$3:$A$1025,MATCH($E52,学年度总表!$E$3:$E$1025,0))="","",INDEX(学年度总表!$A$3:$A$1025,MATCH($E52,学年度总表!$E$3:$E$1025,0)))</f>
        <v>217</v>
      </c>
      <c r="B52" s="2">
        <f>IF(INDEX(学年度总表!$B$3:$B$1025,MATCH($E52,学年度总表!$E$3:$E$1025,0))="","",INDEX(学年度总表!$B$3:$B$1025,MATCH($E52,学年度总表!$E$3:$E$1025,0)))</f>
        <v>50</v>
      </c>
      <c r="C52" s="2" t="str">
        <f>IF(INDEX(学年度总表!$C$3:$C$1025,MATCH($E52,学年度总表!$E$3:$E$1025,0))="","",INDEX(学年度总表!$C$3:$C$1025,MATCH($E52,学年度总表!$E$3:$E$1025,0)))</f>
        <v>计科</v>
      </c>
      <c r="D52" s="2" t="str">
        <f>IF(INDEX(学年度总表!$D$3:$D$1025,MATCH($E52,学年度总表!$E$3:$E$1025,0))="","",INDEX(学年度总表!$D$3:$D$1025,MATCH($E52,学年度总表!$E$3:$E$1025,0)))</f>
        <v>计科四班</v>
      </c>
      <c r="E52" s="2" t="s">
        <v>493</v>
      </c>
      <c r="F52" s="2" t="str">
        <f>IF(INDEX(学年度总表!$F$3:$F$1025,MATCH($E52,学年度总表!$E$3:$E$1025,0))="","",INDEX(学年度总表!$F$3:$F$1025,MATCH($E52,学年度总表!$E$3:$E$1025,0)))</f>
        <v>梁洛凡</v>
      </c>
      <c r="G52" s="3">
        <f>IF(INDEX(学年度总表!$G$3:$G$1025,MATCH($E52,学年度总表!$E$3:$E$1025,0))="","",INDEX(学年度总表!$G$3:$G$1025,MATCH($E52,学年度总表!$E$3:$E$1025,0)))</f>
        <v>9.8000000000000007</v>
      </c>
      <c r="H52" s="3">
        <f>IF(INDEX(学年度总表!$H$3:$H$1025,MATCH($E52,学年度总表!$E$3:$E$1025,0))="","",INDEX(学年度总表!$H$3:$H$1025,MATCH($E52,学年度总表!$E$3:$E$1025,0)))</f>
        <v>64.914634146341498</v>
      </c>
      <c r="I52" s="3">
        <f>IF(INDEX(学年度总表!$I$3:$I$1025,MATCH($E52,学年度总表!$E$3:$E$1025,0))="","",INDEX(学年度总表!$I$3:$I$1025,MATCH($E52,学年度总表!$E$3:$E$1025,0)))</f>
        <v>3</v>
      </c>
      <c r="J52" s="3">
        <f>IF(INDEX(学年度总表!$J$3:$J$1025,MATCH($E52,学年度总表!$E$3:$E$1025,0))="","",INDEX(学年度总表!$J$3:$J$1025,MATCH($E52,学年度总表!$E$3:$E$1025,0)))</f>
        <v>77.709999999999994</v>
      </c>
      <c r="K52" s="3">
        <f>IF(INDEX(学年度总表!$K$3:$K$1025,MATCH($E52,学年度总表!$E$3:$E$1025,0))="","",INDEX(学年度总表!$K$3:$K$1025,MATCH($E52,学年度总表!$E$3:$E$1025,0)))</f>
        <v>9.8000000000000007</v>
      </c>
      <c r="L52" s="3">
        <f>IF(INDEX(学年度总表!$L$3:$L$1025,MATCH($E52,学年度总表!$E$3:$E$1025,0))="","",INDEX(学年度总表!$L$3:$L$1025,MATCH($E52,学年度总表!$E$3:$E$1025,0)))</f>
        <v>60.13</v>
      </c>
      <c r="M52" s="3">
        <f>IF(INDEX(学年度总表!$M$3:$M$1025,MATCH($E52,学年度总表!$E$3:$E$1025,0))="","",INDEX(学年度总表!$M$3:$M$1025,MATCH($E52,学年度总表!$E$3:$E$1025,0)))</f>
        <v>3.5</v>
      </c>
      <c r="N52" s="3">
        <f>IF(INDEX(学年度总表!$N$3:$N$1025,MATCH($E52,学年度总表!$E$3:$E$1025,0))="","",INDEX(学年度总表!$N$3:$N$1025,MATCH($E52,学年度总表!$E$3:$E$1025,0)))</f>
        <v>73.430000000000007</v>
      </c>
      <c r="O52" s="3">
        <f>IF(INDEX(学年度总表!$O$3:$O$1025,MATCH($E52,学年度总表!$E$3:$E$1025,0))="","",INDEX(学年度总表!$O$3:$O$1025,MATCH($E52,学年度总表!$E$3:$E$1025,0)))</f>
        <v>151.13999999999999</v>
      </c>
      <c r="P52" s="2" t="str">
        <f>IF(INDEX(学年度总表!$P$3:$P$1025,MATCH($E52,学年度总表!$E$3:$E$1025,0))="","",INDEX(学年度总表!$P$3:$P$1025,MATCH($E52,学年度总表!$E$3:$E$1025,0)))</f>
        <v/>
      </c>
      <c r="Q52" s="5" t="str">
        <f>IF(INDEX(学年度总表!$Q$3:$Q$1025,MATCH($E52,学年度总表!$E$3:$E$1025,0))="","",INDEX(学年度总表!$Q$3:$Q$1025,MATCH($E52,学年度总表!$E$3:$E$1025,0)))</f>
        <v/>
      </c>
    </row>
    <row r="53" spans="1:17">
      <c r="A53" s="2">
        <f>IF(INDEX(学年度总表!$A$3:$A$1025,MATCH($E53,学年度总表!$E$3:$E$1025,0))="","",INDEX(学年度总表!$A$3:$A$1025,MATCH($E53,学年度总表!$E$3:$E$1025,0)))</f>
        <v>223</v>
      </c>
      <c r="B53" s="2">
        <f>IF(INDEX(学年度总表!$B$3:$B$1025,MATCH($E53,学年度总表!$E$3:$E$1025,0))="","",INDEX(学年度总表!$B$3:$B$1025,MATCH($E53,学年度总表!$E$3:$E$1025,0)))</f>
        <v>51</v>
      </c>
      <c r="C53" s="2" t="str">
        <f>IF(INDEX(学年度总表!$C$3:$C$1025,MATCH($E53,学年度总表!$E$3:$E$1025,0))="","",INDEX(学年度总表!$C$3:$C$1025,MATCH($E53,学年度总表!$E$3:$E$1025,0)))</f>
        <v>计科</v>
      </c>
      <c r="D53" s="2" t="str">
        <f>IF(INDEX(学年度总表!$D$3:$D$1025,MATCH($E53,学年度总表!$E$3:$E$1025,0))="","",INDEX(学年度总表!$D$3:$D$1025,MATCH($E53,学年度总表!$E$3:$E$1025,0)))</f>
        <v>计科二班</v>
      </c>
      <c r="E53" s="2" t="s">
        <v>505</v>
      </c>
      <c r="F53" s="2" t="str">
        <f>IF(INDEX(学年度总表!$F$3:$F$1025,MATCH($E53,学年度总表!$E$3:$E$1025,0))="","",INDEX(学年度总表!$F$3:$F$1025,MATCH($E53,学年度总表!$E$3:$E$1025,0)))</f>
        <v>孙艺齐</v>
      </c>
      <c r="G53" s="3">
        <f>IF(INDEX(学年度总表!$G$3:$G$1025,MATCH($E53,学年度总表!$E$3:$E$1025,0))="","",INDEX(学年度总表!$G$3:$G$1025,MATCH($E53,学年度总表!$E$3:$E$1025,0)))</f>
        <v>9.8000000000000007</v>
      </c>
      <c r="H53" s="3">
        <f>IF(INDEX(学年度总表!$H$3:$H$1025,MATCH($E53,学年度总表!$E$3:$E$1025,0))="","",INDEX(学年度总表!$H$3:$H$1025,MATCH($E53,学年度总表!$E$3:$E$1025,0)))</f>
        <v>58.4268292682927</v>
      </c>
      <c r="I53" s="3">
        <f>IF(INDEX(学年度总表!$I$3:$I$1025,MATCH($E53,学年度总表!$E$3:$E$1025,0))="","",INDEX(学年度总表!$I$3:$I$1025,MATCH($E53,学年度总表!$E$3:$E$1025,0)))</f>
        <v>4</v>
      </c>
      <c r="J53" s="3">
        <f>IF(INDEX(学年度总表!$J$3:$J$1025,MATCH($E53,学年度总表!$E$3:$E$1025,0))="","",INDEX(学年度总表!$J$3:$J$1025,MATCH($E53,学年度总表!$E$3:$E$1025,0)))</f>
        <v>72.23</v>
      </c>
      <c r="K53" s="3">
        <f>IF(INDEX(学年度总表!$K$3:$K$1025,MATCH($E53,学年度总表!$E$3:$E$1025,0))="","",INDEX(学年度总表!$K$3:$K$1025,MATCH($E53,学年度总表!$E$3:$E$1025,0)))</f>
        <v>9.8000000000000007</v>
      </c>
      <c r="L53" s="3">
        <f>IF(INDEX(学年度总表!$L$3:$L$1025,MATCH($E53,学年度总表!$E$3:$E$1025,0))="","",INDEX(学年度总表!$L$3:$L$1025,MATCH($E53,学年度总表!$E$3:$E$1025,0)))</f>
        <v>64.150000000000006</v>
      </c>
      <c r="M53" s="3">
        <f>IF(INDEX(学年度总表!$M$3:$M$1025,MATCH($E53,学年度总表!$E$3:$E$1025,0))="","",INDEX(学年度总表!$M$3:$M$1025,MATCH($E53,学年度总表!$E$3:$E$1025,0)))</f>
        <v>4.7</v>
      </c>
      <c r="N53" s="3">
        <f>IF(INDEX(学年度总表!$N$3:$N$1025,MATCH($E53,学年度总表!$E$3:$E$1025,0))="","",INDEX(学年度总表!$N$3:$N$1025,MATCH($E53,学年度总表!$E$3:$E$1025,0)))</f>
        <v>78.650000000000006</v>
      </c>
      <c r="O53" s="3">
        <f>IF(INDEX(学年度总表!$O$3:$O$1025,MATCH($E53,学年度总表!$E$3:$E$1025,0))="","",INDEX(学年度总表!$O$3:$O$1025,MATCH($E53,学年度总表!$E$3:$E$1025,0)))</f>
        <v>150.88</v>
      </c>
      <c r="P53" s="2" t="str">
        <f>IF(INDEX(学年度总表!$P$3:$P$1025,MATCH($E53,学年度总表!$E$3:$E$1025,0))="","",INDEX(学年度总表!$P$3:$P$1025,MATCH($E53,学年度总表!$E$3:$E$1025,0)))</f>
        <v/>
      </c>
      <c r="Q53" s="5" t="str">
        <f>IF(INDEX(学年度总表!$Q$3:$Q$1025,MATCH($E53,学年度总表!$E$3:$E$1025,0))="","",INDEX(学年度总表!$Q$3:$Q$1025,MATCH($E53,学年度总表!$E$3:$E$1025,0)))</f>
        <v/>
      </c>
    </row>
    <row r="54" spans="1:17">
      <c r="A54" s="2">
        <f>IF(INDEX(学年度总表!$A$3:$A$1025,MATCH($E54,学年度总表!$E$3:$E$1025,0))="","",INDEX(学年度总表!$A$3:$A$1025,MATCH($E54,学年度总表!$E$3:$E$1025,0)))</f>
        <v>224</v>
      </c>
      <c r="B54" s="2">
        <f>IF(INDEX(学年度总表!$B$3:$B$1025,MATCH($E54,学年度总表!$E$3:$E$1025,0))="","",INDEX(学年度总表!$B$3:$B$1025,MATCH($E54,学年度总表!$E$3:$E$1025,0)))</f>
        <v>52</v>
      </c>
      <c r="C54" s="2" t="str">
        <f>IF(INDEX(学年度总表!$C$3:$C$1025,MATCH($E54,学年度总表!$E$3:$E$1025,0))="","",INDEX(学年度总表!$C$3:$C$1025,MATCH($E54,学年度总表!$E$3:$E$1025,0)))</f>
        <v>计科</v>
      </c>
      <c r="D54" s="2" t="str">
        <f>IF(INDEX(学年度总表!$D$3:$D$1025,MATCH($E54,学年度总表!$E$3:$E$1025,0))="","",INDEX(学年度总表!$D$3:$D$1025,MATCH($E54,学年度总表!$E$3:$E$1025,0)))</f>
        <v>计科一班</v>
      </c>
      <c r="E54" s="2" t="s">
        <v>507</v>
      </c>
      <c r="F54" s="2" t="str">
        <f>IF(INDEX(学年度总表!$F$3:$F$1025,MATCH($E54,学年度总表!$E$3:$E$1025,0))="","",INDEX(学年度总表!$F$3:$F$1025,MATCH($E54,学年度总表!$E$3:$E$1025,0)))</f>
        <v>韩宛怡</v>
      </c>
      <c r="G54" s="3">
        <f>IF(INDEX(学年度总表!$G$3:$G$1025,MATCH($E54,学年度总表!$E$3:$E$1025,0))="","",INDEX(学年度总表!$G$3:$G$1025,MATCH($E54,学年度总表!$E$3:$E$1025,0)))</f>
        <v>9.8000000000000007</v>
      </c>
      <c r="H54" s="3">
        <f>IF(INDEX(学年度总表!$H$3:$H$1025,MATCH($E54,学年度总表!$E$3:$E$1025,0))="","",INDEX(学年度总表!$H$3:$H$1025,MATCH($E54,学年度总表!$E$3:$E$1025,0)))</f>
        <v>59.670731707317103</v>
      </c>
      <c r="I54" s="3">
        <f>IF(INDEX(学年度总表!$I$3:$I$1025,MATCH($E54,学年度总表!$E$3:$E$1025,0))="","",INDEX(学年度总表!$I$3:$I$1025,MATCH($E54,学年度总表!$E$3:$E$1025,0)))</f>
        <v>3.8</v>
      </c>
      <c r="J54" s="3">
        <f>IF(INDEX(学年度总表!$J$3:$J$1025,MATCH($E54,学年度总表!$E$3:$E$1025,0))="","",INDEX(学年度总表!$J$3:$J$1025,MATCH($E54,学年度总表!$E$3:$E$1025,0)))</f>
        <v>73.27</v>
      </c>
      <c r="K54" s="3">
        <f>IF(INDEX(学年度总表!$K$3:$K$1025,MATCH($E54,学年度总表!$E$3:$E$1025,0))="","",INDEX(学年度总表!$K$3:$K$1025,MATCH($E54,学年度总表!$E$3:$E$1025,0)))</f>
        <v>9.8000000000000007</v>
      </c>
      <c r="L54" s="3">
        <f>IF(INDEX(学年度总表!$L$3:$L$1025,MATCH($E54,学年度总表!$E$3:$E$1025,0))="","",INDEX(学年度总表!$L$3:$L$1025,MATCH($E54,学年度总表!$E$3:$E$1025,0)))</f>
        <v>62.88</v>
      </c>
      <c r="M54" s="3">
        <f>IF(INDEX(学年度总表!$M$3:$M$1025,MATCH($E54,学年度总表!$E$3:$E$1025,0))="","",INDEX(学年度总表!$M$3:$M$1025,MATCH($E54,学年度总表!$E$3:$E$1025,0)))</f>
        <v>4.9000000000000004</v>
      </c>
      <c r="N54" s="3">
        <f>IF(INDEX(学年度总表!$N$3:$N$1025,MATCH($E54,学年度总表!$E$3:$E$1025,0))="","",INDEX(学年度总表!$N$3:$N$1025,MATCH($E54,学年度总表!$E$3:$E$1025,0)))</f>
        <v>77.58</v>
      </c>
      <c r="O54" s="3">
        <f>IF(INDEX(学年度总表!$O$3:$O$1025,MATCH($E54,学年度总表!$E$3:$E$1025,0))="","",INDEX(学年度总表!$O$3:$O$1025,MATCH($E54,学年度总表!$E$3:$E$1025,0)))</f>
        <v>150.85</v>
      </c>
      <c r="P54" s="2" t="str">
        <f>IF(INDEX(学年度总表!$P$3:$P$1025,MATCH($E54,学年度总表!$E$3:$E$1025,0))="","",INDEX(学年度总表!$P$3:$P$1025,MATCH($E54,学年度总表!$E$3:$E$1025,0)))</f>
        <v/>
      </c>
      <c r="Q54" s="5" t="str">
        <f>IF(INDEX(学年度总表!$Q$3:$Q$1025,MATCH($E54,学年度总表!$E$3:$E$1025,0))="","",INDEX(学年度总表!$Q$3:$Q$1025,MATCH($E54,学年度总表!$E$3:$E$1025,0)))</f>
        <v/>
      </c>
    </row>
    <row r="55" spans="1:17">
      <c r="A55" s="2">
        <f>IF(INDEX(学年度总表!$A$3:$A$1025,MATCH($E55,学年度总表!$E$3:$E$1025,0))="","",INDEX(学年度总表!$A$3:$A$1025,MATCH($E55,学年度总表!$E$3:$E$1025,0)))</f>
        <v>225</v>
      </c>
      <c r="B55" s="2">
        <f>IF(INDEX(学年度总表!$B$3:$B$1025,MATCH($E55,学年度总表!$E$3:$E$1025,0))="","",INDEX(学年度总表!$B$3:$B$1025,MATCH($E55,学年度总表!$E$3:$E$1025,0)))</f>
        <v>53</v>
      </c>
      <c r="C55" s="2" t="str">
        <f>IF(INDEX(学年度总表!$C$3:$C$1025,MATCH($E55,学年度总表!$E$3:$E$1025,0))="","",INDEX(学年度总表!$C$3:$C$1025,MATCH($E55,学年度总表!$E$3:$E$1025,0)))</f>
        <v>计科</v>
      </c>
      <c r="D55" s="2" t="str">
        <f>IF(INDEX(学年度总表!$D$3:$D$1025,MATCH($E55,学年度总表!$E$3:$E$1025,0))="","",INDEX(学年度总表!$D$3:$D$1025,MATCH($E55,学年度总表!$E$3:$E$1025,0)))</f>
        <v>计科三班</v>
      </c>
      <c r="E55" s="2" t="s">
        <v>509</v>
      </c>
      <c r="F55" s="2" t="str">
        <f>IF(INDEX(学年度总表!$F$3:$F$1025,MATCH($E55,学年度总表!$E$3:$E$1025,0))="","",INDEX(学年度总表!$F$3:$F$1025,MATCH($E55,学年度总表!$E$3:$E$1025,0)))</f>
        <v>李佳璇</v>
      </c>
      <c r="G55" s="3">
        <f>IF(INDEX(学年度总表!$G$3:$G$1025,MATCH($E55,学年度总表!$E$3:$E$1025,0))="","",INDEX(学年度总表!$G$3:$G$1025,MATCH($E55,学年度总表!$E$3:$E$1025,0)))</f>
        <v>9.8000000000000007</v>
      </c>
      <c r="H55" s="3">
        <f>IF(INDEX(学年度总表!$H$3:$H$1025,MATCH($E55,学年度总表!$E$3:$E$1025,0))="","",INDEX(学年度总表!$H$3:$H$1025,MATCH($E55,学年度总表!$E$3:$E$1025,0)))</f>
        <v>62.7</v>
      </c>
      <c r="I55" s="3">
        <f>IF(INDEX(学年度总表!$I$3:$I$1025,MATCH($E55,学年度总表!$E$3:$E$1025,0))="","",INDEX(学年度总表!$I$3:$I$1025,MATCH($E55,学年度总表!$E$3:$E$1025,0)))</f>
        <v>4.9000000000000004</v>
      </c>
      <c r="J55" s="3">
        <f>IF(INDEX(学年度总表!$J$3:$J$1025,MATCH($E55,学年度总表!$E$3:$E$1025,0))="","",INDEX(学年度总表!$J$3:$J$1025,MATCH($E55,学年度总表!$E$3:$E$1025,0)))</f>
        <v>77.400000000000006</v>
      </c>
      <c r="K55" s="3">
        <f>IF(INDEX(学年度总表!$K$3:$K$1025,MATCH($E55,学年度总表!$E$3:$E$1025,0))="","",INDEX(学年度总表!$K$3:$K$1025,MATCH($E55,学年度总表!$E$3:$E$1025,0)))</f>
        <v>9</v>
      </c>
      <c r="L55" s="3">
        <f>IF(INDEX(学年度总表!$L$3:$L$1025,MATCH($E55,学年度总表!$E$3:$E$1025,0))="","",INDEX(学年度总表!$L$3:$L$1025,MATCH($E55,学年度总表!$E$3:$E$1025,0)))</f>
        <v>59.23</v>
      </c>
      <c r="M55" s="3">
        <f>IF(INDEX(学年度总表!$M$3:$M$1025,MATCH($E55,学年度总表!$E$3:$E$1025,0))="","",INDEX(学年度总表!$M$3:$M$1025,MATCH($E55,学年度总表!$E$3:$E$1025,0)))</f>
        <v>5.2</v>
      </c>
      <c r="N55" s="3">
        <f>IF(INDEX(学年度总表!$N$3:$N$1025,MATCH($E55,学年度总表!$E$3:$E$1025,0))="","",INDEX(学年度总表!$N$3:$N$1025,MATCH($E55,学年度总表!$E$3:$E$1025,0)))</f>
        <v>73.430000000000007</v>
      </c>
      <c r="O55" s="3">
        <f>IF(INDEX(学年度总表!$O$3:$O$1025,MATCH($E55,学年度总表!$E$3:$E$1025,0))="","",INDEX(学年度总表!$O$3:$O$1025,MATCH($E55,学年度总表!$E$3:$E$1025,0)))</f>
        <v>150.83000000000001</v>
      </c>
      <c r="P55" s="4" t="str">
        <f>IF(INDEX(学年度总表!$P$3:$P$1025,MATCH($E55,学年度总表!$E$3:$E$1025,0))="","",INDEX(学年度总表!$P$3:$P$1025,MATCH($E55,学年度总表!$E$3:$E$1025,0)))</f>
        <v>文体奖学金</v>
      </c>
      <c r="Q55" s="5" t="str">
        <f>IF(INDEX(学年度总表!$Q$3:$Q$1025,MATCH($E55,学年度总表!$E$3:$E$1025,0))="","",INDEX(学年度总表!$Q$3:$Q$1025,MATCH($E55,学年度总表!$E$3:$E$1025,0)))</f>
        <v/>
      </c>
    </row>
    <row r="56" spans="1:17">
      <c r="A56" s="2">
        <f>IF(INDEX(学年度总表!$A$3:$A$1025,MATCH($E56,学年度总表!$E$3:$E$1025,0))="","",INDEX(学年度总表!$A$3:$A$1025,MATCH($E56,学年度总表!$E$3:$E$1025,0)))</f>
        <v>227</v>
      </c>
      <c r="B56" s="2">
        <f>IF(INDEX(学年度总表!$B$3:$B$1025,MATCH($E56,学年度总表!$E$3:$E$1025,0))="","",INDEX(学年度总表!$B$3:$B$1025,MATCH($E56,学年度总表!$E$3:$E$1025,0)))</f>
        <v>54</v>
      </c>
      <c r="C56" s="2" t="str">
        <f>IF(INDEX(学年度总表!$C$3:$C$1025,MATCH($E56,学年度总表!$E$3:$E$1025,0))="","",INDEX(学年度总表!$C$3:$C$1025,MATCH($E56,学年度总表!$E$3:$E$1025,0)))</f>
        <v>计科</v>
      </c>
      <c r="D56" s="2" t="str">
        <f>IF(INDEX(学年度总表!$D$3:$D$1025,MATCH($E56,学年度总表!$E$3:$E$1025,0))="","",INDEX(学年度总表!$D$3:$D$1025,MATCH($E56,学年度总表!$E$3:$E$1025,0)))</f>
        <v>计科四班</v>
      </c>
      <c r="E56" s="2" t="s">
        <v>513</v>
      </c>
      <c r="F56" s="2" t="str">
        <f>IF(INDEX(学年度总表!$F$3:$F$1025,MATCH($E56,学年度总表!$E$3:$E$1025,0))="","",INDEX(学年度总表!$F$3:$F$1025,MATCH($E56,学年度总表!$E$3:$E$1025,0)))</f>
        <v>吕佳璇</v>
      </c>
      <c r="G56" s="3">
        <f>IF(INDEX(学年度总表!$G$3:$G$1025,MATCH($E56,学年度总表!$E$3:$E$1025,0))="","",INDEX(学年度总表!$G$3:$G$1025,MATCH($E56,学年度总表!$E$3:$E$1025,0)))</f>
        <v>9.8000000000000007</v>
      </c>
      <c r="H56" s="3">
        <f>IF(INDEX(学年度总表!$H$3:$H$1025,MATCH($E56,学年度总表!$E$3:$E$1025,0))="","",INDEX(学年度总表!$H$3:$H$1025,MATCH($E56,学年度总表!$E$3:$E$1025,0)))</f>
        <v>62.3333333333333</v>
      </c>
      <c r="I56" s="3">
        <f>IF(INDEX(学年度总表!$I$3:$I$1025,MATCH($E56,学年度总表!$E$3:$E$1025,0))="","",INDEX(学年度总表!$I$3:$I$1025,MATCH($E56,学年度总表!$E$3:$E$1025,0)))</f>
        <v>3.7</v>
      </c>
      <c r="J56" s="3">
        <f>IF(INDEX(学年度总表!$J$3:$J$1025,MATCH($E56,学年度总表!$E$3:$E$1025,0))="","",INDEX(学年度总表!$J$3:$J$1025,MATCH($E56,学年度总表!$E$3:$E$1025,0)))</f>
        <v>75.83</v>
      </c>
      <c r="K56" s="3">
        <f>IF(INDEX(学年度总表!$K$3:$K$1025,MATCH($E56,学年度总表!$E$3:$E$1025,0))="","",INDEX(学年度总表!$K$3:$K$1025,MATCH($E56,学年度总表!$E$3:$E$1025,0)))</f>
        <v>9.8000000000000007</v>
      </c>
      <c r="L56" s="3">
        <f>IF(INDEX(学年度总表!$L$3:$L$1025,MATCH($E56,学年度总表!$E$3:$E$1025,0))="","",INDEX(学年度总表!$L$3:$L$1025,MATCH($E56,学年度总表!$E$3:$E$1025,0)))</f>
        <v>60.59</v>
      </c>
      <c r="M56" s="3">
        <f>IF(INDEX(学年度总表!$M$3:$M$1025,MATCH($E56,学年度总表!$E$3:$E$1025,0))="","",INDEX(学年度总表!$M$3:$M$1025,MATCH($E56,学年度总表!$E$3:$E$1025,0)))</f>
        <v>4.5</v>
      </c>
      <c r="N56" s="3">
        <f>IF(INDEX(学年度总表!$N$3:$N$1025,MATCH($E56,学年度总表!$E$3:$E$1025,0))="","",INDEX(学年度总表!$N$3:$N$1025,MATCH($E56,学年度总表!$E$3:$E$1025,0)))</f>
        <v>74.89</v>
      </c>
      <c r="O56" s="3">
        <f>IF(INDEX(学年度总表!$O$3:$O$1025,MATCH($E56,学年度总表!$E$3:$E$1025,0))="","",INDEX(学年度总表!$O$3:$O$1025,MATCH($E56,学年度总表!$E$3:$E$1025,0)))</f>
        <v>150.72</v>
      </c>
      <c r="P56" s="2" t="str">
        <f>IF(INDEX(学年度总表!$P$3:$P$1025,MATCH($E56,学年度总表!$E$3:$E$1025,0))="","",INDEX(学年度总表!$P$3:$P$1025,MATCH($E56,学年度总表!$E$3:$E$1025,0)))</f>
        <v/>
      </c>
      <c r="Q56" s="5" t="str">
        <f>IF(INDEX(学年度总表!$Q$3:$Q$1025,MATCH($E56,学年度总表!$E$3:$E$1025,0))="","",INDEX(学年度总表!$Q$3:$Q$1025,MATCH($E56,学年度总表!$E$3:$E$1025,0)))</f>
        <v/>
      </c>
    </row>
    <row r="57" spans="1:17">
      <c r="A57" s="2">
        <f>IF(INDEX(学年度总表!$A$3:$A$1025,MATCH($E57,学年度总表!$E$3:$E$1025,0))="","",INDEX(学年度总表!$A$3:$A$1025,MATCH($E57,学年度总表!$E$3:$E$1025,0)))</f>
        <v>231</v>
      </c>
      <c r="B57" s="2">
        <f>IF(INDEX(学年度总表!$B$3:$B$1025,MATCH($E57,学年度总表!$E$3:$E$1025,0))="","",INDEX(学年度总表!$B$3:$B$1025,MATCH($E57,学年度总表!$E$3:$E$1025,0)))</f>
        <v>55</v>
      </c>
      <c r="C57" s="2" t="str">
        <f>IF(INDEX(学年度总表!$C$3:$C$1025,MATCH($E57,学年度总表!$E$3:$E$1025,0))="","",INDEX(学年度总表!$C$3:$C$1025,MATCH($E57,学年度总表!$E$3:$E$1025,0)))</f>
        <v>计科</v>
      </c>
      <c r="D57" s="2" t="str">
        <f>IF(INDEX(学年度总表!$D$3:$D$1025,MATCH($E57,学年度总表!$E$3:$E$1025,0))="","",INDEX(学年度总表!$D$3:$D$1025,MATCH($E57,学年度总表!$E$3:$E$1025,0)))</f>
        <v>计科二班</v>
      </c>
      <c r="E57" s="2" t="s">
        <v>521</v>
      </c>
      <c r="F57" s="2" t="str">
        <f>IF(INDEX(学年度总表!$F$3:$F$1025,MATCH($E57,学年度总表!$E$3:$E$1025,0))="","",INDEX(学年度总表!$F$3:$F$1025,MATCH($E57,学年度总表!$E$3:$E$1025,0)))</f>
        <v>高佳音</v>
      </c>
      <c r="G57" s="3">
        <f>IF(INDEX(学年度总表!$G$3:$G$1025,MATCH($E57,学年度总表!$E$3:$E$1025,0))="","",INDEX(学年度总表!$G$3:$G$1025,MATCH($E57,学年度总表!$E$3:$E$1025,0)))</f>
        <v>10.3</v>
      </c>
      <c r="H57" s="3">
        <f>IF(INDEX(学年度总表!$H$3:$H$1025,MATCH($E57,学年度总表!$E$3:$E$1025,0))="","",INDEX(学年度总表!$H$3:$H$1025,MATCH($E57,学年度总表!$E$3:$E$1025,0)))</f>
        <v>58.829268292682897</v>
      </c>
      <c r="I57" s="3">
        <f>IF(INDEX(学年度总表!$I$3:$I$1025,MATCH($E57,学年度总表!$E$3:$E$1025,0))="","",INDEX(学年度总表!$I$3:$I$1025,MATCH($E57,学年度总表!$E$3:$E$1025,0)))</f>
        <v>4.5999999999999996</v>
      </c>
      <c r="J57" s="3">
        <f>IF(INDEX(学年度总表!$J$3:$J$1025,MATCH($E57,学年度总表!$E$3:$E$1025,0))="","",INDEX(学年度总表!$J$3:$J$1025,MATCH($E57,学年度总表!$E$3:$E$1025,0)))</f>
        <v>73.73</v>
      </c>
      <c r="K57" s="3">
        <f>IF(INDEX(学年度总表!$K$3:$K$1025,MATCH($E57,学年度总表!$E$3:$E$1025,0))="","",INDEX(学年度总表!$K$3:$K$1025,MATCH($E57,学年度总表!$E$3:$E$1025,0)))</f>
        <v>9.8000000000000007</v>
      </c>
      <c r="L57" s="3">
        <f>IF(INDEX(学年度总表!$L$3:$L$1025,MATCH($E57,学年度总表!$E$3:$E$1025,0))="","",INDEX(学年度总表!$L$3:$L$1025,MATCH($E57,学年度总表!$E$3:$E$1025,0)))</f>
        <v>61.52</v>
      </c>
      <c r="M57" s="3">
        <f>IF(INDEX(学年度总表!$M$3:$M$1025,MATCH($E57,学年度总表!$E$3:$E$1025,0))="","",INDEX(学年度总表!$M$3:$M$1025,MATCH($E57,学年度总表!$E$3:$E$1025,0)))</f>
        <v>5.5</v>
      </c>
      <c r="N57" s="3">
        <f>IF(INDEX(学年度总表!$N$3:$N$1025,MATCH($E57,学年度总表!$E$3:$E$1025,0))="","",INDEX(学年度总表!$N$3:$N$1025,MATCH($E57,学年度总表!$E$3:$E$1025,0)))</f>
        <v>76.819999999999993</v>
      </c>
      <c r="O57" s="3">
        <f>IF(INDEX(学年度总表!$O$3:$O$1025,MATCH($E57,学年度总表!$E$3:$E$1025,0))="","",INDEX(学年度总表!$O$3:$O$1025,MATCH($E57,学年度总表!$E$3:$E$1025,0)))</f>
        <v>150.55000000000001</v>
      </c>
      <c r="P57" s="2" t="str">
        <f>IF(INDEX(学年度总表!$P$3:$P$1025,MATCH($E57,学年度总表!$E$3:$E$1025,0))="","",INDEX(学年度总表!$P$3:$P$1025,MATCH($E57,学年度总表!$E$3:$E$1025,0)))</f>
        <v/>
      </c>
      <c r="Q57" s="5" t="str">
        <f>IF(INDEX(学年度总表!$Q$3:$Q$1025,MATCH($E57,学年度总表!$E$3:$E$1025,0))="","",INDEX(学年度总表!$Q$3:$Q$1025,MATCH($E57,学年度总表!$E$3:$E$1025,0)))</f>
        <v/>
      </c>
    </row>
    <row r="58" spans="1:17">
      <c r="A58" s="2">
        <f>IF(INDEX(学年度总表!$A$3:$A$1025,MATCH($E58,学年度总表!$E$3:$E$1025,0))="","",INDEX(学年度总表!$A$3:$A$1025,MATCH($E58,学年度总表!$E$3:$E$1025,0)))</f>
        <v>239</v>
      </c>
      <c r="B58" s="2">
        <f>IF(INDEX(学年度总表!$B$3:$B$1025,MATCH($E58,学年度总表!$E$3:$E$1025,0))="","",INDEX(学年度总表!$B$3:$B$1025,MATCH($E58,学年度总表!$E$3:$E$1025,0)))</f>
        <v>56</v>
      </c>
      <c r="C58" s="2" t="str">
        <f>IF(INDEX(学年度总表!$C$3:$C$1025,MATCH($E58,学年度总表!$E$3:$E$1025,0))="","",INDEX(学年度总表!$C$3:$C$1025,MATCH($E58,学年度总表!$E$3:$E$1025,0)))</f>
        <v>计科</v>
      </c>
      <c r="D58" s="2" t="str">
        <f>IF(INDEX(学年度总表!$D$3:$D$1025,MATCH($E58,学年度总表!$E$3:$E$1025,0))="","",INDEX(学年度总表!$D$3:$D$1025,MATCH($E58,学年度总表!$E$3:$E$1025,0)))</f>
        <v>计科三班</v>
      </c>
      <c r="E58" s="2" t="s">
        <v>537</v>
      </c>
      <c r="F58" s="2" t="str">
        <f>IF(INDEX(学年度总表!$F$3:$F$1025,MATCH($E58,学年度总表!$E$3:$E$1025,0))="","",INDEX(学年度总表!$F$3:$F$1025,MATCH($E58,学年度总表!$E$3:$E$1025,0)))</f>
        <v>张桐维</v>
      </c>
      <c r="G58" s="3">
        <f>IF(INDEX(学年度总表!$G$3:$G$1025,MATCH($E58,学年度总表!$E$3:$E$1025,0))="","",INDEX(学年度总表!$G$3:$G$1025,MATCH($E58,学年度总表!$E$3:$E$1025,0)))</f>
        <v>10.3</v>
      </c>
      <c r="H58" s="3">
        <f>IF(INDEX(学年度总表!$H$3:$H$1025,MATCH($E58,学年度总表!$E$3:$E$1025,0))="","",INDEX(学年度总表!$H$3:$H$1025,MATCH($E58,学年度总表!$E$3:$E$1025,0)))</f>
        <v>67.256097560975604</v>
      </c>
      <c r="I58" s="3">
        <f>IF(INDEX(学年度总表!$I$3:$I$1025,MATCH($E58,学年度总表!$E$3:$E$1025,0))="","",INDEX(学年度总表!$I$3:$I$1025,MATCH($E58,学年度总表!$E$3:$E$1025,0)))</f>
        <v>4.2</v>
      </c>
      <c r="J58" s="3">
        <f>IF(INDEX(学年度总表!$J$3:$J$1025,MATCH($E58,学年度总表!$E$3:$E$1025,0))="","",INDEX(学年度总表!$J$3:$J$1025,MATCH($E58,学年度总表!$E$3:$E$1025,0)))</f>
        <v>81.760000000000005</v>
      </c>
      <c r="K58" s="3">
        <f>IF(INDEX(学年度总表!$K$3:$K$1025,MATCH($E58,学年度总表!$E$3:$E$1025,0))="","",INDEX(学年度总表!$K$3:$K$1025,MATCH($E58,学年度总表!$E$3:$E$1025,0)))</f>
        <v>9</v>
      </c>
      <c r="L58" s="3">
        <f>IF(INDEX(学年度总表!$L$3:$L$1025,MATCH($E58,学年度总表!$E$3:$E$1025,0))="","",INDEX(学年度总表!$L$3:$L$1025,MATCH($E58,学年度总表!$E$3:$E$1025,0)))</f>
        <v>56.58</v>
      </c>
      <c r="M58" s="3">
        <f>IF(INDEX(学年度总表!$M$3:$M$1025,MATCH($E58,学年度总表!$E$3:$E$1025,0))="","",INDEX(学年度总表!$M$3:$M$1025,MATCH($E58,学年度总表!$E$3:$E$1025,0)))</f>
        <v>3</v>
      </c>
      <c r="N58" s="3">
        <f>IF(INDEX(学年度总表!$N$3:$N$1025,MATCH($E58,学年度总表!$E$3:$E$1025,0))="","",INDEX(学年度总表!$N$3:$N$1025,MATCH($E58,学年度总表!$E$3:$E$1025,0)))</f>
        <v>68.58</v>
      </c>
      <c r="O58" s="3">
        <f>IF(INDEX(学年度总表!$O$3:$O$1025,MATCH($E58,学年度总表!$E$3:$E$1025,0))="","",INDEX(学年度总表!$O$3:$O$1025,MATCH($E58,学年度总表!$E$3:$E$1025,0)))</f>
        <v>150.34</v>
      </c>
      <c r="P58" s="2" t="str">
        <f>IF(INDEX(学年度总表!$P$3:$P$1025,MATCH($E58,学年度总表!$E$3:$E$1025,0))="","",INDEX(学年度总表!$P$3:$P$1025,MATCH($E58,学年度总表!$E$3:$E$1025,0)))</f>
        <v/>
      </c>
      <c r="Q58" s="5" t="str">
        <f>IF(INDEX(学年度总表!$Q$3:$Q$1025,MATCH($E58,学年度总表!$E$3:$E$1025,0))="","",INDEX(学年度总表!$Q$3:$Q$1025,MATCH($E58,学年度总表!$E$3:$E$1025,0)))</f>
        <v/>
      </c>
    </row>
    <row r="59" spans="1:17">
      <c r="A59" s="2">
        <f>IF(INDEX(学年度总表!$A$3:$A$1025,MATCH($E59,学年度总表!$E$3:$E$1025,0))="","",INDEX(学年度总表!$A$3:$A$1025,MATCH($E59,学年度总表!$E$3:$E$1025,0)))</f>
        <v>253</v>
      </c>
      <c r="B59" s="2">
        <f>IF(INDEX(学年度总表!$B$3:$B$1025,MATCH($E59,学年度总表!$E$3:$E$1025,0))="","",INDEX(学年度总表!$B$3:$B$1025,MATCH($E59,学年度总表!$E$3:$E$1025,0)))</f>
        <v>57</v>
      </c>
      <c r="C59" s="2" t="str">
        <f>IF(INDEX(学年度总表!$C$3:$C$1025,MATCH($E59,学年度总表!$E$3:$E$1025,0))="","",INDEX(学年度总表!$C$3:$C$1025,MATCH($E59,学年度总表!$E$3:$E$1025,0)))</f>
        <v>计科</v>
      </c>
      <c r="D59" s="2" t="str">
        <f>IF(INDEX(学年度总表!$D$3:$D$1025,MATCH($E59,学年度总表!$E$3:$E$1025,0))="","",INDEX(学年度总表!$D$3:$D$1025,MATCH($E59,学年度总表!$E$3:$E$1025,0)))</f>
        <v>计科四班</v>
      </c>
      <c r="E59" s="2" t="s">
        <v>565</v>
      </c>
      <c r="F59" s="2" t="str">
        <f>IF(INDEX(学年度总表!$F$3:$F$1025,MATCH($E59,学年度总表!$E$3:$E$1025,0))="","",INDEX(学年度总表!$F$3:$F$1025,MATCH($E59,学年度总表!$E$3:$E$1025,0)))</f>
        <v>金甫珉</v>
      </c>
      <c r="G59" s="3">
        <f>IF(INDEX(学年度总表!$G$3:$G$1025,MATCH($E59,学年度总表!$E$3:$E$1025,0))="","",INDEX(学年度总表!$G$3:$G$1025,MATCH($E59,学年度总表!$E$3:$E$1025,0)))</f>
        <v>9.8000000000000007</v>
      </c>
      <c r="H59" s="3">
        <f>IF(INDEX(学年度总表!$H$3:$H$1025,MATCH($E59,学年度总表!$E$3:$E$1025,0))="","",INDEX(学年度总表!$H$3:$H$1025,MATCH($E59,学年度总表!$E$3:$E$1025,0)))</f>
        <v>59.5</v>
      </c>
      <c r="I59" s="3">
        <f>IF(INDEX(学年度总表!$I$3:$I$1025,MATCH($E59,学年度总表!$E$3:$E$1025,0))="","",INDEX(学年度总表!$I$3:$I$1025,MATCH($E59,学年度总表!$E$3:$E$1025,0)))</f>
        <v>4.5</v>
      </c>
      <c r="J59" s="3">
        <f>IF(INDEX(学年度总表!$J$3:$J$1025,MATCH($E59,学年度总表!$E$3:$E$1025,0))="","",INDEX(学年度总表!$J$3:$J$1025,MATCH($E59,学年度总表!$E$3:$E$1025,0)))</f>
        <v>73.8</v>
      </c>
      <c r="K59" s="3">
        <f>IF(INDEX(学年度总表!$K$3:$K$1025,MATCH($E59,学年度总表!$E$3:$E$1025,0))="","",INDEX(学年度总表!$K$3:$K$1025,MATCH($E59,学年度总表!$E$3:$E$1025,0)))</f>
        <v>9.8000000000000007</v>
      </c>
      <c r="L59" s="3">
        <f>IF(INDEX(学年度总表!$L$3:$L$1025,MATCH($E59,学年度总表!$E$3:$E$1025,0))="","",INDEX(学年度总表!$L$3:$L$1025,MATCH($E59,学年度总表!$E$3:$E$1025,0)))</f>
        <v>61.76</v>
      </c>
      <c r="M59" s="3">
        <f>IF(INDEX(学年度总表!$M$3:$M$1025,MATCH($E59,学年度总表!$E$3:$E$1025,0))="","",INDEX(学年度总表!$M$3:$M$1025,MATCH($E59,学年度总表!$E$3:$E$1025,0)))</f>
        <v>4.4000000000000004</v>
      </c>
      <c r="N59" s="3">
        <f>IF(INDEX(学年度总表!$N$3:$N$1025,MATCH($E59,学年度总表!$E$3:$E$1025,0))="","",INDEX(学年度总表!$N$3:$N$1025,MATCH($E59,学年度总表!$E$3:$E$1025,0)))</f>
        <v>75.959999999999994</v>
      </c>
      <c r="O59" s="3">
        <f>IF(INDEX(学年度总表!$O$3:$O$1025,MATCH($E59,学年度总表!$E$3:$E$1025,0))="","",INDEX(学年度总表!$O$3:$O$1025,MATCH($E59,学年度总表!$E$3:$E$1025,0)))</f>
        <v>149.76</v>
      </c>
      <c r="P59" s="2" t="str">
        <f>IF(INDEX(学年度总表!$P$3:$P$1025,MATCH($E59,学年度总表!$E$3:$E$1025,0))="","",INDEX(学年度总表!$P$3:$P$1025,MATCH($E59,学年度总表!$E$3:$E$1025,0)))</f>
        <v/>
      </c>
      <c r="Q59" s="5" t="str">
        <f>IF(INDEX(学年度总表!$Q$3:$Q$1025,MATCH($E59,学年度总表!$E$3:$E$1025,0))="","",INDEX(学年度总表!$Q$3:$Q$1025,MATCH($E59,学年度总表!$E$3:$E$1025,0)))</f>
        <v/>
      </c>
    </row>
    <row r="60" spans="1:17">
      <c r="A60" s="2">
        <f>IF(INDEX(学年度总表!$A$3:$A$1025,MATCH($E60,学年度总表!$E$3:$E$1025,0))="","",INDEX(学年度总表!$A$3:$A$1025,MATCH($E60,学年度总表!$E$3:$E$1025,0)))</f>
        <v>255</v>
      </c>
      <c r="B60" s="2">
        <f>IF(INDEX(学年度总表!$B$3:$B$1025,MATCH($E60,学年度总表!$E$3:$E$1025,0))="","",INDEX(学年度总表!$B$3:$B$1025,MATCH($E60,学年度总表!$E$3:$E$1025,0)))</f>
        <v>58</v>
      </c>
      <c r="C60" s="2" t="str">
        <f>IF(INDEX(学年度总表!$C$3:$C$1025,MATCH($E60,学年度总表!$E$3:$E$1025,0))="","",INDEX(学年度总表!$C$3:$C$1025,MATCH($E60,学年度总表!$E$3:$E$1025,0)))</f>
        <v>计科</v>
      </c>
      <c r="D60" s="2" t="str">
        <f>IF(INDEX(学年度总表!$D$3:$D$1025,MATCH($E60,学年度总表!$E$3:$E$1025,0))="","",INDEX(学年度总表!$D$3:$D$1025,MATCH($E60,学年度总表!$E$3:$E$1025,0)))</f>
        <v>计科三班</v>
      </c>
      <c r="E60" s="2" t="s">
        <v>569</v>
      </c>
      <c r="F60" s="2" t="str">
        <f>IF(INDEX(学年度总表!$F$3:$F$1025,MATCH($E60,学年度总表!$E$3:$E$1025,0))="","",INDEX(学年度总表!$F$3:$F$1025,MATCH($E60,学年度总表!$E$3:$E$1025,0)))</f>
        <v>金缇琳</v>
      </c>
      <c r="G60" s="3">
        <f>IF(INDEX(学年度总表!$G$3:$G$1025,MATCH($E60,学年度总表!$E$3:$E$1025,0))="","",INDEX(学年度总表!$G$3:$G$1025,MATCH($E60,学年度总表!$E$3:$E$1025,0)))</f>
        <v>9.8000000000000007</v>
      </c>
      <c r="H60" s="3">
        <f>IF(INDEX(学年度总表!$H$3:$H$1025,MATCH($E60,学年度总表!$E$3:$E$1025,0))="","",INDEX(学年度总表!$H$3:$H$1025,MATCH($E60,学年度总表!$E$3:$E$1025,0)))</f>
        <v>63.817073170731703</v>
      </c>
      <c r="I60" s="3">
        <f>IF(INDEX(学年度总表!$I$3:$I$1025,MATCH($E60,学年度总表!$E$3:$E$1025,0))="","",INDEX(学年度总表!$I$3:$I$1025,MATCH($E60,学年度总表!$E$3:$E$1025,0)))</f>
        <v>4.3</v>
      </c>
      <c r="J60" s="3">
        <f>IF(INDEX(学年度总表!$J$3:$J$1025,MATCH($E60,学年度总表!$E$3:$E$1025,0))="","",INDEX(学年度总表!$J$3:$J$1025,MATCH($E60,学年度总表!$E$3:$E$1025,0)))</f>
        <v>77.92</v>
      </c>
      <c r="K60" s="3">
        <f>IF(INDEX(学年度总表!$K$3:$K$1025,MATCH($E60,学年度总表!$E$3:$E$1025,0))="","",INDEX(学年度总表!$K$3:$K$1025,MATCH($E60,学年度总表!$E$3:$E$1025,0)))</f>
        <v>9</v>
      </c>
      <c r="L60" s="3">
        <f>IF(INDEX(学年度总表!$L$3:$L$1025,MATCH($E60,学年度总表!$E$3:$E$1025,0))="","",INDEX(学年度总表!$L$3:$L$1025,MATCH($E60,学年度总表!$E$3:$E$1025,0)))</f>
        <v>58.82</v>
      </c>
      <c r="M60" s="3">
        <f>IF(INDEX(学年度总表!$M$3:$M$1025,MATCH($E60,学年度总表!$E$3:$E$1025,0))="","",INDEX(学年度总表!$M$3:$M$1025,MATCH($E60,学年度总表!$E$3:$E$1025,0)))</f>
        <v>4</v>
      </c>
      <c r="N60" s="3">
        <f>IF(INDEX(学年度总表!$N$3:$N$1025,MATCH($E60,学年度总表!$E$3:$E$1025,0))="","",INDEX(学年度总表!$N$3:$N$1025,MATCH($E60,学年度总表!$E$3:$E$1025,0)))</f>
        <v>71.819999999999993</v>
      </c>
      <c r="O60" s="3">
        <f>IF(INDEX(学年度总表!$O$3:$O$1025,MATCH($E60,学年度总表!$E$3:$E$1025,0))="","",INDEX(学年度总表!$O$3:$O$1025,MATCH($E60,学年度总表!$E$3:$E$1025,0)))</f>
        <v>149.74</v>
      </c>
      <c r="P60" s="2" t="str">
        <f>IF(INDEX(学年度总表!$P$3:$P$1025,MATCH($E60,学年度总表!$E$3:$E$1025,0))="","",INDEX(学年度总表!$P$3:$P$1025,MATCH($E60,学年度总表!$E$3:$E$1025,0)))</f>
        <v/>
      </c>
      <c r="Q60" s="5" t="str">
        <f>IF(INDEX(学年度总表!$Q$3:$Q$1025,MATCH($E60,学年度总表!$E$3:$E$1025,0))="","",INDEX(学年度总表!$Q$3:$Q$1025,MATCH($E60,学年度总表!$E$3:$E$1025,0)))</f>
        <v/>
      </c>
    </row>
    <row r="61" spans="1:17">
      <c r="A61" s="2">
        <f>IF(INDEX(学年度总表!$A$3:$A$1025,MATCH($E61,学年度总表!$E$3:$E$1025,0))="","",INDEX(学年度总表!$A$3:$A$1025,MATCH($E61,学年度总表!$E$3:$E$1025,0)))</f>
        <v>262</v>
      </c>
      <c r="B61" s="2">
        <f>IF(INDEX(学年度总表!$B$3:$B$1025,MATCH($E61,学年度总表!$E$3:$E$1025,0))="","",INDEX(学年度总表!$B$3:$B$1025,MATCH($E61,学年度总表!$E$3:$E$1025,0)))</f>
        <v>59</v>
      </c>
      <c r="C61" s="2" t="str">
        <f>IF(INDEX(学年度总表!$C$3:$C$1025,MATCH($E61,学年度总表!$E$3:$E$1025,0))="","",INDEX(学年度总表!$C$3:$C$1025,MATCH($E61,学年度总表!$E$3:$E$1025,0)))</f>
        <v>计科</v>
      </c>
      <c r="D61" s="2" t="str">
        <f>IF(INDEX(学年度总表!$D$3:$D$1025,MATCH($E61,学年度总表!$E$3:$E$1025,0))="","",INDEX(学年度总表!$D$3:$D$1025,MATCH($E61,学年度总表!$E$3:$E$1025,0)))</f>
        <v>计科四班</v>
      </c>
      <c r="E61" s="2" t="s">
        <v>584</v>
      </c>
      <c r="F61" s="2" t="str">
        <f>IF(INDEX(学年度总表!$F$3:$F$1025,MATCH($E61,学年度总表!$E$3:$E$1025,0))="","",INDEX(学年度总表!$F$3:$F$1025,MATCH($E61,学年度总表!$E$3:$E$1025,0)))</f>
        <v>徐梦娟</v>
      </c>
      <c r="G61" s="3">
        <f>IF(INDEX(学年度总表!$G$3:$G$1025,MATCH($E61,学年度总表!$E$3:$E$1025,0))="","",INDEX(学年度总表!$G$3:$G$1025,MATCH($E61,学年度总表!$E$3:$E$1025,0)))</f>
        <v>9.8000000000000007</v>
      </c>
      <c r="H61" s="3">
        <f>IF(INDEX(学年度总表!$H$3:$H$1025,MATCH($E61,学年度总表!$E$3:$E$1025,0))="","",INDEX(学年度总表!$H$3:$H$1025,MATCH($E61,学年度总表!$E$3:$E$1025,0)))</f>
        <v>59.817073170731703</v>
      </c>
      <c r="I61" s="3">
        <f>IF(INDEX(学年度总表!$I$3:$I$1025,MATCH($E61,学年度总表!$E$3:$E$1025,0))="","",INDEX(学年度总表!$I$3:$I$1025,MATCH($E61,学年度总表!$E$3:$E$1025,0)))</f>
        <v>5.5</v>
      </c>
      <c r="J61" s="3">
        <f>IF(INDEX(学年度总表!$J$3:$J$1025,MATCH($E61,学年度总表!$E$3:$E$1025,0))="","",INDEX(学年度总表!$J$3:$J$1025,MATCH($E61,学年度总表!$E$3:$E$1025,0)))</f>
        <v>75.12</v>
      </c>
      <c r="K61" s="3">
        <f>IF(INDEX(学年度总表!$K$3:$K$1025,MATCH($E61,学年度总表!$E$3:$E$1025,0))="","",INDEX(学年度总表!$K$3:$K$1025,MATCH($E61,学年度总表!$E$3:$E$1025,0)))</f>
        <v>9.8000000000000007</v>
      </c>
      <c r="L61" s="3">
        <f>IF(INDEX(学年度总表!$L$3:$L$1025,MATCH($E61,学年度总表!$E$3:$E$1025,0))="","",INDEX(学年度总表!$L$3:$L$1025,MATCH($E61,学年度总表!$E$3:$E$1025,0)))</f>
        <v>60.4</v>
      </c>
      <c r="M61" s="3">
        <f>IF(INDEX(学年度总表!$M$3:$M$1025,MATCH($E61,学年度总表!$E$3:$E$1025,0))="","",INDEX(学年度总表!$M$3:$M$1025,MATCH($E61,学年度总表!$E$3:$E$1025,0)))</f>
        <v>4</v>
      </c>
      <c r="N61" s="3">
        <f>IF(INDEX(学年度总表!$N$3:$N$1025,MATCH($E61,学年度总表!$E$3:$E$1025,0))="","",INDEX(学年度总表!$N$3:$N$1025,MATCH($E61,学年度总表!$E$3:$E$1025,0)))</f>
        <v>74.2</v>
      </c>
      <c r="O61" s="3">
        <f>IF(INDEX(学年度总表!$O$3:$O$1025,MATCH($E61,学年度总表!$E$3:$E$1025,0))="","",INDEX(学年度总表!$O$3:$O$1025,MATCH($E61,学年度总表!$E$3:$E$1025,0)))</f>
        <v>149.32</v>
      </c>
      <c r="P61" s="2" t="str">
        <f>IF(INDEX(学年度总表!$P$3:$P$1025,MATCH($E61,学年度总表!$E$3:$E$1025,0))="","",INDEX(学年度总表!$P$3:$P$1025,MATCH($E61,学年度总表!$E$3:$E$1025,0)))</f>
        <v/>
      </c>
      <c r="Q61" s="5" t="str">
        <f>IF(INDEX(学年度总表!$Q$3:$Q$1025,MATCH($E61,学年度总表!$E$3:$E$1025,0))="","",INDEX(学年度总表!$Q$3:$Q$1025,MATCH($E61,学年度总表!$E$3:$E$1025,0)))</f>
        <v/>
      </c>
    </row>
    <row r="62" spans="1:17">
      <c r="A62" s="2">
        <f>IF(INDEX(学年度总表!$A$3:$A$1025,MATCH($E62,学年度总表!$E$3:$E$1025,0))="","",INDEX(学年度总表!$A$3:$A$1025,MATCH($E62,学年度总表!$E$3:$E$1025,0)))</f>
        <v>265</v>
      </c>
      <c r="B62" s="2">
        <f>IF(INDEX(学年度总表!$B$3:$B$1025,MATCH($E62,学年度总表!$E$3:$E$1025,0))="","",INDEX(学年度总表!$B$3:$B$1025,MATCH($E62,学年度总表!$E$3:$E$1025,0)))</f>
        <v>60</v>
      </c>
      <c r="C62" s="2" t="str">
        <f>IF(INDEX(学年度总表!$C$3:$C$1025,MATCH($E62,学年度总表!$E$3:$E$1025,0))="","",INDEX(学年度总表!$C$3:$C$1025,MATCH($E62,学年度总表!$E$3:$E$1025,0)))</f>
        <v>计科</v>
      </c>
      <c r="D62" s="2" t="str">
        <f>IF(INDEX(学年度总表!$D$3:$D$1025,MATCH($E62,学年度总表!$E$3:$E$1025,0))="","",INDEX(学年度总表!$D$3:$D$1025,MATCH($E62,学年度总表!$E$3:$E$1025,0)))</f>
        <v>计科三班</v>
      </c>
      <c r="E62" s="2" t="s">
        <v>590</v>
      </c>
      <c r="F62" s="2" t="str">
        <f>IF(INDEX(学年度总表!$F$3:$F$1025,MATCH($E62,学年度总表!$E$3:$E$1025,0))="","",INDEX(学年度总表!$F$3:$F$1025,MATCH($E62,学年度总表!$E$3:$E$1025,0)))</f>
        <v>李雨萌</v>
      </c>
      <c r="G62" s="3">
        <f>IF(INDEX(学年度总表!$G$3:$G$1025,MATCH($E62,学年度总表!$E$3:$E$1025,0))="","",INDEX(学年度总表!$G$3:$G$1025,MATCH($E62,学年度总表!$E$3:$E$1025,0)))</f>
        <v>9.8000000000000007</v>
      </c>
      <c r="H62" s="3">
        <f>IF(INDEX(学年度总表!$H$3:$H$1025,MATCH($E62,学年度总表!$E$3:$E$1025,0))="","",INDEX(学年度总表!$H$3:$H$1025,MATCH($E62,学年度总表!$E$3:$E$1025,0)))</f>
        <v>61.365853658536601</v>
      </c>
      <c r="I62" s="3">
        <f>IF(INDEX(学年度总表!$I$3:$I$1025,MATCH($E62,学年度总表!$E$3:$E$1025,0))="","",INDEX(学年度总表!$I$3:$I$1025,MATCH($E62,学年度总表!$E$3:$E$1025,0)))</f>
        <v>5.4</v>
      </c>
      <c r="J62" s="3">
        <f>IF(INDEX(学年度总表!$J$3:$J$1025,MATCH($E62,学年度总表!$E$3:$E$1025,0))="","",INDEX(学年度总表!$J$3:$J$1025,MATCH($E62,学年度总表!$E$3:$E$1025,0)))</f>
        <v>76.569999999999993</v>
      </c>
      <c r="K62" s="3">
        <f>IF(INDEX(学年度总表!$K$3:$K$1025,MATCH($E62,学年度总表!$E$3:$E$1025,0))="","",INDEX(学年度总表!$K$3:$K$1025,MATCH($E62,学年度总表!$E$3:$E$1025,0)))</f>
        <v>9</v>
      </c>
      <c r="L62" s="3">
        <f>IF(INDEX(学年度总表!$L$3:$L$1025,MATCH($E62,学年度总表!$E$3:$E$1025,0))="","",INDEX(学年度总表!$L$3:$L$1025,MATCH($E62,学年度总表!$E$3:$E$1025,0)))</f>
        <v>57.91</v>
      </c>
      <c r="M62" s="3">
        <f>IF(INDEX(学年度总表!$M$3:$M$1025,MATCH($E62,学年度总表!$E$3:$E$1025,0))="","",INDEX(学年度总表!$M$3:$M$1025,MATCH($E62,学年度总表!$E$3:$E$1025,0)))</f>
        <v>5.7</v>
      </c>
      <c r="N62" s="3">
        <f>IF(INDEX(学年度总表!$N$3:$N$1025,MATCH($E62,学年度总表!$E$3:$E$1025,0))="","",INDEX(学年度总表!$N$3:$N$1025,MATCH($E62,学年度总表!$E$3:$E$1025,0)))</f>
        <v>72.61</v>
      </c>
      <c r="O62" s="3">
        <f>IF(INDEX(学年度总表!$O$3:$O$1025,MATCH($E62,学年度总表!$E$3:$E$1025,0))="","",INDEX(学年度总表!$O$3:$O$1025,MATCH($E62,学年度总表!$E$3:$E$1025,0)))</f>
        <v>149.18</v>
      </c>
      <c r="P62" s="2" t="str">
        <f>IF(INDEX(学年度总表!$P$3:$P$1025,MATCH($E62,学年度总表!$E$3:$E$1025,0))="","",INDEX(学年度总表!$P$3:$P$1025,MATCH($E62,学年度总表!$E$3:$E$1025,0)))</f>
        <v/>
      </c>
      <c r="Q62" s="5" t="str">
        <f>IF(INDEX(学年度总表!$Q$3:$Q$1025,MATCH($E62,学年度总表!$E$3:$E$1025,0))="","",INDEX(学年度总表!$Q$3:$Q$1025,MATCH($E62,学年度总表!$E$3:$E$1025,0)))</f>
        <v/>
      </c>
    </row>
    <row r="63" spans="1:17">
      <c r="A63" s="2">
        <f>IF(INDEX(学年度总表!$A$3:$A$1025,MATCH($E63,学年度总表!$E$3:$E$1025,0))="","",INDEX(学年度总表!$A$3:$A$1025,MATCH($E63,学年度总表!$E$3:$E$1025,0)))</f>
        <v>274</v>
      </c>
      <c r="B63" s="2">
        <f>IF(INDEX(学年度总表!$B$3:$B$1025,MATCH($E63,学年度总表!$E$3:$E$1025,0))="","",INDEX(学年度总表!$B$3:$B$1025,MATCH($E63,学年度总表!$E$3:$E$1025,0)))</f>
        <v>61</v>
      </c>
      <c r="C63" s="2" t="str">
        <f>IF(INDEX(学年度总表!$C$3:$C$1025,MATCH($E63,学年度总表!$E$3:$E$1025,0))="","",INDEX(学年度总表!$C$3:$C$1025,MATCH($E63,学年度总表!$E$3:$E$1025,0)))</f>
        <v>计科</v>
      </c>
      <c r="D63" s="2" t="str">
        <f>IF(INDEX(学年度总表!$D$3:$D$1025,MATCH($E63,学年度总表!$E$3:$E$1025,0))="","",INDEX(学年度总表!$D$3:$D$1025,MATCH($E63,学年度总表!$E$3:$E$1025,0)))</f>
        <v>计科二班</v>
      </c>
      <c r="E63" s="2" t="s">
        <v>608</v>
      </c>
      <c r="F63" s="2" t="str">
        <f>IF(INDEX(学年度总表!$F$3:$F$1025,MATCH($E63,学年度总表!$E$3:$E$1025,0))="","",INDEX(学年度总表!$F$3:$F$1025,MATCH($E63,学年度总表!$E$3:$E$1025,0)))</f>
        <v>孙佳钰</v>
      </c>
      <c r="G63" s="3">
        <f>IF(INDEX(学年度总表!$G$3:$G$1025,MATCH($E63,学年度总表!$E$3:$E$1025,0))="","",INDEX(学年度总表!$G$3:$G$1025,MATCH($E63,学年度总表!$E$3:$E$1025,0)))</f>
        <v>11.6</v>
      </c>
      <c r="H63" s="3">
        <f>IF(INDEX(学年度总表!$H$3:$H$1025,MATCH($E63,学年度总表!$E$3:$E$1025,0))="","",INDEX(学年度总表!$H$3:$H$1025,MATCH($E63,学年度总表!$E$3:$E$1025,0)))</f>
        <v>62.433333333333302</v>
      </c>
      <c r="I63" s="3">
        <f>IF(INDEX(学年度总表!$I$3:$I$1025,MATCH($E63,学年度总表!$E$3:$E$1025,0))="","",INDEX(学年度总表!$I$3:$I$1025,MATCH($E63,学年度总表!$E$3:$E$1025,0)))</f>
        <v>3.2</v>
      </c>
      <c r="J63" s="3">
        <f>IF(INDEX(学年度总表!$J$3:$J$1025,MATCH($E63,学年度总表!$E$3:$E$1025,0))="","",INDEX(学年度总表!$J$3:$J$1025,MATCH($E63,学年度总表!$E$3:$E$1025,0)))</f>
        <v>77.23</v>
      </c>
      <c r="K63" s="3">
        <f>IF(INDEX(学年度总表!$K$3:$K$1025,MATCH($E63,学年度总表!$E$3:$E$1025,0))="","",INDEX(学年度总表!$K$3:$K$1025,MATCH($E63,学年度总表!$E$3:$E$1025,0)))</f>
        <v>12</v>
      </c>
      <c r="L63" s="3">
        <f>IF(INDEX(学年度总表!$L$3:$L$1025,MATCH($E63,学年度总表!$E$3:$E$1025,0))="","",INDEX(学年度总表!$L$3:$L$1025,MATCH($E63,学年度总表!$E$3:$E$1025,0)))</f>
        <v>56.04</v>
      </c>
      <c r="M63" s="3">
        <f>IF(INDEX(学年度总表!$M$3:$M$1025,MATCH($E63,学年度总表!$E$3:$E$1025,0))="","",INDEX(学年度总表!$M$3:$M$1025,MATCH($E63,学年度总表!$E$3:$E$1025,0)))</f>
        <v>3.5</v>
      </c>
      <c r="N63" s="3">
        <f>IF(INDEX(学年度总表!$N$3:$N$1025,MATCH($E63,学年度总表!$E$3:$E$1025,0))="","",INDEX(学年度总表!$N$3:$N$1025,MATCH($E63,学年度总表!$E$3:$E$1025,0)))</f>
        <v>71.540000000000006</v>
      </c>
      <c r="O63" s="3">
        <f>IF(INDEX(学年度总表!$O$3:$O$1025,MATCH($E63,学年度总表!$E$3:$E$1025,0))="","",INDEX(学年度总表!$O$3:$O$1025,MATCH($E63,学年度总表!$E$3:$E$1025,0)))</f>
        <v>148.77000000000001</v>
      </c>
      <c r="P63" s="2" t="str">
        <f>IF(INDEX(学年度总表!$P$3:$P$1025,MATCH($E63,学年度总表!$E$3:$E$1025,0))="","",INDEX(学年度总表!$P$3:$P$1025,MATCH($E63,学年度总表!$E$3:$E$1025,0)))</f>
        <v/>
      </c>
      <c r="Q63" s="5" t="str">
        <f>IF(INDEX(学年度总表!$Q$3:$Q$1025,MATCH($E63,学年度总表!$E$3:$E$1025,0))="","",INDEX(学年度总表!$Q$3:$Q$1025,MATCH($E63,学年度总表!$E$3:$E$1025,0)))</f>
        <v/>
      </c>
    </row>
    <row r="64" spans="1:17">
      <c r="A64" s="2">
        <f>IF(INDEX(学年度总表!$A$3:$A$1025,MATCH($E64,学年度总表!$E$3:$E$1025,0))="","",INDEX(学年度总表!$A$3:$A$1025,MATCH($E64,学年度总表!$E$3:$E$1025,0)))</f>
        <v>276</v>
      </c>
      <c r="B64" s="2">
        <f>IF(INDEX(学年度总表!$B$3:$B$1025,MATCH($E64,学年度总表!$E$3:$E$1025,0))="","",INDEX(学年度总表!$B$3:$B$1025,MATCH($E64,学年度总表!$E$3:$E$1025,0)))</f>
        <v>62</v>
      </c>
      <c r="C64" s="2" t="str">
        <f>IF(INDEX(学年度总表!$C$3:$C$1025,MATCH($E64,学年度总表!$E$3:$E$1025,0))="","",INDEX(学年度总表!$C$3:$C$1025,MATCH($E64,学年度总表!$E$3:$E$1025,0)))</f>
        <v>计科</v>
      </c>
      <c r="D64" s="2" t="str">
        <f>IF(INDEX(学年度总表!$D$3:$D$1025,MATCH($E64,学年度总表!$E$3:$E$1025,0))="","",INDEX(学年度总表!$D$3:$D$1025,MATCH($E64,学年度总表!$E$3:$E$1025,0)))</f>
        <v>计科一班</v>
      </c>
      <c r="E64" s="2" t="s">
        <v>612</v>
      </c>
      <c r="F64" s="2" t="str">
        <f>IF(INDEX(学年度总表!$F$3:$F$1025,MATCH($E64,学年度总表!$E$3:$E$1025,0))="","",INDEX(学年度总表!$F$3:$F$1025,MATCH($E64,学年度总表!$E$3:$E$1025,0)))</f>
        <v>赵美娜</v>
      </c>
      <c r="G64" s="3">
        <f>IF(INDEX(学年度总表!$G$3:$G$1025,MATCH($E64,学年度总表!$E$3:$E$1025,0))="","",INDEX(学年度总表!$G$3:$G$1025,MATCH($E64,学年度总表!$E$3:$E$1025,0)))</f>
        <v>9.8000000000000007</v>
      </c>
      <c r="H64" s="3">
        <f>IF(INDEX(学年度总表!$H$3:$H$1025,MATCH($E64,学年度总表!$E$3:$E$1025,0))="","",INDEX(学年度总表!$H$3:$H$1025,MATCH($E64,学年度总表!$E$3:$E$1025,0)))</f>
        <v>60.634146341463399</v>
      </c>
      <c r="I64" s="3">
        <f>IF(INDEX(学年度总表!$I$3:$I$1025,MATCH($E64,学年度总表!$E$3:$E$1025,0))="","",INDEX(学年度总表!$I$3:$I$1025,MATCH($E64,学年度总表!$E$3:$E$1025,0)))</f>
        <v>3.5</v>
      </c>
      <c r="J64" s="3">
        <f>IF(INDEX(学年度总表!$J$3:$J$1025,MATCH($E64,学年度总表!$E$3:$E$1025,0))="","",INDEX(学年度总表!$J$3:$J$1025,MATCH($E64,学年度总表!$E$3:$E$1025,0)))</f>
        <v>73.930000000000007</v>
      </c>
      <c r="K64" s="3">
        <f>IF(INDEX(学年度总表!$K$3:$K$1025,MATCH($E64,学年度总表!$E$3:$E$1025,0))="","",INDEX(学年度总表!$K$3:$K$1025,MATCH($E64,学年度总表!$E$3:$E$1025,0)))</f>
        <v>9.8000000000000007</v>
      </c>
      <c r="L64" s="3">
        <f>IF(INDEX(学年度总表!$L$3:$L$1025,MATCH($E64,学年度总表!$E$3:$E$1025,0))="","",INDEX(学年度总表!$L$3:$L$1025,MATCH($E64,学年度总表!$E$3:$E$1025,0)))</f>
        <v>61.01</v>
      </c>
      <c r="M64" s="3">
        <f>IF(INDEX(学年度总表!$M$3:$M$1025,MATCH($E64,学年度总表!$E$3:$E$1025,0))="","",INDEX(学年度总表!$M$3:$M$1025,MATCH($E64,学年度总表!$E$3:$E$1025,0)))</f>
        <v>4</v>
      </c>
      <c r="N64" s="3">
        <f>IF(INDEX(学年度总表!$N$3:$N$1025,MATCH($E64,学年度总表!$E$3:$E$1025,0))="","",INDEX(学年度总表!$N$3:$N$1025,MATCH($E64,学年度总表!$E$3:$E$1025,0)))</f>
        <v>74.81</v>
      </c>
      <c r="O64" s="3">
        <f>IF(INDEX(学年度总表!$O$3:$O$1025,MATCH($E64,学年度总表!$E$3:$E$1025,0))="","",INDEX(学年度总表!$O$3:$O$1025,MATCH($E64,学年度总表!$E$3:$E$1025,0)))</f>
        <v>148.74</v>
      </c>
      <c r="P64" s="2" t="str">
        <f>IF(INDEX(学年度总表!$P$3:$P$1025,MATCH($E64,学年度总表!$E$3:$E$1025,0))="","",INDEX(学年度总表!$P$3:$P$1025,MATCH($E64,学年度总表!$E$3:$E$1025,0)))</f>
        <v/>
      </c>
      <c r="Q64" s="5" t="str">
        <f>IF(INDEX(学年度总表!$Q$3:$Q$1025,MATCH($E64,学年度总表!$E$3:$E$1025,0))="","",INDEX(学年度总表!$Q$3:$Q$1025,MATCH($E64,学年度总表!$E$3:$E$1025,0)))</f>
        <v/>
      </c>
    </row>
    <row r="65" spans="1:17">
      <c r="A65" s="2">
        <f>IF(INDEX(学年度总表!$A$3:$A$1025,MATCH($E65,学年度总表!$E$3:$E$1025,0))="","",INDEX(学年度总表!$A$3:$A$1025,MATCH($E65,学年度总表!$E$3:$E$1025,0)))</f>
        <v>277</v>
      </c>
      <c r="B65" s="2">
        <f>IF(INDEX(学年度总表!$B$3:$B$1025,MATCH($E65,学年度总表!$E$3:$E$1025,0))="","",INDEX(学年度总表!$B$3:$B$1025,MATCH($E65,学年度总表!$E$3:$E$1025,0)))</f>
        <v>63</v>
      </c>
      <c r="C65" s="2" t="str">
        <f>IF(INDEX(学年度总表!$C$3:$C$1025,MATCH($E65,学年度总表!$E$3:$E$1025,0))="","",INDEX(学年度总表!$C$3:$C$1025,MATCH($E65,学年度总表!$E$3:$E$1025,0)))</f>
        <v>计科</v>
      </c>
      <c r="D65" s="2" t="str">
        <f>IF(INDEX(学年度总表!$D$3:$D$1025,MATCH($E65,学年度总表!$E$3:$E$1025,0))="","",INDEX(学年度总表!$D$3:$D$1025,MATCH($E65,学年度总表!$E$3:$E$1025,0)))</f>
        <v>计科一班</v>
      </c>
      <c r="E65" s="2" t="s">
        <v>614</v>
      </c>
      <c r="F65" s="2" t="str">
        <f>IF(INDEX(学年度总表!$F$3:$F$1025,MATCH($E65,学年度总表!$E$3:$E$1025,0))="","",INDEX(学年度总表!$F$3:$F$1025,MATCH($E65,学年度总表!$E$3:$E$1025,0)))</f>
        <v>陈祉伊</v>
      </c>
      <c r="G65" s="3">
        <f>IF(INDEX(学年度总表!$G$3:$G$1025,MATCH($E65,学年度总表!$E$3:$E$1025,0))="","",INDEX(学年度总表!$G$3:$G$1025,MATCH($E65,学年度总表!$E$3:$E$1025,0)))</f>
        <v>9.8000000000000007</v>
      </c>
      <c r="H65" s="3">
        <f>IF(INDEX(学年度总表!$H$3:$H$1025,MATCH($E65,学年度总表!$E$3:$E$1025,0))="","",INDEX(学年度总表!$H$3:$H$1025,MATCH($E65,学年度总表!$E$3:$E$1025,0)))</f>
        <v>60.4</v>
      </c>
      <c r="I65" s="3">
        <f>IF(INDEX(学年度总表!$I$3:$I$1025,MATCH($E65,学年度总表!$E$3:$E$1025,0))="","",INDEX(学年度总表!$I$3:$I$1025,MATCH($E65,学年度总表!$E$3:$E$1025,0)))</f>
        <v>3.4</v>
      </c>
      <c r="J65" s="3">
        <f>IF(INDEX(学年度总表!$J$3:$J$1025,MATCH($E65,学年度总表!$E$3:$E$1025,0))="","",INDEX(学年度总表!$J$3:$J$1025,MATCH($E65,学年度总表!$E$3:$E$1025,0)))</f>
        <v>73.599999999999994</v>
      </c>
      <c r="K65" s="3">
        <f>IF(INDEX(学年度总表!$K$3:$K$1025,MATCH($E65,学年度总表!$E$3:$E$1025,0))="","",INDEX(学年度总表!$K$3:$K$1025,MATCH($E65,学年度总表!$E$3:$E$1025,0)))</f>
        <v>9</v>
      </c>
      <c r="L65" s="3">
        <f>IF(INDEX(学年度总表!$L$3:$L$1025,MATCH($E65,学年度总表!$E$3:$E$1025,0))="","",INDEX(学年度总表!$L$3:$L$1025,MATCH($E65,学年度总表!$E$3:$E$1025,0)))</f>
        <v>62.38</v>
      </c>
      <c r="M65" s="3">
        <f>IF(INDEX(学年度总表!$M$3:$M$1025,MATCH($E65,学年度总表!$E$3:$E$1025,0))="","",INDEX(学年度总表!$M$3:$M$1025,MATCH($E65,学年度总表!$E$3:$E$1025,0)))</f>
        <v>3.7</v>
      </c>
      <c r="N65" s="3">
        <f>IF(INDEX(学年度总表!$N$3:$N$1025,MATCH($E65,学年度总表!$E$3:$E$1025,0))="","",INDEX(学年度总表!$N$3:$N$1025,MATCH($E65,学年度总表!$E$3:$E$1025,0)))</f>
        <v>75.08</v>
      </c>
      <c r="O65" s="3">
        <f>IF(INDEX(学年度总表!$O$3:$O$1025,MATCH($E65,学年度总表!$E$3:$E$1025,0))="","",INDEX(学年度总表!$O$3:$O$1025,MATCH($E65,学年度总表!$E$3:$E$1025,0)))</f>
        <v>148.68</v>
      </c>
      <c r="P65" s="2" t="str">
        <f>IF(INDEX(学年度总表!$P$3:$P$1025,MATCH($E65,学年度总表!$E$3:$E$1025,0))="","",INDEX(学年度总表!$P$3:$P$1025,MATCH($E65,学年度总表!$E$3:$E$1025,0)))</f>
        <v/>
      </c>
      <c r="Q65" s="5" t="str">
        <f>IF(INDEX(学年度总表!$Q$3:$Q$1025,MATCH($E65,学年度总表!$E$3:$E$1025,0))="","",INDEX(学年度总表!$Q$3:$Q$1025,MATCH($E65,学年度总表!$E$3:$E$1025,0)))</f>
        <v/>
      </c>
    </row>
    <row r="66" spans="1:17">
      <c r="A66" s="2">
        <f>IF(INDEX(学年度总表!$A$3:$A$1025,MATCH($E66,学年度总表!$E$3:$E$1025,0))="","",INDEX(学年度总表!$A$3:$A$1025,MATCH($E66,学年度总表!$E$3:$E$1025,0)))</f>
        <v>280</v>
      </c>
      <c r="B66" s="2">
        <f>IF(INDEX(学年度总表!$B$3:$B$1025,MATCH($E66,学年度总表!$E$3:$E$1025,0))="","",INDEX(学年度总表!$B$3:$B$1025,MATCH($E66,学年度总表!$E$3:$E$1025,0)))</f>
        <v>64</v>
      </c>
      <c r="C66" s="2" t="str">
        <f>IF(INDEX(学年度总表!$C$3:$C$1025,MATCH($E66,学年度总表!$E$3:$E$1025,0))="","",INDEX(学年度总表!$C$3:$C$1025,MATCH($E66,学年度总表!$E$3:$E$1025,0)))</f>
        <v>计科</v>
      </c>
      <c r="D66" s="2" t="str">
        <f>IF(INDEX(学年度总表!$D$3:$D$1025,MATCH($E66,学年度总表!$E$3:$E$1025,0))="","",INDEX(学年度总表!$D$3:$D$1025,MATCH($E66,学年度总表!$E$3:$E$1025,0)))</f>
        <v>计科一班</v>
      </c>
      <c r="E66" s="2" t="s">
        <v>620</v>
      </c>
      <c r="F66" s="2" t="str">
        <f>IF(INDEX(学年度总表!$F$3:$F$1025,MATCH($E66,学年度总表!$E$3:$E$1025,0))="","",INDEX(学年度总表!$F$3:$F$1025,MATCH($E66,学年度总表!$E$3:$E$1025,0)))</f>
        <v>高源骏</v>
      </c>
      <c r="G66" s="3">
        <f>IF(INDEX(学年度总表!$G$3:$G$1025,MATCH($E66,学年度总表!$E$3:$E$1025,0))="","",INDEX(学年度总表!$G$3:$G$1025,MATCH($E66,学年度总表!$E$3:$E$1025,0)))</f>
        <v>10.8</v>
      </c>
      <c r="H66" s="3">
        <f>IF(INDEX(学年度总表!$H$3:$H$1025,MATCH($E66,学年度总表!$E$3:$E$1025,0))="","",INDEX(学年度总表!$H$3:$H$1025,MATCH($E66,学年度总表!$E$3:$E$1025,0)))</f>
        <v>61.914634146341498</v>
      </c>
      <c r="I66" s="3">
        <f>IF(INDEX(学年度总表!$I$3:$I$1025,MATCH($E66,学年度总表!$E$3:$E$1025,0))="","",INDEX(学年度总表!$I$3:$I$1025,MATCH($E66,学年度总表!$E$3:$E$1025,0)))</f>
        <v>4.5999999999999996</v>
      </c>
      <c r="J66" s="3">
        <f>IF(INDEX(学年度总表!$J$3:$J$1025,MATCH($E66,学年度总表!$E$3:$E$1025,0))="","",INDEX(学年度总表!$J$3:$J$1025,MATCH($E66,学年度总表!$E$3:$E$1025,0)))</f>
        <v>77.31</v>
      </c>
      <c r="K66" s="3">
        <f>IF(INDEX(学年度总表!$K$3:$K$1025,MATCH($E66,学年度总表!$E$3:$E$1025,0))="","",INDEX(学年度总表!$K$3:$K$1025,MATCH($E66,学年度总表!$E$3:$E$1025,0)))</f>
        <v>9.8000000000000007</v>
      </c>
      <c r="L66" s="3">
        <f>IF(INDEX(学年度总表!$L$3:$L$1025,MATCH($E66,学年度总表!$E$3:$E$1025,0))="","",INDEX(学年度总表!$L$3:$L$1025,MATCH($E66,学年度总表!$E$3:$E$1025,0)))</f>
        <v>56.72</v>
      </c>
      <c r="M66" s="3">
        <f>IF(INDEX(学年度总表!$M$3:$M$1025,MATCH($E66,学年度总表!$E$3:$E$1025,0))="","",INDEX(学年度总表!$M$3:$M$1025,MATCH($E66,学年度总表!$E$3:$E$1025,0)))</f>
        <v>4.7</v>
      </c>
      <c r="N66" s="3">
        <f>IF(INDEX(学年度总表!$N$3:$N$1025,MATCH($E66,学年度总表!$E$3:$E$1025,0))="","",INDEX(学年度总表!$N$3:$N$1025,MATCH($E66,学年度总表!$E$3:$E$1025,0)))</f>
        <v>71.22</v>
      </c>
      <c r="O66" s="3">
        <f>IF(INDEX(学年度总表!$O$3:$O$1025,MATCH($E66,学年度总表!$E$3:$E$1025,0))="","",INDEX(学年度总表!$O$3:$O$1025,MATCH($E66,学年度总表!$E$3:$E$1025,0)))</f>
        <v>148.53</v>
      </c>
      <c r="P66" s="2" t="str">
        <f>IF(INDEX(学年度总表!$P$3:$P$1025,MATCH($E66,学年度总表!$E$3:$E$1025,0))="","",INDEX(学年度总表!$P$3:$P$1025,MATCH($E66,学年度总表!$E$3:$E$1025,0)))</f>
        <v/>
      </c>
      <c r="Q66" s="5" t="str">
        <f>IF(INDEX(学年度总表!$Q$3:$Q$1025,MATCH($E66,学年度总表!$E$3:$E$1025,0))="","",INDEX(学年度总表!$Q$3:$Q$1025,MATCH($E66,学年度总表!$E$3:$E$1025,0)))</f>
        <v/>
      </c>
    </row>
    <row r="67" spans="1:17">
      <c r="A67" s="2">
        <f>IF(INDEX(学年度总表!$A$3:$A$1025,MATCH($E67,学年度总表!$E$3:$E$1025,0))="","",INDEX(学年度总表!$A$3:$A$1025,MATCH($E67,学年度总表!$E$3:$E$1025,0)))</f>
        <v>291</v>
      </c>
      <c r="B67" s="2">
        <f>IF(INDEX(学年度总表!$B$3:$B$1025,MATCH($E67,学年度总表!$E$3:$E$1025,0))="","",INDEX(学年度总表!$B$3:$B$1025,MATCH($E67,学年度总表!$E$3:$E$1025,0)))</f>
        <v>65</v>
      </c>
      <c r="C67" s="2" t="str">
        <f>IF(INDEX(学年度总表!$C$3:$C$1025,MATCH($E67,学年度总表!$E$3:$E$1025,0))="","",INDEX(学年度总表!$C$3:$C$1025,MATCH($E67,学年度总表!$E$3:$E$1025,0)))</f>
        <v>计科</v>
      </c>
      <c r="D67" s="2" t="str">
        <f>IF(INDEX(学年度总表!$D$3:$D$1025,MATCH($E67,学年度总表!$E$3:$E$1025,0))="","",INDEX(学年度总表!$D$3:$D$1025,MATCH($E67,学年度总表!$E$3:$E$1025,0)))</f>
        <v>计科二班</v>
      </c>
      <c r="E67" s="2" t="s">
        <v>642</v>
      </c>
      <c r="F67" s="2" t="str">
        <f>IF(INDEX(学年度总表!$F$3:$F$1025,MATCH($E67,学年度总表!$E$3:$E$1025,0))="","",INDEX(学年度总表!$F$3:$F$1025,MATCH($E67,学年度总表!$E$3:$E$1025,0)))</f>
        <v>赵政铭</v>
      </c>
      <c r="G67" s="3">
        <f>IF(INDEX(学年度总表!$G$3:$G$1025,MATCH($E67,学年度总表!$E$3:$E$1025,0))="","",INDEX(学年度总表!$G$3:$G$1025,MATCH($E67,学年度总表!$E$3:$E$1025,0)))</f>
        <v>9.8000000000000007</v>
      </c>
      <c r="H67" s="3">
        <f>IF(INDEX(学年度总表!$H$3:$H$1025,MATCH($E67,学年度总表!$E$3:$E$1025,0))="","",INDEX(学年度总表!$H$3:$H$1025,MATCH($E67,学年度总表!$E$3:$E$1025,0)))</f>
        <v>59.378048780487802</v>
      </c>
      <c r="I67" s="3">
        <f>IF(INDEX(学年度总表!$I$3:$I$1025,MATCH($E67,学年度总表!$E$3:$E$1025,0))="","",INDEX(学年度总表!$I$3:$I$1025,MATCH($E67,学年度总表!$E$3:$E$1025,0)))</f>
        <v>5.2</v>
      </c>
      <c r="J67" s="3">
        <f>IF(INDEX(学年度总表!$J$3:$J$1025,MATCH($E67,学年度总表!$E$3:$E$1025,0))="","",INDEX(学年度总表!$J$3:$J$1025,MATCH($E67,学年度总表!$E$3:$E$1025,0)))</f>
        <v>74.38</v>
      </c>
      <c r="K67" s="3">
        <f>IF(INDEX(学年度总表!$K$3:$K$1025,MATCH($E67,学年度总表!$E$3:$E$1025,0))="","",INDEX(学年度总表!$K$3:$K$1025,MATCH($E67,学年度总表!$E$3:$E$1025,0)))</f>
        <v>9.8000000000000007</v>
      </c>
      <c r="L67" s="3">
        <f>IF(INDEX(学年度总表!$L$3:$L$1025,MATCH($E67,学年度总表!$E$3:$E$1025,0))="","",INDEX(学年度总表!$L$3:$L$1025,MATCH($E67,学年度总表!$E$3:$E$1025,0)))</f>
        <v>58.18</v>
      </c>
      <c r="M67" s="3">
        <f>IF(INDEX(学年度总表!$M$3:$M$1025,MATCH($E67,学年度总表!$E$3:$E$1025,0))="","",INDEX(学年度总表!$M$3:$M$1025,MATCH($E67,学年度总表!$E$3:$E$1025,0)))</f>
        <v>5.7</v>
      </c>
      <c r="N67" s="3">
        <f>IF(INDEX(学年度总表!$N$3:$N$1025,MATCH($E67,学年度总表!$E$3:$E$1025,0))="","",INDEX(学年度总表!$N$3:$N$1025,MATCH($E67,学年度总表!$E$3:$E$1025,0)))</f>
        <v>73.680000000000007</v>
      </c>
      <c r="O67" s="3">
        <f>IF(INDEX(学年度总表!$O$3:$O$1025,MATCH($E67,学年度总表!$E$3:$E$1025,0))="","",INDEX(学年度总表!$O$3:$O$1025,MATCH($E67,学年度总表!$E$3:$E$1025,0)))</f>
        <v>148.06</v>
      </c>
      <c r="P67" s="2" t="str">
        <f>IF(INDEX(学年度总表!$P$3:$P$1025,MATCH($E67,学年度总表!$E$3:$E$1025,0))="","",INDEX(学年度总表!$P$3:$P$1025,MATCH($E67,学年度总表!$E$3:$E$1025,0)))</f>
        <v/>
      </c>
      <c r="Q67" s="5" t="str">
        <f>IF(INDEX(学年度总表!$Q$3:$Q$1025,MATCH($E67,学年度总表!$E$3:$E$1025,0))="","",INDEX(学年度总表!$Q$3:$Q$1025,MATCH($E67,学年度总表!$E$3:$E$1025,0)))</f>
        <v/>
      </c>
    </row>
    <row r="68" spans="1:17">
      <c r="A68" s="2">
        <f>IF(INDEX(学年度总表!$A$3:$A$1025,MATCH($E68,学年度总表!$E$3:$E$1025,0))="","",INDEX(学年度总表!$A$3:$A$1025,MATCH($E68,学年度总表!$E$3:$E$1025,0)))</f>
        <v>295</v>
      </c>
      <c r="B68" s="2">
        <f>IF(INDEX(学年度总表!$B$3:$B$1025,MATCH($E68,学年度总表!$E$3:$E$1025,0))="","",INDEX(学年度总表!$B$3:$B$1025,MATCH($E68,学年度总表!$E$3:$E$1025,0)))</f>
        <v>66</v>
      </c>
      <c r="C68" s="2" t="str">
        <f>IF(INDEX(学年度总表!$C$3:$C$1025,MATCH($E68,学年度总表!$E$3:$E$1025,0))="","",INDEX(学年度总表!$C$3:$C$1025,MATCH($E68,学年度总表!$E$3:$E$1025,0)))</f>
        <v>计科</v>
      </c>
      <c r="D68" s="2" t="str">
        <f>IF(INDEX(学年度总表!$D$3:$D$1025,MATCH($E68,学年度总表!$E$3:$E$1025,0))="","",INDEX(学年度总表!$D$3:$D$1025,MATCH($E68,学年度总表!$E$3:$E$1025,0)))</f>
        <v>计科二班</v>
      </c>
      <c r="E68" s="2" t="s">
        <v>650</v>
      </c>
      <c r="F68" s="2" t="str">
        <f>IF(INDEX(学年度总表!$F$3:$F$1025,MATCH($E68,学年度总表!$E$3:$E$1025,0))="","",INDEX(学年度总表!$F$3:$F$1025,MATCH($E68,学年度总表!$E$3:$E$1025,0)))</f>
        <v>姜施羽</v>
      </c>
      <c r="G68" s="3">
        <f>IF(INDEX(学年度总表!$G$3:$G$1025,MATCH($E68,学年度总表!$E$3:$E$1025,0))="","",INDEX(学年度总表!$G$3:$G$1025,MATCH($E68,学年度总表!$E$3:$E$1025,0)))</f>
        <v>9.8000000000000007</v>
      </c>
      <c r="H68" s="3">
        <f>IF(INDEX(学年度总表!$H$3:$H$1025,MATCH($E68,学年度总表!$E$3:$E$1025,0))="","",INDEX(学年度总表!$H$3:$H$1025,MATCH($E68,学年度总表!$E$3:$E$1025,0)))</f>
        <v>60.451219512195102</v>
      </c>
      <c r="I68" s="3">
        <f>IF(INDEX(学年度总表!$I$3:$I$1025,MATCH($E68,学年度总表!$E$3:$E$1025,0))="","",INDEX(学年度总表!$I$3:$I$1025,MATCH($E68,学年度总表!$E$3:$E$1025,0)))</f>
        <v>3</v>
      </c>
      <c r="J68" s="3">
        <f>IF(INDEX(学年度总表!$J$3:$J$1025,MATCH($E68,学年度总表!$E$3:$E$1025,0))="","",INDEX(学年度总表!$J$3:$J$1025,MATCH($E68,学年度总表!$E$3:$E$1025,0)))</f>
        <v>73.25</v>
      </c>
      <c r="K68" s="3">
        <f>IF(INDEX(学年度总表!$K$3:$K$1025,MATCH($E68,学年度总表!$E$3:$E$1025,0))="","",INDEX(学年度总表!$K$3:$K$1025,MATCH($E68,学年度总表!$E$3:$E$1025,0)))</f>
        <v>9.8000000000000007</v>
      </c>
      <c r="L68" s="3">
        <f>IF(INDEX(学年度总表!$L$3:$L$1025,MATCH($E68,学年度总表!$E$3:$E$1025,0))="","",INDEX(学年度总表!$L$3:$L$1025,MATCH($E68,学年度总表!$E$3:$E$1025,0)))</f>
        <v>61.32</v>
      </c>
      <c r="M68" s="3">
        <f>IF(INDEX(学年度总表!$M$3:$M$1025,MATCH($E68,学年度总表!$E$3:$E$1025,0))="","",INDEX(学年度总表!$M$3:$M$1025,MATCH($E68,学年度总表!$E$3:$E$1025,0)))</f>
        <v>3.5</v>
      </c>
      <c r="N68" s="3">
        <f>IF(INDEX(学年度总表!$N$3:$N$1025,MATCH($E68,学年度总表!$E$3:$E$1025,0))="","",INDEX(学年度总表!$N$3:$N$1025,MATCH($E68,学年度总表!$E$3:$E$1025,0)))</f>
        <v>74.62</v>
      </c>
      <c r="O68" s="3">
        <f>IF(INDEX(学年度总表!$O$3:$O$1025,MATCH($E68,学年度总表!$E$3:$E$1025,0))="","",INDEX(学年度总表!$O$3:$O$1025,MATCH($E68,学年度总表!$E$3:$E$1025,0)))</f>
        <v>147.87</v>
      </c>
      <c r="P68" s="4" t="str">
        <f>IF(INDEX(学年度总表!$P$3:$P$1025,MATCH($E68,学年度总表!$E$3:$E$1025,0))="","",INDEX(学年度总表!$P$3:$P$1025,MATCH($E68,学年度总表!$E$3:$E$1025,0)))</f>
        <v>文体奖学金</v>
      </c>
      <c r="Q68" s="5" t="str">
        <f>IF(INDEX(学年度总表!$Q$3:$Q$1025,MATCH($E68,学年度总表!$E$3:$E$1025,0))="","",INDEX(学年度总表!$Q$3:$Q$1025,MATCH($E68,学年度总表!$E$3:$E$1025,0)))</f>
        <v/>
      </c>
    </row>
    <row r="69" spans="1:17">
      <c r="A69" s="2">
        <f>IF(INDEX(学年度总表!$A$3:$A$1025,MATCH($E69,学年度总表!$E$3:$E$1025,0))="","",INDEX(学年度总表!$A$3:$A$1025,MATCH($E69,学年度总表!$E$3:$E$1025,0)))</f>
        <v>315</v>
      </c>
      <c r="B69" s="2">
        <f>IF(INDEX(学年度总表!$B$3:$B$1025,MATCH($E69,学年度总表!$E$3:$E$1025,0))="","",INDEX(学年度总表!$B$3:$B$1025,MATCH($E69,学年度总表!$E$3:$E$1025,0)))</f>
        <v>67</v>
      </c>
      <c r="C69" s="2" t="str">
        <f>IF(INDEX(学年度总表!$C$3:$C$1025,MATCH($E69,学年度总表!$E$3:$E$1025,0))="","",INDEX(学年度总表!$C$3:$C$1025,MATCH($E69,学年度总表!$E$3:$E$1025,0)))</f>
        <v>计科</v>
      </c>
      <c r="D69" s="2" t="str">
        <f>IF(INDEX(学年度总表!$D$3:$D$1025,MATCH($E69,学年度总表!$E$3:$E$1025,0))="","",INDEX(学年度总表!$D$3:$D$1025,MATCH($E69,学年度总表!$E$3:$E$1025,0)))</f>
        <v>计科一班</v>
      </c>
      <c r="E69" s="2" t="s">
        <v>690</v>
      </c>
      <c r="F69" s="2" t="str">
        <f>IF(INDEX(学年度总表!$F$3:$F$1025,MATCH($E69,学年度总表!$E$3:$E$1025,0))="","",INDEX(学年度总表!$F$3:$F$1025,MATCH($E69,学年度总表!$E$3:$E$1025,0)))</f>
        <v>姜鸿博</v>
      </c>
      <c r="G69" s="3">
        <f>IF(INDEX(学年度总表!$G$3:$G$1025,MATCH($E69,学年度总表!$E$3:$E$1025,0))="","",INDEX(学年度总表!$G$3:$G$1025,MATCH($E69,学年度总表!$E$3:$E$1025,0)))</f>
        <v>9.8000000000000007</v>
      </c>
      <c r="H69" s="3">
        <f>IF(INDEX(学年度总表!$H$3:$H$1025,MATCH($E69,学年度总表!$E$3:$E$1025,0))="","",INDEX(学年度总表!$H$3:$H$1025,MATCH($E69,学年度总表!$E$3:$E$1025,0)))</f>
        <v>62.4268292682927</v>
      </c>
      <c r="I69" s="3">
        <f>IF(INDEX(学年度总表!$I$3:$I$1025,MATCH($E69,学年度总表!$E$3:$E$1025,0))="","",INDEX(学年度总表!$I$3:$I$1025,MATCH($E69,学年度总表!$E$3:$E$1025,0)))</f>
        <v>3</v>
      </c>
      <c r="J69" s="3">
        <f>IF(INDEX(学年度总表!$J$3:$J$1025,MATCH($E69,学年度总表!$E$3:$E$1025,0))="","",INDEX(学年度总表!$J$3:$J$1025,MATCH($E69,学年度总表!$E$3:$E$1025,0)))</f>
        <v>75.23</v>
      </c>
      <c r="K69" s="3">
        <f>IF(INDEX(学年度总表!$K$3:$K$1025,MATCH($E69,学年度总表!$E$3:$E$1025,0))="","",INDEX(学年度总表!$K$3:$K$1025,MATCH($E69,学年度总表!$E$3:$E$1025,0)))</f>
        <v>9.8000000000000007</v>
      </c>
      <c r="L69" s="3">
        <f>IF(INDEX(学年度总表!$L$3:$L$1025,MATCH($E69,学年度总表!$E$3:$E$1025,0))="","",INDEX(学年度总表!$L$3:$L$1025,MATCH($E69,学年度总表!$E$3:$E$1025,0)))</f>
        <v>59.05</v>
      </c>
      <c r="M69" s="3">
        <f>IF(INDEX(学年度总表!$M$3:$M$1025,MATCH($E69,学年度总表!$E$3:$E$1025,0))="","",INDEX(学年度总表!$M$3:$M$1025,MATCH($E69,学年度总表!$E$3:$E$1025,0)))</f>
        <v>3</v>
      </c>
      <c r="N69" s="3">
        <f>IF(INDEX(学年度总表!$N$3:$N$1025,MATCH($E69,学年度总表!$E$3:$E$1025,0))="","",INDEX(学年度总表!$N$3:$N$1025,MATCH($E69,学年度总表!$E$3:$E$1025,0)))</f>
        <v>71.849999999999994</v>
      </c>
      <c r="O69" s="3">
        <f>IF(INDEX(学年度总表!$O$3:$O$1025,MATCH($E69,学年度总表!$E$3:$E$1025,0))="","",INDEX(学年度总表!$O$3:$O$1025,MATCH($E69,学年度总表!$E$3:$E$1025,0)))</f>
        <v>147.08000000000001</v>
      </c>
      <c r="P69" s="2" t="str">
        <f>IF(INDEX(学年度总表!$P$3:$P$1025,MATCH($E69,学年度总表!$E$3:$E$1025,0))="","",INDEX(学年度总表!$P$3:$P$1025,MATCH($E69,学年度总表!$E$3:$E$1025,0)))</f>
        <v/>
      </c>
      <c r="Q69" s="5" t="str">
        <f>IF(INDEX(学年度总表!$Q$3:$Q$1025,MATCH($E69,学年度总表!$E$3:$E$1025,0))="","",INDEX(学年度总表!$Q$3:$Q$1025,MATCH($E69,学年度总表!$E$3:$E$1025,0)))</f>
        <v/>
      </c>
    </row>
    <row r="70" spans="1:17">
      <c r="A70" s="2">
        <f>IF(INDEX(学年度总表!$A$3:$A$1025,MATCH($E70,学年度总表!$E$3:$E$1025,0))="","",INDEX(学年度总表!$A$3:$A$1025,MATCH($E70,学年度总表!$E$3:$E$1025,0)))</f>
        <v>320</v>
      </c>
      <c r="B70" s="2">
        <f>IF(INDEX(学年度总表!$B$3:$B$1025,MATCH($E70,学年度总表!$E$3:$E$1025,0))="","",INDEX(学年度总表!$B$3:$B$1025,MATCH($E70,学年度总表!$E$3:$E$1025,0)))</f>
        <v>68</v>
      </c>
      <c r="C70" s="2" t="str">
        <f>IF(INDEX(学年度总表!$C$3:$C$1025,MATCH($E70,学年度总表!$E$3:$E$1025,0))="","",INDEX(学年度总表!$C$3:$C$1025,MATCH($E70,学年度总表!$E$3:$E$1025,0)))</f>
        <v>计科</v>
      </c>
      <c r="D70" s="2" t="str">
        <f>IF(INDEX(学年度总表!$D$3:$D$1025,MATCH($E70,学年度总表!$E$3:$E$1025,0))="","",INDEX(学年度总表!$D$3:$D$1025,MATCH($E70,学年度总表!$E$3:$E$1025,0)))</f>
        <v>计科一班</v>
      </c>
      <c r="E70" s="2" t="s">
        <v>700</v>
      </c>
      <c r="F70" s="2" t="str">
        <f>IF(INDEX(学年度总表!$F$3:$F$1025,MATCH($E70,学年度总表!$E$3:$E$1025,0))="","",INDEX(学年度总表!$F$3:$F$1025,MATCH($E70,学年度总表!$E$3:$E$1025,0)))</f>
        <v>杜宇轩</v>
      </c>
      <c r="G70" s="3">
        <f>IF(INDEX(学年度总表!$G$3:$G$1025,MATCH($E70,学年度总表!$E$3:$E$1025,0))="","",INDEX(学年度总表!$G$3:$G$1025,MATCH($E70,学年度总表!$E$3:$E$1025,0)))</f>
        <v>9.8000000000000007</v>
      </c>
      <c r="H70" s="3">
        <f>IF(INDEX(学年度总表!$H$3:$H$1025,MATCH($E70,学年度总表!$E$3:$E$1025,0))="","",INDEX(学年度总表!$H$3:$H$1025,MATCH($E70,学年度总表!$E$3:$E$1025,0)))</f>
        <v>63.487804878048799</v>
      </c>
      <c r="I70" s="3">
        <f>IF(INDEX(学年度总表!$I$3:$I$1025,MATCH($E70,学年度总表!$E$3:$E$1025,0))="","",INDEX(学年度总表!$I$3:$I$1025,MATCH($E70,学年度总表!$E$3:$E$1025,0)))</f>
        <v>3</v>
      </c>
      <c r="J70" s="3">
        <f>IF(INDEX(学年度总表!$J$3:$J$1025,MATCH($E70,学年度总表!$E$3:$E$1025,0))="","",INDEX(学年度总表!$J$3:$J$1025,MATCH($E70,学年度总表!$E$3:$E$1025,0)))</f>
        <v>76.290000000000006</v>
      </c>
      <c r="K70" s="3">
        <f>IF(INDEX(学年度总表!$K$3:$K$1025,MATCH($E70,学年度总表!$E$3:$E$1025,0))="","",INDEX(学年度总表!$K$3:$K$1025,MATCH($E70,学年度总表!$E$3:$E$1025,0)))</f>
        <v>9.8000000000000007</v>
      </c>
      <c r="L70" s="3">
        <f>IF(INDEX(学年度总表!$L$3:$L$1025,MATCH($E70,学年度总表!$E$3:$E$1025,0))="","",INDEX(学年度总表!$L$3:$L$1025,MATCH($E70,学年度总表!$E$3:$E$1025,0)))</f>
        <v>57.51</v>
      </c>
      <c r="M70" s="3">
        <f>IF(INDEX(学年度总表!$M$3:$M$1025,MATCH($E70,学年度总表!$E$3:$E$1025,0))="","",INDEX(学年度总表!$M$3:$M$1025,MATCH($E70,学年度总表!$E$3:$E$1025,0)))</f>
        <v>3</v>
      </c>
      <c r="N70" s="3">
        <f>IF(INDEX(学年度总表!$N$3:$N$1025,MATCH($E70,学年度总表!$E$3:$E$1025,0))="","",INDEX(学年度总表!$N$3:$N$1025,MATCH($E70,学年度总表!$E$3:$E$1025,0)))</f>
        <v>70.31</v>
      </c>
      <c r="O70" s="3">
        <f>IF(INDEX(学年度总表!$O$3:$O$1025,MATCH($E70,学年度总表!$E$3:$E$1025,0))="","",INDEX(学年度总表!$O$3:$O$1025,MATCH($E70,学年度总表!$E$3:$E$1025,0)))</f>
        <v>146.6</v>
      </c>
      <c r="P70" s="2" t="str">
        <f>IF(INDEX(学年度总表!$P$3:$P$1025,MATCH($E70,学年度总表!$E$3:$E$1025,0))="","",INDEX(学年度总表!$P$3:$P$1025,MATCH($E70,学年度总表!$E$3:$E$1025,0)))</f>
        <v/>
      </c>
      <c r="Q70" s="5" t="str">
        <f>IF(INDEX(学年度总表!$Q$3:$Q$1025,MATCH($E70,学年度总表!$E$3:$E$1025,0))="","",INDEX(学年度总表!$Q$3:$Q$1025,MATCH($E70,学年度总表!$E$3:$E$1025,0)))</f>
        <v/>
      </c>
    </row>
    <row r="71" spans="1:17">
      <c r="A71" s="2">
        <f>IF(INDEX(学年度总表!$A$3:$A$1025,MATCH($E71,学年度总表!$E$3:$E$1025,0))="","",INDEX(学年度总表!$A$3:$A$1025,MATCH($E71,学年度总表!$E$3:$E$1025,0)))</f>
        <v>324</v>
      </c>
      <c r="B71" s="2">
        <f>IF(INDEX(学年度总表!$B$3:$B$1025,MATCH($E71,学年度总表!$E$3:$E$1025,0))="","",INDEX(学年度总表!$B$3:$B$1025,MATCH($E71,学年度总表!$E$3:$E$1025,0)))</f>
        <v>69</v>
      </c>
      <c r="C71" s="2" t="str">
        <f>IF(INDEX(学年度总表!$C$3:$C$1025,MATCH($E71,学年度总表!$E$3:$E$1025,0))="","",INDEX(学年度总表!$C$3:$C$1025,MATCH($E71,学年度总表!$E$3:$E$1025,0)))</f>
        <v>计科</v>
      </c>
      <c r="D71" s="2" t="str">
        <f>IF(INDEX(学年度总表!$D$3:$D$1025,MATCH($E71,学年度总表!$E$3:$E$1025,0))="","",INDEX(学年度总表!$D$3:$D$1025,MATCH($E71,学年度总表!$E$3:$E$1025,0)))</f>
        <v>计科四班</v>
      </c>
      <c r="E71" s="2" t="s">
        <v>708</v>
      </c>
      <c r="F71" s="2" t="str">
        <f>IF(INDEX(学年度总表!$F$3:$F$1025,MATCH($E71,学年度总表!$E$3:$E$1025,0))="","",INDEX(学年度总表!$F$3:$F$1025,MATCH($E71,学年度总表!$E$3:$E$1025,0)))</f>
        <v>张铭浩</v>
      </c>
      <c r="G71" s="3">
        <f>IF(INDEX(学年度总表!$G$3:$G$1025,MATCH($E71,学年度总表!$E$3:$E$1025,0))="","",INDEX(学年度总表!$G$3:$G$1025,MATCH($E71,学年度总表!$E$3:$E$1025,0)))</f>
        <v>11</v>
      </c>
      <c r="H71" s="3">
        <f>IF(INDEX(学年度总表!$H$3:$H$1025,MATCH($E71,学年度总表!$E$3:$E$1025,0))="","",INDEX(学年度总表!$H$3:$H$1025,MATCH($E71,学年度总表!$E$3:$E$1025,0)))</f>
        <v>59.829268292682897</v>
      </c>
      <c r="I71" s="3">
        <f>IF(INDEX(学年度总表!$I$3:$I$1025,MATCH($E71,学年度总表!$E$3:$E$1025,0))="","",INDEX(学年度总表!$I$3:$I$1025,MATCH($E71,学年度总表!$E$3:$E$1025,0)))</f>
        <v>4.5</v>
      </c>
      <c r="J71" s="3">
        <f>IF(INDEX(学年度总表!$J$3:$J$1025,MATCH($E71,学年度总表!$E$3:$E$1025,0))="","",INDEX(学年度总表!$J$3:$J$1025,MATCH($E71,学年度总表!$E$3:$E$1025,0)))</f>
        <v>75.33</v>
      </c>
      <c r="K71" s="3">
        <f>IF(INDEX(学年度总表!$K$3:$K$1025,MATCH($E71,学年度总表!$E$3:$E$1025,0))="","",INDEX(学年度总表!$K$3:$K$1025,MATCH($E71,学年度总表!$E$3:$E$1025,0)))</f>
        <v>10</v>
      </c>
      <c r="L71" s="3">
        <f>IF(INDEX(学年度总表!$L$3:$L$1025,MATCH($E71,学年度总表!$E$3:$E$1025,0))="","",INDEX(学年度总表!$L$3:$L$1025,MATCH($E71,学年度总表!$E$3:$E$1025,0)))</f>
        <v>56.23</v>
      </c>
      <c r="M71" s="3">
        <f>IF(INDEX(学年度总表!$M$3:$M$1025,MATCH($E71,学年度总表!$E$3:$E$1025,0))="","",INDEX(学年度总表!$M$3:$M$1025,MATCH($E71,学年度总表!$E$3:$E$1025,0)))</f>
        <v>4.8</v>
      </c>
      <c r="N71" s="3">
        <f>IF(INDEX(学年度总表!$N$3:$N$1025,MATCH($E71,学年度总表!$E$3:$E$1025,0))="","",INDEX(学年度总表!$N$3:$N$1025,MATCH($E71,学年度总表!$E$3:$E$1025,0)))</f>
        <v>71.03</v>
      </c>
      <c r="O71" s="3">
        <f>IF(INDEX(学年度总表!$O$3:$O$1025,MATCH($E71,学年度总表!$E$3:$E$1025,0))="","",INDEX(学年度总表!$O$3:$O$1025,MATCH($E71,学年度总表!$E$3:$E$1025,0)))</f>
        <v>146.36000000000001</v>
      </c>
      <c r="P71" s="2" t="str">
        <f>IF(INDEX(学年度总表!$P$3:$P$1025,MATCH($E71,学年度总表!$E$3:$E$1025,0))="","",INDEX(学年度总表!$P$3:$P$1025,MATCH($E71,学年度总表!$E$3:$E$1025,0)))</f>
        <v/>
      </c>
      <c r="Q71" s="5" t="str">
        <f>IF(INDEX(学年度总表!$Q$3:$Q$1025,MATCH($E71,学年度总表!$E$3:$E$1025,0))="","",INDEX(学年度总表!$Q$3:$Q$1025,MATCH($E71,学年度总表!$E$3:$E$1025,0)))</f>
        <v/>
      </c>
    </row>
    <row r="72" spans="1:17">
      <c r="A72" s="2">
        <f>IF(INDEX(学年度总表!$A$3:$A$1025,MATCH($E72,学年度总表!$E$3:$E$1025,0))="","",INDEX(学年度总表!$A$3:$A$1025,MATCH($E72,学年度总表!$E$3:$E$1025,0)))</f>
        <v>328</v>
      </c>
      <c r="B72" s="2">
        <f>IF(INDEX(学年度总表!$B$3:$B$1025,MATCH($E72,学年度总表!$E$3:$E$1025,0))="","",INDEX(学年度总表!$B$3:$B$1025,MATCH($E72,学年度总表!$E$3:$E$1025,0)))</f>
        <v>70</v>
      </c>
      <c r="C72" s="2" t="str">
        <f>IF(INDEX(学年度总表!$C$3:$C$1025,MATCH($E72,学年度总表!$E$3:$E$1025,0))="","",INDEX(学年度总表!$C$3:$C$1025,MATCH($E72,学年度总表!$E$3:$E$1025,0)))</f>
        <v>计科</v>
      </c>
      <c r="D72" s="2" t="str">
        <f>IF(INDEX(学年度总表!$D$3:$D$1025,MATCH($E72,学年度总表!$E$3:$E$1025,0))="","",INDEX(学年度总表!$D$3:$D$1025,MATCH($E72,学年度总表!$E$3:$E$1025,0)))</f>
        <v>计科四班</v>
      </c>
      <c r="E72" s="2" t="s">
        <v>716</v>
      </c>
      <c r="F72" s="2" t="str">
        <f>IF(INDEX(学年度总表!$F$3:$F$1025,MATCH($E72,学年度总表!$E$3:$E$1025,0))="","",INDEX(学年度总表!$F$3:$F$1025,MATCH($E72,学年度总表!$E$3:$E$1025,0)))</f>
        <v>杜晨睿</v>
      </c>
      <c r="G72" s="3">
        <f>IF(INDEX(学年度总表!$G$3:$G$1025,MATCH($E72,学年度总表!$E$3:$E$1025,0))="","",INDEX(学年度总表!$G$3:$G$1025,MATCH($E72,学年度总表!$E$3:$E$1025,0)))</f>
        <v>9.8000000000000007</v>
      </c>
      <c r="H72" s="3">
        <f>IF(INDEX(学年度总表!$H$3:$H$1025,MATCH($E72,学年度总表!$E$3:$E$1025,0))="","",INDEX(学年度总表!$H$3:$H$1025,MATCH($E72,学年度总表!$E$3:$E$1025,0)))</f>
        <v>60.951219512195102</v>
      </c>
      <c r="I72" s="3">
        <f>IF(INDEX(学年度总表!$I$3:$I$1025,MATCH($E72,学年度总表!$E$3:$E$1025,0))="","",INDEX(学年度总表!$I$3:$I$1025,MATCH($E72,学年度总表!$E$3:$E$1025,0)))</f>
        <v>3</v>
      </c>
      <c r="J72" s="3">
        <f>IF(INDEX(学年度总表!$J$3:$J$1025,MATCH($E72,学年度总表!$E$3:$E$1025,0))="","",INDEX(学年度总表!$J$3:$J$1025,MATCH($E72,学年度总表!$E$3:$E$1025,0)))</f>
        <v>73.75</v>
      </c>
      <c r="K72" s="3">
        <f>IF(INDEX(学年度总表!$K$3:$K$1025,MATCH($E72,学年度总表!$E$3:$E$1025,0))="","",INDEX(学年度总表!$K$3:$K$1025,MATCH($E72,学年度总表!$E$3:$E$1025,0)))</f>
        <v>9.8000000000000007</v>
      </c>
      <c r="L72" s="3">
        <f>IF(INDEX(学年度总表!$L$3:$L$1025,MATCH($E72,学年度总表!$E$3:$E$1025,0))="","",INDEX(学年度总表!$L$3:$L$1025,MATCH($E72,学年度总表!$E$3:$E$1025,0)))</f>
        <v>59.15</v>
      </c>
      <c r="M72" s="3">
        <f>IF(INDEX(学年度总表!$M$3:$M$1025,MATCH($E72,学年度总表!$E$3:$E$1025,0))="","",INDEX(学年度总表!$M$3:$M$1025,MATCH($E72,学年度总表!$E$3:$E$1025,0)))</f>
        <v>3.5</v>
      </c>
      <c r="N72" s="3">
        <f>IF(INDEX(学年度总表!$N$3:$N$1025,MATCH($E72,学年度总表!$E$3:$E$1025,0))="","",INDEX(学年度总表!$N$3:$N$1025,MATCH($E72,学年度总表!$E$3:$E$1025,0)))</f>
        <v>72.45</v>
      </c>
      <c r="O72" s="3">
        <f>IF(INDEX(学年度总表!$O$3:$O$1025,MATCH($E72,学年度总表!$E$3:$E$1025,0))="","",INDEX(学年度总表!$O$3:$O$1025,MATCH($E72,学年度总表!$E$3:$E$1025,0)))</f>
        <v>146.19999999999999</v>
      </c>
      <c r="P72" s="2" t="str">
        <f>IF(INDEX(学年度总表!$P$3:$P$1025,MATCH($E72,学年度总表!$E$3:$E$1025,0))="","",INDEX(学年度总表!$P$3:$P$1025,MATCH($E72,学年度总表!$E$3:$E$1025,0)))</f>
        <v/>
      </c>
      <c r="Q72" s="5" t="str">
        <f>IF(INDEX(学年度总表!$Q$3:$Q$1025,MATCH($E72,学年度总表!$E$3:$E$1025,0))="","",INDEX(学年度总表!$Q$3:$Q$1025,MATCH($E72,学年度总表!$E$3:$E$1025,0)))</f>
        <v/>
      </c>
    </row>
    <row r="73" spans="1:17">
      <c r="A73" s="2">
        <f>IF(INDEX(学年度总表!$A$3:$A$1025,MATCH($E73,学年度总表!$E$3:$E$1025,0))="","",INDEX(学年度总表!$A$3:$A$1025,MATCH($E73,学年度总表!$E$3:$E$1025,0)))</f>
        <v>329</v>
      </c>
      <c r="B73" s="2">
        <f>IF(INDEX(学年度总表!$B$3:$B$1025,MATCH($E73,学年度总表!$E$3:$E$1025,0))="","",INDEX(学年度总表!$B$3:$B$1025,MATCH($E73,学年度总表!$E$3:$E$1025,0)))</f>
        <v>71</v>
      </c>
      <c r="C73" s="2" t="str">
        <f>IF(INDEX(学年度总表!$C$3:$C$1025,MATCH($E73,学年度总表!$E$3:$E$1025,0))="","",INDEX(学年度总表!$C$3:$C$1025,MATCH($E73,学年度总表!$E$3:$E$1025,0)))</f>
        <v>计科</v>
      </c>
      <c r="D73" s="2" t="str">
        <f>IF(INDEX(学年度总表!$D$3:$D$1025,MATCH($E73,学年度总表!$E$3:$E$1025,0))="","",INDEX(学年度总表!$D$3:$D$1025,MATCH($E73,学年度总表!$E$3:$E$1025,0)))</f>
        <v>计科三班</v>
      </c>
      <c r="E73" s="2" t="s">
        <v>718</v>
      </c>
      <c r="F73" s="2" t="str">
        <f>IF(INDEX(学年度总表!$F$3:$F$1025,MATCH($E73,学年度总表!$E$3:$E$1025,0))="","",INDEX(学年度总表!$F$3:$F$1025,MATCH($E73,学年度总表!$E$3:$E$1025,0)))</f>
        <v>刘思妤</v>
      </c>
      <c r="G73" s="3">
        <f>IF(INDEX(学年度总表!$G$3:$G$1025,MATCH($E73,学年度总表!$E$3:$E$1025,0))="","",INDEX(学年度总表!$G$3:$G$1025,MATCH($E73,学年度总表!$E$3:$E$1025,0)))</f>
        <v>10</v>
      </c>
      <c r="H73" s="3">
        <f>IF(INDEX(学年度总表!$H$3:$H$1025,MATCH($E73,学年度总表!$E$3:$E$1025,0))="","",INDEX(学年度总表!$H$3:$H$1025,MATCH($E73,学年度总表!$E$3:$E$1025,0)))</f>
        <v>61.878048780487802</v>
      </c>
      <c r="I73" s="3">
        <f>IF(INDEX(学年度总表!$I$3:$I$1025,MATCH($E73,学年度总表!$E$3:$E$1025,0))="","",INDEX(学年度总表!$I$3:$I$1025,MATCH($E73,学年度总表!$E$3:$E$1025,0)))</f>
        <v>3</v>
      </c>
      <c r="J73" s="3">
        <f>IF(INDEX(学年度总表!$J$3:$J$1025,MATCH($E73,学年度总表!$E$3:$E$1025,0))="","",INDEX(学年度总表!$J$3:$J$1025,MATCH($E73,学年度总表!$E$3:$E$1025,0)))</f>
        <v>74.88</v>
      </c>
      <c r="K73" s="3">
        <f>IF(INDEX(学年度总表!$K$3:$K$1025,MATCH($E73,学年度总表!$E$3:$E$1025,0))="","",INDEX(学年度总表!$K$3:$K$1025,MATCH($E73,学年度总表!$E$3:$E$1025,0)))</f>
        <v>10</v>
      </c>
      <c r="L73" s="3">
        <f>IF(INDEX(学年度总表!$L$3:$L$1025,MATCH($E73,学年度总表!$E$3:$E$1025,0))="","",INDEX(学年度总表!$L$3:$L$1025,MATCH($E73,学年度总表!$E$3:$E$1025,0)))</f>
        <v>57.31</v>
      </c>
      <c r="M73" s="3">
        <f>IF(INDEX(学年度总表!$M$3:$M$1025,MATCH($E73,学年度总表!$E$3:$E$1025,0))="","",INDEX(学年度总表!$M$3:$M$1025,MATCH($E73,学年度总表!$E$3:$E$1025,0)))</f>
        <v>4</v>
      </c>
      <c r="N73" s="3">
        <f>IF(INDEX(学年度总表!$N$3:$N$1025,MATCH($E73,学年度总表!$E$3:$E$1025,0))="","",INDEX(学年度总表!$N$3:$N$1025,MATCH($E73,学年度总表!$E$3:$E$1025,0)))</f>
        <v>71.31</v>
      </c>
      <c r="O73" s="3">
        <f>IF(INDEX(学年度总表!$O$3:$O$1025,MATCH($E73,学年度总表!$E$3:$E$1025,0))="","",INDEX(学年度总表!$O$3:$O$1025,MATCH($E73,学年度总表!$E$3:$E$1025,0)))</f>
        <v>146.19</v>
      </c>
      <c r="P73" s="2" t="str">
        <f>IF(INDEX(学年度总表!$P$3:$P$1025,MATCH($E73,学年度总表!$E$3:$E$1025,0))="","",INDEX(学年度总表!$P$3:$P$1025,MATCH($E73,学年度总表!$E$3:$E$1025,0)))</f>
        <v/>
      </c>
      <c r="Q73" s="5" t="str">
        <f>IF(INDEX(学年度总表!$Q$3:$Q$1025,MATCH($E73,学年度总表!$E$3:$E$1025,0))="","",INDEX(学年度总表!$Q$3:$Q$1025,MATCH($E73,学年度总表!$E$3:$E$1025,0)))</f>
        <v/>
      </c>
    </row>
    <row r="74" spans="1:17">
      <c r="A74" s="2">
        <f>IF(INDEX(学年度总表!$A$3:$A$1025,MATCH($E74,学年度总表!$E$3:$E$1025,0))="","",INDEX(学年度总表!$A$3:$A$1025,MATCH($E74,学年度总表!$E$3:$E$1025,0)))</f>
        <v>330</v>
      </c>
      <c r="B74" s="2">
        <f>IF(INDEX(学年度总表!$B$3:$B$1025,MATCH($E74,学年度总表!$E$3:$E$1025,0))="","",INDEX(学年度总表!$B$3:$B$1025,MATCH($E74,学年度总表!$E$3:$E$1025,0)))</f>
        <v>72</v>
      </c>
      <c r="C74" s="2" t="str">
        <f>IF(INDEX(学年度总表!$C$3:$C$1025,MATCH($E74,学年度总表!$E$3:$E$1025,0))="","",INDEX(学年度总表!$C$3:$C$1025,MATCH($E74,学年度总表!$E$3:$E$1025,0)))</f>
        <v>计科</v>
      </c>
      <c r="D74" s="2" t="str">
        <f>IF(INDEX(学年度总表!$D$3:$D$1025,MATCH($E74,学年度总表!$E$3:$E$1025,0))="","",INDEX(学年度总表!$D$3:$D$1025,MATCH($E74,学年度总表!$E$3:$E$1025,0)))</f>
        <v>计科三班</v>
      </c>
      <c r="E74" s="2" t="s">
        <v>720</v>
      </c>
      <c r="F74" s="2" t="str">
        <f>IF(INDEX(学年度总表!$F$3:$F$1025,MATCH($E74,学年度总表!$E$3:$E$1025,0))="","",INDEX(学年度总表!$F$3:$F$1025,MATCH($E74,学年度总表!$E$3:$E$1025,0)))</f>
        <v>马楚涵</v>
      </c>
      <c r="G74" s="3">
        <f>IF(INDEX(学年度总表!$G$3:$G$1025,MATCH($E74,学年度总表!$E$3:$E$1025,0))="","",INDEX(学年度总表!$G$3:$G$1025,MATCH($E74,学年度总表!$E$3:$E$1025,0)))</f>
        <v>10</v>
      </c>
      <c r="H74" s="3">
        <f>IF(INDEX(学年度总表!$H$3:$H$1025,MATCH($E74,学年度总表!$E$3:$E$1025,0))="","",INDEX(学年度总表!$H$3:$H$1025,MATCH($E74,学年度总表!$E$3:$E$1025,0)))</f>
        <v>59.158536585365901</v>
      </c>
      <c r="I74" s="3">
        <f>IF(INDEX(学年度总表!$I$3:$I$1025,MATCH($E74,学年度总表!$E$3:$E$1025,0))="","",INDEX(学年度总表!$I$3:$I$1025,MATCH($E74,学年度总表!$E$3:$E$1025,0)))</f>
        <v>4</v>
      </c>
      <c r="J74" s="3">
        <f>IF(INDEX(学年度总表!$J$3:$J$1025,MATCH($E74,学年度总表!$E$3:$E$1025,0))="","",INDEX(学年度总表!$J$3:$J$1025,MATCH($E74,学年度总表!$E$3:$E$1025,0)))</f>
        <v>73.16</v>
      </c>
      <c r="K74" s="3">
        <f>IF(INDEX(学年度总表!$K$3:$K$1025,MATCH($E74,学年度总表!$E$3:$E$1025,0))="","",INDEX(学年度总表!$K$3:$K$1025,MATCH($E74,学年度总表!$E$3:$E$1025,0)))</f>
        <v>10</v>
      </c>
      <c r="L74" s="3">
        <f>IF(INDEX(学年度总表!$L$3:$L$1025,MATCH($E74,学年度总表!$E$3:$E$1025,0))="","",INDEX(学年度总表!$L$3:$L$1025,MATCH($E74,学年度总表!$E$3:$E$1025,0)))</f>
        <v>58.32</v>
      </c>
      <c r="M74" s="3">
        <f>IF(INDEX(学年度总表!$M$3:$M$1025,MATCH($E74,学年度总表!$E$3:$E$1025,0))="","",INDEX(学年度总表!$M$3:$M$1025,MATCH($E74,学年度总表!$E$3:$E$1025,0)))</f>
        <v>4.7</v>
      </c>
      <c r="N74" s="3">
        <f>IF(INDEX(学年度总表!$N$3:$N$1025,MATCH($E74,学年度总表!$E$3:$E$1025,0))="","",INDEX(学年度总表!$N$3:$N$1025,MATCH($E74,学年度总表!$E$3:$E$1025,0)))</f>
        <v>73.02</v>
      </c>
      <c r="O74" s="3">
        <f>IF(INDEX(学年度总表!$O$3:$O$1025,MATCH($E74,学年度总表!$E$3:$E$1025,0))="","",INDEX(学年度总表!$O$3:$O$1025,MATCH($E74,学年度总表!$E$3:$E$1025,0)))</f>
        <v>146.18</v>
      </c>
      <c r="P74" s="2" t="str">
        <f>IF(INDEX(学年度总表!$P$3:$P$1025,MATCH($E74,学年度总表!$E$3:$E$1025,0))="","",INDEX(学年度总表!$P$3:$P$1025,MATCH($E74,学年度总表!$E$3:$E$1025,0)))</f>
        <v/>
      </c>
      <c r="Q74" s="5" t="str">
        <f>IF(INDEX(学年度总表!$Q$3:$Q$1025,MATCH($E74,学年度总表!$E$3:$E$1025,0))="","",INDEX(学年度总表!$Q$3:$Q$1025,MATCH($E74,学年度总表!$E$3:$E$1025,0)))</f>
        <v/>
      </c>
    </row>
    <row r="75" spans="1:17">
      <c r="A75" s="2">
        <f>IF(INDEX(学年度总表!$A$3:$A$1025,MATCH($E75,学年度总表!$E$3:$E$1025,0))="","",INDEX(学年度总表!$A$3:$A$1025,MATCH($E75,学年度总表!$E$3:$E$1025,0)))</f>
        <v>332</v>
      </c>
      <c r="B75" s="2">
        <f>IF(INDEX(学年度总表!$B$3:$B$1025,MATCH($E75,学年度总表!$E$3:$E$1025,0))="","",INDEX(学年度总表!$B$3:$B$1025,MATCH($E75,学年度总表!$E$3:$E$1025,0)))</f>
        <v>73</v>
      </c>
      <c r="C75" s="2" t="str">
        <f>IF(INDEX(学年度总表!$C$3:$C$1025,MATCH($E75,学年度总表!$E$3:$E$1025,0))="","",INDEX(学年度总表!$C$3:$C$1025,MATCH($E75,学年度总表!$E$3:$E$1025,0)))</f>
        <v>计科</v>
      </c>
      <c r="D75" s="2" t="str">
        <f>IF(INDEX(学年度总表!$D$3:$D$1025,MATCH($E75,学年度总表!$E$3:$E$1025,0))="","",INDEX(学年度总表!$D$3:$D$1025,MATCH($E75,学年度总表!$E$3:$E$1025,0)))</f>
        <v>计科二班</v>
      </c>
      <c r="E75" s="2" t="s">
        <v>724</v>
      </c>
      <c r="F75" s="2" t="str">
        <f>IF(INDEX(学年度总表!$F$3:$F$1025,MATCH($E75,学年度总表!$E$3:$E$1025,0))="","",INDEX(学年度总表!$F$3:$F$1025,MATCH($E75,学年度总表!$E$3:$E$1025,0)))</f>
        <v>牛婧葳</v>
      </c>
      <c r="G75" s="3">
        <f>IF(INDEX(学年度总表!$G$3:$G$1025,MATCH($E75,学年度总表!$E$3:$E$1025,0))="","",INDEX(学年度总表!$G$3:$G$1025,MATCH($E75,学年度总表!$E$3:$E$1025,0)))</f>
        <v>9.8000000000000007</v>
      </c>
      <c r="H75" s="3">
        <f>IF(INDEX(学年度总表!$H$3:$H$1025,MATCH($E75,学年度总表!$E$3:$E$1025,0))="","",INDEX(学年度总表!$H$3:$H$1025,MATCH($E75,学年度总表!$E$3:$E$1025,0)))</f>
        <v>59.097560975609802</v>
      </c>
      <c r="I75" s="3">
        <f>IF(INDEX(学年度总表!$I$3:$I$1025,MATCH($E75,学年度总表!$E$3:$E$1025,0))="","",INDEX(学年度总表!$I$3:$I$1025,MATCH($E75,学年度总表!$E$3:$E$1025,0)))</f>
        <v>3</v>
      </c>
      <c r="J75" s="3">
        <f>IF(INDEX(学年度总表!$J$3:$J$1025,MATCH($E75,学年度总表!$E$3:$E$1025,0))="","",INDEX(学年度总表!$J$3:$J$1025,MATCH($E75,学年度总表!$E$3:$E$1025,0)))</f>
        <v>71.900000000000006</v>
      </c>
      <c r="K75" s="3">
        <f>IF(INDEX(学年度总表!$K$3:$K$1025,MATCH($E75,学年度总表!$E$3:$E$1025,0))="","",INDEX(学年度总表!$K$3:$K$1025,MATCH($E75,学年度总表!$E$3:$E$1025,0)))</f>
        <v>9.8000000000000007</v>
      </c>
      <c r="L75" s="3">
        <f>IF(INDEX(学年度总表!$L$3:$L$1025,MATCH($E75,学年度总表!$E$3:$E$1025,0))="","",INDEX(学年度总表!$L$3:$L$1025,MATCH($E75,学年度总表!$E$3:$E$1025,0)))</f>
        <v>60.92</v>
      </c>
      <c r="M75" s="3">
        <f>IF(INDEX(学年度总表!$M$3:$M$1025,MATCH($E75,学年度总表!$E$3:$E$1025,0))="","",INDEX(学年度总表!$M$3:$M$1025,MATCH($E75,学年度总表!$E$3:$E$1025,0)))</f>
        <v>3.5</v>
      </c>
      <c r="N75" s="3">
        <f>IF(INDEX(学年度总表!$N$3:$N$1025,MATCH($E75,学年度总表!$E$3:$E$1025,0))="","",INDEX(学年度总表!$N$3:$N$1025,MATCH($E75,学年度总表!$E$3:$E$1025,0)))</f>
        <v>74.22</v>
      </c>
      <c r="O75" s="3">
        <f>IF(INDEX(学年度总表!$O$3:$O$1025,MATCH($E75,学年度总表!$E$3:$E$1025,0))="","",INDEX(学年度总表!$O$3:$O$1025,MATCH($E75,学年度总表!$E$3:$E$1025,0)))</f>
        <v>146.12</v>
      </c>
      <c r="P75" s="2" t="str">
        <f>IF(INDEX(学年度总表!$P$3:$P$1025,MATCH($E75,学年度总表!$E$3:$E$1025,0))="","",INDEX(学年度总表!$P$3:$P$1025,MATCH($E75,学年度总表!$E$3:$E$1025,0)))</f>
        <v/>
      </c>
      <c r="Q75" s="5" t="str">
        <f>IF(INDEX(学年度总表!$Q$3:$Q$1025,MATCH($E75,学年度总表!$E$3:$E$1025,0))="","",INDEX(学年度总表!$Q$3:$Q$1025,MATCH($E75,学年度总表!$E$3:$E$1025,0)))</f>
        <v/>
      </c>
    </row>
    <row r="76" spans="1:17">
      <c r="A76" s="2">
        <f>IF(INDEX(学年度总表!$A$3:$A$1025,MATCH($E76,学年度总表!$E$3:$E$1025,0))="","",INDEX(学年度总表!$A$3:$A$1025,MATCH($E76,学年度总表!$E$3:$E$1025,0)))</f>
        <v>334</v>
      </c>
      <c r="B76" s="2">
        <f>IF(INDEX(学年度总表!$B$3:$B$1025,MATCH($E76,学年度总表!$E$3:$E$1025,0))="","",INDEX(学年度总表!$B$3:$B$1025,MATCH($E76,学年度总表!$E$3:$E$1025,0)))</f>
        <v>74</v>
      </c>
      <c r="C76" s="2" t="str">
        <f>IF(INDEX(学年度总表!$C$3:$C$1025,MATCH($E76,学年度总表!$E$3:$E$1025,0))="","",INDEX(学年度总表!$C$3:$C$1025,MATCH($E76,学年度总表!$E$3:$E$1025,0)))</f>
        <v>计科</v>
      </c>
      <c r="D76" s="2" t="str">
        <f>IF(INDEX(学年度总表!$D$3:$D$1025,MATCH($E76,学年度总表!$E$3:$E$1025,0))="","",INDEX(学年度总表!$D$3:$D$1025,MATCH($E76,学年度总表!$E$3:$E$1025,0)))</f>
        <v>计科一班</v>
      </c>
      <c r="E76" s="2" t="s">
        <v>728</v>
      </c>
      <c r="F76" s="2" t="str">
        <f>IF(INDEX(学年度总表!$F$3:$F$1025,MATCH($E76,学年度总表!$E$3:$E$1025,0))="","",INDEX(学年度总表!$F$3:$F$1025,MATCH($E76,学年度总表!$E$3:$E$1025,0)))</f>
        <v>段懿珊</v>
      </c>
      <c r="G76" s="3">
        <f>IF(INDEX(学年度总表!$G$3:$G$1025,MATCH($E76,学年度总表!$E$3:$E$1025,0))="","",INDEX(学年度总表!$G$3:$G$1025,MATCH($E76,学年度总表!$E$3:$E$1025,0)))</f>
        <v>9.8000000000000007</v>
      </c>
      <c r="H76" s="3">
        <f>IF(INDEX(学年度总表!$H$3:$H$1025,MATCH($E76,学年度总表!$E$3:$E$1025,0))="","",INDEX(学年度总表!$H$3:$H$1025,MATCH($E76,学年度总表!$E$3:$E$1025,0)))</f>
        <v>55.182926829268297</v>
      </c>
      <c r="I76" s="3">
        <f>IF(INDEX(学年度总表!$I$3:$I$1025,MATCH($E76,学年度总表!$E$3:$E$1025,0))="","",INDEX(学年度总表!$I$3:$I$1025,MATCH($E76,学年度总表!$E$3:$E$1025,0)))</f>
        <v>4</v>
      </c>
      <c r="J76" s="3">
        <f>IF(INDEX(学年度总表!$J$3:$J$1025,MATCH($E76,学年度总表!$E$3:$E$1025,0))="","",INDEX(学年度总表!$J$3:$J$1025,MATCH($E76,学年度总表!$E$3:$E$1025,0)))</f>
        <v>68.98</v>
      </c>
      <c r="K76" s="3">
        <f>IF(INDEX(学年度总表!$K$3:$K$1025,MATCH($E76,学年度总表!$E$3:$E$1025,0))="","",INDEX(学年度总表!$K$3:$K$1025,MATCH($E76,学年度总表!$E$3:$E$1025,0)))</f>
        <v>9.8000000000000007</v>
      </c>
      <c r="L76" s="3">
        <f>IF(INDEX(学年度总表!$L$3:$L$1025,MATCH($E76,学年度总表!$E$3:$E$1025,0))="","",INDEX(学年度总表!$L$3:$L$1025,MATCH($E76,学年度总表!$E$3:$E$1025,0)))</f>
        <v>62.06</v>
      </c>
      <c r="M76" s="3">
        <f>IF(INDEX(学年度总表!$M$3:$M$1025,MATCH($E76,学年度总表!$E$3:$E$1025,0))="","",INDEX(学年度总表!$M$3:$M$1025,MATCH($E76,学年度总表!$E$3:$E$1025,0)))</f>
        <v>5.2</v>
      </c>
      <c r="N76" s="3">
        <f>IF(INDEX(学年度总表!$N$3:$N$1025,MATCH($E76,学年度总表!$E$3:$E$1025,0))="","",INDEX(学年度总表!$N$3:$N$1025,MATCH($E76,学年度总表!$E$3:$E$1025,0)))</f>
        <v>77.06</v>
      </c>
      <c r="O76" s="3">
        <f>IF(INDEX(学年度总表!$O$3:$O$1025,MATCH($E76,学年度总表!$E$3:$E$1025,0))="","",INDEX(学年度总表!$O$3:$O$1025,MATCH($E76,学年度总表!$E$3:$E$1025,0)))</f>
        <v>146.04</v>
      </c>
      <c r="P76" s="2" t="str">
        <f>IF(INDEX(学年度总表!$P$3:$P$1025,MATCH($E76,学年度总表!$E$3:$E$1025,0))="","",INDEX(学年度总表!$P$3:$P$1025,MATCH($E76,学年度总表!$E$3:$E$1025,0)))</f>
        <v/>
      </c>
      <c r="Q76" s="5" t="str">
        <f>IF(INDEX(学年度总表!$Q$3:$Q$1025,MATCH($E76,学年度总表!$E$3:$E$1025,0))="","",INDEX(学年度总表!$Q$3:$Q$1025,MATCH($E76,学年度总表!$E$3:$E$1025,0)))</f>
        <v/>
      </c>
    </row>
    <row r="77" spans="1:17">
      <c r="A77" s="2">
        <f>IF(INDEX(学年度总表!$A$3:$A$1025,MATCH($E77,学年度总表!$E$3:$E$1025,0))="","",INDEX(学年度总表!$A$3:$A$1025,MATCH($E77,学年度总表!$E$3:$E$1025,0)))</f>
        <v>350</v>
      </c>
      <c r="B77" s="2">
        <f>IF(INDEX(学年度总表!$B$3:$B$1025,MATCH($E77,学年度总表!$E$3:$E$1025,0))="","",INDEX(学年度总表!$B$3:$B$1025,MATCH($E77,学年度总表!$E$3:$E$1025,0)))</f>
        <v>75</v>
      </c>
      <c r="C77" s="2" t="str">
        <f>IF(INDEX(学年度总表!$C$3:$C$1025,MATCH($E77,学年度总表!$E$3:$E$1025,0))="","",INDEX(学年度总表!$C$3:$C$1025,MATCH($E77,学年度总表!$E$3:$E$1025,0)))</f>
        <v>计科</v>
      </c>
      <c r="D77" s="2" t="str">
        <f>IF(INDEX(学年度总表!$D$3:$D$1025,MATCH($E77,学年度总表!$E$3:$E$1025,0))="","",INDEX(学年度总表!$D$3:$D$1025,MATCH($E77,学年度总表!$E$3:$E$1025,0)))</f>
        <v>计科二班</v>
      </c>
      <c r="E77" s="2" t="s">
        <v>761</v>
      </c>
      <c r="F77" s="2" t="str">
        <f>IF(INDEX(学年度总表!$F$3:$F$1025,MATCH($E77,学年度总表!$E$3:$E$1025,0))="","",INDEX(学年度总表!$F$3:$F$1025,MATCH($E77,学年度总表!$E$3:$E$1025,0)))</f>
        <v>季钰翔</v>
      </c>
      <c r="G77" s="3">
        <f>IF(INDEX(学年度总表!$G$3:$G$1025,MATCH($E77,学年度总表!$E$3:$E$1025,0))="","",INDEX(学年度总表!$G$3:$G$1025,MATCH($E77,学年度总表!$E$3:$E$1025,0)))</f>
        <v>9.8000000000000007</v>
      </c>
      <c r="H77" s="3">
        <f>IF(INDEX(学年度总表!$H$3:$H$1025,MATCH($E77,学年度总表!$E$3:$E$1025,0))="","",INDEX(学年度总表!$H$3:$H$1025,MATCH($E77,学年度总表!$E$3:$E$1025,0)))</f>
        <v>58.719512195122</v>
      </c>
      <c r="I77" s="3">
        <f>IF(INDEX(学年度总表!$I$3:$I$1025,MATCH($E77,学年度总表!$E$3:$E$1025,0))="","",INDEX(学年度总表!$I$3:$I$1025,MATCH($E77,学年度总表!$E$3:$E$1025,0)))</f>
        <v>4.2</v>
      </c>
      <c r="J77" s="3">
        <f>IF(INDEX(学年度总表!$J$3:$J$1025,MATCH($E77,学年度总表!$E$3:$E$1025,0))="","",INDEX(学年度总表!$J$3:$J$1025,MATCH($E77,学年度总表!$E$3:$E$1025,0)))</f>
        <v>72.72</v>
      </c>
      <c r="K77" s="3">
        <f>IF(INDEX(学年度总表!$K$3:$K$1025,MATCH($E77,学年度总表!$E$3:$E$1025,0))="","",INDEX(学年度总表!$K$3:$K$1025,MATCH($E77,学年度总表!$E$3:$E$1025,0)))</f>
        <v>9.8000000000000007</v>
      </c>
      <c r="L77" s="3">
        <f>IF(INDEX(学年度总表!$L$3:$L$1025,MATCH($E77,学年度总表!$E$3:$E$1025,0))="","",INDEX(学年度总表!$L$3:$L$1025,MATCH($E77,学年度总表!$E$3:$E$1025,0)))</f>
        <v>58.16</v>
      </c>
      <c r="M77" s="3">
        <f>IF(INDEX(学年度总表!$M$3:$M$1025,MATCH($E77,学年度总表!$E$3:$E$1025,0))="","",INDEX(学年度总表!$M$3:$M$1025,MATCH($E77,学年度总表!$E$3:$E$1025,0)))</f>
        <v>4.5</v>
      </c>
      <c r="N77" s="3">
        <f>IF(INDEX(学年度总表!$N$3:$N$1025,MATCH($E77,学年度总表!$E$3:$E$1025,0))="","",INDEX(学年度总表!$N$3:$N$1025,MATCH($E77,学年度总表!$E$3:$E$1025,0)))</f>
        <v>72.459999999999994</v>
      </c>
      <c r="O77" s="3">
        <f>IF(INDEX(学年度总表!$O$3:$O$1025,MATCH($E77,学年度总表!$E$3:$E$1025,0))="","",INDEX(学年度总表!$O$3:$O$1025,MATCH($E77,学年度总表!$E$3:$E$1025,0)))</f>
        <v>145.18</v>
      </c>
      <c r="P77" s="2" t="str">
        <f>IF(INDEX(学年度总表!$P$3:$P$1025,MATCH($E77,学年度总表!$E$3:$E$1025,0))="","",INDEX(学年度总表!$P$3:$P$1025,MATCH($E77,学年度总表!$E$3:$E$1025,0)))</f>
        <v/>
      </c>
      <c r="Q77" s="5" t="str">
        <f>IF(INDEX(学年度总表!$Q$3:$Q$1025,MATCH($E77,学年度总表!$E$3:$E$1025,0))="","",INDEX(学年度总表!$Q$3:$Q$1025,MATCH($E77,学年度总表!$E$3:$E$1025,0)))</f>
        <v/>
      </c>
    </row>
    <row r="78" spans="1:17">
      <c r="A78" s="2">
        <f>IF(INDEX(学年度总表!$A$3:$A$1025,MATCH($E78,学年度总表!$E$3:$E$1025,0))="","",INDEX(学年度总表!$A$3:$A$1025,MATCH($E78,学年度总表!$E$3:$E$1025,0)))</f>
        <v>350</v>
      </c>
      <c r="B78" s="2">
        <f>IF(INDEX(学年度总表!$B$3:$B$1025,MATCH($E78,学年度总表!$E$3:$E$1025,0))="","",INDEX(学年度总表!$B$3:$B$1025,MATCH($E78,学年度总表!$E$3:$E$1025,0)))</f>
        <v>75</v>
      </c>
      <c r="C78" s="2" t="str">
        <f>IF(INDEX(学年度总表!$C$3:$C$1025,MATCH($E78,学年度总表!$E$3:$E$1025,0))="","",INDEX(学年度总表!$C$3:$C$1025,MATCH($E78,学年度总表!$E$3:$E$1025,0)))</f>
        <v>计科</v>
      </c>
      <c r="D78" s="2" t="str">
        <f>IF(INDEX(学年度总表!$D$3:$D$1025,MATCH($E78,学年度总表!$E$3:$E$1025,0))="","",INDEX(学年度总表!$D$3:$D$1025,MATCH($E78,学年度总表!$E$3:$E$1025,0)))</f>
        <v>计科二班</v>
      </c>
      <c r="E78" s="2" t="s">
        <v>763</v>
      </c>
      <c r="F78" s="2" t="str">
        <f>IF(INDEX(学年度总表!$F$3:$F$1025,MATCH($E78,学年度总表!$E$3:$E$1025,0))="","",INDEX(学年度总表!$F$3:$F$1025,MATCH($E78,学年度总表!$E$3:$E$1025,0)))</f>
        <v>庄语琪</v>
      </c>
      <c r="G78" s="3">
        <f>IF(INDEX(学年度总表!$G$3:$G$1025,MATCH($E78,学年度总表!$E$3:$E$1025,0))="","",INDEX(学年度总表!$G$3:$G$1025,MATCH($E78,学年度总表!$E$3:$E$1025,0)))</f>
        <v>10.3</v>
      </c>
      <c r="H78" s="3">
        <f>IF(INDEX(学年度总表!$H$3:$H$1025,MATCH($E78,学年度总表!$E$3:$E$1025,0))="","",INDEX(学年度总表!$H$3:$H$1025,MATCH($E78,学年度总表!$E$3:$E$1025,0)))</f>
        <v>59.121951219512198</v>
      </c>
      <c r="I78" s="3">
        <f>IF(INDEX(学年度总表!$I$3:$I$1025,MATCH($E78,学年度总表!$E$3:$E$1025,0))="","",INDEX(学年度总表!$I$3:$I$1025,MATCH($E78,学年度总表!$E$3:$E$1025,0)))</f>
        <v>4.5</v>
      </c>
      <c r="J78" s="3">
        <f>IF(INDEX(学年度总表!$J$3:$J$1025,MATCH($E78,学年度总表!$E$3:$E$1025,0))="","",INDEX(学年度总表!$J$3:$J$1025,MATCH($E78,学年度总表!$E$3:$E$1025,0)))</f>
        <v>73.92</v>
      </c>
      <c r="K78" s="3">
        <f>IF(INDEX(学年度总表!$K$3:$K$1025,MATCH($E78,学年度总表!$E$3:$E$1025,0))="","",INDEX(学年度总表!$K$3:$K$1025,MATCH($E78,学年度总表!$E$3:$E$1025,0)))</f>
        <v>9.8000000000000007</v>
      </c>
      <c r="L78" s="3">
        <f>IF(INDEX(学年度总表!$L$3:$L$1025,MATCH($E78,学年度总表!$E$3:$E$1025,0))="","",INDEX(学年度总表!$L$3:$L$1025,MATCH($E78,学年度总表!$E$3:$E$1025,0)))</f>
        <v>56.76</v>
      </c>
      <c r="M78" s="3">
        <f>IF(INDEX(学年度总表!$M$3:$M$1025,MATCH($E78,学年度总表!$E$3:$E$1025,0))="","",INDEX(学年度总表!$M$3:$M$1025,MATCH($E78,学年度总表!$E$3:$E$1025,0)))</f>
        <v>4.7</v>
      </c>
      <c r="N78" s="3">
        <f>IF(INDEX(学年度总表!$N$3:$N$1025,MATCH($E78,学年度总表!$E$3:$E$1025,0))="","",INDEX(学年度总表!$N$3:$N$1025,MATCH($E78,学年度总表!$E$3:$E$1025,0)))</f>
        <v>71.260000000000005</v>
      </c>
      <c r="O78" s="3">
        <f>IF(INDEX(学年度总表!$O$3:$O$1025,MATCH($E78,学年度总表!$E$3:$E$1025,0))="","",INDEX(学年度总表!$O$3:$O$1025,MATCH($E78,学年度总表!$E$3:$E$1025,0)))</f>
        <v>145.18</v>
      </c>
      <c r="P78" s="2" t="str">
        <f>IF(INDEX(学年度总表!$P$3:$P$1025,MATCH($E78,学年度总表!$E$3:$E$1025,0))="","",INDEX(学年度总表!$P$3:$P$1025,MATCH($E78,学年度总表!$E$3:$E$1025,0)))</f>
        <v/>
      </c>
      <c r="Q78" s="5" t="str">
        <f>IF(INDEX(学年度总表!$Q$3:$Q$1025,MATCH($E78,学年度总表!$E$3:$E$1025,0))="","",INDEX(学年度总表!$Q$3:$Q$1025,MATCH($E78,学年度总表!$E$3:$E$1025,0)))</f>
        <v/>
      </c>
    </row>
    <row r="79" spans="1:17">
      <c r="A79" s="2">
        <f>IF(INDEX(学年度总表!$A$3:$A$1025,MATCH($E79,学年度总表!$E$3:$E$1025,0))="","",INDEX(学年度总表!$A$3:$A$1025,MATCH($E79,学年度总表!$E$3:$E$1025,0)))</f>
        <v>354</v>
      </c>
      <c r="B79" s="2">
        <f>IF(INDEX(学年度总表!$B$3:$B$1025,MATCH($E79,学年度总表!$E$3:$E$1025,0))="","",INDEX(学年度总表!$B$3:$B$1025,MATCH($E79,学年度总表!$E$3:$E$1025,0)))</f>
        <v>77</v>
      </c>
      <c r="C79" s="2" t="str">
        <f>IF(INDEX(学年度总表!$C$3:$C$1025,MATCH($E79,学年度总表!$E$3:$E$1025,0))="","",INDEX(学年度总表!$C$3:$C$1025,MATCH($E79,学年度总表!$E$3:$E$1025,0)))</f>
        <v>计科</v>
      </c>
      <c r="D79" s="2" t="str">
        <f>IF(INDEX(学年度总表!$D$3:$D$1025,MATCH($E79,学年度总表!$E$3:$E$1025,0))="","",INDEX(学年度总表!$D$3:$D$1025,MATCH($E79,学年度总表!$E$3:$E$1025,0)))</f>
        <v>计科三班</v>
      </c>
      <c r="E79" s="2" t="s">
        <v>769</v>
      </c>
      <c r="F79" s="2" t="str">
        <f>IF(INDEX(学年度总表!$F$3:$F$1025,MATCH($E79,学年度总表!$E$3:$E$1025,0))="","",INDEX(学年度总表!$F$3:$F$1025,MATCH($E79,学年度总表!$E$3:$E$1025,0)))</f>
        <v>孙家兴</v>
      </c>
      <c r="G79" s="3">
        <f>IF(INDEX(学年度总表!$G$3:$G$1025,MATCH($E79,学年度总表!$E$3:$E$1025,0))="","",INDEX(学年度总表!$G$3:$G$1025,MATCH($E79,学年度总表!$E$3:$E$1025,0)))</f>
        <v>9.8000000000000007</v>
      </c>
      <c r="H79" s="3">
        <f>IF(INDEX(学年度总表!$H$3:$H$1025,MATCH($E79,学年度总表!$E$3:$E$1025,0))="","",INDEX(学年度总表!$H$3:$H$1025,MATCH($E79,学年度总表!$E$3:$E$1025,0)))</f>
        <v>61.036585365853597</v>
      </c>
      <c r="I79" s="3">
        <f>IF(INDEX(学年度总表!$I$3:$I$1025,MATCH($E79,学年度总表!$E$3:$E$1025,0))="","",INDEX(学年度总表!$I$3:$I$1025,MATCH($E79,学年度总表!$E$3:$E$1025,0)))</f>
        <v>3</v>
      </c>
      <c r="J79" s="3">
        <f>IF(INDEX(学年度总表!$J$3:$J$1025,MATCH($E79,学年度总表!$E$3:$E$1025,0))="","",INDEX(学年度总表!$J$3:$J$1025,MATCH($E79,学年度总表!$E$3:$E$1025,0)))</f>
        <v>73.84</v>
      </c>
      <c r="K79" s="3">
        <f>IF(INDEX(学年度总表!$K$3:$K$1025,MATCH($E79,学年度总表!$E$3:$E$1025,0))="","",INDEX(学年度总表!$K$3:$K$1025,MATCH($E79,学年度总表!$E$3:$E$1025,0)))</f>
        <v>9</v>
      </c>
      <c r="L79" s="3">
        <f>IF(INDEX(学年度总表!$L$3:$L$1025,MATCH($E79,学年度总表!$E$3:$E$1025,0))="","",INDEX(学年度总表!$L$3:$L$1025,MATCH($E79,学年度总表!$E$3:$E$1025,0)))</f>
        <v>59.2</v>
      </c>
      <c r="M79" s="3">
        <f>IF(INDEX(学年度总表!$M$3:$M$1025,MATCH($E79,学年度总表!$E$3:$E$1025,0))="","",INDEX(学年度总表!$M$3:$M$1025,MATCH($E79,学年度总表!$E$3:$E$1025,0)))</f>
        <v>3</v>
      </c>
      <c r="N79" s="3">
        <f>IF(INDEX(学年度总表!$N$3:$N$1025,MATCH($E79,学年度总表!$E$3:$E$1025,0))="","",INDEX(学年度总表!$N$3:$N$1025,MATCH($E79,学年度总表!$E$3:$E$1025,0)))</f>
        <v>71.2</v>
      </c>
      <c r="O79" s="3">
        <f>IF(INDEX(学年度总表!$O$3:$O$1025,MATCH($E79,学年度总表!$E$3:$E$1025,0))="","",INDEX(学年度总表!$O$3:$O$1025,MATCH($E79,学年度总表!$E$3:$E$1025,0)))</f>
        <v>145.04</v>
      </c>
      <c r="P79" s="2" t="str">
        <f>IF(INDEX(学年度总表!$P$3:$P$1025,MATCH($E79,学年度总表!$E$3:$E$1025,0))="","",INDEX(学年度总表!$P$3:$P$1025,MATCH($E79,学年度总表!$E$3:$E$1025,0)))</f>
        <v/>
      </c>
      <c r="Q79" s="5" t="str">
        <f>IF(INDEX(学年度总表!$Q$3:$Q$1025,MATCH($E79,学年度总表!$E$3:$E$1025,0))="","",INDEX(学年度总表!$Q$3:$Q$1025,MATCH($E79,学年度总表!$E$3:$E$1025,0)))</f>
        <v/>
      </c>
    </row>
    <row r="80" spans="1:17">
      <c r="A80" s="2">
        <f>IF(INDEX(学年度总表!$A$3:$A$1025,MATCH($E80,学年度总表!$E$3:$E$1025,0))="","",INDEX(学年度总表!$A$3:$A$1025,MATCH($E80,学年度总表!$E$3:$E$1025,0)))</f>
        <v>355</v>
      </c>
      <c r="B80" s="2">
        <f>IF(INDEX(学年度总表!$B$3:$B$1025,MATCH($E80,学年度总表!$E$3:$E$1025,0))="","",INDEX(学年度总表!$B$3:$B$1025,MATCH($E80,学年度总表!$E$3:$E$1025,0)))</f>
        <v>78</v>
      </c>
      <c r="C80" s="2" t="str">
        <f>IF(INDEX(学年度总表!$C$3:$C$1025,MATCH($E80,学年度总表!$E$3:$E$1025,0))="","",INDEX(学年度总表!$C$3:$C$1025,MATCH($E80,学年度总表!$E$3:$E$1025,0)))</f>
        <v>计科</v>
      </c>
      <c r="D80" s="2" t="str">
        <f>IF(INDEX(学年度总表!$D$3:$D$1025,MATCH($E80,学年度总表!$E$3:$E$1025,0))="","",INDEX(学年度总表!$D$3:$D$1025,MATCH($E80,学年度总表!$E$3:$E$1025,0)))</f>
        <v>计科二班</v>
      </c>
      <c r="E80" s="2" t="s">
        <v>771</v>
      </c>
      <c r="F80" s="2" t="str">
        <f>IF(INDEX(学年度总表!$F$3:$F$1025,MATCH($E80,学年度总表!$E$3:$E$1025,0))="","",INDEX(学年度总表!$F$3:$F$1025,MATCH($E80,学年度总表!$E$3:$E$1025,0)))</f>
        <v>管彩伊</v>
      </c>
      <c r="G80" s="3">
        <f>IF(INDEX(学年度总表!$G$3:$G$1025,MATCH($E80,学年度总表!$E$3:$E$1025,0))="","",INDEX(学年度总表!$G$3:$G$1025,MATCH($E80,学年度总表!$E$3:$E$1025,0)))</f>
        <v>9.8000000000000007</v>
      </c>
      <c r="H80" s="3">
        <f>IF(INDEX(学年度总表!$H$3:$H$1025,MATCH($E80,学年度总表!$E$3:$E$1025,0))="","",INDEX(学年度总表!$H$3:$H$1025,MATCH($E80,学年度总表!$E$3:$E$1025,0)))</f>
        <v>60.085365853658502</v>
      </c>
      <c r="I80" s="3">
        <f>IF(INDEX(学年度总表!$I$3:$I$1025,MATCH($E80,学年度总表!$E$3:$E$1025,0))="","",INDEX(学年度总表!$I$3:$I$1025,MATCH($E80,学年度总表!$E$3:$E$1025,0)))</f>
        <v>4.7</v>
      </c>
      <c r="J80" s="3">
        <f>IF(INDEX(学年度总表!$J$3:$J$1025,MATCH($E80,学年度总表!$E$3:$E$1025,0))="","",INDEX(学年度总表!$J$3:$J$1025,MATCH($E80,学年度总表!$E$3:$E$1025,0)))</f>
        <v>74.59</v>
      </c>
      <c r="K80" s="3">
        <f>IF(INDEX(学年度总表!$K$3:$K$1025,MATCH($E80,学年度总表!$E$3:$E$1025,0))="","",INDEX(学年度总表!$K$3:$K$1025,MATCH($E80,学年度总表!$E$3:$E$1025,0)))</f>
        <v>9.6</v>
      </c>
      <c r="L80" s="3">
        <f>IF(INDEX(学年度总表!$L$3:$L$1025,MATCH($E80,学年度总表!$E$3:$E$1025,0))="","",INDEX(学年度总表!$L$3:$L$1025,MATCH($E80,学年度总表!$E$3:$E$1025,0)))</f>
        <v>55.59</v>
      </c>
      <c r="M80" s="3">
        <f>IF(INDEX(学年度总表!$M$3:$M$1025,MATCH($E80,学年度总表!$E$3:$E$1025,0))="","",INDEX(学年度总表!$M$3:$M$1025,MATCH($E80,学年度总表!$E$3:$E$1025,0)))</f>
        <v>5.2</v>
      </c>
      <c r="N80" s="3">
        <f>IF(INDEX(学年度总表!$N$3:$N$1025,MATCH($E80,学年度总表!$E$3:$E$1025,0))="","",INDEX(学年度总表!$N$3:$N$1025,MATCH($E80,学年度总表!$E$3:$E$1025,0)))</f>
        <v>70.39</v>
      </c>
      <c r="O80" s="3">
        <f>IF(INDEX(学年度总表!$O$3:$O$1025,MATCH($E80,学年度总表!$E$3:$E$1025,0))="","",INDEX(学年度总表!$O$3:$O$1025,MATCH($E80,学年度总表!$E$3:$E$1025,0)))</f>
        <v>144.97999999999999</v>
      </c>
      <c r="P80" s="2" t="str">
        <f>IF(INDEX(学年度总表!$P$3:$P$1025,MATCH($E80,学年度总表!$E$3:$E$1025,0))="","",INDEX(学年度总表!$P$3:$P$1025,MATCH($E80,学年度总表!$E$3:$E$1025,0)))</f>
        <v/>
      </c>
      <c r="Q80" s="5" t="str">
        <f>IF(INDEX(学年度总表!$Q$3:$Q$1025,MATCH($E80,学年度总表!$E$3:$E$1025,0))="","",INDEX(学年度总表!$Q$3:$Q$1025,MATCH($E80,学年度总表!$E$3:$E$1025,0)))</f>
        <v/>
      </c>
    </row>
    <row r="81" spans="1:17">
      <c r="A81" s="2">
        <f>IF(INDEX(学年度总表!$A$3:$A$1025,MATCH($E81,学年度总表!$E$3:$E$1025,0))="","",INDEX(学年度总表!$A$3:$A$1025,MATCH($E81,学年度总表!$E$3:$E$1025,0)))</f>
        <v>357</v>
      </c>
      <c r="B81" s="2">
        <f>IF(INDEX(学年度总表!$B$3:$B$1025,MATCH($E81,学年度总表!$E$3:$E$1025,0))="","",INDEX(学年度总表!$B$3:$B$1025,MATCH($E81,学年度总表!$E$3:$E$1025,0)))</f>
        <v>79</v>
      </c>
      <c r="C81" s="2" t="str">
        <f>IF(INDEX(学年度总表!$C$3:$C$1025,MATCH($E81,学年度总表!$E$3:$E$1025,0))="","",INDEX(学年度总表!$C$3:$C$1025,MATCH($E81,学年度总表!$E$3:$E$1025,0)))</f>
        <v>计科</v>
      </c>
      <c r="D81" s="2" t="str">
        <f>IF(INDEX(学年度总表!$D$3:$D$1025,MATCH($E81,学年度总表!$E$3:$E$1025,0))="","",INDEX(学年度总表!$D$3:$D$1025,MATCH($E81,学年度总表!$E$3:$E$1025,0)))</f>
        <v>计科三班</v>
      </c>
      <c r="E81" s="2" t="s">
        <v>775</v>
      </c>
      <c r="F81" s="2" t="str">
        <f>IF(INDEX(学年度总表!$F$3:$F$1025,MATCH($E81,学年度总表!$E$3:$E$1025,0))="","",INDEX(学年度总表!$F$3:$F$1025,MATCH($E81,学年度总表!$E$3:$E$1025,0)))</f>
        <v>翁剑麟</v>
      </c>
      <c r="G81" s="3">
        <f>IF(INDEX(学年度总表!$G$3:$G$1025,MATCH($E81,学年度总表!$E$3:$E$1025,0))="","",INDEX(学年度总表!$G$3:$G$1025,MATCH($E81,学年度总表!$E$3:$E$1025,0)))</f>
        <v>10</v>
      </c>
      <c r="H81" s="3">
        <f>IF(INDEX(学年度总表!$H$3:$H$1025,MATCH($E81,学年度总表!$E$3:$E$1025,0))="","",INDEX(学年度总表!$H$3:$H$1025,MATCH($E81,学年度总表!$E$3:$E$1025,0)))</f>
        <v>58.097560975609802</v>
      </c>
      <c r="I81" s="3">
        <f>IF(INDEX(学年度总表!$I$3:$I$1025,MATCH($E81,学年度总表!$E$3:$E$1025,0))="","",INDEX(学年度总表!$I$3:$I$1025,MATCH($E81,学年度总表!$E$3:$E$1025,0)))</f>
        <v>4</v>
      </c>
      <c r="J81" s="3">
        <f>IF(INDEX(学年度总表!$J$3:$J$1025,MATCH($E81,学年度总表!$E$3:$E$1025,0))="","",INDEX(学年度总表!$J$3:$J$1025,MATCH($E81,学年度总表!$E$3:$E$1025,0)))</f>
        <v>72.099999999999994</v>
      </c>
      <c r="K81" s="3">
        <f>IF(INDEX(学年度总表!$K$3:$K$1025,MATCH($E81,学年度总表!$E$3:$E$1025,0))="","",INDEX(学年度总表!$K$3:$K$1025,MATCH($E81,学年度总表!$E$3:$E$1025,0)))</f>
        <v>11</v>
      </c>
      <c r="L81" s="3">
        <f>IF(INDEX(学年度总表!$L$3:$L$1025,MATCH($E81,学年度总表!$E$3:$E$1025,0))="","",INDEX(学年度总表!$L$3:$L$1025,MATCH($E81,学年度总表!$E$3:$E$1025,0)))</f>
        <v>58.86</v>
      </c>
      <c r="M81" s="3">
        <f>IF(INDEX(学年度总表!$M$3:$M$1025,MATCH($E81,学年度总表!$E$3:$E$1025,0))="","",INDEX(学年度总表!$M$3:$M$1025,MATCH($E81,学年度总表!$E$3:$E$1025,0)))</f>
        <v>3</v>
      </c>
      <c r="N81" s="3">
        <f>IF(INDEX(学年度总表!$N$3:$N$1025,MATCH($E81,学年度总表!$E$3:$E$1025,0))="","",INDEX(学年度总表!$N$3:$N$1025,MATCH($E81,学年度总表!$E$3:$E$1025,0)))</f>
        <v>72.86</v>
      </c>
      <c r="O81" s="3">
        <f>IF(INDEX(学年度总表!$O$3:$O$1025,MATCH($E81,学年度总表!$E$3:$E$1025,0))="","",INDEX(学年度总表!$O$3:$O$1025,MATCH($E81,学年度总表!$E$3:$E$1025,0)))</f>
        <v>144.96</v>
      </c>
      <c r="P81" s="2" t="str">
        <f>IF(INDEX(学年度总表!$P$3:$P$1025,MATCH($E81,学年度总表!$E$3:$E$1025,0))="","",INDEX(学年度总表!$P$3:$P$1025,MATCH($E81,学年度总表!$E$3:$E$1025,0)))</f>
        <v/>
      </c>
      <c r="Q81" s="5" t="str">
        <f>IF(INDEX(学年度总表!$Q$3:$Q$1025,MATCH($E81,学年度总表!$E$3:$E$1025,0))="","",INDEX(学年度总表!$Q$3:$Q$1025,MATCH($E81,学年度总表!$E$3:$E$1025,0)))</f>
        <v/>
      </c>
    </row>
    <row r="82" spans="1:17">
      <c r="A82" s="2">
        <f>IF(INDEX(学年度总表!$A$3:$A$1025,MATCH($E82,学年度总表!$E$3:$E$1025,0))="","",INDEX(学年度总表!$A$3:$A$1025,MATCH($E82,学年度总表!$E$3:$E$1025,0)))</f>
        <v>359</v>
      </c>
      <c r="B82" s="2">
        <f>IF(INDEX(学年度总表!$B$3:$B$1025,MATCH($E82,学年度总表!$E$3:$E$1025,0))="","",INDEX(学年度总表!$B$3:$B$1025,MATCH($E82,学年度总表!$E$3:$E$1025,0)))</f>
        <v>80</v>
      </c>
      <c r="C82" s="2" t="str">
        <f>IF(INDEX(学年度总表!$C$3:$C$1025,MATCH($E82,学年度总表!$E$3:$E$1025,0))="","",INDEX(学年度总表!$C$3:$C$1025,MATCH($E82,学年度总表!$E$3:$E$1025,0)))</f>
        <v>计科</v>
      </c>
      <c r="D82" s="2" t="str">
        <f>IF(INDEX(学年度总表!$D$3:$D$1025,MATCH($E82,学年度总表!$E$3:$E$1025,0))="","",INDEX(学年度总表!$D$3:$D$1025,MATCH($E82,学年度总表!$E$3:$E$1025,0)))</f>
        <v>计科二班</v>
      </c>
      <c r="E82" s="2" t="s">
        <v>779</v>
      </c>
      <c r="F82" s="2" t="str">
        <f>IF(INDEX(学年度总表!$F$3:$F$1025,MATCH($E82,学年度总表!$E$3:$E$1025,0))="","",INDEX(学年度总表!$F$3:$F$1025,MATCH($E82,学年度总表!$E$3:$E$1025,0)))</f>
        <v>王彬颖</v>
      </c>
      <c r="G82" s="3">
        <f>IF(INDEX(学年度总表!$G$3:$G$1025,MATCH($E82,学年度总表!$E$3:$E$1025,0))="","",INDEX(学年度总表!$G$3:$G$1025,MATCH($E82,学年度总表!$E$3:$E$1025,0)))</f>
        <v>9.8000000000000007</v>
      </c>
      <c r="H82" s="3">
        <f>IF(INDEX(学年度总表!$H$3:$H$1025,MATCH($E82,学年度总表!$E$3:$E$1025,0))="","",INDEX(学年度总表!$H$3:$H$1025,MATCH($E82,学年度总表!$E$3:$E$1025,0)))</f>
        <v>59.414634146341498</v>
      </c>
      <c r="I82" s="3">
        <f>IF(INDEX(学年度总表!$I$3:$I$1025,MATCH($E82,学年度总表!$E$3:$E$1025,0))="","",INDEX(学年度总表!$I$3:$I$1025,MATCH($E82,学年度总表!$E$3:$E$1025,0)))</f>
        <v>4.5999999999999996</v>
      </c>
      <c r="J82" s="3">
        <f>IF(INDEX(学年度总表!$J$3:$J$1025,MATCH($E82,学年度总表!$E$3:$E$1025,0))="","",INDEX(学年度总表!$J$3:$J$1025,MATCH($E82,学年度总表!$E$3:$E$1025,0)))</f>
        <v>73.81</v>
      </c>
      <c r="K82" s="3">
        <f>IF(INDEX(学年度总表!$K$3:$K$1025,MATCH($E82,学年度总表!$E$3:$E$1025,0))="","",INDEX(学年度总表!$K$3:$K$1025,MATCH($E82,学年度总表!$E$3:$E$1025,0)))</f>
        <v>9.8000000000000007</v>
      </c>
      <c r="L82" s="3">
        <f>IF(INDEX(学年度总表!$L$3:$L$1025,MATCH($E82,学年度总表!$E$3:$E$1025,0))="","",INDEX(学年度总表!$L$3:$L$1025,MATCH($E82,学年度总表!$E$3:$E$1025,0)))</f>
        <v>56.82</v>
      </c>
      <c r="M82" s="3">
        <f>IF(INDEX(学年度总表!$M$3:$M$1025,MATCH($E82,学年度总表!$E$3:$E$1025,0))="","",INDEX(学年度总表!$M$3:$M$1025,MATCH($E82,学年度总表!$E$3:$E$1025,0)))</f>
        <v>4.4000000000000004</v>
      </c>
      <c r="N82" s="3">
        <f>IF(INDEX(学年度总表!$N$3:$N$1025,MATCH($E82,学年度总表!$E$3:$E$1025,0))="","",INDEX(学年度总表!$N$3:$N$1025,MATCH($E82,学年度总表!$E$3:$E$1025,0)))</f>
        <v>71.02</v>
      </c>
      <c r="O82" s="3">
        <f>IF(INDEX(学年度总表!$O$3:$O$1025,MATCH($E82,学年度总表!$E$3:$E$1025,0))="","",INDEX(学年度总表!$O$3:$O$1025,MATCH($E82,学年度总表!$E$3:$E$1025,0)))</f>
        <v>144.83000000000001</v>
      </c>
      <c r="P82" s="2" t="str">
        <f>IF(INDEX(学年度总表!$P$3:$P$1025,MATCH($E82,学年度总表!$E$3:$E$1025,0))="","",INDEX(学年度总表!$P$3:$P$1025,MATCH($E82,学年度总表!$E$3:$E$1025,0)))</f>
        <v/>
      </c>
      <c r="Q82" s="5" t="str">
        <f>IF(INDEX(学年度总表!$Q$3:$Q$1025,MATCH($E82,学年度总表!$E$3:$E$1025,0))="","",INDEX(学年度总表!$Q$3:$Q$1025,MATCH($E82,学年度总表!$E$3:$E$1025,0)))</f>
        <v/>
      </c>
    </row>
    <row r="83" spans="1:17">
      <c r="A83" s="2">
        <f>IF(INDEX(学年度总表!$A$3:$A$1025,MATCH($E83,学年度总表!$E$3:$E$1025,0))="","",INDEX(学年度总表!$A$3:$A$1025,MATCH($E83,学年度总表!$E$3:$E$1025,0)))</f>
        <v>369</v>
      </c>
      <c r="B83" s="2">
        <f>IF(INDEX(学年度总表!$B$3:$B$1025,MATCH($E83,学年度总表!$E$3:$E$1025,0))="","",INDEX(学年度总表!$B$3:$B$1025,MATCH($E83,学年度总表!$E$3:$E$1025,0)))</f>
        <v>81</v>
      </c>
      <c r="C83" s="2" t="str">
        <f>IF(INDEX(学年度总表!$C$3:$C$1025,MATCH($E83,学年度总表!$E$3:$E$1025,0))="","",INDEX(学年度总表!$C$3:$C$1025,MATCH($E83,学年度总表!$E$3:$E$1025,0)))</f>
        <v>计科</v>
      </c>
      <c r="D83" s="2" t="str">
        <f>IF(INDEX(学年度总表!$D$3:$D$1025,MATCH($E83,学年度总表!$E$3:$E$1025,0))="","",INDEX(学年度总表!$D$3:$D$1025,MATCH($E83,学年度总表!$E$3:$E$1025,0)))</f>
        <v>计科四班</v>
      </c>
      <c r="E83" s="2" t="s">
        <v>800</v>
      </c>
      <c r="F83" s="2" t="str">
        <f>IF(INDEX(学年度总表!$F$3:$F$1025,MATCH($E83,学年度总表!$E$3:$E$1025,0))="","",INDEX(学年度总表!$F$3:$F$1025,MATCH($E83,学年度总表!$E$3:$E$1025,0)))</f>
        <v>郑希悦</v>
      </c>
      <c r="G83" s="3">
        <f>IF(INDEX(学年度总表!$G$3:$G$1025,MATCH($E83,学年度总表!$E$3:$E$1025,0))="","",INDEX(学年度总表!$G$3:$G$1025,MATCH($E83,学年度总表!$E$3:$E$1025,0)))</f>
        <v>9.8000000000000007</v>
      </c>
      <c r="H83" s="3">
        <f>IF(INDEX(学年度总表!$H$3:$H$1025,MATCH($E83,学年度总表!$E$3:$E$1025,0))="","",INDEX(学年度总表!$H$3:$H$1025,MATCH($E83,学年度总表!$E$3:$E$1025,0)))</f>
        <v>57.036585365853597</v>
      </c>
      <c r="I83" s="3">
        <f>IF(INDEX(学年度总表!$I$3:$I$1025,MATCH($E83,学年度总表!$E$3:$E$1025,0))="","",INDEX(学年度总表!$I$3:$I$1025,MATCH($E83,学年度总表!$E$3:$E$1025,0)))</f>
        <v>4</v>
      </c>
      <c r="J83" s="3">
        <f>IF(INDEX(学年度总表!$J$3:$J$1025,MATCH($E83,学年度总表!$E$3:$E$1025,0))="","",INDEX(学年度总表!$J$3:$J$1025,MATCH($E83,学年度总表!$E$3:$E$1025,0)))</f>
        <v>70.84</v>
      </c>
      <c r="K83" s="3">
        <f>IF(INDEX(学年度总表!$K$3:$K$1025,MATCH($E83,学年度总表!$E$3:$E$1025,0))="","",INDEX(学年度总表!$K$3:$K$1025,MATCH($E83,学年度总表!$E$3:$E$1025,0)))</f>
        <v>9.8000000000000007</v>
      </c>
      <c r="L83" s="3">
        <f>IF(INDEX(学年度总表!$L$3:$L$1025,MATCH($E83,学年度总表!$E$3:$E$1025,0))="","",INDEX(学年度总表!$L$3:$L$1025,MATCH($E83,学年度总表!$E$3:$E$1025,0)))</f>
        <v>59.44</v>
      </c>
      <c r="M83" s="3">
        <f>IF(INDEX(学年度总表!$M$3:$M$1025,MATCH($E83,学年度总表!$E$3:$E$1025,0))="","",INDEX(学年度总表!$M$3:$M$1025,MATCH($E83,学年度总表!$E$3:$E$1025,0)))</f>
        <v>4.5</v>
      </c>
      <c r="N83" s="3">
        <f>IF(INDEX(学年度总表!$N$3:$N$1025,MATCH($E83,学年度总表!$E$3:$E$1025,0))="","",INDEX(学年度总表!$N$3:$N$1025,MATCH($E83,学年度总表!$E$3:$E$1025,0)))</f>
        <v>73.739999999999995</v>
      </c>
      <c r="O83" s="3">
        <f>IF(INDEX(学年度总表!$O$3:$O$1025,MATCH($E83,学年度总表!$E$3:$E$1025,0))="","",INDEX(学年度总表!$O$3:$O$1025,MATCH($E83,学年度总表!$E$3:$E$1025,0)))</f>
        <v>144.58000000000001</v>
      </c>
      <c r="P83" s="2" t="str">
        <f>IF(INDEX(学年度总表!$P$3:$P$1025,MATCH($E83,学年度总表!$E$3:$E$1025,0))="","",INDEX(学年度总表!$P$3:$P$1025,MATCH($E83,学年度总表!$E$3:$E$1025,0)))</f>
        <v/>
      </c>
      <c r="Q83" s="5" t="str">
        <f>IF(INDEX(学年度总表!$Q$3:$Q$1025,MATCH($E83,学年度总表!$E$3:$E$1025,0))="","",INDEX(学年度总表!$Q$3:$Q$1025,MATCH($E83,学年度总表!$E$3:$E$1025,0)))</f>
        <v/>
      </c>
    </row>
    <row r="84" spans="1:17">
      <c r="A84" s="2">
        <f>IF(INDEX(学年度总表!$A$3:$A$1025,MATCH($E84,学年度总表!$E$3:$E$1025,0))="","",INDEX(学年度总表!$A$3:$A$1025,MATCH($E84,学年度总表!$E$3:$E$1025,0)))</f>
        <v>370</v>
      </c>
      <c r="B84" s="2">
        <f>IF(INDEX(学年度总表!$B$3:$B$1025,MATCH($E84,学年度总表!$E$3:$E$1025,0))="","",INDEX(学年度总表!$B$3:$B$1025,MATCH($E84,学年度总表!$E$3:$E$1025,0)))</f>
        <v>82</v>
      </c>
      <c r="C84" s="2" t="str">
        <f>IF(INDEX(学年度总表!$C$3:$C$1025,MATCH($E84,学年度总表!$E$3:$E$1025,0))="","",INDEX(学年度总表!$C$3:$C$1025,MATCH($E84,学年度总表!$E$3:$E$1025,0)))</f>
        <v>计科</v>
      </c>
      <c r="D84" s="2" t="str">
        <f>IF(INDEX(学年度总表!$D$3:$D$1025,MATCH($E84,学年度总表!$E$3:$E$1025,0))="","",INDEX(学年度总表!$D$3:$D$1025,MATCH($E84,学年度总表!$E$3:$E$1025,0)))</f>
        <v>计科二班</v>
      </c>
      <c r="E84" s="2" t="s">
        <v>802</v>
      </c>
      <c r="F84" s="2" t="str">
        <f>IF(INDEX(学年度总表!$F$3:$F$1025,MATCH($E84,学年度总表!$E$3:$E$1025,0))="","",INDEX(学年度总表!$F$3:$F$1025,MATCH($E84,学年度总表!$E$3:$E$1025,0)))</f>
        <v>邵婷</v>
      </c>
      <c r="G84" s="3">
        <f>IF(INDEX(学年度总表!$G$3:$G$1025,MATCH($E84,学年度总表!$E$3:$E$1025,0))="","",INDEX(学年度总表!$G$3:$G$1025,MATCH($E84,学年度总表!$E$3:$E$1025,0)))</f>
        <v>9.8000000000000007</v>
      </c>
      <c r="H84" s="3">
        <f>IF(INDEX(学年度总表!$H$3:$H$1025,MATCH($E84,学年度总表!$E$3:$E$1025,0))="","",INDEX(学年度总表!$H$3:$H$1025,MATCH($E84,学年度总表!$E$3:$E$1025,0)))</f>
        <v>60.342857142857099</v>
      </c>
      <c r="I84" s="3">
        <f>IF(INDEX(学年度总表!$I$3:$I$1025,MATCH($E84,学年度总表!$E$3:$E$1025,0))="","",INDEX(学年度总表!$I$3:$I$1025,MATCH($E84,学年度总表!$E$3:$E$1025,0)))</f>
        <v>3</v>
      </c>
      <c r="J84" s="3">
        <f>IF(INDEX(学年度总表!$J$3:$J$1025,MATCH($E84,学年度总表!$E$3:$E$1025,0))="","",INDEX(学年度总表!$J$3:$J$1025,MATCH($E84,学年度总表!$E$3:$E$1025,0)))</f>
        <v>73.14</v>
      </c>
      <c r="K84" s="3">
        <f>IF(INDEX(学年度总表!$K$3:$K$1025,MATCH($E84,学年度总表!$E$3:$E$1025,0))="","",INDEX(学年度总表!$K$3:$K$1025,MATCH($E84,学年度总表!$E$3:$E$1025,0)))</f>
        <v>9.8000000000000007</v>
      </c>
      <c r="L84" s="3">
        <f>IF(INDEX(学年度总表!$L$3:$L$1025,MATCH($E84,学年度总表!$E$3:$E$1025,0))="","",INDEX(学年度总表!$L$3:$L$1025,MATCH($E84,学年度总表!$E$3:$E$1025,0)))</f>
        <v>58.13</v>
      </c>
      <c r="M84" s="3">
        <f>IF(INDEX(学年度总表!$M$3:$M$1025,MATCH($E84,学年度总表!$E$3:$E$1025,0))="","",INDEX(学年度总表!$M$3:$M$1025,MATCH($E84,学年度总表!$E$3:$E$1025,0)))</f>
        <v>3.5</v>
      </c>
      <c r="N84" s="3">
        <f>IF(INDEX(学年度总表!$N$3:$N$1025,MATCH($E84,学年度总表!$E$3:$E$1025,0))="","",INDEX(学年度总表!$N$3:$N$1025,MATCH($E84,学年度总表!$E$3:$E$1025,0)))</f>
        <v>71.430000000000007</v>
      </c>
      <c r="O84" s="3">
        <f>IF(INDEX(学年度总表!$O$3:$O$1025,MATCH($E84,学年度总表!$E$3:$E$1025,0))="","",INDEX(学年度总表!$O$3:$O$1025,MATCH($E84,学年度总表!$E$3:$E$1025,0)))</f>
        <v>144.57</v>
      </c>
      <c r="P84" s="2" t="str">
        <f>IF(INDEX(学年度总表!$P$3:$P$1025,MATCH($E84,学年度总表!$E$3:$E$1025,0))="","",INDEX(学年度总表!$P$3:$P$1025,MATCH($E84,学年度总表!$E$3:$E$1025,0)))</f>
        <v/>
      </c>
      <c r="Q84" s="5" t="str">
        <f>IF(INDEX(学年度总表!$Q$3:$Q$1025,MATCH($E84,学年度总表!$E$3:$E$1025,0))="","",INDEX(学年度总表!$Q$3:$Q$1025,MATCH($E84,学年度总表!$E$3:$E$1025,0)))</f>
        <v/>
      </c>
    </row>
    <row r="85" spans="1:17">
      <c r="A85" s="2">
        <f>IF(INDEX(学年度总表!$A$3:$A$1025,MATCH($E85,学年度总表!$E$3:$E$1025,0))="","",INDEX(学年度总表!$A$3:$A$1025,MATCH($E85,学年度总表!$E$3:$E$1025,0)))</f>
        <v>376</v>
      </c>
      <c r="B85" s="2">
        <f>IF(INDEX(学年度总表!$B$3:$B$1025,MATCH($E85,学年度总表!$E$3:$E$1025,0))="","",INDEX(学年度总表!$B$3:$B$1025,MATCH($E85,学年度总表!$E$3:$E$1025,0)))</f>
        <v>83</v>
      </c>
      <c r="C85" s="2" t="str">
        <f>IF(INDEX(学年度总表!$C$3:$C$1025,MATCH($E85,学年度总表!$E$3:$E$1025,0))="","",INDEX(学年度总表!$C$3:$C$1025,MATCH($E85,学年度总表!$E$3:$E$1025,0)))</f>
        <v>计科</v>
      </c>
      <c r="D85" s="2" t="str">
        <f>IF(INDEX(学年度总表!$D$3:$D$1025,MATCH($E85,学年度总表!$E$3:$E$1025,0))="","",INDEX(学年度总表!$D$3:$D$1025,MATCH($E85,学年度总表!$E$3:$E$1025,0)))</f>
        <v>计科一班</v>
      </c>
      <c r="E85" s="2" t="s">
        <v>814</v>
      </c>
      <c r="F85" s="2" t="str">
        <f>IF(INDEX(学年度总表!$F$3:$F$1025,MATCH($E85,学年度总表!$E$3:$E$1025,0))="","",INDEX(学年度总表!$F$3:$F$1025,MATCH($E85,学年度总表!$E$3:$E$1025,0)))</f>
        <v>田雨鑫</v>
      </c>
      <c r="G85" s="3">
        <f>IF(INDEX(学年度总表!$G$3:$G$1025,MATCH($E85,学年度总表!$E$3:$E$1025,0))="","",INDEX(学年度总表!$G$3:$G$1025,MATCH($E85,学年度总表!$E$3:$E$1025,0)))</f>
        <v>10</v>
      </c>
      <c r="H85" s="3">
        <f>IF(INDEX(学年度总表!$H$3:$H$1025,MATCH($E85,学年度总表!$E$3:$E$1025,0))="","",INDEX(学年度总表!$H$3:$H$1025,MATCH($E85,学年度总表!$E$3:$E$1025,0)))</f>
        <v>60.292682926829301</v>
      </c>
      <c r="I85" s="3">
        <f>IF(INDEX(学年度总表!$I$3:$I$1025,MATCH($E85,学年度总表!$E$3:$E$1025,0))="","",INDEX(学年度总表!$I$3:$I$1025,MATCH($E85,学年度总表!$E$3:$E$1025,0)))</f>
        <v>3</v>
      </c>
      <c r="J85" s="3">
        <f>IF(INDEX(学年度总表!$J$3:$J$1025,MATCH($E85,学年度总表!$E$3:$E$1025,0))="","",INDEX(学年度总表!$J$3:$J$1025,MATCH($E85,学年度总表!$E$3:$E$1025,0)))</f>
        <v>73.290000000000006</v>
      </c>
      <c r="K85" s="3">
        <f>IF(INDEX(学年度总表!$K$3:$K$1025,MATCH($E85,学年度总表!$E$3:$E$1025,0))="","",INDEX(学年度总表!$K$3:$K$1025,MATCH($E85,学年度总表!$E$3:$E$1025,0)))</f>
        <v>10</v>
      </c>
      <c r="L85" s="3">
        <f>IF(INDEX(学年度总表!$L$3:$L$1025,MATCH($E85,学年度总表!$E$3:$E$1025,0))="","",INDEX(学年度总表!$L$3:$L$1025,MATCH($E85,学年度总表!$E$3:$E$1025,0)))</f>
        <v>58.05</v>
      </c>
      <c r="M85" s="3">
        <f>IF(INDEX(学年度总表!$M$3:$M$1025,MATCH($E85,学年度总表!$E$3:$E$1025,0))="","",INDEX(学年度总表!$M$3:$M$1025,MATCH($E85,学年度总表!$E$3:$E$1025,0)))</f>
        <v>3</v>
      </c>
      <c r="N85" s="3">
        <f>IF(INDEX(学年度总表!$N$3:$N$1025,MATCH($E85,学年度总表!$E$3:$E$1025,0))="","",INDEX(学年度总表!$N$3:$N$1025,MATCH($E85,学年度总表!$E$3:$E$1025,0)))</f>
        <v>71.05</v>
      </c>
      <c r="O85" s="3">
        <f>IF(INDEX(学年度总表!$O$3:$O$1025,MATCH($E85,学年度总表!$E$3:$E$1025,0))="","",INDEX(学年度总表!$O$3:$O$1025,MATCH($E85,学年度总表!$E$3:$E$1025,0)))</f>
        <v>144.34</v>
      </c>
      <c r="P85" s="2" t="str">
        <f>IF(INDEX(学年度总表!$P$3:$P$1025,MATCH($E85,学年度总表!$E$3:$E$1025,0))="","",INDEX(学年度总表!$P$3:$P$1025,MATCH($E85,学年度总表!$E$3:$E$1025,0)))</f>
        <v/>
      </c>
      <c r="Q85" s="5" t="str">
        <f>IF(INDEX(学年度总表!$Q$3:$Q$1025,MATCH($E85,学年度总表!$E$3:$E$1025,0))="","",INDEX(学年度总表!$Q$3:$Q$1025,MATCH($E85,学年度总表!$E$3:$E$1025,0)))</f>
        <v/>
      </c>
    </row>
    <row r="86" spans="1:17">
      <c r="A86" s="2">
        <f>IF(INDEX(学年度总表!$A$3:$A$1025,MATCH($E86,学年度总表!$E$3:$E$1025,0))="","",INDEX(学年度总表!$A$3:$A$1025,MATCH($E86,学年度总表!$E$3:$E$1025,0)))</f>
        <v>379</v>
      </c>
      <c r="B86" s="2">
        <f>IF(INDEX(学年度总表!$B$3:$B$1025,MATCH($E86,学年度总表!$E$3:$E$1025,0))="","",INDEX(学年度总表!$B$3:$B$1025,MATCH($E86,学年度总表!$E$3:$E$1025,0)))</f>
        <v>84</v>
      </c>
      <c r="C86" s="2" t="str">
        <f>IF(INDEX(学年度总表!$C$3:$C$1025,MATCH($E86,学年度总表!$E$3:$E$1025,0))="","",INDEX(学年度总表!$C$3:$C$1025,MATCH($E86,学年度总表!$E$3:$E$1025,0)))</f>
        <v>计科</v>
      </c>
      <c r="D86" s="2" t="str">
        <f>IF(INDEX(学年度总表!$D$3:$D$1025,MATCH($E86,学年度总表!$E$3:$E$1025,0))="","",INDEX(学年度总表!$D$3:$D$1025,MATCH($E86,学年度总表!$E$3:$E$1025,0)))</f>
        <v>计科四班</v>
      </c>
      <c r="E86" s="2" t="s">
        <v>820</v>
      </c>
      <c r="F86" s="2" t="str">
        <f>IF(INDEX(学年度总表!$F$3:$F$1025,MATCH($E86,学年度总表!$E$3:$E$1025,0))="","",INDEX(学年度总表!$F$3:$F$1025,MATCH($E86,学年度总表!$E$3:$E$1025,0)))</f>
        <v>孟禹臣</v>
      </c>
      <c r="G86" s="3">
        <f>IF(INDEX(学年度总表!$G$3:$G$1025,MATCH($E86,学年度总表!$E$3:$E$1025,0))="","",INDEX(学年度总表!$G$3:$G$1025,MATCH($E86,学年度总表!$E$3:$E$1025,0)))</f>
        <v>9.8000000000000007</v>
      </c>
      <c r="H86" s="3">
        <f>IF(INDEX(学年度总表!$H$3:$H$1025,MATCH($E86,学年度总表!$E$3:$E$1025,0))="","",INDEX(学年度总表!$H$3:$H$1025,MATCH($E86,学年度总表!$E$3:$E$1025,0)))</f>
        <v>54.987804878048799</v>
      </c>
      <c r="I86" s="3">
        <f>IF(INDEX(学年度总表!$I$3:$I$1025,MATCH($E86,学年度总表!$E$3:$E$1025,0))="","",INDEX(学年度总表!$I$3:$I$1025,MATCH($E86,学年度总表!$E$3:$E$1025,0)))</f>
        <v>5.0999999999999996</v>
      </c>
      <c r="J86" s="3">
        <f>IF(INDEX(学年度总表!$J$3:$J$1025,MATCH($E86,学年度总表!$E$3:$E$1025,0))="","",INDEX(学年度总表!$J$3:$J$1025,MATCH($E86,学年度总表!$E$3:$E$1025,0)))</f>
        <v>69.89</v>
      </c>
      <c r="K86" s="3">
        <f>IF(INDEX(学年度总表!$K$3:$K$1025,MATCH($E86,学年度总表!$E$3:$E$1025,0))="","",INDEX(学年度总表!$K$3:$K$1025,MATCH($E86,学年度总表!$E$3:$E$1025,0)))</f>
        <v>9.8000000000000007</v>
      </c>
      <c r="L86" s="3">
        <f>IF(INDEX(学年度总表!$L$3:$L$1025,MATCH($E86,学年度总表!$E$3:$E$1025,0))="","",INDEX(学年度总表!$L$3:$L$1025,MATCH($E86,学年度总表!$E$3:$E$1025,0)))</f>
        <v>59.34</v>
      </c>
      <c r="M86" s="3">
        <f>IF(INDEX(学年度总表!$M$3:$M$1025,MATCH($E86,学年度总表!$E$3:$E$1025,0))="","",INDEX(学年度总表!$M$3:$M$1025,MATCH($E86,学年度总表!$E$3:$E$1025,0)))</f>
        <v>5.2</v>
      </c>
      <c r="N86" s="3">
        <f>IF(INDEX(学年度总表!$N$3:$N$1025,MATCH($E86,学年度总表!$E$3:$E$1025,0))="","",INDEX(学年度总表!$N$3:$N$1025,MATCH($E86,学年度总表!$E$3:$E$1025,0)))</f>
        <v>74.34</v>
      </c>
      <c r="O86" s="3">
        <f>IF(INDEX(学年度总表!$O$3:$O$1025,MATCH($E86,学年度总表!$E$3:$E$1025,0))="","",INDEX(学年度总表!$O$3:$O$1025,MATCH($E86,学年度总表!$E$3:$E$1025,0)))</f>
        <v>144.22999999999999</v>
      </c>
      <c r="P86" s="2" t="str">
        <f>IF(INDEX(学年度总表!$P$3:$P$1025,MATCH($E86,学年度总表!$E$3:$E$1025,0))="","",INDEX(学年度总表!$P$3:$P$1025,MATCH($E86,学年度总表!$E$3:$E$1025,0)))</f>
        <v/>
      </c>
      <c r="Q86" s="5" t="str">
        <f>IF(INDEX(学年度总表!$Q$3:$Q$1025,MATCH($E86,学年度总表!$E$3:$E$1025,0))="","",INDEX(学年度总表!$Q$3:$Q$1025,MATCH($E86,学年度总表!$E$3:$E$1025,0)))</f>
        <v/>
      </c>
    </row>
    <row r="87" spans="1:17">
      <c r="A87" s="2">
        <f>IF(INDEX(学年度总表!$A$3:$A$1025,MATCH($E87,学年度总表!$E$3:$E$1025,0))="","",INDEX(学年度总表!$A$3:$A$1025,MATCH($E87,学年度总表!$E$3:$E$1025,0)))</f>
        <v>380</v>
      </c>
      <c r="B87" s="2">
        <f>IF(INDEX(学年度总表!$B$3:$B$1025,MATCH($E87,学年度总表!$E$3:$E$1025,0))="","",INDEX(学年度总表!$B$3:$B$1025,MATCH($E87,学年度总表!$E$3:$E$1025,0)))</f>
        <v>85</v>
      </c>
      <c r="C87" s="2" t="str">
        <f>IF(INDEX(学年度总表!$C$3:$C$1025,MATCH($E87,学年度总表!$E$3:$E$1025,0))="","",INDEX(学年度总表!$C$3:$C$1025,MATCH($E87,学年度总表!$E$3:$E$1025,0)))</f>
        <v>计科</v>
      </c>
      <c r="D87" s="2" t="str">
        <f>IF(INDEX(学年度总表!$D$3:$D$1025,MATCH($E87,学年度总表!$E$3:$E$1025,0))="","",INDEX(学年度总表!$D$3:$D$1025,MATCH($E87,学年度总表!$E$3:$E$1025,0)))</f>
        <v>计科一班</v>
      </c>
      <c r="E87" s="2" t="s">
        <v>822</v>
      </c>
      <c r="F87" s="2" t="str">
        <f>IF(INDEX(学年度总表!$F$3:$F$1025,MATCH($E87,学年度总表!$E$3:$E$1025,0))="","",INDEX(学年度总表!$F$3:$F$1025,MATCH($E87,学年度总表!$E$3:$E$1025,0)))</f>
        <v>李晓萌</v>
      </c>
      <c r="G87" s="3">
        <f>IF(INDEX(学年度总表!$G$3:$G$1025,MATCH($E87,学年度总表!$E$3:$E$1025,0))="","",INDEX(学年度总表!$G$3:$G$1025,MATCH($E87,学年度总表!$E$3:$E$1025,0)))</f>
        <v>9.8000000000000007</v>
      </c>
      <c r="H87" s="3">
        <f>IF(INDEX(学年度总表!$H$3:$H$1025,MATCH($E87,学年度总表!$E$3:$E$1025,0))="","",INDEX(学年度总表!$H$3:$H$1025,MATCH($E87,学年度总表!$E$3:$E$1025,0)))</f>
        <v>61.402439024390198</v>
      </c>
      <c r="I87" s="3">
        <f>IF(INDEX(学年度总表!$I$3:$I$1025,MATCH($E87,学年度总表!$E$3:$E$1025,0))="","",INDEX(学年度总表!$I$3:$I$1025,MATCH($E87,学年度总表!$E$3:$E$1025,0)))</f>
        <v>3</v>
      </c>
      <c r="J87" s="3">
        <f>IF(INDEX(学年度总表!$J$3:$J$1025,MATCH($E87,学年度总表!$E$3:$E$1025,0))="","",INDEX(学年度总表!$J$3:$J$1025,MATCH($E87,学年度总表!$E$3:$E$1025,0)))</f>
        <v>74.2</v>
      </c>
      <c r="K87" s="3">
        <f>IF(INDEX(学年度总表!$K$3:$K$1025,MATCH($E87,学年度总表!$E$3:$E$1025,0))="","",INDEX(学年度总表!$K$3:$K$1025,MATCH($E87,学年度总表!$E$3:$E$1025,0)))</f>
        <v>9</v>
      </c>
      <c r="L87" s="3">
        <f>IF(INDEX(学年度总表!$L$3:$L$1025,MATCH($E87,学年度总表!$E$3:$E$1025,0))="","",INDEX(学年度总表!$L$3:$L$1025,MATCH($E87,学年度总表!$E$3:$E$1025,0)))</f>
        <v>57.48</v>
      </c>
      <c r="M87" s="3">
        <f>IF(INDEX(学年度总表!$M$3:$M$1025,MATCH($E87,学年度总表!$E$3:$E$1025,0))="","",INDEX(学年度总表!$M$3:$M$1025,MATCH($E87,学年度总表!$E$3:$E$1025,0)))</f>
        <v>3.5</v>
      </c>
      <c r="N87" s="3">
        <f>IF(INDEX(学年度总表!$N$3:$N$1025,MATCH($E87,学年度总表!$E$3:$E$1025,0))="","",INDEX(学年度总表!$N$3:$N$1025,MATCH($E87,学年度总表!$E$3:$E$1025,0)))</f>
        <v>69.98</v>
      </c>
      <c r="O87" s="3">
        <f>IF(INDEX(学年度总表!$O$3:$O$1025,MATCH($E87,学年度总表!$E$3:$E$1025,0))="","",INDEX(学年度总表!$O$3:$O$1025,MATCH($E87,学年度总表!$E$3:$E$1025,0)))</f>
        <v>144.18</v>
      </c>
      <c r="P87" s="2" t="str">
        <f>IF(INDEX(学年度总表!$P$3:$P$1025,MATCH($E87,学年度总表!$E$3:$E$1025,0))="","",INDEX(学年度总表!$P$3:$P$1025,MATCH($E87,学年度总表!$E$3:$E$1025,0)))</f>
        <v/>
      </c>
      <c r="Q87" s="5" t="str">
        <f>IF(INDEX(学年度总表!$Q$3:$Q$1025,MATCH($E87,学年度总表!$E$3:$E$1025,0))="","",INDEX(学年度总表!$Q$3:$Q$1025,MATCH($E87,学年度总表!$E$3:$E$1025,0)))</f>
        <v/>
      </c>
    </row>
    <row r="88" spans="1:17">
      <c r="A88" s="2">
        <f>IF(INDEX(学年度总表!$A$3:$A$1025,MATCH($E88,学年度总表!$E$3:$E$1025,0))="","",INDEX(学年度总表!$A$3:$A$1025,MATCH($E88,学年度总表!$E$3:$E$1025,0)))</f>
        <v>382</v>
      </c>
      <c r="B88" s="2">
        <f>IF(INDEX(学年度总表!$B$3:$B$1025,MATCH($E88,学年度总表!$E$3:$E$1025,0))="","",INDEX(学年度总表!$B$3:$B$1025,MATCH($E88,学年度总表!$E$3:$E$1025,0)))</f>
        <v>86</v>
      </c>
      <c r="C88" s="2" t="str">
        <f>IF(INDEX(学年度总表!$C$3:$C$1025,MATCH($E88,学年度总表!$E$3:$E$1025,0))="","",INDEX(学年度总表!$C$3:$C$1025,MATCH($E88,学年度总表!$E$3:$E$1025,0)))</f>
        <v>计科</v>
      </c>
      <c r="D88" s="2" t="str">
        <f>IF(INDEX(学年度总表!$D$3:$D$1025,MATCH($E88,学年度总表!$E$3:$E$1025,0))="","",INDEX(学年度总表!$D$3:$D$1025,MATCH($E88,学年度总表!$E$3:$E$1025,0)))</f>
        <v>计科一班</v>
      </c>
      <c r="E88" s="2" t="s">
        <v>826</v>
      </c>
      <c r="F88" s="2" t="str">
        <f>IF(INDEX(学年度总表!$F$3:$F$1025,MATCH($E88,学年度总表!$E$3:$E$1025,0))="","",INDEX(学年度总表!$F$3:$F$1025,MATCH($E88,学年度总表!$E$3:$E$1025,0)))</f>
        <v>鄂媛媛</v>
      </c>
      <c r="G88" s="3">
        <f>IF(INDEX(学年度总表!$G$3:$G$1025,MATCH($E88,学年度总表!$E$3:$E$1025,0))="","",INDEX(学年度总表!$G$3:$G$1025,MATCH($E88,学年度总表!$E$3:$E$1025,0)))</f>
        <v>10</v>
      </c>
      <c r="H88" s="3">
        <f>IF(INDEX(学年度总表!$H$3:$H$1025,MATCH($E88,学年度总表!$E$3:$E$1025,0))="","",INDEX(学年度总表!$H$3:$H$1025,MATCH($E88,学年度总表!$E$3:$E$1025,0)))</f>
        <v>58.036585365853597</v>
      </c>
      <c r="I88" s="3">
        <f>IF(INDEX(学年度总表!$I$3:$I$1025,MATCH($E88,学年度总表!$E$3:$E$1025,0))="","",INDEX(学年度总表!$I$3:$I$1025,MATCH($E88,学年度总表!$E$3:$E$1025,0)))</f>
        <v>3</v>
      </c>
      <c r="J88" s="3">
        <f>IF(INDEX(学年度总表!$J$3:$J$1025,MATCH($E88,学年度总表!$E$3:$E$1025,0))="","",INDEX(学年度总表!$J$3:$J$1025,MATCH($E88,学年度总表!$E$3:$E$1025,0)))</f>
        <v>71.040000000000006</v>
      </c>
      <c r="K88" s="3">
        <f>IF(INDEX(学年度总表!$K$3:$K$1025,MATCH($E88,学年度总表!$E$3:$E$1025,0))="","",INDEX(学年度总表!$K$3:$K$1025,MATCH($E88,学年度总表!$E$3:$E$1025,0)))</f>
        <v>10</v>
      </c>
      <c r="L88" s="3">
        <f>IF(INDEX(学年度总表!$L$3:$L$1025,MATCH($E88,学年度总表!$E$3:$E$1025,0))="","",INDEX(学年度总表!$L$3:$L$1025,MATCH($E88,学年度总表!$E$3:$E$1025,0)))</f>
        <v>59.53</v>
      </c>
      <c r="M88" s="3">
        <f>IF(INDEX(学年度总表!$M$3:$M$1025,MATCH($E88,学年度总表!$E$3:$E$1025,0))="","",INDEX(学年度总表!$M$3:$M$1025,MATCH($E88,学年度总表!$E$3:$E$1025,0)))</f>
        <v>3.5</v>
      </c>
      <c r="N88" s="3">
        <f>IF(INDEX(学年度总表!$N$3:$N$1025,MATCH($E88,学年度总表!$E$3:$E$1025,0))="","",INDEX(学年度总表!$N$3:$N$1025,MATCH($E88,学年度总表!$E$3:$E$1025,0)))</f>
        <v>73.03</v>
      </c>
      <c r="O88" s="3">
        <f>IF(INDEX(学年度总表!$O$3:$O$1025,MATCH($E88,学年度总表!$E$3:$E$1025,0))="","",INDEX(学年度总表!$O$3:$O$1025,MATCH($E88,学年度总表!$E$3:$E$1025,0)))</f>
        <v>144.07</v>
      </c>
      <c r="P88" s="2" t="str">
        <f>IF(INDEX(学年度总表!$P$3:$P$1025,MATCH($E88,学年度总表!$E$3:$E$1025,0))="","",INDEX(学年度总表!$P$3:$P$1025,MATCH($E88,学年度总表!$E$3:$E$1025,0)))</f>
        <v/>
      </c>
      <c r="Q88" s="5" t="str">
        <f>IF(INDEX(学年度总表!$Q$3:$Q$1025,MATCH($E88,学年度总表!$E$3:$E$1025,0))="","",INDEX(学年度总表!$Q$3:$Q$1025,MATCH($E88,学年度总表!$E$3:$E$1025,0)))</f>
        <v/>
      </c>
    </row>
    <row r="89" spans="1:17">
      <c r="A89" s="2">
        <f>IF(INDEX(学年度总表!$A$3:$A$1025,MATCH($E89,学年度总表!$E$3:$E$1025,0))="","",INDEX(学年度总表!$A$3:$A$1025,MATCH($E89,学年度总表!$E$3:$E$1025,0)))</f>
        <v>384</v>
      </c>
      <c r="B89" s="2">
        <f>IF(INDEX(学年度总表!$B$3:$B$1025,MATCH($E89,学年度总表!$E$3:$E$1025,0))="","",INDEX(学年度总表!$B$3:$B$1025,MATCH($E89,学年度总表!$E$3:$E$1025,0)))</f>
        <v>87</v>
      </c>
      <c r="C89" s="2" t="str">
        <f>IF(INDEX(学年度总表!$C$3:$C$1025,MATCH($E89,学年度总表!$E$3:$E$1025,0))="","",INDEX(学年度总表!$C$3:$C$1025,MATCH($E89,学年度总表!$E$3:$E$1025,0)))</f>
        <v>计科</v>
      </c>
      <c r="D89" s="2" t="str">
        <f>IF(INDEX(学年度总表!$D$3:$D$1025,MATCH($E89,学年度总表!$E$3:$E$1025,0))="","",INDEX(学年度总表!$D$3:$D$1025,MATCH($E89,学年度总表!$E$3:$E$1025,0)))</f>
        <v>计科二班</v>
      </c>
      <c r="E89" s="2" t="s">
        <v>830</v>
      </c>
      <c r="F89" s="2" t="str">
        <f>IF(INDEX(学年度总表!$F$3:$F$1025,MATCH($E89,学年度总表!$E$3:$E$1025,0))="","",INDEX(学年度总表!$F$3:$F$1025,MATCH($E89,学年度总表!$E$3:$E$1025,0)))</f>
        <v>郭子一</v>
      </c>
      <c r="G89" s="3">
        <f>IF(INDEX(学年度总表!$G$3:$G$1025,MATCH($E89,学年度总表!$E$3:$E$1025,0))="","",INDEX(学年度总表!$G$3:$G$1025,MATCH($E89,学年度总表!$E$3:$E$1025,0)))</f>
        <v>10</v>
      </c>
      <c r="H89" s="3">
        <f>IF(INDEX(学年度总表!$H$3:$H$1025,MATCH($E89,学年度总表!$E$3:$E$1025,0))="","",INDEX(学年度总表!$H$3:$H$1025,MATCH($E89,学年度总表!$E$3:$E$1025,0)))</f>
        <v>62.024390243902403</v>
      </c>
      <c r="I89" s="3">
        <f>IF(INDEX(学年度总表!$I$3:$I$1025,MATCH($E89,学年度总表!$E$3:$E$1025,0))="","",INDEX(学年度总表!$I$3:$I$1025,MATCH($E89,学年度总表!$E$3:$E$1025,0)))</f>
        <v>3</v>
      </c>
      <c r="J89" s="3">
        <f>IF(INDEX(学年度总表!$J$3:$J$1025,MATCH($E89,学年度总表!$E$3:$E$1025,0))="","",INDEX(学年度总表!$J$3:$J$1025,MATCH($E89,学年度总表!$E$3:$E$1025,0)))</f>
        <v>75.02</v>
      </c>
      <c r="K89" s="3">
        <f>IF(INDEX(学年度总表!$K$3:$K$1025,MATCH($E89,学年度总表!$E$3:$E$1025,0))="","",INDEX(学年度总表!$K$3:$K$1025,MATCH($E89,学年度总表!$E$3:$E$1025,0)))</f>
        <v>10</v>
      </c>
      <c r="L89" s="3">
        <f>IF(INDEX(学年度总表!$L$3:$L$1025,MATCH($E89,学年度总表!$E$3:$E$1025,0))="","",INDEX(学年度总表!$L$3:$L$1025,MATCH($E89,学年度总表!$E$3:$E$1025,0)))</f>
        <v>56.02</v>
      </c>
      <c r="M89" s="3">
        <f>IF(INDEX(学年度总表!$M$3:$M$1025,MATCH($E89,学年度总表!$E$3:$E$1025,0))="","",INDEX(学年度总表!$M$3:$M$1025,MATCH($E89,学年度总表!$E$3:$E$1025,0)))</f>
        <v>3</v>
      </c>
      <c r="N89" s="3">
        <f>IF(INDEX(学年度总表!$N$3:$N$1025,MATCH($E89,学年度总表!$E$3:$E$1025,0))="","",INDEX(学年度总表!$N$3:$N$1025,MATCH($E89,学年度总表!$E$3:$E$1025,0)))</f>
        <v>69.02</v>
      </c>
      <c r="O89" s="3">
        <f>IF(INDEX(学年度总表!$O$3:$O$1025,MATCH($E89,学年度总表!$E$3:$E$1025,0))="","",INDEX(学年度总表!$O$3:$O$1025,MATCH($E89,学年度总表!$E$3:$E$1025,0)))</f>
        <v>144.04</v>
      </c>
      <c r="P89" s="2" t="str">
        <f>IF(INDEX(学年度总表!$P$3:$P$1025,MATCH($E89,学年度总表!$E$3:$E$1025,0))="","",INDEX(学年度总表!$P$3:$P$1025,MATCH($E89,学年度总表!$E$3:$E$1025,0)))</f>
        <v/>
      </c>
      <c r="Q89" s="5" t="str">
        <f>IF(INDEX(学年度总表!$Q$3:$Q$1025,MATCH($E89,学年度总表!$E$3:$E$1025,0))="","",INDEX(学年度总表!$Q$3:$Q$1025,MATCH($E89,学年度总表!$E$3:$E$1025,0)))</f>
        <v/>
      </c>
    </row>
    <row r="90" spans="1:17">
      <c r="A90" s="2">
        <f>IF(INDEX(学年度总表!$A$3:$A$1025,MATCH($E90,学年度总表!$E$3:$E$1025,0))="","",INDEX(学年度总表!$A$3:$A$1025,MATCH($E90,学年度总表!$E$3:$E$1025,0)))</f>
        <v>386</v>
      </c>
      <c r="B90" s="2">
        <f>IF(INDEX(学年度总表!$B$3:$B$1025,MATCH($E90,学年度总表!$E$3:$E$1025,0))="","",INDEX(学年度总表!$B$3:$B$1025,MATCH($E90,学年度总表!$E$3:$E$1025,0)))</f>
        <v>88</v>
      </c>
      <c r="C90" s="2" t="str">
        <f>IF(INDEX(学年度总表!$C$3:$C$1025,MATCH($E90,学年度总表!$E$3:$E$1025,0))="","",INDEX(学年度总表!$C$3:$C$1025,MATCH($E90,学年度总表!$E$3:$E$1025,0)))</f>
        <v>计科</v>
      </c>
      <c r="D90" s="2" t="str">
        <f>IF(INDEX(学年度总表!$D$3:$D$1025,MATCH($E90,学年度总表!$E$3:$E$1025,0))="","",INDEX(学年度总表!$D$3:$D$1025,MATCH($E90,学年度总表!$E$3:$E$1025,0)))</f>
        <v>计科三班</v>
      </c>
      <c r="E90" s="2" t="s">
        <v>834</v>
      </c>
      <c r="F90" s="2" t="str">
        <f>IF(INDEX(学年度总表!$F$3:$F$1025,MATCH($E90,学年度总表!$E$3:$E$1025,0))="","",INDEX(学年度总表!$F$3:$F$1025,MATCH($E90,学年度总表!$E$3:$E$1025,0)))</f>
        <v>赵译</v>
      </c>
      <c r="G90" s="3">
        <f>IF(INDEX(学年度总表!$G$3:$G$1025,MATCH($E90,学年度总表!$E$3:$E$1025,0))="","",INDEX(学年度总表!$G$3:$G$1025,MATCH($E90,学年度总表!$E$3:$E$1025,0)))</f>
        <v>9.8000000000000007</v>
      </c>
      <c r="H90" s="3">
        <f>IF(INDEX(学年度总表!$H$3:$H$1025,MATCH($E90,学年度总表!$E$3:$E$1025,0))="","",INDEX(学年度总表!$H$3:$H$1025,MATCH($E90,学年度总表!$E$3:$E$1025,0)))</f>
        <v>59.317073170731703</v>
      </c>
      <c r="I90" s="3">
        <f>IF(INDEX(学年度总表!$I$3:$I$1025,MATCH($E90,学年度总表!$E$3:$E$1025,0))="","",INDEX(学年度总表!$I$3:$I$1025,MATCH($E90,学年度总表!$E$3:$E$1025,0)))</f>
        <v>3</v>
      </c>
      <c r="J90" s="3">
        <f>IF(INDEX(学年度总表!$J$3:$J$1025,MATCH($E90,学年度总表!$E$3:$E$1025,0))="","",INDEX(学年度总表!$J$3:$J$1025,MATCH($E90,学年度总表!$E$3:$E$1025,0)))</f>
        <v>72.12</v>
      </c>
      <c r="K90" s="3">
        <f>IF(INDEX(学年度总表!$K$3:$K$1025,MATCH($E90,学年度总表!$E$3:$E$1025,0))="","",INDEX(学年度总表!$K$3:$K$1025,MATCH($E90,学年度总表!$E$3:$E$1025,0)))</f>
        <v>9</v>
      </c>
      <c r="L90" s="3">
        <f>IF(INDEX(学年度总表!$L$3:$L$1025,MATCH($E90,学年度总表!$E$3:$E$1025,0))="","",INDEX(学年度总表!$L$3:$L$1025,MATCH($E90,学年度总表!$E$3:$E$1025,0)))</f>
        <v>57.93</v>
      </c>
      <c r="M90" s="3">
        <f>IF(INDEX(学年度总表!$M$3:$M$1025,MATCH($E90,学年度总表!$E$3:$E$1025,0))="","",INDEX(学年度总表!$M$3:$M$1025,MATCH($E90,学年度总表!$E$3:$E$1025,0)))</f>
        <v>4.8</v>
      </c>
      <c r="N90" s="3">
        <f>IF(INDEX(学年度总表!$N$3:$N$1025,MATCH($E90,学年度总表!$E$3:$E$1025,0))="","",INDEX(学年度总表!$N$3:$N$1025,MATCH($E90,学年度总表!$E$3:$E$1025,0)))</f>
        <v>71.73</v>
      </c>
      <c r="O90" s="3">
        <f>IF(INDEX(学年度总表!$O$3:$O$1025,MATCH($E90,学年度总表!$E$3:$E$1025,0))="","",INDEX(学年度总表!$O$3:$O$1025,MATCH($E90,学年度总表!$E$3:$E$1025,0)))</f>
        <v>143.85</v>
      </c>
      <c r="P90" s="2" t="str">
        <f>IF(INDEX(学年度总表!$P$3:$P$1025,MATCH($E90,学年度总表!$E$3:$E$1025,0))="","",INDEX(学年度总表!$P$3:$P$1025,MATCH($E90,学年度总表!$E$3:$E$1025,0)))</f>
        <v/>
      </c>
      <c r="Q90" s="5" t="str">
        <f>IF(INDEX(学年度总表!$Q$3:$Q$1025,MATCH($E90,学年度总表!$E$3:$E$1025,0))="","",INDEX(学年度总表!$Q$3:$Q$1025,MATCH($E90,学年度总表!$E$3:$E$1025,0)))</f>
        <v/>
      </c>
    </row>
    <row r="91" spans="1:17">
      <c r="A91" s="2">
        <f>IF(INDEX(学年度总表!$A$3:$A$1025,MATCH($E91,学年度总表!$E$3:$E$1025,0))="","",INDEX(学年度总表!$A$3:$A$1025,MATCH($E91,学年度总表!$E$3:$E$1025,0)))</f>
        <v>393</v>
      </c>
      <c r="B91" s="2">
        <f>IF(INDEX(学年度总表!$B$3:$B$1025,MATCH($E91,学年度总表!$E$3:$E$1025,0))="","",INDEX(学年度总表!$B$3:$B$1025,MATCH($E91,学年度总表!$E$3:$E$1025,0)))</f>
        <v>89</v>
      </c>
      <c r="C91" s="2" t="str">
        <f>IF(INDEX(学年度总表!$C$3:$C$1025,MATCH($E91,学年度总表!$E$3:$E$1025,0))="","",INDEX(学年度总表!$C$3:$C$1025,MATCH($E91,学年度总表!$E$3:$E$1025,0)))</f>
        <v>计科</v>
      </c>
      <c r="D91" s="2" t="str">
        <f>IF(INDEX(学年度总表!$D$3:$D$1025,MATCH($E91,学年度总表!$E$3:$E$1025,0))="","",INDEX(学年度总表!$D$3:$D$1025,MATCH($E91,学年度总表!$E$3:$E$1025,0)))</f>
        <v>计科一班</v>
      </c>
      <c r="E91" s="2" t="s">
        <v>848</v>
      </c>
      <c r="F91" s="2" t="str">
        <f>IF(INDEX(学年度总表!$F$3:$F$1025,MATCH($E91,学年度总表!$E$3:$E$1025,0))="","",INDEX(学年度总表!$F$3:$F$1025,MATCH($E91,学年度总表!$E$3:$E$1025,0)))</f>
        <v>陈怡可</v>
      </c>
      <c r="G91" s="3">
        <f>IF(INDEX(学年度总表!$G$3:$G$1025,MATCH($E91,学年度总表!$E$3:$E$1025,0))="","",INDEX(学年度总表!$G$3:$G$1025,MATCH($E91,学年度总表!$E$3:$E$1025,0)))</f>
        <v>9.8000000000000007</v>
      </c>
      <c r="H91" s="3">
        <f>IF(INDEX(学年度总表!$H$3:$H$1025,MATCH($E91,学年度总表!$E$3:$E$1025,0))="","",INDEX(学年度总表!$H$3:$H$1025,MATCH($E91,学年度总表!$E$3:$E$1025,0)))</f>
        <v>60.451219512195102</v>
      </c>
      <c r="I91" s="3">
        <f>IF(INDEX(学年度总表!$I$3:$I$1025,MATCH($E91,学年度总表!$E$3:$E$1025,0))="","",INDEX(学年度总表!$I$3:$I$1025,MATCH($E91,学年度总表!$E$3:$E$1025,0)))</f>
        <v>3</v>
      </c>
      <c r="J91" s="3">
        <f>IF(INDEX(学年度总表!$J$3:$J$1025,MATCH($E91,学年度总表!$E$3:$E$1025,0))="","",INDEX(学年度总表!$J$3:$J$1025,MATCH($E91,学年度总表!$E$3:$E$1025,0)))</f>
        <v>73.25</v>
      </c>
      <c r="K91" s="3">
        <f>IF(INDEX(学年度总表!$K$3:$K$1025,MATCH($E91,学年度总表!$E$3:$E$1025,0))="","",INDEX(学年度总表!$K$3:$K$1025,MATCH($E91,学年度总表!$E$3:$E$1025,0)))</f>
        <v>9.8000000000000007</v>
      </c>
      <c r="L91" s="3">
        <f>IF(INDEX(学年度总表!$L$3:$L$1025,MATCH($E91,学年度总表!$E$3:$E$1025,0))="","",INDEX(学年度总表!$L$3:$L$1025,MATCH($E91,学年度总表!$E$3:$E$1025,0)))</f>
        <v>57.47</v>
      </c>
      <c r="M91" s="3">
        <f>IF(INDEX(学年度总表!$M$3:$M$1025,MATCH($E91,学年度总表!$E$3:$E$1025,0))="","",INDEX(学年度总表!$M$3:$M$1025,MATCH($E91,学年度总表!$E$3:$E$1025,0)))</f>
        <v>3</v>
      </c>
      <c r="N91" s="3">
        <f>IF(INDEX(学年度总表!$N$3:$N$1025,MATCH($E91,学年度总表!$E$3:$E$1025,0))="","",INDEX(学年度总表!$N$3:$N$1025,MATCH($E91,学年度总表!$E$3:$E$1025,0)))</f>
        <v>70.27</v>
      </c>
      <c r="O91" s="3">
        <f>IF(INDEX(学年度总表!$O$3:$O$1025,MATCH($E91,学年度总表!$E$3:$E$1025,0))="","",INDEX(学年度总表!$O$3:$O$1025,MATCH($E91,学年度总表!$E$3:$E$1025,0)))</f>
        <v>143.52000000000001</v>
      </c>
      <c r="P91" s="2" t="str">
        <f>IF(INDEX(学年度总表!$P$3:$P$1025,MATCH($E91,学年度总表!$E$3:$E$1025,0))="","",INDEX(学年度总表!$P$3:$P$1025,MATCH($E91,学年度总表!$E$3:$E$1025,0)))</f>
        <v/>
      </c>
      <c r="Q91" s="5" t="str">
        <f>IF(INDEX(学年度总表!$Q$3:$Q$1025,MATCH($E91,学年度总表!$E$3:$E$1025,0))="","",INDEX(学年度总表!$Q$3:$Q$1025,MATCH($E91,学年度总表!$E$3:$E$1025,0)))</f>
        <v/>
      </c>
    </row>
    <row r="92" spans="1:17">
      <c r="A92" s="2">
        <f>IF(INDEX(学年度总表!$A$3:$A$1025,MATCH($E92,学年度总表!$E$3:$E$1025,0))="","",INDEX(学年度总表!$A$3:$A$1025,MATCH($E92,学年度总表!$E$3:$E$1025,0)))</f>
        <v>394</v>
      </c>
      <c r="B92" s="2">
        <f>IF(INDEX(学年度总表!$B$3:$B$1025,MATCH($E92,学年度总表!$E$3:$E$1025,0))="","",INDEX(学年度总表!$B$3:$B$1025,MATCH($E92,学年度总表!$E$3:$E$1025,0)))</f>
        <v>90</v>
      </c>
      <c r="C92" s="2" t="str">
        <f>IF(INDEX(学年度总表!$C$3:$C$1025,MATCH($E92,学年度总表!$E$3:$E$1025,0))="","",INDEX(学年度总表!$C$3:$C$1025,MATCH($E92,学年度总表!$E$3:$E$1025,0)))</f>
        <v>计科</v>
      </c>
      <c r="D92" s="2" t="str">
        <f>IF(INDEX(学年度总表!$D$3:$D$1025,MATCH($E92,学年度总表!$E$3:$E$1025,0))="","",INDEX(学年度总表!$D$3:$D$1025,MATCH($E92,学年度总表!$E$3:$E$1025,0)))</f>
        <v>计科三班</v>
      </c>
      <c r="E92" s="2" t="s">
        <v>850</v>
      </c>
      <c r="F92" s="2" t="str">
        <f>IF(INDEX(学年度总表!$F$3:$F$1025,MATCH($E92,学年度总表!$E$3:$E$1025,0))="","",INDEX(学年度总表!$F$3:$F$1025,MATCH($E92,学年度总表!$E$3:$E$1025,0)))</f>
        <v>王丰翼</v>
      </c>
      <c r="G92" s="3">
        <f>IF(INDEX(学年度总表!$G$3:$G$1025,MATCH($E92,学年度总表!$E$3:$E$1025,0))="","",INDEX(学年度总表!$G$3:$G$1025,MATCH($E92,学年度总表!$E$3:$E$1025,0)))</f>
        <v>9.8000000000000007</v>
      </c>
      <c r="H92" s="3">
        <f>IF(INDEX(学年度总表!$H$3:$H$1025,MATCH($E92,学年度总表!$E$3:$E$1025,0))="","",INDEX(学年度总表!$H$3:$H$1025,MATCH($E92,学年度总表!$E$3:$E$1025,0)))</f>
        <v>57.219512195122</v>
      </c>
      <c r="I92" s="3">
        <f>IF(INDEX(学年度总表!$I$3:$I$1025,MATCH($E92,学年度总表!$E$3:$E$1025,0))="","",INDEX(学年度总表!$I$3:$I$1025,MATCH($E92,学年度总表!$E$3:$E$1025,0)))</f>
        <v>3.6</v>
      </c>
      <c r="J92" s="3">
        <f>IF(INDEX(学年度总表!$J$3:$J$1025,MATCH($E92,学年度总表!$E$3:$E$1025,0))="","",INDEX(学年度总表!$J$3:$J$1025,MATCH($E92,学年度总表!$E$3:$E$1025,0)))</f>
        <v>70.62</v>
      </c>
      <c r="K92" s="3">
        <f>IF(INDEX(学年度总表!$K$3:$K$1025,MATCH($E92,学年度总表!$E$3:$E$1025,0))="","",INDEX(学年度总表!$K$3:$K$1025,MATCH($E92,学年度总表!$E$3:$E$1025,0)))</f>
        <v>9</v>
      </c>
      <c r="L92" s="3">
        <f>IF(INDEX(学年度总表!$L$3:$L$1025,MATCH($E92,学年度总表!$E$3:$E$1025,0))="","",INDEX(学年度总表!$L$3:$L$1025,MATCH($E92,学年度总表!$E$3:$E$1025,0)))</f>
        <v>59.58</v>
      </c>
      <c r="M92" s="3">
        <f>IF(INDEX(学年度总表!$M$3:$M$1025,MATCH($E92,学年度总表!$E$3:$E$1025,0))="","",INDEX(学年度总表!$M$3:$M$1025,MATCH($E92,学年度总表!$E$3:$E$1025,0)))</f>
        <v>4.3</v>
      </c>
      <c r="N92" s="3">
        <f>IF(INDEX(学年度总表!$N$3:$N$1025,MATCH($E92,学年度总表!$E$3:$E$1025,0))="","",INDEX(学年度总表!$N$3:$N$1025,MATCH($E92,学年度总表!$E$3:$E$1025,0)))</f>
        <v>72.88</v>
      </c>
      <c r="O92" s="3">
        <f>IF(INDEX(学年度总表!$O$3:$O$1025,MATCH($E92,学年度总表!$E$3:$E$1025,0))="","",INDEX(学年度总表!$O$3:$O$1025,MATCH($E92,学年度总表!$E$3:$E$1025,0)))</f>
        <v>143.5</v>
      </c>
      <c r="P92" s="2" t="str">
        <f>IF(INDEX(学年度总表!$P$3:$P$1025,MATCH($E92,学年度总表!$E$3:$E$1025,0))="","",INDEX(学年度总表!$P$3:$P$1025,MATCH($E92,学年度总表!$E$3:$E$1025,0)))</f>
        <v/>
      </c>
      <c r="Q92" s="5" t="str">
        <f>IF(INDEX(学年度总表!$Q$3:$Q$1025,MATCH($E92,学年度总表!$E$3:$E$1025,0))="","",INDEX(学年度总表!$Q$3:$Q$1025,MATCH($E92,学年度总表!$E$3:$E$1025,0)))</f>
        <v/>
      </c>
    </row>
    <row r="93" spans="1:17">
      <c r="A93" s="2">
        <f>IF(INDEX(学年度总表!$A$3:$A$1025,MATCH($E93,学年度总表!$E$3:$E$1025,0))="","",INDEX(学年度总表!$A$3:$A$1025,MATCH($E93,学年度总表!$E$3:$E$1025,0)))</f>
        <v>396</v>
      </c>
      <c r="B93" s="2">
        <f>IF(INDEX(学年度总表!$B$3:$B$1025,MATCH($E93,学年度总表!$E$3:$E$1025,0))="","",INDEX(学年度总表!$B$3:$B$1025,MATCH($E93,学年度总表!$E$3:$E$1025,0)))</f>
        <v>91</v>
      </c>
      <c r="C93" s="2" t="str">
        <f>IF(INDEX(学年度总表!$C$3:$C$1025,MATCH($E93,学年度总表!$E$3:$E$1025,0))="","",INDEX(学年度总表!$C$3:$C$1025,MATCH($E93,学年度总表!$E$3:$E$1025,0)))</f>
        <v>计科</v>
      </c>
      <c r="D93" s="2" t="str">
        <f>IF(INDEX(学年度总表!$D$3:$D$1025,MATCH($E93,学年度总表!$E$3:$E$1025,0))="","",INDEX(学年度总表!$D$3:$D$1025,MATCH($E93,学年度总表!$E$3:$E$1025,0)))</f>
        <v>计科四班</v>
      </c>
      <c r="E93" s="2" t="s">
        <v>854</v>
      </c>
      <c r="F93" s="2" t="str">
        <f>IF(INDEX(学年度总表!$F$3:$F$1025,MATCH($E93,学年度总表!$E$3:$E$1025,0))="","",INDEX(学年度总表!$F$3:$F$1025,MATCH($E93,学年度总表!$E$3:$E$1025,0)))</f>
        <v>苏佳慧</v>
      </c>
      <c r="G93" s="3">
        <f>IF(INDEX(学年度总表!$G$3:$G$1025,MATCH($E93,学年度总表!$E$3:$E$1025,0))="","",INDEX(学年度总表!$G$3:$G$1025,MATCH($E93,学年度总表!$E$3:$E$1025,0)))</f>
        <v>10</v>
      </c>
      <c r="H93" s="3">
        <f>IF(INDEX(学年度总表!$H$3:$H$1025,MATCH($E93,学年度总表!$E$3:$E$1025,0))="","",INDEX(学年度总表!$H$3:$H$1025,MATCH($E93,学年度总表!$E$3:$E$1025,0)))</f>
        <v>60.231707317073202</v>
      </c>
      <c r="I93" s="3">
        <f>IF(INDEX(学年度总表!$I$3:$I$1025,MATCH($E93,学年度总表!$E$3:$E$1025,0))="","",INDEX(学年度总表!$I$3:$I$1025,MATCH($E93,学年度总表!$E$3:$E$1025,0)))</f>
        <v>3.7</v>
      </c>
      <c r="J93" s="3">
        <f>IF(INDEX(学年度总表!$J$3:$J$1025,MATCH($E93,学年度总表!$E$3:$E$1025,0))="","",INDEX(学年度总表!$J$3:$J$1025,MATCH($E93,学年度总表!$E$3:$E$1025,0)))</f>
        <v>73.930000000000007</v>
      </c>
      <c r="K93" s="3">
        <f>IF(INDEX(学年度总表!$K$3:$K$1025,MATCH($E93,学年度总表!$E$3:$E$1025,0))="","",INDEX(学年度总表!$K$3:$K$1025,MATCH($E93,学年度总表!$E$3:$E$1025,0)))</f>
        <v>9.8000000000000007</v>
      </c>
      <c r="L93" s="3">
        <f>IF(INDEX(学年度总表!$L$3:$L$1025,MATCH($E93,学年度总表!$E$3:$E$1025,0))="","",INDEX(学年度总表!$L$3:$L$1025,MATCH($E93,学年度总表!$E$3:$E$1025,0)))</f>
        <v>55.5</v>
      </c>
      <c r="M93" s="3">
        <f>IF(INDEX(学年度总表!$M$3:$M$1025,MATCH($E93,学年度总表!$E$3:$E$1025,0))="","",INDEX(学年度总表!$M$3:$M$1025,MATCH($E93,学年度总表!$E$3:$E$1025,0)))</f>
        <v>4.2</v>
      </c>
      <c r="N93" s="3">
        <f>IF(INDEX(学年度总表!$N$3:$N$1025,MATCH($E93,学年度总表!$E$3:$E$1025,0))="","",INDEX(学年度总表!$N$3:$N$1025,MATCH($E93,学年度总表!$E$3:$E$1025,0)))</f>
        <v>69.5</v>
      </c>
      <c r="O93" s="3">
        <f>IF(INDEX(学年度总表!$O$3:$O$1025,MATCH($E93,学年度总表!$E$3:$E$1025,0))="","",INDEX(学年度总表!$O$3:$O$1025,MATCH($E93,学年度总表!$E$3:$E$1025,0)))</f>
        <v>143.43</v>
      </c>
      <c r="P93" s="2" t="str">
        <f>IF(INDEX(学年度总表!$P$3:$P$1025,MATCH($E93,学年度总表!$E$3:$E$1025,0))="","",INDEX(学年度总表!$P$3:$P$1025,MATCH($E93,学年度总表!$E$3:$E$1025,0)))</f>
        <v/>
      </c>
      <c r="Q93" s="5" t="str">
        <f>IF(INDEX(学年度总表!$Q$3:$Q$1025,MATCH($E93,学年度总表!$E$3:$E$1025,0))="","",INDEX(学年度总表!$Q$3:$Q$1025,MATCH($E93,学年度总表!$E$3:$E$1025,0)))</f>
        <v/>
      </c>
    </row>
    <row r="94" spans="1:17">
      <c r="A94" s="2">
        <f>IF(INDEX(学年度总表!$A$3:$A$1025,MATCH($E94,学年度总表!$E$3:$E$1025,0))="","",INDEX(学年度总表!$A$3:$A$1025,MATCH($E94,学年度总表!$E$3:$E$1025,0)))</f>
        <v>400</v>
      </c>
      <c r="B94" s="2">
        <f>IF(INDEX(学年度总表!$B$3:$B$1025,MATCH($E94,学年度总表!$E$3:$E$1025,0))="","",INDEX(学年度总表!$B$3:$B$1025,MATCH($E94,学年度总表!$E$3:$E$1025,0)))</f>
        <v>92</v>
      </c>
      <c r="C94" s="2" t="str">
        <f>IF(INDEX(学年度总表!$C$3:$C$1025,MATCH($E94,学年度总表!$E$3:$E$1025,0))="","",INDEX(学年度总表!$C$3:$C$1025,MATCH($E94,学年度总表!$E$3:$E$1025,0)))</f>
        <v>计科</v>
      </c>
      <c r="D94" s="2" t="str">
        <f>IF(INDEX(学年度总表!$D$3:$D$1025,MATCH($E94,学年度总表!$E$3:$E$1025,0))="","",INDEX(学年度总表!$D$3:$D$1025,MATCH($E94,学年度总表!$E$3:$E$1025,0)))</f>
        <v>计科三班</v>
      </c>
      <c r="E94" s="2" t="s">
        <v>862</v>
      </c>
      <c r="F94" s="2" t="str">
        <f>IF(INDEX(学年度总表!$F$3:$F$1025,MATCH($E94,学年度总表!$E$3:$E$1025,0))="","",INDEX(学年度总表!$F$3:$F$1025,MATCH($E94,学年度总表!$E$3:$E$1025,0)))</f>
        <v>耿跃铭</v>
      </c>
      <c r="G94" s="3">
        <f>IF(INDEX(学年度总表!$G$3:$G$1025,MATCH($E94,学年度总表!$E$3:$E$1025,0))="","",INDEX(学年度总表!$G$3:$G$1025,MATCH($E94,学年度总表!$E$3:$E$1025,0)))</f>
        <v>9.8000000000000007</v>
      </c>
      <c r="H94" s="3">
        <f>IF(INDEX(学年度总表!$H$3:$H$1025,MATCH($E94,学年度总表!$E$3:$E$1025,0))="","",INDEX(学年度总表!$H$3:$H$1025,MATCH($E94,学年度总表!$E$3:$E$1025,0)))</f>
        <v>59.487804878048799</v>
      </c>
      <c r="I94" s="3">
        <f>IF(INDEX(学年度总表!$I$3:$I$1025,MATCH($E94,学年度总表!$E$3:$E$1025,0))="","",INDEX(学年度总表!$I$3:$I$1025,MATCH($E94,学年度总表!$E$3:$E$1025,0)))</f>
        <v>4.2</v>
      </c>
      <c r="J94" s="3">
        <f>IF(INDEX(学年度总表!$J$3:$J$1025,MATCH($E94,学年度总表!$E$3:$E$1025,0))="","",INDEX(学年度总表!$J$3:$J$1025,MATCH($E94,学年度总表!$E$3:$E$1025,0)))</f>
        <v>73.489999999999995</v>
      </c>
      <c r="K94" s="3">
        <f>IF(INDEX(学年度总表!$K$3:$K$1025,MATCH($E94,学年度总表!$E$3:$E$1025,0))="","",INDEX(学年度总表!$K$3:$K$1025,MATCH($E94,学年度总表!$E$3:$E$1025,0)))</f>
        <v>9</v>
      </c>
      <c r="L94" s="3">
        <f>IF(INDEX(学年度总表!$L$3:$L$1025,MATCH($E94,学年度总表!$E$3:$E$1025,0))="","",INDEX(学年度总表!$L$3:$L$1025,MATCH($E94,学年度总表!$E$3:$E$1025,0)))</f>
        <v>57.7</v>
      </c>
      <c r="M94" s="3">
        <f>IF(INDEX(学年度总表!$M$3:$M$1025,MATCH($E94,学年度总表!$E$3:$E$1025,0))="","",INDEX(学年度总表!$M$3:$M$1025,MATCH($E94,学年度总表!$E$3:$E$1025,0)))</f>
        <v>3.2</v>
      </c>
      <c r="N94" s="3">
        <f>IF(INDEX(学年度总表!$N$3:$N$1025,MATCH($E94,学年度总表!$E$3:$E$1025,0))="","",INDEX(学年度总表!$N$3:$N$1025,MATCH($E94,学年度总表!$E$3:$E$1025,0)))</f>
        <v>69.900000000000006</v>
      </c>
      <c r="O94" s="3">
        <f>IF(INDEX(学年度总表!$O$3:$O$1025,MATCH($E94,学年度总表!$E$3:$E$1025,0))="","",INDEX(学年度总表!$O$3:$O$1025,MATCH($E94,学年度总表!$E$3:$E$1025,0)))</f>
        <v>143.38999999999999</v>
      </c>
      <c r="P94" s="2" t="str">
        <f>IF(INDEX(学年度总表!$P$3:$P$1025,MATCH($E94,学年度总表!$E$3:$E$1025,0))="","",INDEX(学年度总表!$P$3:$P$1025,MATCH($E94,学年度总表!$E$3:$E$1025,0)))</f>
        <v/>
      </c>
      <c r="Q94" s="5" t="str">
        <f>IF(INDEX(学年度总表!$Q$3:$Q$1025,MATCH($E94,学年度总表!$E$3:$E$1025,0))="","",INDEX(学年度总表!$Q$3:$Q$1025,MATCH($E94,学年度总表!$E$3:$E$1025,0)))</f>
        <v/>
      </c>
    </row>
    <row r="95" spans="1:17">
      <c r="A95" s="2">
        <f>IF(INDEX(学年度总表!$A$3:$A$1025,MATCH($E95,学年度总表!$E$3:$E$1025,0))="","",INDEX(学年度总表!$A$3:$A$1025,MATCH($E95,学年度总表!$E$3:$E$1025,0)))</f>
        <v>416</v>
      </c>
      <c r="B95" s="2">
        <f>IF(INDEX(学年度总表!$B$3:$B$1025,MATCH($E95,学年度总表!$E$3:$E$1025,0))="","",INDEX(学年度总表!$B$3:$B$1025,MATCH($E95,学年度总表!$E$3:$E$1025,0)))</f>
        <v>93</v>
      </c>
      <c r="C95" s="2" t="str">
        <f>IF(INDEX(学年度总表!$C$3:$C$1025,MATCH($E95,学年度总表!$E$3:$E$1025,0))="","",INDEX(学年度总表!$C$3:$C$1025,MATCH($E95,学年度总表!$E$3:$E$1025,0)))</f>
        <v>计科</v>
      </c>
      <c r="D95" s="2" t="str">
        <f>IF(INDEX(学年度总表!$D$3:$D$1025,MATCH($E95,学年度总表!$E$3:$E$1025,0))="","",INDEX(学年度总表!$D$3:$D$1025,MATCH($E95,学年度总表!$E$3:$E$1025,0)))</f>
        <v>计科四班</v>
      </c>
      <c r="E95" s="2" t="s">
        <v>894</v>
      </c>
      <c r="F95" s="2" t="str">
        <f>IF(INDEX(学年度总表!$F$3:$F$1025,MATCH($E95,学年度总表!$E$3:$E$1025,0))="","",INDEX(学年度总表!$F$3:$F$1025,MATCH($E95,学年度总表!$E$3:$E$1025,0)))</f>
        <v>袁诗茹</v>
      </c>
      <c r="G95" s="3">
        <f>IF(INDEX(学年度总表!$G$3:$G$1025,MATCH($E95,学年度总表!$E$3:$E$1025,0))="","",INDEX(学年度总表!$G$3:$G$1025,MATCH($E95,学年度总表!$E$3:$E$1025,0)))</f>
        <v>10</v>
      </c>
      <c r="H95" s="3">
        <f>IF(INDEX(学年度总表!$H$3:$H$1025,MATCH($E95,学年度总表!$E$3:$E$1025,0))="","",INDEX(学年度总表!$H$3:$H$1025,MATCH($E95,学年度总表!$E$3:$E$1025,0)))</f>
        <v>55.865853658536601</v>
      </c>
      <c r="I95" s="3">
        <f>IF(INDEX(学年度总表!$I$3:$I$1025,MATCH($E95,学年度总表!$E$3:$E$1025,0))="","",INDEX(学年度总表!$I$3:$I$1025,MATCH($E95,学年度总表!$E$3:$E$1025,0)))</f>
        <v>4.4000000000000004</v>
      </c>
      <c r="J95" s="3">
        <f>IF(INDEX(学年度总表!$J$3:$J$1025,MATCH($E95,学年度总表!$E$3:$E$1025,0))="","",INDEX(学年度总表!$J$3:$J$1025,MATCH($E95,学年度总表!$E$3:$E$1025,0)))</f>
        <v>70.27</v>
      </c>
      <c r="K95" s="3">
        <f>IF(INDEX(学年度总表!$K$3:$K$1025,MATCH($E95,学年度总表!$E$3:$E$1025,0))="","",INDEX(学年度总表!$K$3:$K$1025,MATCH($E95,学年度总表!$E$3:$E$1025,0)))</f>
        <v>10</v>
      </c>
      <c r="L95" s="3">
        <f>IF(INDEX(学年度总表!$L$3:$L$1025,MATCH($E95,学年度总表!$E$3:$E$1025,0))="","",INDEX(学年度总表!$L$3:$L$1025,MATCH($E95,学年度总表!$E$3:$E$1025,0)))</f>
        <v>57.35</v>
      </c>
      <c r="M95" s="3">
        <f>IF(INDEX(学年度总表!$M$3:$M$1025,MATCH($E95,学年度总表!$E$3:$E$1025,0))="","",INDEX(学年度总表!$M$3:$M$1025,MATCH($E95,学年度总表!$E$3:$E$1025,0)))</f>
        <v>5.2</v>
      </c>
      <c r="N95" s="3">
        <f>IF(INDEX(学年度总表!$N$3:$N$1025,MATCH($E95,学年度总表!$E$3:$E$1025,0))="","",INDEX(学年度总表!$N$3:$N$1025,MATCH($E95,学年度总表!$E$3:$E$1025,0)))</f>
        <v>72.55</v>
      </c>
      <c r="O95" s="3">
        <f>IF(INDEX(学年度总表!$O$3:$O$1025,MATCH($E95,学年度总表!$E$3:$E$1025,0))="","",INDEX(学年度总表!$O$3:$O$1025,MATCH($E95,学年度总表!$E$3:$E$1025,0)))</f>
        <v>142.82</v>
      </c>
      <c r="P95" s="2" t="str">
        <f>IF(INDEX(学年度总表!$P$3:$P$1025,MATCH($E95,学年度总表!$E$3:$E$1025,0))="","",INDEX(学年度总表!$P$3:$P$1025,MATCH($E95,学年度总表!$E$3:$E$1025,0)))</f>
        <v/>
      </c>
      <c r="Q95" s="5" t="str">
        <f>IF(INDEX(学年度总表!$Q$3:$Q$1025,MATCH($E95,学年度总表!$E$3:$E$1025,0))="","",INDEX(学年度总表!$Q$3:$Q$1025,MATCH($E95,学年度总表!$E$3:$E$1025,0)))</f>
        <v/>
      </c>
    </row>
    <row r="96" spans="1:17">
      <c r="A96" s="2">
        <f>IF(INDEX(学年度总表!$A$3:$A$1025,MATCH($E96,学年度总表!$E$3:$E$1025,0))="","",INDEX(学年度总表!$A$3:$A$1025,MATCH($E96,学年度总表!$E$3:$E$1025,0)))</f>
        <v>418</v>
      </c>
      <c r="B96" s="2">
        <f>IF(INDEX(学年度总表!$B$3:$B$1025,MATCH($E96,学年度总表!$E$3:$E$1025,0))="","",INDEX(学年度总表!$B$3:$B$1025,MATCH($E96,学年度总表!$E$3:$E$1025,0)))</f>
        <v>94</v>
      </c>
      <c r="C96" s="2" t="str">
        <f>IF(INDEX(学年度总表!$C$3:$C$1025,MATCH($E96,学年度总表!$E$3:$E$1025,0))="","",INDEX(学年度总表!$C$3:$C$1025,MATCH($E96,学年度总表!$E$3:$E$1025,0)))</f>
        <v>计科</v>
      </c>
      <c r="D96" s="2" t="str">
        <f>IF(INDEX(学年度总表!$D$3:$D$1025,MATCH($E96,学年度总表!$E$3:$E$1025,0))="","",INDEX(学年度总表!$D$3:$D$1025,MATCH($E96,学年度总表!$E$3:$E$1025,0)))</f>
        <v>计科一班</v>
      </c>
      <c r="E96" s="2" t="s">
        <v>898</v>
      </c>
      <c r="F96" s="2" t="str">
        <f>IF(INDEX(学年度总表!$F$3:$F$1025,MATCH($E96,学年度总表!$E$3:$E$1025,0))="","",INDEX(学年度总表!$F$3:$F$1025,MATCH($E96,学年度总表!$E$3:$E$1025,0)))</f>
        <v>刘孟博</v>
      </c>
      <c r="G96" s="3">
        <f>IF(INDEX(学年度总表!$G$3:$G$1025,MATCH($E96,学年度总表!$E$3:$E$1025,0))="","",INDEX(学年度总表!$G$3:$G$1025,MATCH($E96,学年度总表!$E$3:$E$1025,0)))</f>
        <v>9.8000000000000007</v>
      </c>
      <c r="H96" s="3">
        <f>IF(INDEX(学年度总表!$H$3:$H$1025,MATCH($E96,学年度总表!$E$3:$E$1025,0))="","",INDEX(学年度总表!$H$3:$H$1025,MATCH($E96,学年度总表!$E$3:$E$1025,0)))</f>
        <v>59.231707317073202</v>
      </c>
      <c r="I96" s="3">
        <f>IF(INDEX(学年度总表!$I$3:$I$1025,MATCH($E96,学年度总表!$E$3:$E$1025,0))="","",INDEX(学年度总表!$I$3:$I$1025,MATCH($E96,学年度总表!$E$3:$E$1025,0)))</f>
        <v>3</v>
      </c>
      <c r="J96" s="3">
        <f>IF(INDEX(学年度总表!$J$3:$J$1025,MATCH($E96,学年度总表!$E$3:$E$1025,0))="","",INDEX(学年度总表!$J$3:$J$1025,MATCH($E96,学年度总表!$E$3:$E$1025,0)))</f>
        <v>72.03</v>
      </c>
      <c r="K96" s="3">
        <f>IF(INDEX(学年度总表!$K$3:$K$1025,MATCH($E96,学年度总表!$E$3:$E$1025,0))="","",INDEX(学年度总表!$K$3:$K$1025,MATCH($E96,学年度总表!$E$3:$E$1025,0)))</f>
        <v>9.8000000000000007</v>
      </c>
      <c r="L96" s="3">
        <f>IF(INDEX(学年度总表!$L$3:$L$1025,MATCH($E96,学年度总表!$E$3:$E$1025,0))="","",INDEX(学年度总表!$L$3:$L$1025,MATCH($E96,学年度总表!$E$3:$E$1025,0)))</f>
        <v>57.98</v>
      </c>
      <c r="M96" s="3">
        <f>IF(INDEX(学年度总表!$M$3:$M$1025,MATCH($E96,学年度总表!$E$3:$E$1025,0))="","",INDEX(学年度总表!$M$3:$M$1025,MATCH($E96,学年度总表!$E$3:$E$1025,0)))</f>
        <v>3</v>
      </c>
      <c r="N96" s="3">
        <f>IF(INDEX(学年度总表!$N$3:$N$1025,MATCH($E96,学年度总表!$E$3:$E$1025,0))="","",INDEX(学年度总表!$N$3:$N$1025,MATCH($E96,学年度总表!$E$3:$E$1025,0)))</f>
        <v>70.78</v>
      </c>
      <c r="O96" s="3">
        <f>IF(INDEX(学年度总表!$O$3:$O$1025,MATCH($E96,学年度总表!$E$3:$E$1025,0))="","",INDEX(学年度总表!$O$3:$O$1025,MATCH($E96,学年度总表!$E$3:$E$1025,0)))</f>
        <v>142.81</v>
      </c>
      <c r="P96" s="4" t="str">
        <f>IF(INDEX(学年度总表!$P$3:$P$1025,MATCH($E96,学年度总表!$E$3:$E$1025,0))="","",INDEX(学年度总表!$P$3:$P$1025,MATCH($E96,学年度总表!$E$3:$E$1025,0)))</f>
        <v>校励</v>
      </c>
      <c r="Q96" s="5" t="str">
        <f>IF(INDEX(学年度总表!$Q$3:$Q$1025,MATCH($E96,学年度总表!$E$3:$E$1025,0))="","",INDEX(学年度总表!$Q$3:$Q$1025,MATCH($E96,学年度总表!$E$3:$E$1025,0)))</f>
        <v/>
      </c>
    </row>
    <row r="97" spans="1:17">
      <c r="A97" s="2">
        <f>IF(INDEX(学年度总表!$A$3:$A$1025,MATCH($E97,学年度总表!$E$3:$E$1025,0))="","",INDEX(学年度总表!$A$3:$A$1025,MATCH($E97,学年度总表!$E$3:$E$1025,0)))</f>
        <v>424</v>
      </c>
      <c r="B97" s="2">
        <f>IF(INDEX(学年度总表!$B$3:$B$1025,MATCH($E97,学年度总表!$E$3:$E$1025,0))="","",INDEX(学年度总表!$B$3:$B$1025,MATCH($E97,学年度总表!$E$3:$E$1025,0)))</f>
        <v>95</v>
      </c>
      <c r="C97" s="2" t="str">
        <f>IF(INDEX(学年度总表!$C$3:$C$1025,MATCH($E97,学年度总表!$E$3:$E$1025,0))="","",INDEX(学年度总表!$C$3:$C$1025,MATCH($E97,学年度总表!$E$3:$E$1025,0)))</f>
        <v>计科</v>
      </c>
      <c r="D97" s="2" t="str">
        <f>IF(INDEX(学年度总表!$D$3:$D$1025,MATCH($E97,学年度总表!$E$3:$E$1025,0))="","",INDEX(学年度总表!$D$3:$D$1025,MATCH($E97,学年度总表!$E$3:$E$1025,0)))</f>
        <v>计科一班</v>
      </c>
      <c r="E97" s="2" t="s">
        <v>910</v>
      </c>
      <c r="F97" s="2" t="str">
        <f>IF(INDEX(学年度总表!$F$3:$F$1025,MATCH($E97,学年度总表!$E$3:$E$1025,0))="","",INDEX(学年度总表!$F$3:$F$1025,MATCH($E97,学年度总表!$E$3:$E$1025,0)))</f>
        <v>王一如</v>
      </c>
      <c r="G97" s="3">
        <f>IF(INDEX(学年度总表!$G$3:$G$1025,MATCH($E97,学年度总表!$E$3:$E$1025,0))="","",INDEX(学年度总表!$G$3:$G$1025,MATCH($E97,学年度总表!$E$3:$E$1025,0)))</f>
        <v>10.3</v>
      </c>
      <c r="H97" s="3">
        <f>IF(INDEX(学年度总表!$H$3:$H$1025,MATCH($E97,学年度总表!$E$3:$E$1025,0))="","",INDEX(学年度总表!$H$3:$H$1025,MATCH($E97,学年度总表!$E$3:$E$1025,0)))</f>
        <v>55.975609756097597</v>
      </c>
      <c r="I97" s="3">
        <f>IF(INDEX(学年度总表!$I$3:$I$1025,MATCH($E97,学年度总表!$E$3:$E$1025,0))="","",INDEX(学年度总表!$I$3:$I$1025,MATCH($E97,学年度总表!$E$3:$E$1025,0)))</f>
        <v>4.5</v>
      </c>
      <c r="J97" s="3">
        <f>IF(INDEX(学年度总表!$J$3:$J$1025,MATCH($E97,学年度总表!$E$3:$E$1025,0))="","",INDEX(学年度总表!$J$3:$J$1025,MATCH($E97,学年度总表!$E$3:$E$1025,0)))</f>
        <v>70.78</v>
      </c>
      <c r="K97" s="3">
        <f>IF(INDEX(学年度总表!$K$3:$K$1025,MATCH($E97,学年度总表!$E$3:$E$1025,0))="","",INDEX(学年度总表!$K$3:$K$1025,MATCH($E97,学年度总表!$E$3:$E$1025,0)))</f>
        <v>9.8000000000000007</v>
      </c>
      <c r="L97" s="3">
        <f>IF(INDEX(学年度总表!$L$3:$L$1025,MATCH($E97,学年度总表!$E$3:$E$1025,0))="","",INDEX(学年度总表!$L$3:$L$1025,MATCH($E97,学年度总表!$E$3:$E$1025,0)))</f>
        <v>57.27</v>
      </c>
      <c r="M97" s="3">
        <f>IF(INDEX(学年度总表!$M$3:$M$1025,MATCH($E97,学年度总表!$E$3:$E$1025,0))="","",INDEX(学年度总表!$M$3:$M$1025,MATCH($E97,学年度总表!$E$3:$E$1025,0)))</f>
        <v>4.5</v>
      </c>
      <c r="N97" s="3">
        <f>IF(INDEX(学年度总表!$N$3:$N$1025,MATCH($E97,学年度总表!$E$3:$E$1025,0))="","",INDEX(学年度总表!$N$3:$N$1025,MATCH($E97,学年度总表!$E$3:$E$1025,0)))</f>
        <v>71.569999999999993</v>
      </c>
      <c r="O97" s="3">
        <f>IF(INDEX(学年度总表!$O$3:$O$1025,MATCH($E97,学年度总表!$E$3:$E$1025,0))="","",INDEX(学年度总表!$O$3:$O$1025,MATCH($E97,学年度总表!$E$3:$E$1025,0)))</f>
        <v>142.35</v>
      </c>
      <c r="P97" s="2" t="str">
        <f>IF(INDEX(学年度总表!$P$3:$P$1025,MATCH($E97,学年度总表!$E$3:$E$1025,0))="","",INDEX(学年度总表!$P$3:$P$1025,MATCH($E97,学年度总表!$E$3:$E$1025,0)))</f>
        <v/>
      </c>
      <c r="Q97" s="5" t="str">
        <f>IF(INDEX(学年度总表!$Q$3:$Q$1025,MATCH($E97,学年度总表!$E$3:$E$1025,0))="","",INDEX(学年度总表!$Q$3:$Q$1025,MATCH($E97,学年度总表!$E$3:$E$1025,0)))</f>
        <v/>
      </c>
    </row>
    <row r="98" spans="1:17">
      <c r="A98" s="2">
        <f>IF(INDEX(学年度总表!$A$3:$A$1025,MATCH($E98,学年度总表!$E$3:$E$1025,0))="","",INDEX(学年度总表!$A$3:$A$1025,MATCH($E98,学年度总表!$E$3:$E$1025,0)))</f>
        <v>427</v>
      </c>
      <c r="B98" s="2">
        <f>IF(INDEX(学年度总表!$B$3:$B$1025,MATCH($E98,学年度总表!$E$3:$E$1025,0))="","",INDEX(学年度总表!$B$3:$B$1025,MATCH($E98,学年度总表!$E$3:$E$1025,0)))</f>
        <v>96</v>
      </c>
      <c r="C98" s="2" t="str">
        <f>IF(INDEX(学年度总表!$C$3:$C$1025,MATCH($E98,学年度总表!$E$3:$E$1025,0))="","",INDEX(学年度总表!$C$3:$C$1025,MATCH($E98,学年度总表!$E$3:$E$1025,0)))</f>
        <v>计科</v>
      </c>
      <c r="D98" s="2" t="str">
        <f>IF(INDEX(学年度总表!$D$3:$D$1025,MATCH($E98,学年度总表!$E$3:$E$1025,0))="","",INDEX(学年度总表!$D$3:$D$1025,MATCH($E98,学年度总表!$E$3:$E$1025,0)))</f>
        <v>计科三班</v>
      </c>
      <c r="E98" s="2" t="s">
        <v>916</v>
      </c>
      <c r="F98" s="2" t="str">
        <f>IF(INDEX(学年度总表!$F$3:$F$1025,MATCH($E98,学年度总表!$E$3:$E$1025,0))="","",INDEX(学年度总表!$F$3:$F$1025,MATCH($E98,学年度总表!$E$3:$E$1025,0)))</f>
        <v>侯懿轩</v>
      </c>
      <c r="G98" s="3">
        <f>IF(INDEX(学年度总表!$G$3:$G$1025,MATCH($E98,学年度总表!$E$3:$E$1025,0))="","",INDEX(学年度总表!$G$3:$G$1025,MATCH($E98,学年度总表!$E$3:$E$1025,0)))</f>
        <v>9.8000000000000007</v>
      </c>
      <c r="H98" s="3">
        <f>IF(INDEX(学年度总表!$H$3:$H$1025,MATCH($E98,学年度总表!$E$3:$E$1025,0))="","",INDEX(学年度总表!$H$3:$H$1025,MATCH($E98,学年度总表!$E$3:$E$1025,0)))</f>
        <v>56.8333333333333</v>
      </c>
      <c r="I98" s="3">
        <f>IF(INDEX(学年度总表!$I$3:$I$1025,MATCH($E98,学年度总表!$E$3:$E$1025,0))="","",INDEX(学年度总表!$I$3:$I$1025,MATCH($E98,学年度总表!$E$3:$E$1025,0)))</f>
        <v>3.9</v>
      </c>
      <c r="J98" s="3">
        <f>IF(INDEX(学年度总表!$J$3:$J$1025,MATCH($E98,学年度总表!$E$3:$E$1025,0))="","",INDEX(学年度总表!$J$3:$J$1025,MATCH($E98,学年度总表!$E$3:$E$1025,0)))</f>
        <v>70.53</v>
      </c>
      <c r="K98" s="3">
        <f>IF(INDEX(学年度总表!$K$3:$K$1025,MATCH($E98,学年度总表!$E$3:$E$1025,0))="","",INDEX(学年度总表!$K$3:$K$1025,MATCH($E98,学年度总表!$E$3:$E$1025,0)))</f>
        <v>9</v>
      </c>
      <c r="L98" s="3">
        <f>IF(INDEX(学年度总表!$L$3:$L$1025,MATCH($E98,学年度总表!$E$3:$E$1025,0))="","",INDEX(学年度总表!$L$3:$L$1025,MATCH($E98,学年度总表!$E$3:$E$1025,0)))</f>
        <v>58.79</v>
      </c>
      <c r="M98" s="3">
        <f>IF(INDEX(学年度总表!$M$3:$M$1025,MATCH($E98,学年度总表!$E$3:$E$1025,0))="","",INDEX(学年度总表!$M$3:$M$1025,MATCH($E98,学年度总表!$E$3:$E$1025,0)))</f>
        <v>4</v>
      </c>
      <c r="N98" s="3">
        <f>IF(INDEX(学年度总表!$N$3:$N$1025,MATCH($E98,学年度总表!$E$3:$E$1025,0))="","",INDEX(学年度总表!$N$3:$N$1025,MATCH($E98,学年度总表!$E$3:$E$1025,0)))</f>
        <v>71.790000000000006</v>
      </c>
      <c r="O98" s="3">
        <f>IF(INDEX(学年度总表!$O$3:$O$1025,MATCH($E98,学年度总表!$E$3:$E$1025,0))="","",INDEX(学年度总表!$O$3:$O$1025,MATCH($E98,学年度总表!$E$3:$E$1025,0)))</f>
        <v>142.32</v>
      </c>
      <c r="P98" s="2" t="str">
        <f>IF(INDEX(学年度总表!$P$3:$P$1025,MATCH($E98,学年度总表!$E$3:$E$1025,0))="","",INDEX(学年度总表!$P$3:$P$1025,MATCH($E98,学年度总表!$E$3:$E$1025,0)))</f>
        <v/>
      </c>
      <c r="Q98" s="5" t="str">
        <f>IF(INDEX(学年度总表!$Q$3:$Q$1025,MATCH($E98,学年度总表!$E$3:$E$1025,0))="","",INDEX(学年度总表!$Q$3:$Q$1025,MATCH($E98,学年度总表!$E$3:$E$1025,0)))</f>
        <v/>
      </c>
    </row>
    <row r="99" spans="1:17">
      <c r="A99" s="2">
        <f>IF(INDEX(学年度总表!$A$3:$A$1025,MATCH($E99,学年度总表!$E$3:$E$1025,0))="","",INDEX(学年度总表!$A$3:$A$1025,MATCH($E99,学年度总表!$E$3:$E$1025,0)))</f>
        <v>427</v>
      </c>
      <c r="B99" s="2">
        <f>IF(INDEX(学年度总表!$B$3:$B$1025,MATCH($E99,学年度总表!$E$3:$E$1025,0))="","",INDEX(学年度总表!$B$3:$B$1025,MATCH($E99,学年度总表!$E$3:$E$1025,0)))</f>
        <v>96</v>
      </c>
      <c r="C99" s="2" t="str">
        <f>IF(INDEX(学年度总表!$C$3:$C$1025,MATCH($E99,学年度总表!$E$3:$E$1025,0))="","",INDEX(学年度总表!$C$3:$C$1025,MATCH($E99,学年度总表!$E$3:$E$1025,0)))</f>
        <v>计科</v>
      </c>
      <c r="D99" s="2" t="str">
        <f>IF(INDEX(学年度总表!$D$3:$D$1025,MATCH($E99,学年度总表!$E$3:$E$1025,0))="","",INDEX(学年度总表!$D$3:$D$1025,MATCH($E99,学年度总表!$E$3:$E$1025,0)))</f>
        <v>计科四班</v>
      </c>
      <c r="E99" s="2" t="s">
        <v>918</v>
      </c>
      <c r="F99" s="2" t="str">
        <f>IF(INDEX(学年度总表!$F$3:$F$1025,MATCH($E99,学年度总表!$E$3:$E$1025,0))="","",INDEX(学年度总表!$F$3:$F$1025,MATCH($E99,学年度总表!$E$3:$E$1025,0)))</f>
        <v>郎如意</v>
      </c>
      <c r="G99" s="3">
        <f>IF(INDEX(学年度总表!$G$3:$G$1025,MATCH($E99,学年度总表!$E$3:$E$1025,0))="","",INDEX(学年度总表!$G$3:$G$1025,MATCH($E99,学年度总表!$E$3:$E$1025,0)))</f>
        <v>10.6</v>
      </c>
      <c r="H99" s="3">
        <f>IF(INDEX(学年度总表!$H$3:$H$1025,MATCH($E99,学年度总表!$E$3:$E$1025,0))="","",INDEX(学年度总表!$H$3:$H$1025,MATCH($E99,学年度总表!$E$3:$E$1025,0)))</f>
        <v>57.658536585365901</v>
      </c>
      <c r="I99" s="3">
        <f>IF(INDEX(学年度总表!$I$3:$I$1025,MATCH($E99,学年度总表!$E$3:$E$1025,0))="","",INDEX(学年度总表!$I$3:$I$1025,MATCH($E99,学年度总表!$E$3:$E$1025,0)))</f>
        <v>4.5</v>
      </c>
      <c r="J99" s="3">
        <f>IF(INDEX(学年度总表!$J$3:$J$1025,MATCH($E99,学年度总表!$E$3:$E$1025,0))="","",INDEX(学年度总表!$J$3:$J$1025,MATCH($E99,学年度总表!$E$3:$E$1025,0)))</f>
        <v>72.760000000000005</v>
      </c>
      <c r="K99" s="3">
        <f>IF(INDEX(学年度总表!$K$3:$K$1025,MATCH($E99,学年度总表!$E$3:$E$1025,0))="","",INDEX(学年度总表!$K$3:$K$1025,MATCH($E99,学年度总表!$E$3:$E$1025,0)))</f>
        <v>9.8000000000000007</v>
      </c>
      <c r="L99" s="3">
        <f>IF(INDEX(学年度总表!$L$3:$L$1025,MATCH($E99,学年度总表!$E$3:$E$1025,0))="","",INDEX(学年度总表!$L$3:$L$1025,MATCH($E99,学年度总表!$E$3:$E$1025,0)))</f>
        <v>54.36</v>
      </c>
      <c r="M99" s="3">
        <f>IF(INDEX(学年度总表!$M$3:$M$1025,MATCH($E99,学年度总表!$E$3:$E$1025,0))="","",INDEX(学年度总表!$M$3:$M$1025,MATCH($E99,学年度总表!$E$3:$E$1025,0)))</f>
        <v>5.4</v>
      </c>
      <c r="N99" s="3">
        <f>IF(INDEX(学年度总表!$N$3:$N$1025,MATCH($E99,学年度总表!$E$3:$E$1025,0))="","",INDEX(学年度总表!$N$3:$N$1025,MATCH($E99,学年度总表!$E$3:$E$1025,0)))</f>
        <v>69.56</v>
      </c>
      <c r="O99" s="3">
        <f>IF(INDEX(学年度总表!$O$3:$O$1025,MATCH($E99,学年度总表!$E$3:$E$1025,0))="","",INDEX(学年度总表!$O$3:$O$1025,MATCH($E99,学年度总表!$E$3:$E$1025,0)))</f>
        <v>142.32</v>
      </c>
      <c r="P99" s="2" t="str">
        <f>IF(INDEX(学年度总表!$P$3:$P$1025,MATCH($E99,学年度总表!$E$3:$E$1025,0))="","",INDEX(学年度总表!$P$3:$P$1025,MATCH($E99,学年度总表!$E$3:$E$1025,0)))</f>
        <v/>
      </c>
      <c r="Q99" s="5" t="str">
        <f>IF(INDEX(学年度总表!$Q$3:$Q$1025,MATCH($E99,学年度总表!$E$3:$E$1025,0))="","",INDEX(学年度总表!$Q$3:$Q$1025,MATCH($E99,学年度总表!$E$3:$E$1025,0)))</f>
        <v/>
      </c>
    </row>
    <row r="100" spans="1:17">
      <c r="A100" s="2">
        <f>IF(INDEX(学年度总表!$A$3:$A$1025,MATCH($E100,学年度总表!$E$3:$E$1025,0))="","",INDEX(学年度总表!$A$3:$A$1025,MATCH($E100,学年度总表!$E$3:$E$1025,0)))</f>
        <v>456</v>
      </c>
      <c r="B100" s="2">
        <f>IF(INDEX(学年度总表!$B$3:$B$1025,MATCH($E100,学年度总表!$E$3:$E$1025,0))="","",INDEX(学年度总表!$B$3:$B$1025,MATCH($E100,学年度总表!$E$3:$E$1025,0)))</f>
        <v>98</v>
      </c>
      <c r="C100" s="2" t="str">
        <f>IF(INDEX(学年度总表!$C$3:$C$1025,MATCH($E100,学年度总表!$E$3:$E$1025,0))="","",INDEX(学年度总表!$C$3:$C$1025,MATCH($E100,学年度总表!$E$3:$E$1025,0)))</f>
        <v>计科</v>
      </c>
      <c r="D100" s="2" t="str">
        <f>IF(INDEX(学年度总表!$D$3:$D$1025,MATCH($E100,学年度总表!$E$3:$E$1025,0))="","",INDEX(学年度总表!$D$3:$D$1025,MATCH($E100,学年度总表!$E$3:$E$1025,0)))</f>
        <v>计科三班</v>
      </c>
      <c r="E100" s="2" t="s">
        <v>974</v>
      </c>
      <c r="F100" s="2" t="str">
        <f>IF(INDEX(学年度总表!$F$3:$F$1025,MATCH($E100,学年度总表!$E$3:$E$1025,0))="","",INDEX(学年度总表!$F$3:$F$1025,MATCH($E100,学年度总表!$E$3:$E$1025,0)))</f>
        <v>刘佳琦</v>
      </c>
      <c r="G100" s="3">
        <f>IF(INDEX(学年度总表!$G$3:$G$1025,MATCH($E100,学年度总表!$E$3:$E$1025,0))="","",INDEX(学年度总表!$G$3:$G$1025,MATCH($E100,学年度总表!$E$3:$E$1025,0)))</f>
        <v>9.8000000000000007</v>
      </c>
      <c r="H100" s="3">
        <f>IF(INDEX(学年度总表!$H$3:$H$1025,MATCH($E100,学年度总表!$E$3:$E$1025,0))="","",INDEX(学年度总表!$H$3:$H$1025,MATCH($E100,学年度总表!$E$3:$E$1025,0)))</f>
        <v>56.357142857142797</v>
      </c>
      <c r="I100" s="3">
        <f>IF(INDEX(学年度总表!$I$3:$I$1025,MATCH($E100,学年度总表!$E$3:$E$1025,0))="","",INDEX(学年度总表!$I$3:$I$1025,MATCH($E100,学年度总表!$E$3:$E$1025,0)))</f>
        <v>4.7</v>
      </c>
      <c r="J100" s="3">
        <f>IF(INDEX(学年度总表!$J$3:$J$1025,MATCH($E100,学年度总表!$E$3:$E$1025,0))="","",INDEX(学年度总表!$J$3:$J$1025,MATCH($E100,学年度总表!$E$3:$E$1025,0)))</f>
        <v>70.86</v>
      </c>
      <c r="K100" s="3">
        <f>IF(INDEX(学年度总表!$K$3:$K$1025,MATCH($E100,学年度总表!$E$3:$E$1025,0))="","",INDEX(学年度总表!$K$3:$K$1025,MATCH($E100,学年度总表!$E$3:$E$1025,0)))</f>
        <v>9</v>
      </c>
      <c r="L100" s="3">
        <f>IF(INDEX(学年度总表!$L$3:$L$1025,MATCH($E100,学年度总表!$E$3:$E$1025,0))="","",INDEX(学年度总表!$L$3:$L$1025,MATCH($E100,学年度总表!$E$3:$E$1025,0)))</f>
        <v>56.34</v>
      </c>
      <c r="M100" s="3">
        <f>IF(INDEX(学年度总表!$M$3:$M$1025,MATCH($E100,学年度总表!$E$3:$E$1025,0))="","",INDEX(学年度总表!$M$3:$M$1025,MATCH($E100,学年度总表!$E$3:$E$1025,0)))</f>
        <v>5.4</v>
      </c>
      <c r="N100" s="3">
        <f>IF(INDEX(学年度总表!$N$3:$N$1025,MATCH($E100,学年度总表!$E$3:$E$1025,0))="","",INDEX(学年度总表!$N$3:$N$1025,MATCH($E100,学年度总表!$E$3:$E$1025,0)))</f>
        <v>70.739999999999995</v>
      </c>
      <c r="O100" s="3">
        <f>IF(INDEX(学年度总表!$O$3:$O$1025,MATCH($E100,学年度总表!$E$3:$E$1025,0))="","",INDEX(学年度总表!$O$3:$O$1025,MATCH($E100,学年度总表!$E$3:$E$1025,0)))</f>
        <v>141.6</v>
      </c>
      <c r="P100" s="2" t="str">
        <f>IF(INDEX(学年度总表!$P$3:$P$1025,MATCH($E100,学年度总表!$E$3:$E$1025,0))="","",INDEX(学年度总表!$P$3:$P$1025,MATCH($E100,学年度总表!$E$3:$E$1025,0)))</f>
        <v/>
      </c>
      <c r="Q100" s="5" t="str">
        <f>IF(INDEX(学年度总表!$Q$3:$Q$1025,MATCH($E100,学年度总表!$E$3:$E$1025,0))="","",INDEX(学年度总表!$Q$3:$Q$1025,MATCH($E100,学年度总表!$E$3:$E$1025,0)))</f>
        <v/>
      </c>
    </row>
    <row r="101" spans="1:17">
      <c r="A101" s="2">
        <f>IF(INDEX(学年度总表!$A$3:$A$1025,MATCH($E101,学年度总表!$E$3:$E$1025,0))="","",INDEX(学年度总表!$A$3:$A$1025,MATCH($E101,学年度总表!$E$3:$E$1025,0)))</f>
        <v>459</v>
      </c>
      <c r="B101" s="2">
        <f>IF(INDEX(学年度总表!$B$3:$B$1025,MATCH($E101,学年度总表!$E$3:$E$1025,0))="","",INDEX(学年度总表!$B$3:$B$1025,MATCH($E101,学年度总表!$E$3:$E$1025,0)))</f>
        <v>99</v>
      </c>
      <c r="C101" s="2" t="str">
        <f>IF(INDEX(学年度总表!$C$3:$C$1025,MATCH($E101,学年度总表!$E$3:$E$1025,0))="","",INDEX(学年度总表!$C$3:$C$1025,MATCH($E101,学年度总表!$E$3:$E$1025,0)))</f>
        <v>计科</v>
      </c>
      <c r="D101" s="2" t="str">
        <f>IF(INDEX(学年度总表!$D$3:$D$1025,MATCH($E101,学年度总表!$E$3:$E$1025,0))="","",INDEX(学年度总表!$D$3:$D$1025,MATCH($E101,学年度总表!$E$3:$E$1025,0)))</f>
        <v>计科四班</v>
      </c>
      <c r="E101" s="2" t="s">
        <v>980</v>
      </c>
      <c r="F101" s="2" t="str">
        <f>IF(INDEX(学年度总表!$F$3:$F$1025,MATCH($E101,学年度总表!$E$3:$E$1025,0))="","",INDEX(学年度总表!$F$3:$F$1025,MATCH($E101,学年度总表!$E$3:$E$1025,0)))</f>
        <v>金雷</v>
      </c>
      <c r="G101" s="3">
        <f>IF(INDEX(学年度总表!$G$3:$G$1025,MATCH($E101,学年度总表!$E$3:$E$1025,0))="","",INDEX(学年度总表!$G$3:$G$1025,MATCH($E101,学年度总表!$E$3:$E$1025,0)))</f>
        <v>9.8000000000000007</v>
      </c>
      <c r="H101" s="3">
        <f>IF(INDEX(学年度总表!$H$3:$H$1025,MATCH($E101,学年度总表!$E$3:$E$1025,0))="","",INDEX(学年度总表!$H$3:$H$1025,MATCH($E101,学年度总表!$E$3:$E$1025,0)))</f>
        <v>58.219512195122</v>
      </c>
      <c r="I101" s="3">
        <f>IF(INDEX(学年度总表!$I$3:$I$1025,MATCH($E101,学年度总表!$E$3:$E$1025,0))="","",INDEX(学年度总表!$I$3:$I$1025,MATCH($E101,学年度总表!$E$3:$E$1025,0)))</f>
        <v>4.2</v>
      </c>
      <c r="J101" s="3">
        <f>IF(INDEX(学年度总表!$J$3:$J$1025,MATCH($E101,学年度总表!$E$3:$E$1025,0))="","",INDEX(学年度总表!$J$3:$J$1025,MATCH($E101,学年度总表!$E$3:$E$1025,0)))</f>
        <v>72.22</v>
      </c>
      <c r="K101" s="3">
        <f>IF(INDEX(学年度总表!$K$3:$K$1025,MATCH($E101,学年度总表!$E$3:$E$1025,0))="","",INDEX(学年度总表!$K$3:$K$1025,MATCH($E101,学年度总表!$E$3:$E$1025,0)))</f>
        <v>9.8000000000000007</v>
      </c>
      <c r="L101" s="3">
        <f>IF(INDEX(学年度总表!$L$3:$L$1025,MATCH($E101,学年度总表!$E$3:$E$1025,0))="","",INDEX(学年度总表!$L$3:$L$1025,MATCH($E101,学年度总表!$E$3:$E$1025,0)))</f>
        <v>55.48</v>
      </c>
      <c r="M101" s="3">
        <f>IF(INDEX(学年度总表!$M$3:$M$1025,MATCH($E101,学年度总表!$E$3:$E$1025,0))="","",INDEX(学年度总表!$M$3:$M$1025,MATCH($E101,学年度总表!$E$3:$E$1025,0)))</f>
        <v>4</v>
      </c>
      <c r="N101" s="3">
        <f>IF(INDEX(学年度总表!$N$3:$N$1025,MATCH($E101,学年度总表!$E$3:$E$1025,0))="","",INDEX(学年度总表!$N$3:$N$1025,MATCH($E101,学年度总表!$E$3:$E$1025,0)))</f>
        <v>69.28</v>
      </c>
      <c r="O101" s="3">
        <f>IF(INDEX(学年度总表!$O$3:$O$1025,MATCH($E101,学年度总表!$E$3:$E$1025,0))="","",INDEX(学年度总表!$O$3:$O$1025,MATCH($E101,学年度总表!$E$3:$E$1025,0)))</f>
        <v>141.5</v>
      </c>
      <c r="P101" s="2" t="str">
        <f>IF(INDEX(学年度总表!$P$3:$P$1025,MATCH($E101,学年度总表!$E$3:$E$1025,0))="","",INDEX(学年度总表!$P$3:$P$1025,MATCH($E101,学年度总表!$E$3:$E$1025,0)))</f>
        <v/>
      </c>
      <c r="Q101" s="5" t="str">
        <f>IF(INDEX(学年度总表!$Q$3:$Q$1025,MATCH($E101,学年度总表!$E$3:$E$1025,0))="","",INDEX(学年度总表!$Q$3:$Q$1025,MATCH($E101,学年度总表!$E$3:$E$1025,0)))</f>
        <v/>
      </c>
    </row>
    <row r="102" spans="1:17">
      <c r="A102" s="2">
        <f>IF(INDEX(学年度总表!$A$3:$A$1025,MATCH($E102,学年度总表!$E$3:$E$1025,0))="","",INDEX(学年度总表!$A$3:$A$1025,MATCH($E102,学年度总表!$E$3:$E$1025,0)))</f>
        <v>464</v>
      </c>
      <c r="B102" s="2">
        <f>IF(INDEX(学年度总表!$B$3:$B$1025,MATCH($E102,学年度总表!$E$3:$E$1025,0))="","",INDEX(学年度总表!$B$3:$B$1025,MATCH($E102,学年度总表!$E$3:$E$1025,0)))</f>
        <v>100</v>
      </c>
      <c r="C102" s="2" t="str">
        <f>IF(INDEX(学年度总表!$C$3:$C$1025,MATCH($E102,学年度总表!$E$3:$E$1025,0))="","",INDEX(学年度总表!$C$3:$C$1025,MATCH($E102,学年度总表!$E$3:$E$1025,0)))</f>
        <v>计科</v>
      </c>
      <c r="D102" s="2" t="str">
        <f>IF(INDEX(学年度总表!$D$3:$D$1025,MATCH($E102,学年度总表!$E$3:$E$1025,0))="","",INDEX(学年度总表!$D$3:$D$1025,MATCH($E102,学年度总表!$E$3:$E$1025,0)))</f>
        <v>计科四班</v>
      </c>
      <c r="E102" s="2" t="s">
        <v>990</v>
      </c>
      <c r="F102" s="2" t="str">
        <f>IF(INDEX(学年度总表!$F$3:$F$1025,MATCH($E102,学年度总表!$E$3:$E$1025,0))="","",INDEX(学年度总表!$F$3:$F$1025,MATCH($E102,学年度总表!$E$3:$E$1025,0)))</f>
        <v>孟子程</v>
      </c>
      <c r="G102" s="3">
        <f>IF(INDEX(学年度总表!$G$3:$G$1025,MATCH($E102,学年度总表!$E$3:$E$1025,0))="","",INDEX(学年度总表!$G$3:$G$1025,MATCH($E102,学年度总表!$E$3:$E$1025,0)))</f>
        <v>10</v>
      </c>
      <c r="H102" s="3">
        <f>IF(INDEX(学年度总表!$H$3:$H$1025,MATCH($E102,学年度总表!$E$3:$E$1025,0))="","",INDEX(学年度总表!$H$3:$H$1025,MATCH($E102,学年度总表!$E$3:$E$1025,0)))</f>
        <v>55.646341463414601</v>
      </c>
      <c r="I102" s="3">
        <f>IF(INDEX(学年度总表!$I$3:$I$1025,MATCH($E102,学年度总表!$E$3:$E$1025,0))="","",INDEX(学年度总表!$I$3:$I$1025,MATCH($E102,学年度总表!$E$3:$E$1025,0)))</f>
        <v>5.0999999999999996</v>
      </c>
      <c r="J102" s="3">
        <f>IF(INDEX(学年度总表!$J$3:$J$1025,MATCH($E102,学年度总表!$E$3:$E$1025,0))="","",INDEX(学年度总表!$J$3:$J$1025,MATCH($E102,学年度总表!$E$3:$E$1025,0)))</f>
        <v>70.75</v>
      </c>
      <c r="K102" s="3">
        <f>IF(INDEX(学年度总表!$K$3:$K$1025,MATCH($E102,学年度总表!$E$3:$E$1025,0))="","",INDEX(学年度总表!$K$3:$K$1025,MATCH($E102,学年度总表!$E$3:$E$1025,0)))</f>
        <v>10</v>
      </c>
      <c r="L102" s="3">
        <f>IF(INDEX(学年度总表!$L$3:$L$1025,MATCH($E102,学年度总表!$E$3:$E$1025,0))="","",INDEX(学年度总表!$L$3:$L$1025,MATCH($E102,学年度总表!$E$3:$E$1025,0)))</f>
        <v>54.18</v>
      </c>
      <c r="M102" s="3">
        <f>IF(INDEX(学年度总表!$M$3:$M$1025,MATCH($E102,学年度总表!$E$3:$E$1025,0))="","",INDEX(学年度总表!$M$3:$M$1025,MATCH($E102,学年度总表!$E$3:$E$1025,0)))</f>
        <v>6.3</v>
      </c>
      <c r="N102" s="3">
        <f>IF(INDEX(学年度总表!$N$3:$N$1025,MATCH($E102,学年度总表!$E$3:$E$1025,0))="","",INDEX(学年度总表!$N$3:$N$1025,MATCH($E102,学年度总表!$E$3:$E$1025,0)))</f>
        <v>70.48</v>
      </c>
      <c r="O102" s="3">
        <f>IF(INDEX(学年度总表!$O$3:$O$1025,MATCH($E102,学年度总表!$E$3:$E$1025,0))="","",INDEX(学年度总表!$O$3:$O$1025,MATCH($E102,学年度总表!$E$3:$E$1025,0)))</f>
        <v>141.22999999999999</v>
      </c>
      <c r="P102" s="2" t="str">
        <f>IF(INDEX(学年度总表!$P$3:$P$1025,MATCH($E102,学年度总表!$E$3:$E$1025,0))="","",INDEX(学年度总表!$P$3:$P$1025,MATCH($E102,学年度总表!$E$3:$E$1025,0)))</f>
        <v/>
      </c>
      <c r="Q102" s="5" t="str">
        <f>IF(INDEX(学年度总表!$Q$3:$Q$1025,MATCH($E102,学年度总表!$E$3:$E$1025,0))="","",INDEX(学年度总表!$Q$3:$Q$1025,MATCH($E102,学年度总表!$E$3:$E$1025,0)))</f>
        <v/>
      </c>
    </row>
    <row r="103" spans="1:17">
      <c r="A103" s="2">
        <f>IF(INDEX(学年度总表!$A$3:$A$1025,MATCH($E103,学年度总表!$E$3:$E$1025,0))="","",INDEX(学年度总表!$A$3:$A$1025,MATCH($E103,学年度总表!$E$3:$E$1025,0)))</f>
        <v>469</v>
      </c>
      <c r="B103" s="2">
        <f>IF(INDEX(学年度总表!$B$3:$B$1025,MATCH($E103,学年度总表!$E$3:$E$1025,0))="","",INDEX(学年度总表!$B$3:$B$1025,MATCH($E103,学年度总表!$E$3:$E$1025,0)))</f>
        <v>101</v>
      </c>
      <c r="C103" s="2" t="str">
        <f>IF(INDEX(学年度总表!$C$3:$C$1025,MATCH($E103,学年度总表!$E$3:$E$1025,0))="","",INDEX(学年度总表!$C$3:$C$1025,MATCH($E103,学年度总表!$E$3:$E$1025,0)))</f>
        <v>计科</v>
      </c>
      <c r="D103" s="2" t="str">
        <f>IF(INDEX(学年度总表!$D$3:$D$1025,MATCH($E103,学年度总表!$E$3:$E$1025,0))="","",INDEX(学年度总表!$D$3:$D$1025,MATCH($E103,学年度总表!$E$3:$E$1025,0)))</f>
        <v>计科一班</v>
      </c>
      <c r="E103" s="2" t="s">
        <v>1000</v>
      </c>
      <c r="F103" s="2" t="str">
        <f>IF(INDEX(学年度总表!$F$3:$F$1025,MATCH($E103,学年度总表!$E$3:$E$1025,0))="","",INDEX(学年度总表!$F$3:$F$1025,MATCH($E103,学年度总表!$E$3:$E$1025,0)))</f>
        <v>彭圣彤</v>
      </c>
      <c r="G103" s="3">
        <f>IF(INDEX(学年度总表!$G$3:$G$1025,MATCH($E103,学年度总表!$E$3:$E$1025,0))="","",INDEX(学年度总表!$G$3:$G$1025,MATCH($E103,学年度总表!$E$3:$E$1025,0)))</f>
        <v>10.8</v>
      </c>
      <c r="H103" s="3">
        <f>IF(INDEX(学年度总表!$H$3:$H$1025,MATCH($E103,学年度总表!$E$3:$E$1025,0))="","",INDEX(学年度总表!$H$3:$H$1025,MATCH($E103,学年度总表!$E$3:$E$1025,0)))</f>
        <v>58.658536585365901</v>
      </c>
      <c r="I103" s="3">
        <f>IF(INDEX(学年度总表!$I$3:$I$1025,MATCH($E103,学年度总表!$E$3:$E$1025,0))="","",INDEX(学年度总表!$I$3:$I$1025,MATCH($E103,学年度总表!$E$3:$E$1025,0)))</f>
        <v>3.6</v>
      </c>
      <c r="J103" s="3">
        <f>IF(INDEX(学年度总表!$J$3:$J$1025,MATCH($E103,学年度总表!$E$3:$E$1025,0))="","",INDEX(学年度总表!$J$3:$J$1025,MATCH($E103,学年度总表!$E$3:$E$1025,0)))</f>
        <v>73.06</v>
      </c>
      <c r="K103" s="3">
        <f>IF(INDEX(学年度总表!$K$3:$K$1025,MATCH($E103,学年度总表!$E$3:$E$1025,0))="","",INDEX(学年度总表!$K$3:$K$1025,MATCH($E103,学年度总表!$E$3:$E$1025,0)))</f>
        <v>9.8000000000000007</v>
      </c>
      <c r="L103" s="3">
        <f>IF(INDEX(学年度总表!$L$3:$L$1025,MATCH($E103,学年度总表!$E$3:$E$1025,0))="","",INDEX(学年度总表!$L$3:$L$1025,MATCH($E103,学年度总表!$E$3:$E$1025,0)))</f>
        <v>54.56</v>
      </c>
      <c r="M103" s="3">
        <f>IF(INDEX(学年度总表!$M$3:$M$1025,MATCH($E103,学年度总表!$E$3:$E$1025,0))="","",INDEX(学年度总表!$M$3:$M$1025,MATCH($E103,学年度总表!$E$3:$E$1025,0)))</f>
        <v>3.5</v>
      </c>
      <c r="N103" s="3">
        <f>IF(INDEX(学年度总表!$N$3:$N$1025,MATCH($E103,学年度总表!$E$3:$E$1025,0))="","",INDEX(学年度总表!$N$3:$N$1025,MATCH($E103,学年度总表!$E$3:$E$1025,0)))</f>
        <v>67.86</v>
      </c>
      <c r="O103" s="3">
        <f>IF(INDEX(学年度总表!$O$3:$O$1025,MATCH($E103,学年度总表!$E$3:$E$1025,0))="","",INDEX(学年度总表!$O$3:$O$1025,MATCH($E103,学年度总表!$E$3:$E$1025,0)))</f>
        <v>140.91999999999999</v>
      </c>
      <c r="P103" s="2" t="str">
        <f>IF(INDEX(学年度总表!$P$3:$P$1025,MATCH($E103,学年度总表!$E$3:$E$1025,0))="","",INDEX(学年度总表!$P$3:$P$1025,MATCH($E103,学年度总表!$E$3:$E$1025,0)))</f>
        <v/>
      </c>
      <c r="Q103" s="5" t="str">
        <f>IF(INDEX(学年度总表!$Q$3:$Q$1025,MATCH($E103,学年度总表!$E$3:$E$1025,0))="","",INDEX(学年度总表!$Q$3:$Q$1025,MATCH($E103,学年度总表!$E$3:$E$1025,0)))</f>
        <v/>
      </c>
    </row>
    <row r="104" spans="1:17">
      <c r="A104" s="2">
        <f>IF(INDEX(学年度总表!$A$3:$A$1025,MATCH($E104,学年度总表!$E$3:$E$1025,0))="","",INDEX(学年度总表!$A$3:$A$1025,MATCH($E104,学年度总表!$E$3:$E$1025,0)))</f>
        <v>472</v>
      </c>
      <c r="B104" s="2">
        <f>IF(INDEX(学年度总表!$B$3:$B$1025,MATCH($E104,学年度总表!$E$3:$E$1025,0))="","",INDEX(学年度总表!$B$3:$B$1025,MATCH($E104,学年度总表!$E$3:$E$1025,0)))</f>
        <v>102</v>
      </c>
      <c r="C104" s="2" t="str">
        <f>IF(INDEX(学年度总表!$C$3:$C$1025,MATCH($E104,学年度总表!$E$3:$E$1025,0))="","",INDEX(学年度总表!$C$3:$C$1025,MATCH($E104,学年度总表!$E$3:$E$1025,0)))</f>
        <v>计科</v>
      </c>
      <c r="D104" s="2" t="str">
        <f>IF(INDEX(学年度总表!$D$3:$D$1025,MATCH($E104,学年度总表!$E$3:$E$1025,0))="","",INDEX(学年度总表!$D$3:$D$1025,MATCH($E104,学年度总表!$E$3:$E$1025,0)))</f>
        <v>计科三班</v>
      </c>
      <c r="E104" s="2" t="s">
        <v>1006</v>
      </c>
      <c r="F104" s="2" t="str">
        <f>IF(INDEX(学年度总表!$F$3:$F$1025,MATCH($E104,学年度总表!$E$3:$E$1025,0))="","",INDEX(学年度总表!$F$3:$F$1025,MATCH($E104,学年度总表!$E$3:$E$1025,0)))</f>
        <v>张艺琳</v>
      </c>
      <c r="G104" s="3">
        <f>IF(INDEX(学年度总表!$G$3:$G$1025,MATCH($E104,学年度总表!$E$3:$E$1025,0))="","",INDEX(学年度总表!$G$3:$G$1025,MATCH($E104,学年度总表!$E$3:$E$1025,0)))</f>
        <v>10.3</v>
      </c>
      <c r="H104" s="3">
        <f>IF(INDEX(学年度总表!$H$3:$H$1025,MATCH($E104,学年度总表!$E$3:$E$1025,0))="","",INDEX(学年度总表!$H$3:$H$1025,MATCH($E104,学年度总表!$E$3:$E$1025,0)))</f>
        <v>54.439024390243901</v>
      </c>
      <c r="I104" s="3">
        <f>IF(INDEX(学年度总表!$I$3:$I$1025,MATCH($E104,学年度总表!$E$3:$E$1025,0))="","",INDEX(学年度总表!$I$3:$I$1025,MATCH($E104,学年度总表!$E$3:$E$1025,0)))</f>
        <v>4</v>
      </c>
      <c r="J104" s="3">
        <f>IF(INDEX(学年度总表!$J$3:$J$1025,MATCH($E104,学年度总表!$E$3:$E$1025,0))="","",INDEX(学年度总表!$J$3:$J$1025,MATCH($E104,学年度总表!$E$3:$E$1025,0)))</f>
        <v>68.739999999999995</v>
      </c>
      <c r="K104" s="3">
        <f>IF(INDEX(学年度总表!$K$3:$K$1025,MATCH($E104,学年度总表!$E$3:$E$1025,0))="","",INDEX(学年度总表!$K$3:$K$1025,MATCH($E104,学年度总表!$E$3:$E$1025,0)))</f>
        <v>9</v>
      </c>
      <c r="L104" s="3">
        <f>IF(INDEX(学年度总表!$L$3:$L$1025,MATCH($E104,学年度总表!$E$3:$E$1025,0))="","",INDEX(学年度总表!$L$3:$L$1025,MATCH($E104,学年度总表!$E$3:$E$1025,0)))</f>
        <v>57.61</v>
      </c>
      <c r="M104" s="3">
        <f>IF(INDEX(学年度总表!$M$3:$M$1025,MATCH($E104,学年度总表!$E$3:$E$1025,0))="","",INDEX(学年度总表!$M$3:$M$1025,MATCH($E104,学年度总表!$E$3:$E$1025,0)))</f>
        <v>5.5</v>
      </c>
      <c r="N104" s="3">
        <f>IF(INDEX(学年度总表!$N$3:$N$1025,MATCH($E104,学年度总表!$E$3:$E$1025,0))="","",INDEX(学年度总表!$N$3:$N$1025,MATCH($E104,学年度总表!$E$3:$E$1025,0)))</f>
        <v>72.11</v>
      </c>
      <c r="O104" s="3">
        <f>IF(INDEX(学年度总表!$O$3:$O$1025,MATCH($E104,学年度总表!$E$3:$E$1025,0))="","",INDEX(学年度总表!$O$3:$O$1025,MATCH($E104,学年度总表!$E$3:$E$1025,0)))</f>
        <v>140.85</v>
      </c>
      <c r="P104" s="2" t="str">
        <f>IF(INDEX(学年度总表!$P$3:$P$1025,MATCH($E104,学年度总表!$E$3:$E$1025,0))="","",INDEX(学年度总表!$P$3:$P$1025,MATCH($E104,学年度总表!$E$3:$E$1025,0)))</f>
        <v/>
      </c>
      <c r="Q104" s="5" t="str">
        <f>IF(INDEX(学年度总表!$Q$3:$Q$1025,MATCH($E104,学年度总表!$E$3:$E$1025,0))="","",INDEX(学年度总表!$Q$3:$Q$1025,MATCH($E104,学年度总表!$E$3:$E$1025,0)))</f>
        <v/>
      </c>
    </row>
    <row r="105" spans="1:17">
      <c r="A105" s="2">
        <f>IF(INDEX(学年度总表!$A$3:$A$1025,MATCH($E105,学年度总表!$E$3:$E$1025,0))="","",INDEX(学年度总表!$A$3:$A$1025,MATCH($E105,学年度总表!$E$3:$E$1025,0)))</f>
        <v>483</v>
      </c>
      <c r="B105" s="2">
        <f>IF(INDEX(学年度总表!$B$3:$B$1025,MATCH($E105,学年度总表!$E$3:$E$1025,0))="","",INDEX(学年度总表!$B$3:$B$1025,MATCH($E105,学年度总表!$E$3:$E$1025,0)))</f>
        <v>103</v>
      </c>
      <c r="C105" s="2" t="str">
        <f>IF(INDEX(学年度总表!$C$3:$C$1025,MATCH($E105,学年度总表!$E$3:$E$1025,0))="","",INDEX(学年度总表!$C$3:$C$1025,MATCH($E105,学年度总表!$E$3:$E$1025,0)))</f>
        <v>计科</v>
      </c>
      <c r="D105" s="2" t="str">
        <f>IF(INDEX(学年度总表!$D$3:$D$1025,MATCH($E105,学年度总表!$E$3:$E$1025,0))="","",INDEX(学年度总表!$D$3:$D$1025,MATCH($E105,学年度总表!$E$3:$E$1025,0)))</f>
        <v>计科四班</v>
      </c>
      <c r="E105" s="2" t="s">
        <v>1028</v>
      </c>
      <c r="F105" s="2" t="str">
        <f>IF(INDEX(学年度总表!$F$3:$F$1025,MATCH($E105,学年度总表!$E$3:$E$1025,0))="","",INDEX(学年度总表!$F$3:$F$1025,MATCH($E105,学年度总表!$E$3:$E$1025,0)))</f>
        <v>范栋天</v>
      </c>
      <c r="G105" s="3">
        <f>IF(INDEX(学年度总表!$G$3:$G$1025,MATCH($E105,学年度总表!$E$3:$E$1025,0))="","",INDEX(学年度总表!$G$3:$G$1025,MATCH($E105,学年度总表!$E$3:$E$1025,0)))</f>
        <v>9.8000000000000007</v>
      </c>
      <c r="H105" s="3">
        <f>IF(INDEX(学年度总表!$H$3:$H$1025,MATCH($E105,学年度总表!$E$3:$E$1025,0))="","",INDEX(学年度总表!$H$3:$H$1025,MATCH($E105,学年度总表!$E$3:$E$1025,0)))</f>
        <v>58</v>
      </c>
      <c r="I105" s="3">
        <f>IF(INDEX(学年度总表!$I$3:$I$1025,MATCH($E105,学年度总表!$E$3:$E$1025,0))="","",INDEX(学年度总表!$I$3:$I$1025,MATCH($E105,学年度总表!$E$3:$E$1025,0)))</f>
        <v>3</v>
      </c>
      <c r="J105" s="3">
        <f>IF(INDEX(学年度总表!$J$3:$J$1025,MATCH($E105,学年度总表!$E$3:$E$1025,0))="","",INDEX(学年度总表!$J$3:$J$1025,MATCH($E105,学年度总表!$E$3:$E$1025,0)))</f>
        <v>70.8</v>
      </c>
      <c r="K105" s="3">
        <f>IF(INDEX(学年度总表!$K$3:$K$1025,MATCH($E105,学年度总表!$E$3:$E$1025,0))="","",INDEX(学年度总表!$K$3:$K$1025,MATCH($E105,学年度总表!$E$3:$E$1025,0)))</f>
        <v>9.8000000000000007</v>
      </c>
      <c r="L105" s="3">
        <f>IF(INDEX(学年度总表!$L$3:$L$1025,MATCH($E105,学年度总表!$E$3:$E$1025,0))="","",INDEX(学年度总表!$L$3:$L$1025,MATCH($E105,学年度总表!$E$3:$E$1025,0)))</f>
        <v>56.45</v>
      </c>
      <c r="M105" s="3">
        <f>IF(INDEX(学年度总表!$M$3:$M$1025,MATCH($E105,学年度总表!$E$3:$E$1025,0))="","",INDEX(学年度总表!$M$3:$M$1025,MATCH($E105,学年度总表!$E$3:$E$1025,0)))</f>
        <v>3.5</v>
      </c>
      <c r="N105" s="3">
        <f>IF(INDEX(学年度总表!$N$3:$N$1025,MATCH($E105,学年度总表!$E$3:$E$1025,0))="","",INDEX(学年度总表!$N$3:$N$1025,MATCH($E105,学年度总表!$E$3:$E$1025,0)))</f>
        <v>69.75</v>
      </c>
      <c r="O105" s="3">
        <f>IF(INDEX(学年度总表!$O$3:$O$1025,MATCH($E105,学年度总表!$E$3:$E$1025,0))="","",INDEX(学年度总表!$O$3:$O$1025,MATCH($E105,学年度总表!$E$3:$E$1025,0)))</f>
        <v>140.55000000000001</v>
      </c>
      <c r="P105" s="2" t="str">
        <f>IF(INDEX(学年度总表!$P$3:$P$1025,MATCH($E105,学年度总表!$E$3:$E$1025,0))="","",INDEX(学年度总表!$P$3:$P$1025,MATCH($E105,学年度总表!$E$3:$E$1025,0)))</f>
        <v/>
      </c>
      <c r="Q105" s="5" t="str">
        <f>IF(INDEX(学年度总表!$Q$3:$Q$1025,MATCH($E105,学年度总表!$E$3:$E$1025,0))="","",INDEX(学年度总表!$Q$3:$Q$1025,MATCH($E105,学年度总表!$E$3:$E$1025,0)))</f>
        <v/>
      </c>
    </row>
    <row r="106" spans="1:17">
      <c r="A106" s="2">
        <f>IF(INDEX(学年度总表!$A$3:$A$1025,MATCH($E106,学年度总表!$E$3:$E$1025,0))="","",INDEX(学年度总表!$A$3:$A$1025,MATCH($E106,学年度总表!$E$3:$E$1025,0)))</f>
        <v>489</v>
      </c>
      <c r="B106" s="2">
        <f>IF(INDEX(学年度总表!$B$3:$B$1025,MATCH($E106,学年度总表!$E$3:$E$1025,0))="","",INDEX(学年度总表!$B$3:$B$1025,MATCH($E106,学年度总表!$E$3:$E$1025,0)))</f>
        <v>104</v>
      </c>
      <c r="C106" s="2" t="str">
        <f>IF(INDEX(学年度总表!$C$3:$C$1025,MATCH($E106,学年度总表!$E$3:$E$1025,0))="","",INDEX(学年度总表!$C$3:$C$1025,MATCH($E106,学年度总表!$E$3:$E$1025,0)))</f>
        <v>计科</v>
      </c>
      <c r="D106" s="2" t="str">
        <f>IF(INDEX(学年度总表!$D$3:$D$1025,MATCH($E106,学年度总表!$E$3:$E$1025,0))="","",INDEX(学年度总表!$D$3:$D$1025,MATCH($E106,学年度总表!$E$3:$E$1025,0)))</f>
        <v>计科一班</v>
      </c>
      <c r="E106" s="2" t="s">
        <v>1040</v>
      </c>
      <c r="F106" s="2" t="str">
        <f>IF(INDEX(学年度总表!$F$3:$F$1025,MATCH($E106,学年度总表!$E$3:$E$1025,0))="","",INDEX(学年度总表!$F$3:$F$1025,MATCH($E106,学年度总表!$E$3:$E$1025,0)))</f>
        <v>李宸钰</v>
      </c>
      <c r="G106" s="3">
        <f>IF(INDEX(学年度总表!$G$3:$G$1025,MATCH($E106,学年度总表!$E$3:$E$1025,0))="","",INDEX(学年度总表!$G$3:$G$1025,MATCH($E106,学年度总表!$E$3:$E$1025,0)))</f>
        <v>9.6</v>
      </c>
      <c r="H106" s="3">
        <f>IF(INDEX(学年度总表!$H$3:$H$1025,MATCH($E106,学年度总表!$E$3:$E$1025,0))="","",INDEX(学年度总表!$H$3:$H$1025,MATCH($E106,学年度总表!$E$3:$E$1025,0)))</f>
        <v>60.817073170731703</v>
      </c>
      <c r="I106" s="3">
        <f>IF(INDEX(学年度总表!$I$3:$I$1025,MATCH($E106,学年度总表!$E$3:$E$1025,0))="","",INDEX(学年度总表!$I$3:$I$1025,MATCH($E106,学年度总表!$E$3:$E$1025,0)))</f>
        <v>4.5999999999999996</v>
      </c>
      <c r="J106" s="3">
        <f>IF(INDEX(学年度总表!$J$3:$J$1025,MATCH($E106,学年度总表!$E$3:$E$1025,0))="","",INDEX(学年度总表!$J$3:$J$1025,MATCH($E106,学年度总表!$E$3:$E$1025,0)))</f>
        <v>75.02</v>
      </c>
      <c r="K106" s="3">
        <f>IF(INDEX(学年度总表!$K$3:$K$1025,MATCH($E106,学年度总表!$E$3:$E$1025,0))="","",INDEX(学年度总表!$K$3:$K$1025,MATCH($E106,学年度总表!$E$3:$E$1025,0)))</f>
        <v>10</v>
      </c>
      <c r="L106" s="3">
        <f>IF(INDEX(学年度总表!$L$3:$L$1025,MATCH($E106,学年度总表!$E$3:$E$1025,0))="","",INDEX(学年度总表!$L$3:$L$1025,MATCH($E106,学年度总表!$E$3:$E$1025,0)))</f>
        <v>51.31</v>
      </c>
      <c r="M106" s="3">
        <f>IF(INDEX(学年度总表!$M$3:$M$1025,MATCH($E106,学年度总表!$E$3:$E$1025,0))="","",INDEX(学年度总表!$M$3:$M$1025,MATCH($E106,学年度总表!$E$3:$E$1025,0)))</f>
        <v>4</v>
      </c>
      <c r="N106" s="3">
        <f>IF(INDEX(学年度总表!$N$3:$N$1025,MATCH($E106,学年度总表!$E$3:$E$1025,0))="","",INDEX(学年度总表!$N$3:$N$1025,MATCH($E106,学年度总表!$E$3:$E$1025,0)))</f>
        <v>65.31</v>
      </c>
      <c r="O106" s="3">
        <f>IF(INDEX(学年度总表!$O$3:$O$1025,MATCH($E106,学年度总表!$E$3:$E$1025,0))="","",INDEX(学年度总表!$O$3:$O$1025,MATCH($E106,学年度总表!$E$3:$E$1025,0)))</f>
        <v>140.33000000000001</v>
      </c>
      <c r="P106" s="2" t="str">
        <f>IF(INDEX(学年度总表!$P$3:$P$1025,MATCH($E106,学年度总表!$E$3:$E$1025,0))="","",INDEX(学年度总表!$P$3:$P$1025,MATCH($E106,学年度总表!$E$3:$E$1025,0)))</f>
        <v/>
      </c>
      <c r="Q106" s="5" t="str">
        <f>IF(INDEX(学年度总表!$Q$3:$Q$1025,MATCH($E106,学年度总表!$E$3:$E$1025,0))="","",INDEX(学年度总表!$Q$3:$Q$1025,MATCH($E106,学年度总表!$E$3:$E$1025,0)))</f>
        <v/>
      </c>
    </row>
    <row r="107" spans="1:17">
      <c r="A107" s="2">
        <f>IF(INDEX(学年度总表!$A$3:$A$1025,MATCH($E107,学年度总表!$E$3:$E$1025,0))="","",INDEX(学年度总表!$A$3:$A$1025,MATCH($E107,学年度总表!$E$3:$E$1025,0)))</f>
        <v>516</v>
      </c>
      <c r="B107" s="2">
        <f>IF(INDEX(学年度总表!$B$3:$B$1025,MATCH($E107,学年度总表!$E$3:$E$1025,0))="","",INDEX(学年度总表!$B$3:$B$1025,MATCH($E107,学年度总表!$E$3:$E$1025,0)))</f>
        <v>105</v>
      </c>
      <c r="C107" s="2" t="str">
        <f>IF(INDEX(学年度总表!$C$3:$C$1025,MATCH($E107,学年度总表!$E$3:$E$1025,0))="","",INDEX(学年度总表!$C$3:$C$1025,MATCH($E107,学年度总表!$E$3:$E$1025,0)))</f>
        <v>计科</v>
      </c>
      <c r="D107" s="2" t="str">
        <f>IF(INDEX(学年度总表!$D$3:$D$1025,MATCH($E107,学年度总表!$E$3:$E$1025,0))="","",INDEX(学年度总表!$D$3:$D$1025,MATCH($E107,学年度总表!$E$3:$E$1025,0)))</f>
        <v>计科四班</v>
      </c>
      <c r="E107" s="2" t="s">
        <v>1094</v>
      </c>
      <c r="F107" s="2" t="str">
        <f>IF(INDEX(学年度总表!$F$3:$F$1025,MATCH($E107,学年度总表!$E$3:$E$1025,0))="","",INDEX(学年度总表!$F$3:$F$1025,MATCH($E107,学年度总表!$E$3:$E$1025,0)))</f>
        <v>张浩</v>
      </c>
      <c r="G107" s="3">
        <f>IF(INDEX(学年度总表!$G$3:$G$1025,MATCH($E107,学年度总表!$E$3:$E$1025,0))="","",INDEX(学年度总表!$G$3:$G$1025,MATCH($E107,学年度总表!$E$3:$E$1025,0)))</f>
        <v>9.8000000000000007</v>
      </c>
      <c r="H107" s="3">
        <f>IF(INDEX(学年度总表!$H$3:$H$1025,MATCH($E107,学年度总表!$E$3:$E$1025,0))="","",INDEX(学年度总表!$H$3:$H$1025,MATCH($E107,学年度总表!$E$3:$E$1025,0)))</f>
        <v>59.536585365853597</v>
      </c>
      <c r="I107" s="3">
        <f>IF(INDEX(学年度总表!$I$3:$I$1025,MATCH($E107,学年度总表!$E$3:$E$1025,0))="","",INDEX(学年度总表!$I$3:$I$1025,MATCH($E107,学年度总表!$E$3:$E$1025,0)))</f>
        <v>4</v>
      </c>
      <c r="J107" s="3">
        <f>IF(INDEX(学年度总表!$J$3:$J$1025,MATCH($E107,学年度总表!$E$3:$E$1025,0))="","",INDEX(学年度总表!$J$3:$J$1025,MATCH($E107,学年度总表!$E$3:$E$1025,0)))</f>
        <v>73.34</v>
      </c>
      <c r="K107" s="3">
        <f>IF(INDEX(学年度总表!$K$3:$K$1025,MATCH($E107,学年度总表!$E$3:$E$1025,0))="","",INDEX(学年度总表!$K$3:$K$1025,MATCH($E107,学年度总表!$E$3:$E$1025,0)))</f>
        <v>9.8000000000000007</v>
      </c>
      <c r="L107" s="3">
        <f>IF(INDEX(学年度总表!$L$3:$L$1025,MATCH($E107,学年度总表!$E$3:$E$1025,0))="","",INDEX(学年度总表!$L$3:$L$1025,MATCH($E107,学年度总表!$E$3:$E$1025,0)))</f>
        <v>51.59</v>
      </c>
      <c r="M107" s="3">
        <f>IF(INDEX(学年度总表!$M$3:$M$1025,MATCH($E107,学年度总表!$E$3:$E$1025,0))="","",INDEX(学年度总表!$M$3:$M$1025,MATCH($E107,学年度总表!$E$3:$E$1025,0)))</f>
        <v>4.5</v>
      </c>
      <c r="N107" s="3">
        <f>IF(INDEX(学年度总表!$N$3:$N$1025,MATCH($E107,学年度总表!$E$3:$E$1025,0))="","",INDEX(学年度总表!$N$3:$N$1025,MATCH($E107,学年度总表!$E$3:$E$1025,0)))</f>
        <v>65.89</v>
      </c>
      <c r="O107" s="3">
        <f>IF(INDEX(学年度总表!$O$3:$O$1025,MATCH($E107,学年度总表!$E$3:$E$1025,0))="","",INDEX(学年度总表!$O$3:$O$1025,MATCH($E107,学年度总表!$E$3:$E$1025,0)))</f>
        <v>139.22999999999999</v>
      </c>
      <c r="P107" s="2" t="str">
        <f>IF(INDEX(学年度总表!$P$3:$P$1025,MATCH($E107,学年度总表!$E$3:$E$1025,0))="","",INDEX(学年度总表!$P$3:$P$1025,MATCH($E107,学年度总表!$E$3:$E$1025,0)))</f>
        <v/>
      </c>
      <c r="Q107" s="5" t="str">
        <f>IF(INDEX(学年度总表!$Q$3:$Q$1025,MATCH($E107,学年度总表!$E$3:$E$1025,0))="","",INDEX(学年度总表!$Q$3:$Q$1025,MATCH($E107,学年度总表!$E$3:$E$1025,0)))</f>
        <v/>
      </c>
    </row>
    <row r="108" spans="1:17">
      <c r="A108" s="2">
        <f>IF(INDEX(学年度总表!$A$3:$A$1025,MATCH($E108,学年度总表!$E$3:$E$1025,0))="","",INDEX(学年度总表!$A$3:$A$1025,MATCH($E108,学年度总表!$E$3:$E$1025,0)))</f>
        <v>529</v>
      </c>
      <c r="B108" s="2">
        <f>IF(INDEX(学年度总表!$B$3:$B$1025,MATCH($E108,学年度总表!$E$3:$E$1025,0))="","",INDEX(学年度总表!$B$3:$B$1025,MATCH($E108,学年度总表!$E$3:$E$1025,0)))</f>
        <v>106</v>
      </c>
      <c r="C108" s="2" t="str">
        <f>IF(INDEX(学年度总表!$C$3:$C$1025,MATCH($E108,学年度总表!$E$3:$E$1025,0))="","",INDEX(学年度总表!$C$3:$C$1025,MATCH($E108,学年度总表!$E$3:$E$1025,0)))</f>
        <v>计科</v>
      </c>
      <c r="D108" s="2" t="str">
        <f>IF(INDEX(学年度总表!$D$3:$D$1025,MATCH($E108,学年度总表!$E$3:$E$1025,0))="","",INDEX(学年度总表!$D$3:$D$1025,MATCH($E108,学年度总表!$E$3:$E$1025,0)))</f>
        <v>计科四班</v>
      </c>
      <c r="E108" s="2" t="s">
        <v>1120</v>
      </c>
      <c r="F108" s="2" t="str">
        <f>IF(INDEX(学年度总表!$F$3:$F$1025,MATCH($E108,学年度总表!$E$3:$E$1025,0))="","",INDEX(学年度总表!$F$3:$F$1025,MATCH($E108,学年度总表!$E$3:$E$1025,0)))</f>
        <v>王威砚</v>
      </c>
      <c r="G108" s="3">
        <f>IF(INDEX(学年度总表!$G$3:$G$1025,MATCH($E108,学年度总表!$E$3:$E$1025,0))="","",INDEX(学年度总表!$G$3:$G$1025,MATCH($E108,学年度总表!$E$3:$E$1025,0)))</f>
        <v>9.8000000000000007</v>
      </c>
      <c r="H108" s="3">
        <f>IF(INDEX(学年度总表!$H$3:$H$1025,MATCH($E108,学年度总表!$E$3:$E$1025,0))="","",INDEX(学年度总表!$H$3:$H$1025,MATCH($E108,学年度总表!$E$3:$E$1025,0)))</f>
        <v>54.817073170731703</v>
      </c>
      <c r="I108" s="3">
        <f>IF(INDEX(学年度总表!$I$3:$I$1025,MATCH($E108,学年度总表!$E$3:$E$1025,0))="","",INDEX(学年度总表!$I$3:$I$1025,MATCH($E108,学年度总表!$E$3:$E$1025,0)))</f>
        <v>3</v>
      </c>
      <c r="J108" s="3">
        <f>IF(INDEX(学年度总表!$J$3:$J$1025,MATCH($E108,学年度总表!$E$3:$E$1025,0))="","",INDEX(学年度总表!$J$3:$J$1025,MATCH($E108,学年度总表!$E$3:$E$1025,0)))</f>
        <v>67.62</v>
      </c>
      <c r="K108" s="3">
        <f>IF(INDEX(学年度总表!$K$3:$K$1025,MATCH($E108,学年度总表!$E$3:$E$1025,0))="","",INDEX(学年度总表!$K$3:$K$1025,MATCH($E108,学年度总表!$E$3:$E$1025,0)))</f>
        <v>9.8000000000000007</v>
      </c>
      <c r="L108" s="3">
        <f>IF(INDEX(学年度总表!$L$3:$L$1025,MATCH($E108,学年度总表!$E$3:$E$1025,0))="","",INDEX(学年度总表!$L$3:$L$1025,MATCH($E108,学年度总表!$E$3:$E$1025,0)))</f>
        <v>57.96</v>
      </c>
      <c r="M108" s="3">
        <f>IF(INDEX(学年度总表!$M$3:$M$1025,MATCH($E108,学年度总表!$E$3:$E$1025,0))="","",INDEX(学年度总表!$M$3:$M$1025,MATCH($E108,学年度总表!$E$3:$E$1025,0)))</f>
        <v>3.5</v>
      </c>
      <c r="N108" s="3">
        <f>IF(INDEX(学年度总表!$N$3:$N$1025,MATCH($E108,学年度总表!$E$3:$E$1025,0))="","",INDEX(学年度总表!$N$3:$N$1025,MATCH($E108,学年度总表!$E$3:$E$1025,0)))</f>
        <v>71.260000000000005</v>
      </c>
      <c r="O108" s="3">
        <f>IF(INDEX(学年度总表!$O$3:$O$1025,MATCH($E108,学年度总表!$E$3:$E$1025,0))="","",INDEX(学年度总表!$O$3:$O$1025,MATCH($E108,学年度总表!$E$3:$E$1025,0)))</f>
        <v>138.88</v>
      </c>
      <c r="P108" s="2" t="str">
        <f>IF(INDEX(学年度总表!$P$3:$P$1025,MATCH($E108,学年度总表!$E$3:$E$1025,0))="","",INDEX(学年度总表!$P$3:$P$1025,MATCH($E108,学年度总表!$E$3:$E$1025,0)))</f>
        <v/>
      </c>
      <c r="Q108" s="5" t="str">
        <f>IF(INDEX(学年度总表!$Q$3:$Q$1025,MATCH($E108,学年度总表!$E$3:$E$1025,0))="","",INDEX(学年度总表!$Q$3:$Q$1025,MATCH($E108,学年度总表!$E$3:$E$1025,0)))</f>
        <v/>
      </c>
    </row>
    <row r="109" spans="1:17">
      <c r="A109" s="2">
        <f>IF(INDEX(学年度总表!$A$3:$A$1025,MATCH($E109,学年度总表!$E$3:$E$1025,0))="","",INDEX(学年度总表!$A$3:$A$1025,MATCH($E109,学年度总表!$E$3:$E$1025,0)))</f>
        <v>534</v>
      </c>
      <c r="B109" s="2">
        <f>IF(INDEX(学年度总表!$B$3:$B$1025,MATCH($E109,学年度总表!$E$3:$E$1025,0))="","",INDEX(学年度总表!$B$3:$B$1025,MATCH($E109,学年度总表!$E$3:$E$1025,0)))</f>
        <v>107</v>
      </c>
      <c r="C109" s="2" t="str">
        <f>IF(INDEX(学年度总表!$C$3:$C$1025,MATCH($E109,学年度总表!$E$3:$E$1025,0))="","",INDEX(学年度总表!$C$3:$C$1025,MATCH($E109,学年度总表!$E$3:$E$1025,0)))</f>
        <v>计科</v>
      </c>
      <c r="D109" s="2" t="str">
        <f>IF(INDEX(学年度总表!$D$3:$D$1025,MATCH($E109,学年度总表!$E$3:$E$1025,0))="","",INDEX(学年度总表!$D$3:$D$1025,MATCH($E109,学年度总表!$E$3:$E$1025,0)))</f>
        <v>计科四班</v>
      </c>
      <c r="E109" s="2" t="s">
        <v>1130</v>
      </c>
      <c r="F109" s="2" t="str">
        <f>IF(INDEX(学年度总表!$F$3:$F$1025,MATCH($E109,学年度总表!$E$3:$E$1025,0))="","",INDEX(学年度总表!$F$3:$F$1025,MATCH($E109,学年度总表!$E$3:$E$1025,0)))</f>
        <v>刘天一</v>
      </c>
      <c r="G109" s="3">
        <f>IF(INDEX(学年度总表!$G$3:$G$1025,MATCH($E109,学年度总表!$E$3:$E$1025,0))="","",INDEX(学年度总表!$G$3:$G$1025,MATCH($E109,学年度总表!$E$3:$E$1025,0)))</f>
        <v>10</v>
      </c>
      <c r="H109" s="3">
        <f>IF(INDEX(学年度总表!$H$3:$H$1025,MATCH($E109,学年度总表!$E$3:$E$1025,0))="","",INDEX(学年度总表!$H$3:$H$1025,MATCH($E109,学年度总表!$E$3:$E$1025,0)))</f>
        <v>56.670731707317103</v>
      </c>
      <c r="I109" s="3">
        <f>IF(INDEX(学年度总表!$I$3:$I$1025,MATCH($E109,学年度总表!$E$3:$E$1025,0))="","",INDEX(学年度总表!$I$3:$I$1025,MATCH($E109,学年度总表!$E$3:$E$1025,0)))</f>
        <v>4.5</v>
      </c>
      <c r="J109" s="3">
        <f>IF(INDEX(学年度总表!$J$3:$J$1025,MATCH($E109,学年度总表!$E$3:$E$1025,0))="","",INDEX(学年度总表!$J$3:$J$1025,MATCH($E109,学年度总表!$E$3:$E$1025,0)))</f>
        <v>71.17</v>
      </c>
      <c r="K109" s="3">
        <f>IF(INDEX(学年度总表!$K$3:$K$1025,MATCH($E109,学年度总表!$E$3:$E$1025,0))="","",INDEX(学年度总表!$K$3:$K$1025,MATCH($E109,学年度总表!$E$3:$E$1025,0)))</f>
        <v>10</v>
      </c>
      <c r="L109" s="3">
        <f>IF(INDEX(学年度总表!$L$3:$L$1025,MATCH($E109,学年度总表!$E$3:$E$1025,0))="","",INDEX(学年度总表!$L$3:$L$1025,MATCH($E109,学年度总表!$E$3:$E$1025,0)))</f>
        <v>53.48</v>
      </c>
      <c r="M109" s="3">
        <f>IF(INDEX(学年度总表!$M$3:$M$1025,MATCH($E109,学年度总表!$E$3:$E$1025,0))="","",INDEX(学年度总表!$M$3:$M$1025,MATCH($E109,学年度总表!$E$3:$E$1025,0)))</f>
        <v>4</v>
      </c>
      <c r="N109" s="3">
        <f>IF(INDEX(学年度总表!$N$3:$N$1025,MATCH($E109,学年度总表!$E$3:$E$1025,0))="","",INDEX(学年度总表!$N$3:$N$1025,MATCH($E109,学年度总表!$E$3:$E$1025,0)))</f>
        <v>67.48</v>
      </c>
      <c r="O109" s="3">
        <f>IF(INDEX(学年度总表!$O$3:$O$1025,MATCH($E109,学年度总表!$E$3:$E$1025,0))="","",INDEX(学年度总表!$O$3:$O$1025,MATCH($E109,学年度总表!$E$3:$E$1025,0)))</f>
        <v>138.65</v>
      </c>
      <c r="P109" s="2" t="str">
        <f>IF(INDEX(学年度总表!$P$3:$P$1025,MATCH($E109,学年度总表!$E$3:$E$1025,0))="","",INDEX(学年度总表!$P$3:$P$1025,MATCH($E109,学年度总表!$E$3:$E$1025,0)))</f>
        <v/>
      </c>
      <c r="Q109" s="5" t="str">
        <f>IF(INDEX(学年度总表!$Q$3:$Q$1025,MATCH($E109,学年度总表!$E$3:$E$1025,0))="","",INDEX(学年度总表!$Q$3:$Q$1025,MATCH($E109,学年度总表!$E$3:$E$1025,0)))</f>
        <v/>
      </c>
    </row>
    <row r="110" spans="1:17">
      <c r="A110" s="2">
        <f>IF(INDEX(学年度总表!$A$3:$A$1025,MATCH($E110,学年度总表!$E$3:$E$1025,0))="","",INDEX(学年度总表!$A$3:$A$1025,MATCH($E110,学年度总表!$E$3:$E$1025,0)))</f>
        <v>536</v>
      </c>
      <c r="B110" s="2">
        <f>IF(INDEX(学年度总表!$B$3:$B$1025,MATCH($E110,学年度总表!$E$3:$E$1025,0))="","",INDEX(学年度总表!$B$3:$B$1025,MATCH($E110,学年度总表!$E$3:$E$1025,0)))</f>
        <v>108</v>
      </c>
      <c r="C110" s="2" t="str">
        <f>IF(INDEX(学年度总表!$C$3:$C$1025,MATCH($E110,学年度总表!$E$3:$E$1025,0))="","",INDEX(学年度总表!$C$3:$C$1025,MATCH($E110,学年度总表!$E$3:$E$1025,0)))</f>
        <v>计科</v>
      </c>
      <c r="D110" s="2" t="str">
        <f>IF(INDEX(学年度总表!$D$3:$D$1025,MATCH($E110,学年度总表!$E$3:$E$1025,0))="","",INDEX(学年度总表!$D$3:$D$1025,MATCH($E110,学年度总表!$E$3:$E$1025,0)))</f>
        <v>计科四班</v>
      </c>
      <c r="E110" s="2" t="s">
        <v>1134</v>
      </c>
      <c r="F110" s="2" t="str">
        <f>IF(INDEX(学年度总表!$F$3:$F$1025,MATCH($E110,学年度总表!$E$3:$E$1025,0))="","",INDEX(学年度总表!$F$3:$F$1025,MATCH($E110,学年度总表!$E$3:$E$1025,0)))</f>
        <v>王紫鸥</v>
      </c>
      <c r="G110" s="3">
        <f>IF(INDEX(学年度总表!$G$3:$G$1025,MATCH($E110,学年度总表!$E$3:$E$1025,0))="","",INDEX(学年度总表!$G$3:$G$1025,MATCH($E110,学年度总表!$E$3:$E$1025,0)))</f>
        <v>9.8000000000000007</v>
      </c>
      <c r="H110" s="3">
        <f>IF(INDEX(学年度总表!$H$3:$H$1025,MATCH($E110,学年度总表!$E$3:$E$1025,0))="","",INDEX(学年度总表!$H$3:$H$1025,MATCH($E110,学年度总表!$E$3:$E$1025,0)))</f>
        <v>59.4268292682927</v>
      </c>
      <c r="I110" s="3">
        <f>IF(INDEX(学年度总表!$I$3:$I$1025,MATCH($E110,学年度总表!$E$3:$E$1025,0))="","",INDEX(学年度总表!$I$3:$I$1025,MATCH($E110,学年度总表!$E$3:$E$1025,0)))</f>
        <v>3.2</v>
      </c>
      <c r="J110" s="3">
        <f>IF(INDEX(学年度总表!$J$3:$J$1025,MATCH($E110,学年度总表!$E$3:$E$1025,0))="","",INDEX(学年度总表!$J$3:$J$1025,MATCH($E110,学年度总表!$E$3:$E$1025,0)))</f>
        <v>72.430000000000007</v>
      </c>
      <c r="K110" s="3">
        <f>IF(INDEX(学年度总表!$K$3:$K$1025,MATCH($E110,学年度总表!$E$3:$E$1025,0))="","",INDEX(学年度总表!$K$3:$K$1025,MATCH($E110,学年度总表!$E$3:$E$1025,0)))</f>
        <v>10</v>
      </c>
      <c r="L110" s="3">
        <f>IF(INDEX(学年度总表!$L$3:$L$1025,MATCH($E110,学年度总表!$E$3:$E$1025,0))="","",INDEX(学年度总表!$L$3:$L$1025,MATCH($E110,学年度总表!$E$3:$E$1025,0)))</f>
        <v>53.17</v>
      </c>
      <c r="M110" s="3">
        <f>IF(INDEX(学年度总表!$M$3:$M$1025,MATCH($E110,学年度总表!$E$3:$E$1025,0))="","",INDEX(学年度总表!$M$3:$M$1025,MATCH($E110,学年度总表!$E$3:$E$1025,0)))</f>
        <v>3</v>
      </c>
      <c r="N110" s="3">
        <f>IF(INDEX(学年度总表!$N$3:$N$1025,MATCH($E110,学年度总表!$E$3:$E$1025,0))="","",INDEX(学年度总表!$N$3:$N$1025,MATCH($E110,学年度总表!$E$3:$E$1025,0)))</f>
        <v>66.17</v>
      </c>
      <c r="O110" s="3">
        <f>IF(INDEX(学年度总表!$O$3:$O$1025,MATCH($E110,学年度总表!$E$3:$E$1025,0))="","",INDEX(学年度总表!$O$3:$O$1025,MATCH($E110,学年度总表!$E$3:$E$1025,0)))</f>
        <v>138.6</v>
      </c>
      <c r="P110" s="2" t="str">
        <f>IF(INDEX(学年度总表!$P$3:$P$1025,MATCH($E110,学年度总表!$E$3:$E$1025,0))="","",INDEX(学年度总表!$P$3:$P$1025,MATCH($E110,学年度总表!$E$3:$E$1025,0)))</f>
        <v/>
      </c>
      <c r="Q110" s="5" t="str">
        <f>IF(INDEX(学年度总表!$Q$3:$Q$1025,MATCH($E110,学年度总表!$E$3:$E$1025,0))="","",INDEX(学年度总表!$Q$3:$Q$1025,MATCH($E110,学年度总表!$E$3:$E$1025,0)))</f>
        <v/>
      </c>
    </row>
    <row r="111" spans="1:17">
      <c r="A111" s="2">
        <f>IF(INDEX(学年度总表!$A$3:$A$1025,MATCH($E111,学年度总表!$E$3:$E$1025,0))="","",INDEX(学年度总表!$A$3:$A$1025,MATCH($E111,学年度总表!$E$3:$E$1025,0)))</f>
        <v>537</v>
      </c>
      <c r="B111" s="2">
        <f>IF(INDEX(学年度总表!$B$3:$B$1025,MATCH($E111,学年度总表!$E$3:$E$1025,0))="","",INDEX(学年度总表!$B$3:$B$1025,MATCH($E111,学年度总表!$E$3:$E$1025,0)))</f>
        <v>109</v>
      </c>
      <c r="C111" s="2" t="str">
        <f>IF(INDEX(学年度总表!$C$3:$C$1025,MATCH($E111,学年度总表!$E$3:$E$1025,0))="","",INDEX(学年度总表!$C$3:$C$1025,MATCH($E111,学年度总表!$E$3:$E$1025,0)))</f>
        <v>计科</v>
      </c>
      <c r="D111" s="2" t="str">
        <f>IF(INDEX(学年度总表!$D$3:$D$1025,MATCH($E111,学年度总表!$E$3:$E$1025,0))="","",INDEX(学年度总表!$D$3:$D$1025,MATCH($E111,学年度总表!$E$3:$E$1025,0)))</f>
        <v>计科三班</v>
      </c>
      <c r="E111" s="2" t="s">
        <v>1136</v>
      </c>
      <c r="F111" s="2" t="str">
        <f>IF(INDEX(学年度总表!$F$3:$F$1025,MATCH($E111,学年度总表!$E$3:$E$1025,0))="","",INDEX(学年度总表!$F$3:$F$1025,MATCH($E111,学年度总表!$E$3:$E$1025,0)))</f>
        <v>王思琪</v>
      </c>
      <c r="G111" s="3">
        <f>IF(INDEX(学年度总表!$G$3:$G$1025,MATCH($E111,学年度总表!$E$3:$E$1025,0))="","",INDEX(学年度总表!$G$3:$G$1025,MATCH($E111,学年度总表!$E$3:$E$1025,0)))</f>
        <v>9.8000000000000007</v>
      </c>
      <c r="H111" s="3">
        <f>IF(INDEX(学年度总表!$H$3:$H$1025,MATCH($E111,学年度总表!$E$3:$E$1025,0))="","",INDEX(学年度总表!$H$3:$H$1025,MATCH($E111,学年度总表!$E$3:$E$1025,0)))</f>
        <v>57.524390243902403</v>
      </c>
      <c r="I111" s="3">
        <f>IF(INDEX(学年度总表!$I$3:$I$1025,MATCH($E111,学年度总表!$E$3:$E$1025,0))="","",INDEX(学年度总表!$I$3:$I$1025,MATCH($E111,学年度总表!$E$3:$E$1025,0)))</f>
        <v>3</v>
      </c>
      <c r="J111" s="3">
        <f>IF(INDEX(学年度总表!$J$3:$J$1025,MATCH($E111,学年度总表!$E$3:$E$1025,0))="","",INDEX(学年度总表!$J$3:$J$1025,MATCH($E111,学年度总表!$E$3:$E$1025,0)))</f>
        <v>70.319999999999993</v>
      </c>
      <c r="K111" s="3">
        <f>IF(INDEX(学年度总表!$K$3:$K$1025,MATCH($E111,学年度总表!$E$3:$E$1025,0))="","",INDEX(学年度总表!$K$3:$K$1025,MATCH($E111,学年度总表!$E$3:$E$1025,0)))</f>
        <v>9</v>
      </c>
      <c r="L111" s="3">
        <f>IF(INDEX(学年度总表!$L$3:$L$1025,MATCH($E111,学年度总表!$E$3:$E$1025,0))="","",INDEX(学年度总表!$L$3:$L$1025,MATCH($E111,学年度总表!$E$3:$E$1025,0)))</f>
        <v>56.25</v>
      </c>
      <c r="M111" s="3">
        <f>IF(INDEX(学年度总表!$M$3:$M$1025,MATCH($E111,学年度总表!$E$3:$E$1025,0))="","",INDEX(学年度总表!$M$3:$M$1025,MATCH($E111,学年度总表!$E$3:$E$1025,0)))</f>
        <v>3</v>
      </c>
      <c r="N111" s="3">
        <f>IF(INDEX(学年度总表!$N$3:$N$1025,MATCH($E111,学年度总表!$E$3:$E$1025,0))="","",INDEX(学年度总表!$N$3:$N$1025,MATCH($E111,学年度总表!$E$3:$E$1025,0)))</f>
        <v>68.25</v>
      </c>
      <c r="O111" s="3">
        <f>IF(INDEX(学年度总表!$O$3:$O$1025,MATCH($E111,学年度总表!$E$3:$E$1025,0))="","",INDEX(学年度总表!$O$3:$O$1025,MATCH($E111,学年度总表!$E$3:$E$1025,0)))</f>
        <v>138.57</v>
      </c>
      <c r="P111" s="2" t="str">
        <f>IF(INDEX(学年度总表!$P$3:$P$1025,MATCH($E111,学年度总表!$E$3:$E$1025,0))="","",INDEX(学年度总表!$P$3:$P$1025,MATCH($E111,学年度总表!$E$3:$E$1025,0)))</f>
        <v/>
      </c>
      <c r="Q111" s="5" t="str">
        <f>IF(INDEX(学年度总表!$Q$3:$Q$1025,MATCH($E111,学年度总表!$E$3:$E$1025,0))="","",INDEX(学年度总表!$Q$3:$Q$1025,MATCH($E111,学年度总表!$E$3:$E$1025,0)))</f>
        <v/>
      </c>
    </row>
    <row r="112" spans="1:17">
      <c r="A112" s="2">
        <f>IF(INDEX(学年度总表!$A$3:$A$1025,MATCH($E112,学年度总表!$E$3:$E$1025,0))="","",INDEX(学年度总表!$A$3:$A$1025,MATCH($E112,学年度总表!$E$3:$E$1025,0)))</f>
        <v>542</v>
      </c>
      <c r="B112" s="2">
        <f>IF(INDEX(学年度总表!$B$3:$B$1025,MATCH($E112,学年度总表!$E$3:$E$1025,0))="","",INDEX(学年度总表!$B$3:$B$1025,MATCH($E112,学年度总表!$E$3:$E$1025,0)))</f>
        <v>110</v>
      </c>
      <c r="C112" s="2" t="str">
        <f>IF(INDEX(学年度总表!$C$3:$C$1025,MATCH($E112,学年度总表!$E$3:$E$1025,0))="","",INDEX(学年度总表!$C$3:$C$1025,MATCH($E112,学年度总表!$E$3:$E$1025,0)))</f>
        <v>计科</v>
      </c>
      <c r="D112" s="2" t="str">
        <f>IF(INDEX(学年度总表!$D$3:$D$1025,MATCH($E112,学年度总表!$E$3:$E$1025,0))="","",INDEX(学年度总表!$D$3:$D$1025,MATCH($E112,学年度总表!$E$3:$E$1025,0)))</f>
        <v>计科一班</v>
      </c>
      <c r="E112" s="2" t="s">
        <v>1146</v>
      </c>
      <c r="F112" s="2" t="str">
        <f>IF(INDEX(学年度总表!$F$3:$F$1025,MATCH($E112,学年度总表!$E$3:$E$1025,0))="","",INDEX(学年度总表!$F$3:$F$1025,MATCH($E112,学年度总表!$E$3:$E$1025,0)))</f>
        <v>任紫萌</v>
      </c>
      <c r="G112" s="3">
        <f>IF(INDEX(学年度总表!$G$3:$G$1025,MATCH($E112,学年度总表!$E$3:$E$1025,0))="","",INDEX(学年度总表!$G$3:$G$1025,MATCH($E112,学年度总表!$E$3:$E$1025,0)))</f>
        <v>9.8000000000000007</v>
      </c>
      <c r="H112" s="3">
        <f>IF(INDEX(学年度总表!$H$3:$H$1025,MATCH($E112,学年度总表!$E$3:$E$1025,0))="","",INDEX(学年度总表!$H$3:$H$1025,MATCH($E112,学年度总表!$E$3:$E$1025,0)))</f>
        <v>53.963414634146403</v>
      </c>
      <c r="I112" s="3">
        <f>IF(INDEX(学年度总表!$I$3:$I$1025,MATCH($E112,学年度总表!$E$3:$E$1025,0))="","",INDEX(学年度总表!$I$3:$I$1025,MATCH($E112,学年度总表!$E$3:$E$1025,0)))</f>
        <v>4.3</v>
      </c>
      <c r="J112" s="3">
        <f>IF(INDEX(学年度总表!$J$3:$J$1025,MATCH($E112,学年度总表!$E$3:$E$1025,0))="","",INDEX(学年度总表!$J$3:$J$1025,MATCH($E112,学年度总表!$E$3:$E$1025,0)))</f>
        <v>68.06</v>
      </c>
      <c r="K112" s="3">
        <f>IF(INDEX(学年度总表!$K$3:$K$1025,MATCH($E112,学年度总表!$E$3:$E$1025,0))="","",INDEX(学年度总表!$K$3:$K$1025,MATCH($E112,学年度总表!$E$3:$E$1025,0)))</f>
        <v>9.8000000000000007</v>
      </c>
      <c r="L112" s="3">
        <f>IF(INDEX(学年度总表!$L$3:$L$1025,MATCH($E112,学年度总表!$E$3:$E$1025,0))="","",INDEX(学年度总表!$L$3:$L$1025,MATCH($E112,学年度总表!$E$3:$E$1025,0)))</f>
        <v>55.75</v>
      </c>
      <c r="M112" s="3">
        <f>IF(INDEX(学年度总表!$M$3:$M$1025,MATCH($E112,学年度总表!$E$3:$E$1025,0))="","",INDEX(学年度总表!$M$3:$M$1025,MATCH($E112,学年度总表!$E$3:$E$1025,0)))</f>
        <v>4.5</v>
      </c>
      <c r="N112" s="3">
        <f>IF(INDEX(学年度总表!$N$3:$N$1025,MATCH($E112,学年度总表!$E$3:$E$1025,0))="","",INDEX(学年度总表!$N$3:$N$1025,MATCH($E112,学年度总表!$E$3:$E$1025,0)))</f>
        <v>70.05</v>
      </c>
      <c r="O112" s="3">
        <f>IF(INDEX(学年度总表!$O$3:$O$1025,MATCH($E112,学年度总表!$E$3:$E$1025,0))="","",INDEX(学年度总表!$O$3:$O$1025,MATCH($E112,学年度总表!$E$3:$E$1025,0)))</f>
        <v>138.11000000000001</v>
      </c>
      <c r="P112" s="2" t="str">
        <f>IF(INDEX(学年度总表!$P$3:$P$1025,MATCH($E112,学年度总表!$E$3:$E$1025,0))="","",INDEX(学年度总表!$P$3:$P$1025,MATCH($E112,学年度总表!$E$3:$E$1025,0)))</f>
        <v/>
      </c>
      <c r="Q112" s="5" t="str">
        <f>IF(INDEX(学年度总表!$Q$3:$Q$1025,MATCH($E112,学年度总表!$E$3:$E$1025,0))="","",INDEX(学年度总表!$Q$3:$Q$1025,MATCH($E112,学年度总表!$E$3:$E$1025,0)))</f>
        <v/>
      </c>
    </row>
    <row r="113" spans="1:17">
      <c r="A113" s="2">
        <f>IF(INDEX(学年度总表!$A$3:$A$1025,MATCH($E113,学年度总表!$E$3:$E$1025,0))="","",INDEX(学年度总表!$A$3:$A$1025,MATCH($E113,学年度总表!$E$3:$E$1025,0)))</f>
        <v>543</v>
      </c>
      <c r="B113" s="2">
        <f>IF(INDEX(学年度总表!$B$3:$B$1025,MATCH($E113,学年度总表!$E$3:$E$1025,0))="","",INDEX(学年度总表!$B$3:$B$1025,MATCH($E113,学年度总表!$E$3:$E$1025,0)))</f>
        <v>111</v>
      </c>
      <c r="C113" s="2" t="str">
        <f>IF(INDEX(学年度总表!$C$3:$C$1025,MATCH($E113,学年度总表!$E$3:$E$1025,0))="","",INDEX(学年度总表!$C$3:$C$1025,MATCH($E113,学年度总表!$E$3:$E$1025,0)))</f>
        <v>计科</v>
      </c>
      <c r="D113" s="2" t="str">
        <f>IF(INDEX(学年度总表!$D$3:$D$1025,MATCH($E113,学年度总表!$E$3:$E$1025,0))="","",INDEX(学年度总表!$D$3:$D$1025,MATCH($E113,学年度总表!$E$3:$E$1025,0)))</f>
        <v>计科三班</v>
      </c>
      <c r="E113" s="2" t="s">
        <v>1148</v>
      </c>
      <c r="F113" s="2" t="str">
        <f>IF(INDEX(学年度总表!$F$3:$F$1025,MATCH($E113,学年度总表!$E$3:$E$1025,0))="","",INDEX(学年度总表!$F$3:$F$1025,MATCH($E113,学年度总表!$E$3:$E$1025,0)))</f>
        <v>谢逸林</v>
      </c>
      <c r="G113" s="3">
        <f>IF(INDEX(学年度总表!$G$3:$G$1025,MATCH($E113,学年度总表!$E$3:$E$1025,0))="","",INDEX(学年度总表!$G$3:$G$1025,MATCH($E113,学年度总表!$E$3:$E$1025,0)))</f>
        <v>9.8000000000000007</v>
      </c>
      <c r="H113" s="3">
        <f>IF(INDEX(学年度总表!$H$3:$H$1025,MATCH($E113,学年度总表!$E$3:$E$1025,0))="","",INDEX(学年度总表!$H$3:$H$1025,MATCH($E113,学年度总表!$E$3:$E$1025,0)))</f>
        <v>57.036585365853597</v>
      </c>
      <c r="I113" s="3">
        <f>IF(INDEX(学年度总表!$I$3:$I$1025,MATCH($E113,学年度总表!$E$3:$E$1025,0))="","",INDEX(学年度总表!$I$3:$I$1025,MATCH($E113,学年度总表!$E$3:$E$1025,0)))</f>
        <v>3</v>
      </c>
      <c r="J113" s="3">
        <f>IF(INDEX(学年度总表!$J$3:$J$1025,MATCH($E113,学年度总表!$E$3:$E$1025,0))="","",INDEX(学年度总表!$J$3:$J$1025,MATCH($E113,学年度总表!$E$3:$E$1025,0)))</f>
        <v>69.84</v>
      </c>
      <c r="K113" s="3">
        <f>IF(INDEX(学年度总表!$K$3:$K$1025,MATCH($E113,学年度总表!$E$3:$E$1025,0))="","",INDEX(学年度总表!$K$3:$K$1025,MATCH($E113,学年度总表!$E$3:$E$1025,0)))</f>
        <v>9</v>
      </c>
      <c r="L113" s="3">
        <f>IF(INDEX(学年度总表!$L$3:$L$1025,MATCH($E113,学年度总表!$E$3:$E$1025,0))="","",INDEX(学年度总表!$L$3:$L$1025,MATCH($E113,学年度总表!$E$3:$E$1025,0)))</f>
        <v>56.21</v>
      </c>
      <c r="M113" s="3">
        <f>IF(INDEX(学年度总表!$M$3:$M$1025,MATCH($E113,学年度总表!$E$3:$E$1025,0))="","",INDEX(学年度总表!$M$3:$M$1025,MATCH($E113,学年度总表!$E$3:$E$1025,0)))</f>
        <v>3</v>
      </c>
      <c r="N113" s="3">
        <f>IF(INDEX(学年度总表!$N$3:$N$1025,MATCH($E113,学年度总表!$E$3:$E$1025,0))="","",INDEX(学年度总表!$N$3:$N$1025,MATCH($E113,学年度总表!$E$3:$E$1025,0)))</f>
        <v>68.209999999999994</v>
      </c>
      <c r="O113" s="3">
        <f>IF(INDEX(学年度总表!$O$3:$O$1025,MATCH($E113,学年度总表!$E$3:$E$1025,0))="","",INDEX(学年度总表!$O$3:$O$1025,MATCH($E113,学年度总表!$E$3:$E$1025,0)))</f>
        <v>138.05000000000001</v>
      </c>
      <c r="P113" s="2" t="str">
        <f>IF(INDEX(学年度总表!$P$3:$P$1025,MATCH($E113,学年度总表!$E$3:$E$1025,0))="","",INDEX(学年度总表!$P$3:$P$1025,MATCH($E113,学年度总表!$E$3:$E$1025,0)))</f>
        <v/>
      </c>
      <c r="Q113" s="5" t="str">
        <f>IF(INDEX(学年度总表!$Q$3:$Q$1025,MATCH($E113,学年度总表!$E$3:$E$1025,0))="","",INDEX(学年度总表!$Q$3:$Q$1025,MATCH($E113,学年度总表!$E$3:$E$1025,0)))</f>
        <v/>
      </c>
    </row>
    <row r="114" spans="1:17">
      <c r="A114" s="2">
        <f>IF(INDEX(学年度总表!$A$3:$A$1025,MATCH($E114,学年度总表!$E$3:$E$1025,0))="","",INDEX(学年度总表!$A$3:$A$1025,MATCH($E114,学年度总表!$E$3:$E$1025,0)))</f>
        <v>560</v>
      </c>
      <c r="B114" s="2">
        <f>IF(INDEX(学年度总表!$B$3:$B$1025,MATCH($E114,学年度总表!$E$3:$E$1025,0))="","",INDEX(学年度总表!$B$3:$B$1025,MATCH($E114,学年度总表!$E$3:$E$1025,0)))</f>
        <v>112</v>
      </c>
      <c r="C114" s="2" t="str">
        <f>IF(INDEX(学年度总表!$C$3:$C$1025,MATCH($E114,学年度总表!$E$3:$E$1025,0))="","",INDEX(学年度总表!$C$3:$C$1025,MATCH($E114,学年度总表!$E$3:$E$1025,0)))</f>
        <v>计科</v>
      </c>
      <c r="D114" s="2" t="str">
        <f>IF(INDEX(学年度总表!$D$3:$D$1025,MATCH($E114,学年度总表!$E$3:$E$1025,0))="","",INDEX(学年度总表!$D$3:$D$1025,MATCH($E114,学年度总表!$E$3:$E$1025,0)))</f>
        <v>计科二班</v>
      </c>
      <c r="E114" s="2" t="s">
        <v>1182</v>
      </c>
      <c r="F114" s="2" t="str">
        <f>IF(INDEX(学年度总表!$F$3:$F$1025,MATCH($E114,学年度总表!$E$3:$E$1025,0))="","",INDEX(学年度总表!$F$3:$F$1025,MATCH($E114,学年度总表!$E$3:$E$1025,0)))</f>
        <v>林恒锐</v>
      </c>
      <c r="G114" s="3">
        <f>IF(INDEX(学年度总表!$G$3:$G$1025,MATCH($E114,学年度总表!$E$3:$E$1025,0))="","",INDEX(学年度总表!$G$3:$G$1025,MATCH($E114,学年度总表!$E$3:$E$1025,0)))</f>
        <v>10</v>
      </c>
      <c r="H114" s="3">
        <f>IF(INDEX(学年度总表!$H$3:$H$1025,MATCH($E114,学年度总表!$E$3:$E$1025,0))="","",INDEX(学年度总表!$H$3:$H$1025,MATCH($E114,学年度总表!$E$3:$E$1025,0)))</f>
        <v>56.756097560975597</v>
      </c>
      <c r="I114" s="3">
        <f>IF(INDEX(学年度总表!$I$3:$I$1025,MATCH($E114,学年度总表!$E$3:$E$1025,0))="","",INDEX(学年度总表!$I$3:$I$1025,MATCH($E114,学年度总表!$E$3:$E$1025,0)))</f>
        <v>4.3</v>
      </c>
      <c r="J114" s="3">
        <f>IF(INDEX(学年度总表!$J$3:$J$1025,MATCH($E114,学年度总表!$E$3:$E$1025,0))="","",INDEX(学年度总表!$J$3:$J$1025,MATCH($E114,学年度总表!$E$3:$E$1025,0)))</f>
        <v>71.06</v>
      </c>
      <c r="K114" s="3">
        <f>IF(INDEX(学年度总表!$K$3:$K$1025,MATCH($E114,学年度总表!$E$3:$E$1025,0))="","",INDEX(学年度总表!$K$3:$K$1025,MATCH($E114,学年度总表!$E$3:$E$1025,0)))</f>
        <v>10</v>
      </c>
      <c r="L114" s="3">
        <f>IF(INDEX(学年度总表!$L$3:$L$1025,MATCH($E114,学年度总表!$E$3:$E$1025,0))="","",INDEX(学年度总表!$L$3:$L$1025,MATCH($E114,学年度总表!$E$3:$E$1025,0)))</f>
        <v>51.67</v>
      </c>
      <c r="M114" s="3">
        <f>IF(INDEX(学年度总表!$M$3:$M$1025,MATCH($E114,学年度总表!$E$3:$E$1025,0))="","",INDEX(学年度总表!$M$3:$M$1025,MATCH($E114,学年度总表!$E$3:$E$1025,0)))</f>
        <v>4.7</v>
      </c>
      <c r="N114" s="3">
        <f>IF(INDEX(学年度总表!$N$3:$N$1025,MATCH($E114,学年度总表!$E$3:$E$1025,0))="","",INDEX(学年度总表!$N$3:$N$1025,MATCH($E114,学年度总表!$E$3:$E$1025,0)))</f>
        <v>66.37</v>
      </c>
      <c r="O114" s="3">
        <f>IF(INDEX(学年度总表!$O$3:$O$1025,MATCH($E114,学年度总表!$E$3:$E$1025,0))="","",INDEX(学年度总表!$O$3:$O$1025,MATCH($E114,学年度总表!$E$3:$E$1025,0)))</f>
        <v>137.43</v>
      </c>
      <c r="P114" s="2" t="str">
        <f>IF(INDEX(学年度总表!$P$3:$P$1025,MATCH($E114,学年度总表!$E$3:$E$1025,0))="","",INDEX(学年度总表!$P$3:$P$1025,MATCH($E114,学年度总表!$E$3:$E$1025,0)))</f>
        <v/>
      </c>
      <c r="Q114" s="5" t="str">
        <f>IF(INDEX(学年度总表!$Q$3:$Q$1025,MATCH($E114,学年度总表!$E$3:$E$1025,0))="","",INDEX(学年度总表!$Q$3:$Q$1025,MATCH($E114,学年度总表!$E$3:$E$1025,0)))</f>
        <v/>
      </c>
    </row>
    <row r="115" spans="1:17">
      <c r="A115" s="2">
        <f>IF(INDEX(学年度总表!$A$3:$A$1025,MATCH($E115,学年度总表!$E$3:$E$1025,0))="","",INDEX(学年度总表!$A$3:$A$1025,MATCH($E115,学年度总表!$E$3:$E$1025,0)))</f>
        <v>565</v>
      </c>
      <c r="B115" s="2">
        <f>IF(INDEX(学年度总表!$B$3:$B$1025,MATCH($E115,学年度总表!$E$3:$E$1025,0))="","",INDEX(学年度总表!$B$3:$B$1025,MATCH($E115,学年度总表!$E$3:$E$1025,0)))</f>
        <v>113</v>
      </c>
      <c r="C115" s="2" t="str">
        <f>IF(INDEX(学年度总表!$C$3:$C$1025,MATCH($E115,学年度总表!$E$3:$E$1025,0))="","",INDEX(学年度总表!$C$3:$C$1025,MATCH($E115,学年度总表!$E$3:$E$1025,0)))</f>
        <v>计科</v>
      </c>
      <c r="D115" s="2" t="str">
        <f>IF(INDEX(学年度总表!$D$3:$D$1025,MATCH($E115,学年度总表!$E$3:$E$1025,0))="","",INDEX(学年度总表!$D$3:$D$1025,MATCH($E115,学年度总表!$E$3:$E$1025,0)))</f>
        <v>计科一班</v>
      </c>
      <c r="E115" s="2" t="s">
        <v>1192</v>
      </c>
      <c r="F115" s="2" t="str">
        <f>IF(INDEX(学年度总表!$F$3:$F$1025,MATCH($E115,学年度总表!$E$3:$E$1025,0))="","",INDEX(学年度总表!$F$3:$F$1025,MATCH($E115,学年度总表!$E$3:$E$1025,0)))</f>
        <v>张宸瑞</v>
      </c>
      <c r="G115" s="3">
        <f>IF(INDEX(学年度总表!$G$3:$G$1025,MATCH($E115,学年度总表!$E$3:$E$1025,0))="","",INDEX(学年度总表!$G$3:$G$1025,MATCH($E115,学年度总表!$E$3:$E$1025,0)))</f>
        <v>9.8000000000000007</v>
      </c>
      <c r="H115" s="3">
        <f>IF(INDEX(学年度总表!$H$3:$H$1025,MATCH($E115,学年度总表!$E$3:$E$1025,0))="","",INDEX(学年度总表!$H$3:$H$1025,MATCH($E115,学年度总表!$E$3:$E$1025,0)))</f>
        <v>56.670731707317103</v>
      </c>
      <c r="I115" s="3">
        <f>IF(INDEX(学年度总表!$I$3:$I$1025,MATCH($E115,学年度总表!$E$3:$E$1025,0))="","",INDEX(学年度总表!$I$3:$I$1025,MATCH($E115,学年度总表!$E$3:$E$1025,0)))</f>
        <v>3</v>
      </c>
      <c r="J115" s="3">
        <f>IF(INDEX(学年度总表!$J$3:$J$1025,MATCH($E115,学年度总表!$E$3:$E$1025,0))="","",INDEX(学年度总表!$J$3:$J$1025,MATCH($E115,学年度总表!$E$3:$E$1025,0)))</f>
        <v>69.47</v>
      </c>
      <c r="K115" s="3">
        <f>IF(INDEX(学年度总表!$K$3:$K$1025,MATCH($E115,学年度总表!$E$3:$E$1025,0))="","",INDEX(学年度总表!$K$3:$K$1025,MATCH($E115,学年度总表!$E$3:$E$1025,0)))</f>
        <v>6.5</v>
      </c>
      <c r="L115" s="3">
        <f>IF(INDEX(学年度总表!$L$3:$L$1025,MATCH($E115,学年度总表!$E$3:$E$1025,0))="","",INDEX(学年度总表!$L$3:$L$1025,MATCH($E115,学年度总表!$E$3:$E$1025,0)))</f>
        <v>58.34</v>
      </c>
      <c r="M115" s="3">
        <f>IF(INDEX(学年度总表!$M$3:$M$1025,MATCH($E115,学年度总表!$E$3:$E$1025,0))="","",INDEX(学年度总表!$M$3:$M$1025,MATCH($E115,学年度总表!$E$3:$E$1025,0)))</f>
        <v>3</v>
      </c>
      <c r="N115" s="3">
        <f>IF(INDEX(学年度总表!$N$3:$N$1025,MATCH($E115,学年度总表!$E$3:$E$1025,0))="","",INDEX(学年度总表!$N$3:$N$1025,MATCH($E115,学年度总表!$E$3:$E$1025,0)))</f>
        <v>67.84</v>
      </c>
      <c r="O115" s="3">
        <f>IF(INDEX(学年度总表!$O$3:$O$1025,MATCH($E115,学年度总表!$E$3:$E$1025,0))="","",INDEX(学年度总表!$O$3:$O$1025,MATCH($E115,学年度总表!$E$3:$E$1025,0)))</f>
        <v>137.31</v>
      </c>
      <c r="P115" s="2" t="str">
        <f>IF(INDEX(学年度总表!$P$3:$P$1025,MATCH($E115,学年度总表!$E$3:$E$1025,0))="","",INDEX(学年度总表!$P$3:$P$1025,MATCH($E115,学年度总表!$E$3:$E$1025,0)))</f>
        <v/>
      </c>
      <c r="Q115" s="5" t="str">
        <f>IF(INDEX(学年度总表!$Q$3:$Q$1025,MATCH($E115,学年度总表!$E$3:$E$1025,0))="","",INDEX(学年度总表!$Q$3:$Q$1025,MATCH($E115,学年度总表!$E$3:$E$1025,0)))</f>
        <v/>
      </c>
    </row>
    <row r="116" spans="1:17">
      <c r="A116" s="2">
        <f>IF(INDEX(学年度总表!$A$3:$A$1025,MATCH($E116,学年度总表!$E$3:$E$1025,0))="","",INDEX(学年度总表!$A$3:$A$1025,MATCH($E116,学年度总表!$E$3:$E$1025,0)))</f>
        <v>572</v>
      </c>
      <c r="B116" s="2">
        <f>IF(INDEX(学年度总表!$B$3:$B$1025,MATCH($E116,学年度总表!$E$3:$E$1025,0))="","",INDEX(学年度总表!$B$3:$B$1025,MATCH($E116,学年度总表!$E$3:$E$1025,0)))</f>
        <v>114</v>
      </c>
      <c r="C116" s="2" t="str">
        <f>IF(INDEX(学年度总表!$C$3:$C$1025,MATCH($E116,学年度总表!$E$3:$E$1025,0))="","",INDEX(学年度总表!$C$3:$C$1025,MATCH($E116,学年度总表!$E$3:$E$1025,0)))</f>
        <v>计科</v>
      </c>
      <c r="D116" s="2" t="str">
        <f>IF(INDEX(学年度总表!$D$3:$D$1025,MATCH($E116,学年度总表!$E$3:$E$1025,0))="","",INDEX(学年度总表!$D$3:$D$1025,MATCH($E116,学年度总表!$E$3:$E$1025,0)))</f>
        <v>计科四班</v>
      </c>
      <c r="E116" s="2" t="s">
        <v>1205</v>
      </c>
      <c r="F116" s="2" t="str">
        <f>IF(INDEX(学年度总表!$F$3:$F$1025,MATCH($E116,学年度总表!$E$3:$E$1025,0))="","",INDEX(学年度总表!$F$3:$F$1025,MATCH($E116,学年度总表!$E$3:$E$1025,0)))</f>
        <v>刘天硕</v>
      </c>
      <c r="G116" s="3">
        <f>IF(INDEX(学年度总表!$G$3:$G$1025,MATCH($E116,学年度总表!$E$3:$E$1025,0))="","",INDEX(学年度总表!$G$3:$G$1025,MATCH($E116,学年度总表!$E$3:$E$1025,0)))</f>
        <v>9.8000000000000007</v>
      </c>
      <c r="H116" s="3">
        <f>IF(INDEX(学年度总表!$H$3:$H$1025,MATCH($E116,学年度总表!$E$3:$E$1025,0))="","",INDEX(学年度总表!$H$3:$H$1025,MATCH($E116,学年度总表!$E$3:$E$1025,0)))</f>
        <v>57.878048780487802</v>
      </c>
      <c r="I116" s="3">
        <f>IF(INDEX(学年度总表!$I$3:$I$1025,MATCH($E116,学年度总表!$E$3:$E$1025,0))="","",INDEX(学年度总表!$I$3:$I$1025,MATCH($E116,学年度总表!$E$3:$E$1025,0)))</f>
        <v>3.6</v>
      </c>
      <c r="J116" s="3">
        <f>IF(INDEX(学年度总表!$J$3:$J$1025,MATCH($E116,学年度总表!$E$3:$E$1025,0))="","",INDEX(学年度总表!$J$3:$J$1025,MATCH($E116,学年度总表!$E$3:$E$1025,0)))</f>
        <v>71.28</v>
      </c>
      <c r="K116" s="3">
        <f>IF(INDEX(学年度总表!$K$3:$K$1025,MATCH($E116,学年度总表!$E$3:$E$1025,0))="","",INDEX(学年度总表!$K$3:$K$1025,MATCH($E116,学年度总表!$E$3:$E$1025,0)))</f>
        <v>9.8000000000000007</v>
      </c>
      <c r="L116" s="3">
        <f>IF(INDEX(学年度总表!$L$3:$L$1025,MATCH($E116,学年度总表!$E$3:$E$1025,0))="","",INDEX(学年度总表!$L$3:$L$1025,MATCH($E116,学年度总表!$E$3:$E$1025,0)))</f>
        <v>51.21</v>
      </c>
      <c r="M116" s="3">
        <f>IF(INDEX(学年度总表!$M$3:$M$1025,MATCH($E116,学年度总表!$E$3:$E$1025,0))="","",INDEX(学年度总表!$M$3:$M$1025,MATCH($E116,学年度总表!$E$3:$E$1025,0)))</f>
        <v>4.5</v>
      </c>
      <c r="N116" s="3">
        <f>IF(INDEX(学年度总表!$N$3:$N$1025,MATCH($E116,学年度总表!$E$3:$E$1025,0))="","",INDEX(学年度总表!$N$3:$N$1025,MATCH($E116,学年度总表!$E$3:$E$1025,0)))</f>
        <v>65.510000000000005</v>
      </c>
      <c r="O116" s="3">
        <f>IF(INDEX(学年度总表!$O$3:$O$1025,MATCH($E116,学年度总表!$E$3:$E$1025,0))="","",INDEX(学年度总表!$O$3:$O$1025,MATCH($E116,学年度总表!$E$3:$E$1025,0)))</f>
        <v>136.79</v>
      </c>
      <c r="P116" s="2" t="str">
        <f>IF(INDEX(学年度总表!$P$3:$P$1025,MATCH($E116,学年度总表!$E$3:$E$1025,0))="","",INDEX(学年度总表!$P$3:$P$1025,MATCH($E116,学年度总表!$E$3:$E$1025,0)))</f>
        <v/>
      </c>
      <c r="Q116" s="5" t="str">
        <f>IF(INDEX(学年度总表!$Q$3:$Q$1025,MATCH($E116,学年度总表!$E$3:$E$1025,0))="","",INDEX(学年度总表!$Q$3:$Q$1025,MATCH($E116,学年度总表!$E$3:$E$1025,0)))</f>
        <v/>
      </c>
    </row>
    <row r="117" spans="1:17">
      <c r="A117" s="2">
        <f>IF(INDEX(学年度总表!$A$3:$A$1025,MATCH($E117,学年度总表!$E$3:$E$1025,0))="","",INDEX(学年度总表!$A$3:$A$1025,MATCH($E117,学年度总表!$E$3:$E$1025,0)))</f>
        <v>602</v>
      </c>
      <c r="B117" s="2">
        <f>IF(INDEX(学年度总表!$B$3:$B$1025,MATCH($E117,学年度总表!$E$3:$E$1025,0))="","",INDEX(学年度总表!$B$3:$B$1025,MATCH($E117,学年度总表!$E$3:$E$1025,0)))</f>
        <v>115</v>
      </c>
      <c r="C117" s="2" t="str">
        <f>IF(INDEX(学年度总表!$C$3:$C$1025,MATCH($E117,学年度总表!$E$3:$E$1025,0))="","",INDEX(学年度总表!$C$3:$C$1025,MATCH($E117,学年度总表!$E$3:$E$1025,0)))</f>
        <v>计科</v>
      </c>
      <c r="D117" s="2" t="str">
        <f>IF(INDEX(学年度总表!$D$3:$D$1025,MATCH($E117,学年度总表!$E$3:$E$1025,0))="","",INDEX(学年度总表!$D$3:$D$1025,MATCH($E117,学年度总表!$E$3:$E$1025,0)))</f>
        <v>计科二班</v>
      </c>
      <c r="E117" s="2" t="s">
        <v>1265</v>
      </c>
      <c r="F117" s="2" t="str">
        <f>IF(INDEX(学年度总表!$F$3:$F$1025,MATCH($E117,学年度总表!$E$3:$E$1025,0))="","",INDEX(学年度总表!$F$3:$F$1025,MATCH($E117,学年度总表!$E$3:$E$1025,0)))</f>
        <v>邓智洋</v>
      </c>
      <c r="G117" s="3">
        <f>IF(INDEX(学年度总表!$G$3:$G$1025,MATCH($E117,学年度总表!$E$3:$E$1025,0))="","",INDEX(学年度总表!$G$3:$G$1025,MATCH($E117,学年度总表!$E$3:$E$1025,0)))</f>
        <v>9.8000000000000007</v>
      </c>
      <c r="H117" s="3">
        <f>IF(INDEX(学年度总表!$H$3:$H$1025,MATCH($E117,学年度总表!$E$3:$E$1025,0))="","",INDEX(学年度总表!$H$3:$H$1025,MATCH($E117,学年度总表!$E$3:$E$1025,0)))</f>
        <v>55.756097560975597</v>
      </c>
      <c r="I117" s="3">
        <f>IF(INDEX(学年度总表!$I$3:$I$1025,MATCH($E117,学年度总表!$E$3:$E$1025,0))="","",INDEX(学年度总表!$I$3:$I$1025,MATCH($E117,学年度总表!$E$3:$E$1025,0)))</f>
        <v>4.5</v>
      </c>
      <c r="J117" s="3">
        <f>IF(INDEX(学年度总表!$J$3:$J$1025,MATCH($E117,学年度总表!$E$3:$E$1025,0))="","",INDEX(学年度总表!$J$3:$J$1025,MATCH($E117,学年度总表!$E$3:$E$1025,0)))</f>
        <v>70.06</v>
      </c>
      <c r="K117" s="3">
        <f>IF(INDEX(学年度总表!$K$3:$K$1025,MATCH($E117,学年度总表!$E$3:$E$1025,0))="","",INDEX(学年度总表!$K$3:$K$1025,MATCH($E117,学年度总表!$E$3:$E$1025,0)))</f>
        <v>9.8000000000000007</v>
      </c>
      <c r="L117" s="3">
        <f>IF(INDEX(学年度总表!$L$3:$L$1025,MATCH($E117,学年度总表!$E$3:$E$1025,0))="","",INDEX(学年度总表!$L$3:$L$1025,MATCH($E117,学年度总表!$E$3:$E$1025,0)))</f>
        <v>50.62</v>
      </c>
      <c r="M117" s="3">
        <f>IF(INDEX(学年度总表!$M$3:$M$1025,MATCH($E117,学年度总表!$E$3:$E$1025,0))="","",INDEX(学年度总表!$M$3:$M$1025,MATCH($E117,学年度总表!$E$3:$E$1025,0)))</f>
        <v>5</v>
      </c>
      <c r="N117" s="3">
        <f>IF(INDEX(学年度总表!$N$3:$N$1025,MATCH($E117,学年度总表!$E$3:$E$1025,0))="","",INDEX(学年度总表!$N$3:$N$1025,MATCH($E117,学年度总表!$E$3:$E$1025,0)))</f>
        <v>65.42</v>
      </c>
      <c r="O117" s="3">
        <f>IF(INDEX(学年度总表!$O$3:$O$1025,MATCH($E117,学年度总表!$E$3:$E$1025,0))="","",INDEX(学年度总表!$O$3:$O$1025,MATCH($E117,学年度总表!$E$3:$E$1025,0)))</f>
        <v>135.47999999999999</v>
      </c>
      <c r="P117" s="2" t="str">
        <f>IF(INDEX(学年度总表!$P$3:$P$1025,MATCH($E117,学年度总表!$E$3:$E$1025,0))="","",INDEX(学年度总表!$P$3:$P$1025,MATCH($E117,学年度总表!$E$3:$E$1025,0)))</f>
        <v/>
      </c>
      <c r="Q117" s="5" t="str">
        <f>IF(INDEX(学年度总表!$Q$3:$Q$1025,MATCH($E117,学年度总表!$E$3:$E$1025,0))="","",INDEX(学年度总表!$Q$3:$Q$1025,MATCH($E117,学年度总表!$E$3:$E$1025,0)))</f>
        <v/>
      </c>
    </row>
    <row r="118" spans="1:17">
      <c r="A118" s="2">
        <f>IF(INDEX(学年度总表!$A$3:$A$1025,MATCH($E118,学年度总表!$E$3:$E$1025,0))="","",INDEX(学年度总表!$A$3:$A$1025,MATCH($E118,学年度总表!$E$3:$E$1025,0)))</f>
        <v>604</v>
      </c>
      <c r="B118" s="2">
        <f>IF(INDEX(学年度总表!$B$3:$B$1025,MATCH($E118,学年度总表!$E$3:$E$1025,0))="","",INDEX(学年度总表!$B$3:$B$1025,MATCH($E118,学年度总表!$E$3:$E$1025,0)))</f>
        <v>116</v>
      </c>
      <c r="C118" s="2" t="str">
        <f>IF(INDEX(学年度总表!$C$3:$C$1025,MATCH($E118,学年度总表!$E$3:$E$1025,0))="","",INDEX(学年度总表!$C$3:$C$1025,MATCH($E118,学年度总表!$E$3:$E$1025,0)))</f>
        <v>计科</v>
      </c>
      <c r="D118" s="2" t="str">
        <f>IF(INDEX(学年度总表!$D$3:$D$1025,MATCH($E118,学年度总表!$E$3:$E$1025,0))="","",INDEX(学年度总表!$D$3:$D$1025,MATCH($E118,学年度总表!$E$3:$E$1025,0)))</f>
        <v>计科二班</v>
      </c>
      <c r="E118" s="2" t="s">
        <v>1269</v>
      </c>
      <c r="F118" s="2" t="str">
        <f>IF(INDEX(学年度总表!$F$3:$F$1025,MATCH($E118,学年度总表!$E$3:$E$1025,0))="","",INDEX(学年度总表!$F$3:$F$1025,MATCH($E118,学年度总表!$E$3:$E$1025,0)))</f>
        <v>蔡承彦</v>
      </c>
      <c r="G118" s="3">
        <f>IF(INDEX(学年度总表!$G$3:$G$1025,MATCH($E118,学年度总表!$E$3:$E$1025,0))="","",INDEX(学年度总表!$G$3:$G$1025,MATCH($E118,学年度总表!$E$3:$E$1025,0)))</f>
        <v>9.8000000000000007</v>
      </c>
      <c r="H118" s="3">
        <f>IF(INDEX(学年度总表!$H$3:$H$1025,MATCH($E118,学年度总表!$E$3:$E$1025,0))="","",INDEX(学年度总表!$H$3:$H$1025,MATCH($E118,学年度总表!$E$3:$E$1025,0)))</f>
        <v>53.109756097560997</v>
      </c>
      <c r="I118" s="3">
        <f>IF(INDEX(学年度总表!$I$3:$I$1025,MATCH($E118,学年度总表!$E$3:$E$1025,0))="","",INDEX(学年度总表!$I$3:$I$1025,MATCH($E118,学年度总表!$E$3:$E$1025,0)))</f>
        <v>3</v>
      </c>
      <c r="J118" s="3">
        <f>IF(INDEX(学年度总表!$J$3:$J$1025,MATCH($E118,学年度总表!$E$3:$E$1025,0))="","",INDEX(学年度总表!$J$3:$J$1025,MATCH($E118,学年度总表!$E$3:$E$1025,0)))</f>
        <v>65.91</v>
      </c>
      <c r="K118" s="3">
        <f>IF(INDEX(学年度总表!$K$3:$K$1025,MATCH($E118,学年度总表!$E$3:$E$1025,0))="","",INDEX(学年度总表!$K$3:$K$1025,MATCH($E118,学年度总表!$E$3:$E$1025,0)))</f>
        <v>9.8000000000000007</v>
      </c>
      <c r="L118" s="3">
        <f>IF(INDEX(学年度总表!$L$3:$L$1025,MATCH($E118,学年度总表!$E$3:$E$1025,0))="","",INDEX(学年度总表!$L$3:$L$1025,MATCH($E118,学年度总表!$E$3:$E$1025,0)))</f>
        <v>56.6</v>
      </c>
      <c r="M118" s="3">
        <f>IF(INDEX(学年度总表!$M$3:$M$1025,MATCH($E118,学年度总表!$E$3:$E$1025,0))="","",INDEX(学年度总表!$M$3:$M$1025,MATCH($E118,学年度总表!$E$3:$E$1025,0)))</f>
        <v>3</v>
      </c>
      <c r="N118" s="3">
        <f>IF(INDEX(学年度总表!$N$3:$N$1025,MATCH($E118,学年度总表!$E$3:$E$1025,0))="","",INDEX(学年度总表!$N$3:$N$1025,MATCH($E118,学年度总表!$E$3:$E$1025,0)))</f>
        <v>69.400000000000006</v>
      </c>
      <c r="O118" s="3">
        <f>IF(INDEX(学年度总表!$O$3:$O$1025,MATCH($E118,学年度总表!$E$3:$E$1025,0))="","",INDEX(学年度总表!$O$3:$O$1025,MATCH($E118,学年度总表!$E$3:$E$1025,0)))</f>
        <v>135.31</v>
      </c>
      <c r="P118" s="2" t="str">
        <f>IF(INDEX(学年度总表!$P$3:$P$1025,MATCH($E118,学年度总表!$E$3:$E$1025,0))="","",INDEX(学年度总表!$P$3:$P$1025,MATCH($E118,学年度总表!$E$3:$E$1025,0)))</f>
        <v/>
      </c>
      <c r="Q118" s="5" t="str">
        <f>IF(INDEX(学年度总表!$Q$3:$Q$1025,MATCH($E118,学年度总表!$E$3:$E$1025,0))="","",INDEX(学年度总表!$Q$3:$Q$1025,MATCH($E118,学年度总表!$E$3:$E$1025,0)))</f>
        <v/>
      </c>
    </row>
    <row r="119" spans="1:17">
      <c r="A119" s="2">
        <f>IF(INDEX(学年度总表!$A$3:$A$1025,MATCH($E119,学年度总表!$E$3:$E$1025,0))="","",INDEX(学年度总表!$A$3:$A$1025,MATCH($E119,学年度总表!$E$3:$E$1025,0)))</f>
        <v>621</v>
      </c>
      <c r="B119" s="2">
        <f>IF(INDEX(学年度总表!$B$3:$B$1025,MATCH($E119,学年度总表!$E$3:$E$1025,0))="","",INDEX(学年度总表!$B$3:$B$1025,MATCH($E119,学年度总表!$E$3:$E$1025,0)))</f>
        <v>117</v>
      </c>
      <c r="C119" s="2" t="str">
        <f>IF(INDEX(学年度总表!$C$3:$C$1025,MATCH($E119,学年度总表!$E$3:$E$1025,0))="","",INDEX(学年度总表!$C$3:$C$1025,MATCH($E119,学年度总表!$E$3:$E$1025,0)))</f>
        <v>计科</v>
      </c>
      <c r="D119" s="2" t="str">
        <f>IF(INDEX(学年度总表!$D$3:$D$1025,MATCH($E119,学年度总表!$E$3:$E$1025,0))="","",INDEX(学年度总表!$D$3:$D$1025,MATCH($E119,学年度总表!$E$3:$E$1025,0)))</f>
        <v>计科二班</v>
      </c>
      <c r="E119" s="2" t="s">
        <v>1303</v>
      </c>
      <c r="F119" s="2" t="str">
        <f>IF(INDEX(学年度总表!$F$3:$F$1025,MATCH($E119,学年度总表!$E$3:$E$1025,0))="","",INDEX(学年度总表!$F$3:$F$1025,MATCH($E119,学年度总表!$E$3:$E$1025,0)))</f>
        <v>王思怡</v>
      </c>
      <c r="G119" s="3">
        <f>IF(INDEX(学年度总表!$G$3:$G$1025,MATCH($E119,学年度总表!$E$3:$E$1025,0))="","",INDEX(学年度总表!$G$3:$G$1025,MATCH($E119,学年度总表!$E$3:$E$1025,0)))</f>
        <v>9.8000000000000007</v>
      </c>
      <c r="H119" s="3">
        <f>IF(INDEX(学年度总表!$H$3:$H$1025,MATCH($E119,学年度总表!$E$3:$E$1025,0))="","",INDEX(学年度总表!$H$3:$H$1025,MATCH($E119,学年度总表!$E$3:$E$1025,0)))</f>
        <v>54.670731707317103</v>
      </c>
      <c r="I119" s="3">
        <f>IF(INDEX(学年度总表!$I$3:$I$1025,MATCH($E119,学年度总表!$E$3:$E$1025,0))="","",INDEX(学年度总表!$I$3:$I$1025,MATCH($E119,学年度总表!$E$3:$E$1025,0)))</f>
        <v>3</v>
      </c>
      <c r="J119" s="3">
        <f>IF(INDEX(学年度总表!$J$3:$J$1025,MATCH($E119,学年度总表!$E$3:$E$1025,0))="","",INDEX(学年度总表!$J$3:$J$1025,MATCH($E119,学年度总表!$E$3:$E$1025,0)))</f>
        <v>67.47</v>
      </c>
      <c r="K119" s="3">
        <f>IF(INDEX(学年度总表!$K$3:$K$1025,MATCH($E119,学年度总表!$E$3:$E$1025,0))="","",INDEX(学年度总表!$K$3:$K$1025,MATCH($E119,学年度总表!$E$3:$E$1025,0)))</f>
        <v>9.8000000000000007</v>
      </c>
      <c r="L119" s="3">
        <f>IF(INDEX(学年度总表!$L$3:$L$1025,MATCH($E119,学年度总表!$E$3:$E$1025,0))="","",INDEX(学年度总表!$L$3:$L$1025,MATCH($E119,学年度总表!$E$3:$E$1025,0)))</f>
        <v>53.53</v>
      </c>
      <c r="M119" s="3">
        <f>IF(INDEX(学年度总表!$M$3:$M$1025,MATCH($E119,学年度总表!$E$3:$E$1025,0))="","",INDEX(学年度总表!$M$3:$M$1025,MATCH($E119,学年度总表!$E$3:$E$1025,0)))</f>
        <v>3.5</v>
      </c>
      <c r="N119" s="3">
        <f>IF(INDEX(学年度总表!$N$3:$N$1025,MATCH($E119,学年度总表!$E$3:$E$1025,0))="","",INDEX(学年度总表!$N$3:$N$1025,MATCH($E119,学年度总表!$E$3:$E$1025,0)))</f>
        <v>66.83</v>
      </c>
      <c r="O119" s="3">
        <f>IF(INDEX(学年度总表!$O$3:$O$1025,MATCH($E119,学年度总表!$E$3:$E$1025,0))="","",INDEX(学年度总表!$O$3:$O$1025,MATCH($E119,学年度总表!$E$3:$E$1025,0)))</f>
        <v>134.30000000000001</v>
      </c>
      <c r="P119" s="2" t="str">
        <f>IF(INDEX(学年度总表!$P$3:$P$1025,MATCH($E119,学年度总表!$E$3:$E$1025,0))="","",INDEX(学年度总表!$P$3:$P$1025,MATCH($E119,学年度总表!$E$3:$E$1025,0)))</f>
        <v/>
      </c>
      <c r="Q119" s="5" t="str">
        <f>IF(INDEX(学年度总表!$Q$3:$Q$1025,MATCH($E119,学年度总表!$E$3:$E$1025,0))="","",INDEX(学年度总表!$Q$3:$Q$1025,MATCH($E119,学年度总表!$E$3:$E$1025,0)))</f>
        <v/>
      </c>
    </row>
    <row r="120" spans="1:17">
      <c r="A120" s="2">
        <f>IF(INDEX(学年度总表!$A$3:$A$1025,MATCH($E120,学年度总表!$E$3:$E$1025,0))="","",INDEX(学年度总表!$A$3:$A$1025,MATCH($E120,学年度总表!$E$3:$E$1025,0)))</f>
        <v>625</v>
      </c>
      <c r="B120" s="2">
        <f>IF(INDEX(学年度总表!$B$3:$B$1025,MATCH($E120,学年度总表!$E$3:$E$1025,0))="","",INDEX(学年度总表!$B$3:$B$1025,MATCH($E120,学年度总表!$E$3:$E$1025,0)))</f>
        <v>118</v>
      </c>
      <c r="C120" s="2" t="str">
        <f>IF(INDEX(学年度总表!$C$3:$C$1025,MATCH($E120,学年度总表!$E$3:$E$1025,0))="","",INDEX(学年度总表!$C$3:$C$1025,MATCH($E120,学年度总表!$E$3:$E$1025,0)))</f>
        <v>计科</v>
      </c>
      <c r="D120" s="2" t="str">
        <f>IF(INDEX(学年度总表!$D$3:$D$1025,MATCH($E120,学年度总表!$E$3:$E$1025,0))="","",INDEX(学年度总表!$D$3:$D$1025,MATCH($E120,学年度总表!$E$3:$E$1025,0)))</f>
        <v>计科四班</v>
      </c>
      <c r="E120" s="2" t="s">
        <v>1311</v>
      </c>
      <c r="F120" s="2" t="str">
        <f>IF(INDEX(学年度总表!$F$3:$F$1025,MATCH($E120,学年度总表!$E$3:$E$1025,0))="","",INDEX(学年度总表!$F$3:$F$1025,MATCH($E120,学年度总表!$E$3:$E$1025,0)))</f>
        <v>孙昊臣</v>
      </c>
      <c r="G120" s="3">
        <f>IF(INDEX(学年度总表!$G$3:$G$1025,MATCH($E120,学年度总表!$E$3:$E$1025,0))="","",INDEX(学年度总表!$G$3:$G$1025,MATCH($E120,学年度总表!$E$3:$E$1025,0)))</f>
        <v>10.8</v>
      </c>
      <c r="H120" s="3">
        <f>IF(INDEX(学年度总表!$H$3:$H$1025,MATCH($E120,学年度总表!$E$3:$E$1025,0))="","",INDEX(学年度总表!$H$3:$H$1025,MATCH($E120,学年度总表!$E$3:$E$1025,0)))</f>
        <v>53.451219512195102</v>
      </c>
      <c r="I120" s="3">
        <f>IF(INDEX(学年度总表!$I$3:$I$1025,MATCH($E120,学年度总表!$E$3:$E$1025,0))="","",INDEX(学年度总表!$I$3:$I$1025,MATCH($E120,学年度总表!$E$3:$E$1025,0)))</f>
        <v>4</v>
      </c>
      <c r="J120" s="3">
        <f>IF(INDEX(学年度总表!$J$3:$J$1025,MATCH($E120,学年度总表!$E$3:$E$1025,0))="","",INDEX(学年度总表!$J$3:$J$1025,MATCH($E120,学年度总表!$E$3:$E$1025,0)))</f>
        <v>68.25</v>
      </c>
      <c r="K120" s="3">
        <f>IF(INDEX(学年度总表!$K$3:$K$1025,MATCH($E120,学年度总表!$E$3:$E$1025,0))="","",INDEX(学年度总表!$K$3:$K$1025,MATCH($E120,学年度总表!$E$3:$E$1025,0)))</f>
        <v>9.8000000000000007</v>
      </c>
      <c r="L120" s="3">
        <f>IF(INDEX(学年度总表!$L$3:$L$1025,MATCH($E120,学年度总表!$E$3:$E$1025,0))="","",INDEX(学年度总表!$L$3:$L$1025,MATCH($E120,学年度总表!$E$3:$E$1025,0)))</f>
        <v>52.13</v>
      </c>
      <c r="M120" s="3">
        <f>IF(INDEX(学年度总表!$M$3:$M$1025,MATCH($E120,学年度总表!$E$3:$E$1025,0))="","",INDEX(学年度总表!$M$3:$M$1025,MATCH($E120,学年度总表!$E$3:$E$1025,0)))</f>
        <v>4</v>
      </c>
      <c r="N120" s="3">
        <f>IF(INDEX(学年度总表!$N$3:$N$1025,MATCH($E120,学年度总表!$E$3:$E$1025,0))="","",INDEX(学年度总表!$N$3:$N$1025,MATCH($E120,学年度总表!$E$3:$E$1025,0)))</f>
        <v>65.930000000000007</v>
      </c>
      <c r="O120" s="3">
        <f>IF(INDEX(学年度总表!$O$3:$O$1025,MATCH($E120,学年度总表!$E$3:$E$1025,0))="","",INDEX(学年度总表!$O$3:$O$1025,MATCH($E120,学年度总表!$E$3:$E$1025,0)))</f>
        <v>134.18</v>
      </c>
      <c r="P120" s="2" t="str">
        <f>IF(INDEX(学年度总表!$P$3:$P$1025,MATCH($E120,学年度总表!$E$3:$E$1025,0))="","",INDEX(学年度总表!$P$3:$P$1025,MATCH($E120,学年度总表!$E$3:$E$1025,0)))</f>
        <v/>
      </c>
      <c r="Q120" s="5" t="str">
        <f>IF(INDEX(学年度总表!$Q$3:$Q$1025,MATCH($E120,学年度总表!$E$3:$E$1025,0))="","",INDEX(学年度总表!$Q$3:$Q$1025,MATCH($E120,学年度总表!$E$3:$E$1025,0)))</f>
        <v/>
      </c>
    </row>
    <row r="121" spans="1:17">
      <c r="A121" s="2">
        <f>IF(INDEX(学年度总表!$A$3:$A$1025,MATCH($E121,学年度总表!$E$3:$E$1025,0))="","",INDEX(学年度总表!$A$3:$A$1025,MATCH($E121,学年度总表!$E$3:$E$1025,0)))</f>
        <v>642</v>
      </c>
      <c r="B121" s="2">
        <f>IF(INDEX(学年度总表!$B$3:$B$1025,MATCH($E121,学年度总表!$E$3:$E$1025,0))="","",INDEX(学年度总表!$B$3:$B$1025,MATCH($E121,学年度总表!$E$3:$E$1025,0)))</f>
        <v>119</v>
      </c>
      <c r="C121" s="2" t="str">
        <f>IF(INDEX(学年度总表!$C$3:$C$1025,MATCH($E121,学年度总表!$E$3:$E$1025,0))="","",INDEX(学年度总表!$C$3:$C$1025,MATCH($E121,学年度总表!$E$3:$E$1025,0)))</f>
        <v>计科</v>
      </c>
      <c r="D121" s="2" t="str">
        <f>IF(INDEX(学年度总表!$D$3:$D$1025,MATCH($E121,学年度总表!$E$3:$E$1025,0))="","",INDEX(学年度总表!$D$3:$D$1025,MATCH($E121,学年度总表!$E$3:$E$1025,0)))</f>
        <v>计科三班</v>
      </c>
      <c r="E121" s="2" t="s">
        <v>1345</v>
      </c>
      <c r="F121" s="2" t="str">
        <f>IF(INDEX(学年度总表!$F$3:$F$1025,MATCH($E121,学年度总表!$E$3:$E$1025,0))="","",INDEX(学年度总表!$F$3:$F$1025,MATCH($E121,学年度总表!$E$3:$E$1025,0)))</f>
        <v>亢云麒</v>
      </c>
      <c r="G121" s="3">
        <f>IF(INDEX(学年度总表!$G$3:$G$1025,MATCH($E121,学年度总表!$E$3:$E$1025,0))="","",INDEX(学年度总表!$G$3:$G$1025,MATCH($E121,学年度总表!$E$3:$E$1025,0)))</f>
        <v>9.8000000000000007</v>
      </c>
      <c r="H121" s="3">
        <f>IF(INDEX(学年度总表!$H$3:$H$1025,MATCH($E121,学年度总表!$E$3:$E$1025,0))="","",INDEX(学年度总表!$H$3:$H$1025,MATCH($E121,学年度总表!$E$3:$E$1025,0)))</f>
        <v>54.365853658536601</v>
      </c>
      <c r="I121" s="3">
        <f>IF(INDEX(学年度总表!$I$3:$I$1025,MATCH($E121,学年度总表!$E$3:$E$1025,0))="","",INDEX(学年度总表!$I$3:$I$1025,MATCH($E121,学年度总表!$E$3:$E$1025,0)))</f>
        <v>3</v>
      </c>
      <c r="J121" s="3">
        <f>IF(INDEX(学年度总表!$J$3:$J$1025,MATCH($E121,学年度总表!$E$3:$E$1025,0))="","",INDEX(学年度总表!$J$3:$J$1025,MATCH($E121,学年度总表!$E$3:$E$1025,0)))</f>
        <v>67.17</v>
      </c>
      <c r="K121" s="3">
        <f>IF(INDEX(学年度总表!$K$3:$K$1025,MATCH($E121,学年度总表!$E$3:$E$1025,0))="","",INDEX(学年度总表!$K$3:$K$1025,MATCH($E121,学年度总表!$E$3:$E$1025,0)))</f>
        <v>9</v>
      </c>
      <c r="L121" s="3">
        <f>IF(INDEX(学年度总表!$L$3:$L$1025,MATCH($E121,学年度总表!$E$3:$E$1025,0))="","",INDEX(学年度总表!$L$3:$L$1025,MATCH($E121,学年度总表!$E$3:$E$1025,0)))</f>
        <v>54.35</v>
      </c>
      <c r="M121" s="3">
        <f>IF(INDEX(学年度总表!$M$3:$M$1025,MATCH($E121,学年度总表!$E$3:$E$1025,0))="","",INDEX(学年度总表!$M$3:$M$1025,MATCH($E121,学年度总表!$E$3:$E$1025,0)))</f>
        <v>3</v>
      </c>
      <c r="N121" s="3">
        <f>IF(INDEX(学年度总表!$N$3:$N$1025,MATCH($E121,学年度总表!$E$3:$E$1025,0))="","",INDEX(学年度总表!$N$3:$N$1025,MATCH($E121,学年度总表!$E$3:$E$1025,0)))</f>
        <v>66.349999999999994</v>
      </c>
      <c r="O121" s="3">
        <f>IF(INDEX(学年度总表!$O$3:$O$1025,MATCH($E121,学年度总表!$E$3:$E$1025,0))="","",INDEX(学年度总表!$O$3:$O$1025,MATCH($E121,学年度总表!$E$3:$E$1025,0)))</f>
        <v>133.52000000000001</v>
      </c>
      <c r="P121" s="2" t="str">
        <f>IF(INDEX(学年度总表!$P$3:$P$1025,MATCH($E121,学年度总表!$E$3:$E$1025,0))="","",INDEX(学年度总表!$P$3:$P$1025,MATCH($E121,学年度总表!$E$3:$E$1025,0)))</f>
        <v/>
      </c>
      <c r="Q121" s="5" t="str">
        <f>IF(INDEX(学年度总表!$Q$3:$Q$1025,MATCH($E121,学年度总表!$E$3:$E$1025,0))="","",INDEX(学年度总表!$Q$3:$Q$1025,MATCH($E121,学年度总表!$E$3:$E$1025,0)))</f>
        <v/>
      </c>
    </row>
    <row r="122" spans="1:17">
      <c r="A122" s="2">
        <f>IF(INDEX(学年度总表!$A$3:$A$1025,MATCH($E122,学年度总表!$E$3:$E$1025,0))="","",INDEX(学年度总表!$A$3:$A$1025,MATCH($E122,学年度总表!$E$3:$E$1025,0)))</f>
        <v>643</v>
      </c>
      <c r="B122" s="2">
        <f>IF(INDEX(学年度总表!$B$3:$B$1025,MATCH($E122,学年度总表!$E$3:$E$1025,0))="","",INDEX(学年度总表!$B$3:$B$1025,MATCH($E122,学年度总表!$E$3:$E$1025,0)))</f>
        <v>120</v>
      </c>
      <c r="C122" s="2" t="str">
        <f>IF(INDEX(学年度总表!$C$3:$C$1025,MATCH($E122,学年度总表!$E$3:$E$1025,0))="","",INDEX(学年度总表!$C$3:$C$1025,MATCH($E122,学年度总表!$E$3:$E$1025,0)))</f>
        <v>计科</v>
      </c>
      <c r="D122" s="2" t="str">
        <f>IF(INDEX(学年度总表!$D$3:$D$1025,MATCH($E122,学年度总表!$E$3:$E$1025,0))="","",INDEX(学年度总表!$D$3:$D$1025,MATCH($E122,学年度总表!$E$3:$E$1025,0)))</f>
        <v>计科四班</v>
      </c>
      <c r="E122" s="2" t="s">
        <v>1347</v>
      </c>
      <c r="F122" s="2" t="str">
        <f>IF(INDEX(学年度总表!$F$3:$F$1025,MATCH($E122,学年度总表!$E$3:$E$1025,0))="","",INDEX(学年度总表!$F$3:$F$1025,MATCH($E122,学年度总表!$E$3:$E$1025,0)))</f>
        <v>郭议浛</v>
      </c>
      <c r="G122" s="3">
        <f>IF(INDEX(学年度总表!$G$3:$G$1025,MATCH($E122,学年度总表!$E$3:$E$1025,0))="","",INDEX(学年度总表!$G$3:$G$1025,MATCH($E122,学年度总表!$E$3:$E$1025,0)))</f>
        <v>9.8000000000000007</v>
      </c>
      <c r="H122" s="3">
        <f>IF(INDEX(学年度总表!$H$3:$H$1025,MATCH($E122,学年度总表!$E$3:$E$1025,0))="","",INDEX(学年度总表!$H$3:$H$1025,MATCH($E122,学年度总表!$E$3:$E$1025,0)))</f>
        <v>55</v>
      </c>
      <c r="I122" s="3">
        <f>IF(INDEX(学年度总表!$I$3:$I$1025,MATCH($E122,学年度总表!$E$3:$E$1025,0))="","",INDEX(学年度总表!$I$3:$I$1025,MATCH($E122,学年度总表!$E$3:$E$1025,0)))</f>
        <v>3.7</v>
      </c>
      <c r="J122" s="3">
        <f>IF(INDEX(学年度总表!$J$3:$J$1025,MATCH($E122,学年度总表!$E$3:$E$1025,0))="","",INDEX(学年度总表!$J$3:$J$1025,MATCH($E122,学年度总表!$E$3:$E$1025,0)))</f>
        <v>68.5</v>
      </c>
      <c r="K122" s="3">
        <f>IF(INDEX(学年度总表!$K$3:$K$1025,MATCH($E122,学年度总表!$E$3:$E$1025,0))="","",INDEX(学年度总表!$K$3:$K$1025,MATCH($E122,学年度总表!$E$3:$E$1025,0)))</f>
        <v>10</v>
      </c>
      <c r="L122" s="3">
        <f>IF(INDEX(学年度总表!$L$3:$L$1025,MATCH($E122,学年度总表!$E$3:$E$1025,0))="","",INDEX(学年度总表!$L$3:$L$1025,MATCH($E122,学年度总表!$E$3:$E$1025,0)))</f>
        <v>50.76</v>
      </c>
      <c r="M122" s="3">
        <f>IF(INDEX(学年度总表!$M$3:$M$1025,MATCH($E122,学年度总表!$E$3:$E$1025,0))="","",INDEX(学年度总表!$M$3:$M$1025,MATCH($E122,学年度总表!$E$3:$E$1025,0)))</f>
        <v>4.2</v>
      </c>
      <c r="N122" s="3">
        <f>IF(INDEX(学年度总表!$N$3:$N$1025,MATCH($E122,学年度总表!$E$3:$E$1025,0))="","",INDEX(学年度总表!$N$3:$N$1025,MATCH($E122,学年度总表!$E$3:$E$1025,0)))</f>
        <v>64.959999999999994</v>
      </c>
      <c r="O122" s="3">
        <f>IF(INDEX(学年度总表!$O$3:$O$1025,MATCH($E122,学年度总表!$E$3:$E$1025,0))="","",INDEX(学年度总表!$O$3:$O$1025,MATCH($E122,学年度总表!$E$3:$E$1025,0)))</f>
        <v>133.46</v>
      </c>
      <c r="P122" s="2" t="str">
        <f>IF(INDEX(学年度总表!$P$3:$P$1025,MATCH($E122,学年度总表!$E$3:$E$1025,0))="","",INDEX(学年度总表!$P$3:$P$1025,MATCH($E122,学年度总表!$E$3:$E$1025,0)))</f>
        <v/>
      </c>
      <c r="Q122" s="5" t="str">
        <f>IF(INDEX(学年度总表!$Q$3:$Q$1025,MATCH($E122,学年度总表!$E$3:$E$1025,0))="","",INDEX(学年度总表!$Q$3:$Q$1025,MATCH($E122,学年度总表!$E$3:$E$1025,0)))</f>
        <v/>
      </c>
    </row>
    <row r="123" spans="1:17">
      <c r="A123" s="2">
        <f>IF(INDEX(学年度总表!$A$3:$A$1025,MATCH($E123,学年度总表!$E$3:$E$1025,0))="","",INDEX(学年度总表!$A$3:$A$1025,MATCH($E123,学年度总表!$E$3:$E$1025,0)))</f>
        <v>657</v>
      </c>
      <c r="B123" s="2">
        <f>IF(INDEX(学年度总表!$B$3:$B$1025,MATCH($E123,学年度总表!$E$3:$E$1025,0))="","",INDEX(学年度总表!$B$3:$B$1025,MATCH($E123,学年度总表!$E$3:$E$1025,0)))</f>
        <v>121</v>
      </c>
      <c r="C123" s="2" t="str">
        <f>IF(INDEX(学年度总表!$C$3:$C$1025,MATCH($E123,学年度总表!$E$3:$E$1025,0))="","",INDEX(学年度总表!$C$3:$C$1025,MATCH($E123,学年度总表!$E$3:$E$1025,0)))</f>
        <v>计科</v>
      </c>
      <c r="D123" s="2" t="str">
        <f>IF(INDEX(学年度总表!$D$3:$D$1025,MATCH($E123,学年度总表!$E$3:$E$1025,0))="","",INDEX(学年度总表!$D$3:$D$1025,MATCH($E123,学年度总表!$E$3:$E$1025,0)))</f>
        <v>计科四班</v>
      </c>
      <c r="E123" s="2" t="s">
        <v>1375</v>
      </c>
      <c r="F123" s="2" t="str">
        <f>IF(INDEX(学年度总表!$F$3:$F$1025,MATCH($E123,学年度总表!$E$3:$E$1025,0))="","",INDEX(学年度总表!$F$3:$F$1025,MATCH($E123,学年度总表!$E$3:$E$1025,0)))</f>
        <v>窦伊涵</v>
      </c>
      <c r="G123" s="3">
        <f>IF(INDEX(学年度总表!$G$3:$G$1025,MATCH($E123,学年度总表!$E$3:$E$1025,0))="","",INDEX(学年度总表!$G$3:$G$1025,MATCH($E123,学年度总表!$E$3:$E$1025,0)))</f>
        <v>9.8000000000000007</v>
      </c>
      <c r="H123" s="3">
        <f>IF(INDEX(学年度总表!$H$3:$H$1025,MATCH($E123,学年度总表!$E$3:$E$1025,0))="","",INDEX(学年度总表!$H$3:$H$1025,MATCH($E123,学年度总表!$E$3:$E$1025,0)))</f>
        <v>53.829268292682897</v>
      </c>
      <c r="I123" s="3">
        <f>IF(INDEX(学年度总表!$I$3:$I$1025,MATCH($E123,学年度总表!$E$3:$E$1025,0))="","",INDEX(学年度总表!$I$3:$I$1025,MATCH($E123,学年度总表!$E$3:$E$1025,0)))</f>
        <v>3</v>
      </c>
      <c r="J123" s="3">
        <f>IF(INDEX(学年度总表!$J$3:$J$1025,MATCH($E123,学年度总表!$E$3:$E$1025,0))="","",INDEX(学年度总表!$J$3:$J$1025,MATCH($E123,学年度总表!$E$3:$E$1025,0)))</f>
        <v>66.63</v>
      </c>
      <c r="K123" s="3">
        <f>IF(INDEX(学年度总表!$K$3:$K$1025,MATCH($E123,学年度总表!$E$3:$E$1025,0))="","",INDEX(学年度总表!$K$3:$K$1025,MATCH($E123,学年度总表!$E$3:$E$1025,0)))</f>
        <v>9.8000000000000007</v>
      </c>
      <c r="L123" s="3">
        <f>IF(INDEX(学年度总表!$L$3:$L$1025,MATCH($E123,学年度总表!$E$3:$E$1025,0))="","",INDEX(学年度总表!$L$3:$L$1025,MATCH($E123,学年度总表!$E$3:$E$1025,0)))</f>
        <v>52.65</v>
      </c>
      <c r="M123" s="3">
        <f>IF(INDEX(学年度总表!$M$3:$M$1025,MATCH($E123,学年度总表!$E$3:$E$1025,0))="","",INDEX(学年度总表!$M$3:$M$1025,MATCH($E123,学年度总表!$E$3:$E$1025,0)))</f>
        <v>3.5</v>
      </c>
      <c r="N123" s="3">
        <f>IF(INDEX(学年度总表!$N$3:$N$1025,MATCH($E123,学年度总表!$E$3:$E$1025,0))="","",INDEX(学年度总表!$N$3:$N$1025,MATCH($E123,学年度总表!$E$3:$E$1025,0)))</f>
        <v>65.95</v>
      </c>
      <c r="O123" s="3">
        <f>IF(INDEX(学年度总表!$O$3:$O$1025,MATCH($E123,学年度总表!$E$3:$E$1025,0))="","",INDEX(学年度总表!$O$3:$O$1025,MATCH($E123,学年度总表!$E$3:$E$1025,0)))</f>
        <v>132.58000000000001</v>
      </c>
      <c r="P123" s="2" t="str">
        <f>IF(INDEX(学年度总表!$P$3:$P$1025,MATCH($E123,学年度总表!$E$3:$E$1025,0))="","",INDEX(学年度总表!$P$3:$P$1025,MATCH($E123,学年度总表!$E$3:$E$1025,0)))</f>
        <v/>
      </c>
      <c r="Q123" s="5" t="str">
        <f>IF(INDEX(学年度总表!$Q$3:$Q$1025,MATCH($E123,学年度总表!$E$3:$E$1025,0))="","",INDEX(学年度总表!$Q$3:$Q$1025,MATCH($E123,学年度总表!$E$3:$E$1025,0)))</f>
        <v/>
      </c>
    </row>
    <row r="124" spans="1:17">
      <c r="A124" s="2">
        <f>IF(INDEX(学年度总表!$A$3:$A$1025,MATCH($E124,学年度总表!$E$3:$E$1025,0))="","",INDEX(学年度总表!$A$3:$A$1025,MATCH($E124,学年度总表!$E$3:$E$1025,0)))</f>
        <v>671</v>
      </c>
      <c r="B124" s="2">
        <f>IF(INDEX(学年度总表!$B$3:$B$1025,MATCH($E124,学年度总表!$E$3:$E$1025,0))="","",INDEX(学年度总表!$B$3:$B$1025,MATCH($E124,学年度总表!$E$3:$E$1025,0)))</f>
        <v>122</v>
      </c>
      <c r="C124" s="2" t="str">
        <f>IF(INDEX(学年度总表!$C$3:$C$1025,MATCH($E124,学年度总表!$E$3:$E$1025,0))="","",INDEX(学年度总表!$C$3:$C$1025,MATCH($E124,学年度总表!$E$3:$E$1025,0)))</f>
        <v>计科</v>
      </c>
      <c r="D124" s="2" t="str">
        <f>IF(INDEX(学年度总表!$D$3:$D$1025,MATCH($E124,学年度总表!$E$3:$E$1025,0))="","",INDEX(学年度总表!$D$3:$D$1025,MATCH($E124,学年度总表!$E$3:$E$1025,0)))</f>
        <v>计科二班</v>
      </c>
      <c r="E124" s="2" t="s">
        <v>1403</v>
      </c>
      <c r="F124" s="2" t="str">
        <f>IF(INDEX(学年度总表!$F$3:$F$1025,MATCH($E124,学年度总表!$E$3:$E$1025,0))="","",INDEX(学年度总表!$F$3:$F$1025,MATCH($E124,学年度总表!$E$3:$E$1025,0)))</f>
        <v>谢有一</v>
      </c>
      <c r="G124" s="3">
        <f>IF(INDEX(学年度总表!$G$3:$G$1025,MATCH($E124,学年度总表!$E$3:$E$1025,0))="","",INDEX(学年度总表!$G$3:$G$1025,MATCH($E124,学年度总表!$E$3:$E$1025,0)))</f>
        <v>9.8000000000000007</v>
      </c>
      <c r="H124" s="3">
        <f>IF(INDEX(学年度总表!$H$3:$H$1025,MATCH($E124,学年度总表!$E$3:$E$1025,0))="","",INDEX(学年度总表!$H$3:$H$1025,MATCH($E124,学年度总表!$E$3:$E$1025,0)))</f>
        <v>54.914634146341498</v>
      </c>
      <c r="I124" s="3">
        <f>IF(INDEX(学年度总表!$I$3:$I$1025,MATCH($E124,学年度总表!$E$3:$E$1025,0))="","",INDEX(学年度总表!$I$3:$I$1025,MATCH($E124,学年度总表!$E$3:$E$1025,0)))</f>
        <v>3</v>
      </c>
      <c r="J124" s="3">
        <f>IF(INDEX(学年度总表!$J$3:$J$1025,MATCH($E124,学年度总表!$E$3:$E$1025,0))="","",INDEX(学年度总表!$J$3:$J$1025,MATCH($E124,学年度总表!$E$3:$E$1025,0)))</f>
        <v>67.709999999999994</v>
      </c>
      <c r="K124" s="3">
        <f>IF(INDEX(学年度总表!$K$3:$K$1025,MATCH($E124,学年度总表!$E$3:$E$1025,0))="","",INDEX(学年度总表!$K$3:$K$1025,MATCH($E124,学年度总表!$E$3:$E$1025,0)))</f>
        <v>9.8000000000000007</v>
      </c>
      <c r="L124" s="3">
        <f>IF(INDEX(学年度总表!$L$3:$L$1025,MATCH($E124,学年度总表!$E$3:$E$1025,0))="","",INDEX(学年度总表!$L$3:$L$1025,MATCH($E124,学年度总表!$E$3:$E$1025,0)))</f>
        <v>50.95</v>
      </c>
      <c r="M124" s="3">
        <f>IF(INDEX(学年度总表!$M$3:$M$1025,MATCH($E124,学年度总表!$E$3:$E$1025,0))="","",INDEX(学年度总表!$M$3:$M$1025,MATCH($E124,学年度总表!$E$3:$E$1025,0)))</f>
        <v>3.5</v>
      </c>
      <c r="N124" s="3">
        <f>IF(INDEX(学年度总表!$N$3:$N$1025,MATCH($E124,学年度总表!$E$3:$E$1025,0))="","",INDEX(学年度总表!$N$3:$N$1025,MATCH($E124,学年度总表!$E$3:$E$1025,0)))</f>
        <v>64.25</v>
      </c>
      <c r="O124" s="3">
        <f>IF(INDEX(学年度总表!$O$3:$O$1025,MATCH($E124,学年度总表!$E$3:$E$1025,0))="","",INDEX(学年度总表!$O$3:$O$1025,MATCH($E124,学年度总表!$E$3:$E$1025,0)))</f>
        <v>131.96</v>
      </c>
      <c r="P124" s="2" t="str">
        <f>IF(INDEX(学年度总表!$P$3:$P$1025,MATCH($E124,学年度总表!$E$3:$E$1025,0))="","",INDEX(学年度总表!$P$3:$P$1025,MATCH($E124,学年度总表!$E$3:$E$1025,0)))</f>
        <v/>
      </c>
      <c r="Q124" s="5" t="str">
        <f>IF(INDEX(学年度总表!$Q$3:$Q$1025,MATCH($E124,学年度总表!$E$3:$E$1025,0))="","",INDEX(学年度总表!$Q$3:$Q$1025,MATCH($E124,学年度总表!$E$3:$E$1025,0)))</f>
        <v/>
      </c>
    </row>
    <row r="125" spans="1:17">
      <c r="A125" s="2">
        <f>IF(INDEX(学年度总表!$A$3:$A$1025,MATCH($E125,学年度总表!$E$3:$E$1025,0))="","",INDEX(学年度总表!$A$3:$A$1025,MATCH($E125,学年度总表!$E$3:$E$1025,0)))</f>
        <v>680</v>
      </c>
      <c r="B125" s="2">
        <f>IF(INDEX(学年度总表!$B$3:$B$1025,MATCH($E125,学年度总表!$E$3:$E$1025,0))="","",INDEX(学年度总表!$B$3:$B$1025,MATCH($E125,学年度总表!$E$3:$E$1025,0)))</f>
        <v>123</v>
      </c>
      <c r="C125" s="2" t="str">
        <f>IF(INDEX(学年度总表!$C$3:$C$1025,MATCH($E125,学年度总表!$E$3:$E$1025,0))="","",INDEX(学年度总表!$C$3:$C$1025,MATCH($E125,学年度总表!$E$3:$E$1025,0)))</f>
        <v>计科</v>
      </c>
      <c r="D125" s="2" t="str">
        <f>IF(INDEX(学年度总表!$D$3:$D$1025,MATCH($E125,学年度总表!$E$3:$E$1025,0))="","",INDEX(学年度总表!$D$3:$D$1025,MATCH($E125,学年度总表!$E$3:$E$1025,0)))</f>
        <v>计科三班</v>
      </c>
      <c r="E125" s="2" t="s">
        <v>1421</v>
      </c>
      <c r="F125" s="2" t="str">
        <f>IF(INDEX(学年度总表!$F$3:$F$1025,MATCH($E125,学年度总表!$E$3:$E$1025,0))="","",INDEX(学年度总表!$F$3:$F$1025,MATCH($E125,学年度总表!$E$3:$E$1025,0)))</f>
        <v>崔海雨</v>
      </c>
      <c r="G125" s="3">
        <f>IF(INDEX(学年度总表!$G$3:$G$1025,MATCH($E125,学年度总表!$E$3:$E$1025,0))="","",INDEX(学年度总表!$G$3:$G$1025,MATCH($E125,学年度总表!$E$3:$E$1025,0)))</f>
        <v>10</v>
      </c>
      <c r="H125" s="3">
        <f>IF(INDEX(学年度总表!$H$3:$H$1025,MATCH($E125,学年度总表!$E$3:$E$1025,0))="","",INDEX(学年度总表!$H$3:$H$1025,MATCH($E125,学年度总表!$E$3:$E$1025,0)))</f>
        <v>48.036585365853597</v>
      </c>
      <c r="I125" s="3">
        <f>IF(INDEX(学年度总表!$I$3:$I$1025,MATCH($E125,学年度总表!$E$3:$E$1025,0))="","",INDEX(学年度总表!$I$3:$I$1025,MATCH($E125,学年度总表!$E$3:$E$1025,0)))</f>
        <v>3</v>
      </c>
      <c r="J125" s="3">
        <f>IF(INDEX(学年度总表!$J$3:$J$1025,MATCH($E125,学年度总表!$E$3:$E$1025,0))="","",INDEX(学年度总表!$J$3:$J$1025,MATCH($E125,学年度总表!$E$3:$E$1025,0)))</f>
        <v>61.04</v>
      </c>
      <c r="K125" s="3">
        <f>IF(INDEX(学年度总表!$K$3:$K$1025,MATCH($E125,学年度总表!$E$3:$E$1025,0))="","",INDEX(学年度总表!$K$3:$K$1025,MATCH($E125,学年度总表!$E$3:$E$1025,0)))</f>
        <v>10</v>
      </c>
      <c r="L125" s="3">
        <f>IF(INDEX(学年度总表!$L$3:$L$1025,MATCH($E125,学年度总表!$E$3:$E$1025,0))="","",INDEX(学年度总表!$L$3:$L$1025,MATCH($E125,学年度总表!$E$3:$E$1025,0)))</f>
        <v>57.15</v>
      </c>
      <c r="M125" s="3">
        <f>IF(INDEX(学年度总表!$M$3:$M$1025,MATCH($E125,学年度总表!$E$3:$E$1025,0))="","",INDEX(学年度总表!$M$3:$M$1025,MATCH($E125,学年度总表!$E$3:$E$1025,0)))</f>
        <v>3</v>
      </c>
      <c r="N125" s="3">
        <f>IF(INDEX(学年度总表!$N$3:$N$1025,MATCH($E125,学年度总表!$E$3:$E$1025,0))="","",INDEX(学年度总表!$N$3:$N$1025,MATCH($E125,学年度总表!$E$3:$E$1025,0)))</f>
        <v>70.150000000000006</v>
      </c>
      <c r="O125" s="3">
        <f>IF(INDEX(学年度总表!$O$3:$O$1025,MATCH($E125,学年度总表!$E$3:$E$1025,0))="","",INDEX(学年度总表!$O$3:$O$1025,MATCH($E125,学年度总表!$E$3:$E$1025,0)))</f>
        <v>131.19</v>
      </c>
      <c r="P125" s="2" t="str">
        <f>IF(INDEX(学年度总表!$P$3:$P$1025,MATCH($E125,学年度总表!$E$3:$E$1025,0))="","",INDEX(学年度总表!$P$3:$P$1025,MATCH($E125,学年度总表!$E$3:$E$1025,0)))</f>
        <v/>
      </c>
      <c r="Q125" s="5" t="str">
        <f>IF(INDEX(学年度总表!$Q$3:$Q$1025,MATCH($E125,学年度总表!$E$3:$E$1025,0))="","",INDEX(学年度总表!$Q$3:$Q$1025,MATCH($E125,学年度总表!$E$3:$E$1025,0)))</f>
        <v/>
      </c>
    </row>
    <row r="126" spans="1:17">
      <c r="A126" s="2">
        <f>IF(INDEX(学年度总表!$A$3:$A$1025,MATCH($E126,学年度总表!$E$3:$E$1025,0))="","",INDEX(学年度总表!$A$3:$A$1025,MATCH($E126,学年度总表!$E$3:$E$1025,0)))</f>
        <v>683</v>
      </c>
      <c r="B126" s="2">
        <f>IF(INDEX(学年度总表!$B$3:$B$1025,MATCH($E126,学年度总表!$E$3:$E$1025,0))="","",INDEX(学年度总表!$B$3:$B$1025,MATCH($E126,学年度总表!$E$3:$E$1025,0)))</f>
        <v>124</v>
      </c>
      <c r="C126" s="2" t="str">
        <f>IF(INDEX(学年度总表!$C$3:$C$1025,MATCH($E126,学年度总表!$E$3:$E$1025,0))="","",INDEX(学年度总表!$C$3:$C$1025,MATCH($E126,学年度总表!$E$3:$E$1025,0)))</f>
        <v>计科</v>
      </c>
      <c r="D126" s="2" t="str">
        <f>IF(INDEX(学年度总表!$D$3:$D$1025,MATCH($E126,学年度总表!$E$3:$E$1025,0))="","",INDEX(学年度总表!$D$3:$D$1025,MATCH($E126,学年度总表!$E$3:$E$1025,0)))</f>
        <v>计科一班</v>
      </c>
      <c r="E126" s="2" t="s">
        <v>1427</v>
      </c>
      <c r="F126" s="2" t="str">
        <f>IF(INDEX(学年度总表!$F$3:$F$1025,MATCH($E126,学年度总表!$E$3:$E$1025,0))="","",INDEX(学年度总表!$F$3:$F$1025,MATCH($E126,学年度总表!$E$3:$E$1025,0)))</f>
        <v>彭思远</v>
      </c>
      <c r="G126" s="3">
        <f>IF(INDEX(学年度总表!$G$3:$G$1025,MATCH($E126,学年度总表!$E$3:$E$1025,0))="","",INDEX(学年度总表!$G$3:$G$1025,MATCH($E126,学年度总表!$E$3:$E$1025,0)))</f>
        <v>9.8000000000000007</v>
      </c>
      <c r="H126" s="3">
        <f>IF(INDEX(学年度总表!$H$3:$H$1025,MATCH($E126,学年度总表!$E$3:$E$1025,0))="","",INDEX(学年度总表!$H$3:$H$1025,MATCH($E126,学年度总表!$E$3:$E$1025,0)))</f>
        <v>56.461538461538503</v>
      </c>
      <c r="I126" s="3">
        <f>IF(INDEX(学年度总表!$I$3:$I$1025,MATCH($E126,学年度总表!$E$3:$E$1025,0))="","",INDEX(学年度总表!$I$3:$I$1025,MATCH($E126,学年度总表!$E$3:$E$1025,0)))</f>
        <v>3</v>
      </c>
      <c r="J126" s="3">
        <f>IF(INDEX(学年度总表!$J$3:$J$1025,MATCH($E126,学年度总表!$E$3:$E$1025,0))="","",INDEX(学年度总表!$J$3:$J$1025,MATCH($E126,学年度总表!$E$3:$E$1025,0)))</f>
        <v>69.260000000000005</v>
      </c>
      <c r="K126" s="3">
        <f>IF(INDEX(学年度总表!$K$3:$K$1025,MATCH($E126,学年度总表!$E$3:$E$1025,0))="","",INDEX(学年度总表!$K$3:$K$1025,MATCH($E126,学年度总表!$E$3:$E$1025,0)))</f>
        <v>9</v>
      </c>
      <c r="L126" s="3">
        <f>IF(INDEX(学年度总表!$L$3:$L$1025,MATCH($E126,学年度总表!$E$3:$E$1025,0))="","",INDEX(学年度总表!$L$3:$L$1025,MATCH($E126,学年度总表!$E$3:$E$1025,0)))</f>
        <v>49.88</v>
      </c>
      <c r="M126" s="3">
        <f>IF(INDEX(学年度总表!$M$3:$M$1025,MATCH($E126,学年度总表!$E$3:$E$1025,0))="","",INDEX(学年度总表!$M$3:$M$1025,MATCH($E126,学年度总表!$E$3:$E$1025,0)))</f>
        <v>3</v>
      </c>
      <c r="N126" s="3">
        <f>IF(INDEX(学年度总表!$N$3:$N$1025,MATCH($E126,学年度总表!$E$3:$E$1025,0))="","",INDEX(学年度总表!$N$3:$N$1025,MATCH($E126,学年度总表!$E$3:$E$1025,0)))</f>
        <v>61.88</v>
      </c>
      <c r="O126" s="3">
        <f>IF(INDEX(学年度总表!$O$3:$O$1025,MATCH($E126,学年度总表!$E$3:$E$1025,0))="","",INDEX(学年度总表!$O$3:$O$1025,MATCH($E126,学年度总表!$E$3:$E$1025,0)))</f>
        <v>131.13999999999999</v>
      </c>
      <c r="P126" s="2" t="str">
        <f>IF(INDEX(学年度总表!$P$3:$P$1025,MATCH($E126,学年度总表!$E$3:$E$1025,0))="","",INDEX(学年度总表!$P$3:$P$1025,MATCH($E126,学年度总表!$E$3:$E$1025,0)))</f>
        <v/>
      </c>
      <c r="Q126" s="5" t="str">
        <f>IF(INDEX(学年度总表!$Q$3:$Q$1025,MATCH($E126,学年度总表!$E$3:$E$1025,0))="","",INDEX(学年度总表!$Q$3:$Q$1025,MATCH($E126,学年度总表!$E$3:$E$1025,0)))</f>
        <v/>
      </c>
    </row>
    <row r="127" spans="1:17">
      <c r="A127" s="2">
        <f>IF(INDEX(学年度总表!$A$3:$A$1025,MATCH($E127,学年度总表!$E$3:$E$1025,0))="","",INDEX(学年度总表!$A$3:$A$1025,MATCH($E127,学年度总表!$E$3:$E$1025,0)))</f>
        <v>693</v>
      </c>
      <c r="B127" s="2">
        <f>IF(INDEX(学年度总表!$B$3:$B$1025,MATCH($E127,学年度总表!$E$3:$E$1025,0))="","",INDEX(学年度总表!$B$3:$B$1025,MATCH($E127,学年度总表!$E$3:$E$1025,0)))</f>
        <v>125</v>
      </c>
      <c r="C127" s="2" t="str">
        <f>IF(INDEX(学年度总表!$C$3:$C$1025,MATCH($E127,学年度总表!$E$3:$E$1025,0))="","",INDEX(学年度总表!$C$3:$C$1025,MATCH($E127,学年度总表!$E$3:$E$1025,0)))</f>
        <v>计科</v>
      </c>
      <c r="D127" s="2" t="str">
        <f>IF(INDEX(学年度总表!$D$3:$D$1025,MATCH($E127,学年度总表!$E$3:$E$1025,0))="","",INDEX(学年度总表!$D$3:$D$1025,MATCH($E127,学年度总表!$E$3:$E$1025,0)))</f>
        <v>计科三班</v>
      </c>
      <c r="E127" s="2" t="s">
        <v>1447</v>
      </c>
      <c r="F127" s="2" t="str">
        <f>IF(INDEX(学年度总表!$F$3:$F$1025,MATCH($E127,学年度总表!$E$3:$E$1025,0))="","",INDEX(学年度总表!$F$3:$F$1025,MATCH($E127,学年度总表!$E$3:$E$1025,0)))</f>
        <v>毕楚怡</v>
      </c>
      <c r="G127" s="3">
        <f>IF(INDEX(学年度总表!$G$3:$G$1025,MATCH($E127,学年度总表!$E$3:$E$1025,0))="","",INDEX(学年度总表!$G$3:$G$1025,MATCH($E127,学年度总表!$E$3:$E$1025,0)))</f>
        <v>9.8000000000000007</v>
      </c>
      <c r="H127" s="3">
        <f>IF(INDEX(学年度总表!$H$3:$H$1025,MATCH($E127,学年度总表!$E$3:$E$1025,0))="","",INDEX(学年度总表!$H$3:$H$1025,MATCH($E127,学年度总表!$E$3:$E$1025,0)))</f>
        <v>51.890243902439003</v>
      </c>
      <c r="I127" s="3">
        <f>IF(INDEX(学年度总表!$I$3:$I$1025,MATCH($E127,学年度总表!$E$3:$E$1025,0))="","",INDEX(学年度总表!$I$3:$I$1025,MATCH($E127,学年度总表!$E$3:$E$1025,0)))</f>
        <v>3</v>
      </c>
      <c r="J127" s="3">
        <f>IF(INDEX(学年度总表!$J$3:$J$1025,MATCH($E127,学年度总表!$E$3:$E$1025,0))="","",INDEX(学年度总表!$J$3:$J$1025,MATCH($E127,学年度总表!$E$3:$E$1025,0)))</f>
        <v>64.69</v>
      </c>
      <c r="K127" s="3">
        <f>IF(INDEX(学年度总表!$K$3:$K$1025,MATCH($E127,学年度总表!$E$3:$E$1025,0))="","",INDEX(学年度总表!$K$3:$K$1025,MATCH($E127,学年度总表!$E$3:$E$1025,0)))</f>
        <v>9</v>
      </c>
      <c r="L127" s="3">
        <f>IF(INDEX(学年度总表!$L$3:$L$1025,MATCH($E127,学年度总表!$E$3:$E$1025,0))="","",INDEX(学年度总表!$L$3:$L$1025,MATCH($E127,学年度总表!$E$3:$E$1025,0)))</f>
        <v>53.92</v>
      </c>
      <c r="M127" s="3">
        <f>IF(INDEX(学年度总表!$M$3:$M$1025,MATCH($E127,学年度总表!$E$3:$E$1025,0))="","",INDEX(学年度总表!$M$3:$M$1025,MATCH($E127,学年度总表!$E$3:$E$1025,0)))</f>
        <v>3</v>
      </c>
      <c r="N127" s="3">
        <f>IF(INDEX(学年度总表!$N$3:$N$1025,MATCH($E127,学年度总表!$E$3:$E$1025,0))="","",INDEX(学年度总表!$N$3:$N$1025,MATCH($E127,学年度总表!$E$3:$E$1025,0)))</f>
        <v>65.92</v>
      </c>
      <c r="O127" s="3">
        <f>IF(INDEX(学年度总表!$O$3:$O$1025,MATCH($E127,学年度总表!$E$3:$E$1025,0))="","",INDEX(学年度总表!$O$3:$O$1025,MATCH($E127,学年度总表!$E$3:$E$1025,0)))</f>
        <v>130.61000000000001</v>
      </c>
      <c r="P127" s="2" t="str">
        <f>IF(INDEX(学年度总表!$P$3:$P$1025,MATCH($E127,学年度总表!$E$3:$E$1025,0))="","",INDEX(学年度总表!$P$3:$P$1025,MATCH($E127,学年度总表!$E$3:$E$1025,0)))</f>
        <v/>
      </c>
      <c r="Q127" s="5" t="str">
        <f>IF(INDEX(学年度总表!$Q$3:$Q$1025,MATCH($E127,学年度总表!$E$3:$E$1025,0))="","",INDEX(学年度总表!$Q$3:$Q$1025,MATCH($E127,学年度总表!$E$3:$E$1025,0)))</f>
        <v/>
      </c>
    </row>
    <row r="128" spans="1:17">
      <c r="A128" s="2">
        <f>IF(INDEX(学年度总表!$A$3:$A$1025,MATCH($E128,学年度总表!$E$3:$E$1025,0))="","",INDEX(学年度总表!$A$3:$A$1025,MATCH($E128,学年度总表!$E$3:$E$1025,0)))</f>
        <v>709</v>
      </c>
      <c r="B128" s="2">
        <f>IF(INDEX(学年度总表!$B$3:$B$1025,MATCH($E128,学年度总表!$E$3:$E$1025,0))="","",INDEX(学年度总表!$B$3:$B$1025,MATCH($E128,学年度总表!$E$3:$E$1025,0)))</f>
        <v>126</v>
      </c>
      <c r="C128" s="2" t="str">
        <f>IF(INDEX(学年度总表!$C$3:$C$1025,MATCH($E128,学年度总表!$E$3:$E$1025,0))="","",INDEX(学年度总表!$C$3:$C$1025,MATCH($E128,学年度总表!$E$3:$E$1025,0)))</f>
        <v>计科</v>
      </c>
      <c r="D128" s="2" t="str">
        <f>IF(INDEX(学年度总表!$D$3:$D$1025,MATCH($E128,学年度总表!$E$3:$E$1025,0))="","",INDEX(学年度总表!$D$3:$D$1025,MATCH($E128,学年度总表!$E$3:$E$1025,0)))</f>
        <v>计科三班</v>
      </c>
      <c r="E128" s="2" t="s">
        <v>1479</v>
      </c>
      <c r="F128" s="2" t="str">
        <f>IF(INDEX(学年度总表!$F$3:$F$1025,MATCH($E128,学年度总表!$E$3:$E$1025,0))="","",INDEX(学年度总表!$F$3:$F$1025,MATCH($E128,学年度总表!$E$3:$E$1025,0)))</f>
        <v>陈东泽</v>
      </c>
      <c r="G128" s="3">
        <f>IF(INDEX(学年度总表!$G$3:$G$1025,MATCH($E128,学年度总表!$E$3:$E$1025,0))="","",INDEX(学年度总表!$G$3:$G$1025,MATCH($E128,学年度总表!$E$3:$E$1025,0)))</f>
        <v>10</v>
      </c>
      <c r="H128" s="3">
        <f>IF(INDEX(学年度总表!$H$3:$H$1025,MATCH($E128,学年度总表!$E$3:$E$1025,0))="","",INDEX(学年度总表!$H$3:$H$1025,MATCH($E128,学年度总表!$E$3:$E$1025,0)))</f>
        <v>52.5</v>
      </c>
      <c r="I128" s="3">
        <f>IF(INDEX(学年度总表!$I$3:$I$1025,MATCH($E128,学年度总表!$E$3:$E$1025,0))="","",INDEX(学年度总表!$I$3:$I$1025,MATCH($E128,学年度总表!$E$3:$E$1025,0)))</f>
        <v>5</v>
      </c>
      <c r="J128" s="3">
        <f>IF(INDEX(学年度总表!$J$3:$J$1025,MATCH($E128,学年度总表!$E$3:$E$1025,0))="","",INDEX(学年度总表!$J$3:$J$1025,MATCH($E128,学年度总表!$E$3:$E$1025,0)))</f>
        <v>67.5</v>
      </c>
      <c r="K128" s="3">
        <f>IF(INDEX(学年度总表!$K$3:$K$1025,MATCH($E128,学年度总表!$E$3:$E$1025,0))="","",INDEX(学年度总表!$K$3:$K$1025,MATCH($E128,学年度总表!$E$3:$E$1025,0)))</f>
        <v>10</v>
      </c>
      <c r="L128" s="3">
        <f>IF(INDEX(学年度总表!$L$3:$L$1025,MATCH($E128,学年度总表!$E$3:$E$1025,0))="","",INDEX(学年度总表!$L$3:$L$1025,MATCH($E128,学年度总表!$E$3:$E$1025,0)))</f>
        <v>47.56</v>
      </c>
      <c r="M128" s="3">
        <f>IF(INDEX(学年度总表!$M$3:$M$1025,MATCH($E128,学年度总表!$E$3:$E$1025,0))="","",INDEX(学年度总表!$M$3:$M$1025,MATCH($E128,学年度总表!$E$3:$E$1025,0)))</f>
        <v>4.7</v>
      </c>
      <c r="N128" s="3">
        <f>IF(INDEX(学年度总表!$N$3:$N$1025,MATCH($E128,学年度总表!$E$3:$E$1025,0))="","",INDEX(学年度总表!$N$3:$N$1025,MATCH($E128,学年度总表!$E$3:$E$1025,0)))</f>
        <v>62.26</v>
      </c>
      <c r="O128" s="3">
        <f>IF(INDEX(学年度总表!$O$3:$O$1025,MATCH($E128,学年度总表!$E$3:$E$1025,0))="","",INDEX(学年度总表!$O$3:$O$1025,MATCH($E128,学年度总表!$E$3:$E$1025,0)))</f>
        <v>129.76</v>
      </c>
      <c r="P128" s="2" t="str">
        <f>IF(INDEX(学年度总表!$P$3:$P$1025,MATCH($E128,学年度总表!$E$3:$E$1025,0))="","",INDEX(学年度总表!$P$3:$P$1025,MATCH($E128,学年度总表!$E$3:$E$1025,0)))</f>
        <v/>
      </c>
      <c r="Q128" s="5" t="str">
        <f>IF(INDEX(学年度总表!$Q$3:$Q$1025,MATCH($E128,学年度总表!$E$3:$E$1025,0))="","",INDEX(学年度总表!$Q$3:$Q$1025,MATCH($E128,学年度总表!$E$3:$E$1025,0)))</f>
        <v/>
      </c>
    </row>
    <row r="129" spans="1:17">
      <c r="A129" s="2">
        <f>IF(INDEX(学年度总表!$A$3:$A$1025,MATCH($E129,学年度总表!$E$3:$E$1025,0))="","",INDEX(学年度总表!$A$3:$A$1025,MATCH($E129,学年度总表!$E$3:$E$1025,0)))</f>
        <v>710</v>
      </c>
      <c r="B129" s="2">
        <f>IF(INDEX(学年度总表!$B$3:$B$1025,MATCH($E129,学年度总表!$E$3:$E$1025,0))="","",INDEX(学年度总表!$B$3:$B$1025,MATCH($E129,学年度总表!$E$3:$E$1025,0)))</f>
        <v>127</v>
      </c>
      <c r="C129" s="2" t="str">
        <f>IF(INDEX(学年度总表!$C$3:$C$1025,MATCH($E129,学年度总表!$E$3:$E$1025,0))="","",INDEX(学年度总表!$C$3:$C$1025,MATCH($E129,学年度总表!$E$3:$E$1025,0)))</f>
        <v>计科</v>
      </c>
      <c r="D129" s="2" t="str">
        <f>IF(INDEX(学年度总表!$D$3:$D$1025,MATCH($E129,学年度总表!$E$3:$E$1025,0))="","",INDEX(学年度总表!$D$3:$D$1025,MATCH($E129,学年度总表!$E$3:$E$1025,0)))</f>
        <v>计科二班</v>
      </c>
      <c r="E129" s="2" t="s">
        <v>1481</v>
      </c>
      <c r="F129" s="2" t="str">
        <f>IF(INDEX(学年度总表!$F$3:$F$1025,MATCH($E129,学年度总表!$E$3:$E$1025,0))="","",INDEX(学年度总表!$F$3:$F$1025,MATCH($E129,学年度总表!$E$3:$E$1025,0)))</f>
        <v>于江珊</v>
      </c>
      <c r="G129" s="3">
        <f>IF(INDEX(学年度总表!$G$3:$G$1025,MATCH($E129,学年度总表!$E$3:$E$1025,0))="","",INDEX(学年度总表!$G$3:$G$1025,MATCH($E129,学年度总表!$E$3:$E$1025,0)))</f>
        <v>9.8000000000000007</v>
      </c>
      <c r="H129" s="3">
        <f>IF(INDEX(学年度总表!$H$3:$H$1025,MATCH($E129,学年度总表!$E$3:$E$1025,0))="","",INDEX(学年度总表!$H$3:$H$1025,MATCH($E129,学年度总表!$E$3:$E$1025,0)))</f>
        <v>55.878048780487802</v>
      </c>
      <c r="I129" s="3">
        <f>IF(INDEX(学年度总表!$I$3:$I$1025,MATCH($E129,学年度总表!$E$3:$E$1025,0))="","",INDEX(学年度总表!$I$3:$I$1025,MATCH($E129,学年度总表!$E$3:$E$1025,0)))</f>
        <v>4.2</v>
      </c>
      <c r="J129" s="3">
        <f>IF(INDEX(学年度总表!$J$3:$J$1025,MATCH($E129,学年度总表!$E$3:$E$1025,0))="","",INDEX(学年度总表!$J$3:$J$1025,MATCH($E129,学年度总表!$E$3:$E$1025,0)))</f>
        <v>69.88</v>
      </c>
      <c r="K129" s="3">
        <f>IF(INDEX(学年度总表!$K$3:$K$1025,MATCH($E129,学年度总表!$E$3:$E$1025,0))="","",INDEX(学年度总表!$K$3:$K$1025,MATCH($E129,学年度总表!$E$3:$E$1025,0)))</f>
        <v>9.8000000000000007</v>
      </c>
      <c r="L129" s="3">
        <f>IF(INDEX(学年度总表!$L$3:$L$1025,MATCH($E129,学年度总表!$E$3:$E$1025,0))="","",INDEX(学年度总表!$L$3:$L$1025,MATCH($E129,学年度总表!$E$3:$E$1025,0)))</f>
        <v>45.96</v>
      </c>
      <c r="M129" s="3">
        <f>IF(INDEX(学年度总表!$M$3:$M$1025,MATCH($E129,学年度总表!$E$3:$E$1025,0))="","",INDEX(学年度总表!$M$3:$M$1025,MATCH($E129,学年度总表!$E$3:$E$1025,0)))</f>
        <v>4.0999999999999996</v>
      </c>
      <c r="N129" s="3">
        <f>IF(INDEX(学年度总表!$N$3:$N$1025,MATCH($E129,学年度总表!$E$3:$E$1025,0))="","",INDEX(学年度总表!$N$3:$N$1025,MATCH($E129,学年度总表!$E$3:$E$1025,0)))</f>
        <v>59.86</v>
      </c>
      <c r="O129" s="3">
        <f>IF(INDEX(学年度总表!$O$3:$O$1025,MATCH($E129,学年度总表!$E$3:$E$1025,0))="","",INDEX(学年度总表!$O$3:$O$1025,MATCH($E129,学年度总表!$E$3:$E$1025,0)))</f>
        <v>129.74</v>
      </c>
      <c r="P129" s="2" t="str">
        <f>IF(INDEX(学年度总表!$P$3:$P$1025,MATCH($E129,学年度总表!$E$3:$E$1025,0))="","",INDEX(学年度总表!$P$3:$P$1025,MATCH($E129,学年度总表!$E$3:$E$1025,0)))</f>
        <v/>
      </c>
      <c r="Q129" s="5" t="str">
        <f>IF(INDEX(学年度总表!$Q$3:$Q$1025,MATCH($E129,学年度总表!$E$3:$E$1025,0))="","",INDEX(学年度总表!$Q$3:$Q$1025,MATCH($E129,学年度总表!$E$3:$E$1025,0)))</f>
        <v/>
      </c>
    </row>
    <row r="130" spans="1:17">
      <c r="A130" s="2">
        <f>IF(INDEX(学年度总表!$A$3:$A$1025,MATCH($E130,学年度总表!$E$3:$E$1025,0))="","",INDEX(学年度总表!$A$3:$A$1025,MATCH($E130,学年度总表!$E$3:$E$1025,0)))</f>
        <v>742</v>
      </c>
      <c r="B130" s="2">
        <f>IF(INDEX(学年度总表!$B$3:$B$1025,MATCH($E130,学年度总表!$E$3:$E$1025,0))="","",INDEX(学年度总表!$B$3:$B$1025,MATCH($E130,学年度总表!$E$3:$E$1025,0)))</f>
        <v>128</v>
      </c>
      <c r="C130" s="2" t="str">
        <f>IF(INDEX(学年度总表!$C$3:$C$1025,MATCH($E130,学年度总表!$E$3:$E$1025,0))="","",INDEX(学年度总表!$C$3:$C$1025,MATCH($E130,学年度总表!$E$3:$E$1025,0)))</f>
        <v>计科</v>
      </c>
      <c r="D130" s="2" t="str">
        <f>IF(INDEX(学年度总表!$D$3:$D$1025,MATCH($E130,学年度总表!$E$3:$E$1025,0))="","",INDEX(学年度总表!$D$3:$D$1025,MATCH($E130,学年度总表!$E$3:$E$1025,0)))</f>
        <v>计科四班</v>
      </c>
      <c r="E130" s="2" t="s">
        <v>1545</v>
      </c>
      <c r="F130" s="2" t="str">
        <f>IF(INDEX(学年度总表!$F$3:$F$1025,MATCH($E130,学年度总表!$E$3:$E$1025,0))="","",INDEX(学年度总表!$F$3:$F$1025,MATCH($E130,学年度总表!$E$3:$E$1025,0)))</f>
        <v>樊佳铭</v>
      </c>
      <c r="G130" s="3">
        <f>IF(INDEX(学年度总表!$G$3:$G$1025,MATCH($E130,学年度总表!$E$3:$E$1025,0))="","",INDEX(学年度总表!$G$3:$G$1025,MATCH($E130,学年度总表!$E$3:$E$1025,0)))</f>
        <v>10.8</v>
      </c>
      <c r="H130" s="3">
        <f>IF(INDEX(学年度总表!$H$3:$H$1025,MATCH($E130,学年度总表!$E$3:$E$1025,0))="","",INDEX(学年度总表!$H$3:$H$1025,MATCH($E130,学年度总表!$E$3:$E$1025,0)))</f>
        <v>52.646341463414601</v>
      </c>
      <c r="I130" s="3">
        <f>IF(INDEX(学年度总表!$I$3:$I$1025,MATCH($E130,学年度总表!$E$3:$E$1025,0))="","",INDEX(学年度总表!$I$3:$I$1025,MATCH($E130,学年度总表!$E$3:$E$1025,0)))</f>
        <v>4</v>
      </c>
      <c r="J130" s="3">
        <f>IF(INDEX(学年度总表!$J$3:$J$1025,MATCH($E130,学年度总表!$E$3:$E$1025,0))="","",INDEX(学年度总表!$J$3:$J$1025,MATCH($E130,学年度总表!$E$3:$E$1025,0)))</f>
        <v>67.45</v>
      </c>
      <c r="K130" s="3">
        <f>IF(INDEX(学年度总表!$K$3:$K$1025,MATCH($E130,学年度总表!$E$3:$E$1025,0))="","",INDEX(学年度总表!$K$3:$K$1025,MATCH($E130,学年度总表!$E$3:$E$1025,0)))</f>
        <v>10</v>
      </c>
      <c r="L130" s="3">
        <f>IF(INDEX(学年度总表!$L$3:$L$1025,MATCH($E130,学年度总表!$E$3:$E$1025,0))="","",INDEX(学年度总表!$L$3:$L$1025,MATCH($E130,学年度总表!$E$3:$E$1025,0)))</f>
        <v>46.43</v>
      </c>
      <c r="M130" s="3">
        <f>IF(INDEX(学年度总表!$M$3:$M$1025,MATCH($E130,学年度总表!$E$3:$E$1025,0))="","",INDEX(学年度总表!$M$3:$M$1025,MATCH($E130,学年度总表!$E$3:$E$1025,0)))</f>
        <v>4.5</v>
      </c>
      <c r="N130" s="3">
        <f>IF(INDEX(学年度总表!$N$3:$N$1025,MATCH($E130,学年度总表!$E$3:$E$1025,0))="","",INDEX(学年度总表!$N$3:$N$1025,MATCH($E130,学年度总表!$E$3:$E$1025,0)))</f>
        <v>60.93</v>
      </c>
      <c r="O130" s="3">
        <f>IF(INDEX(学年度总表!$O$3:$O$1025,MATCH($E130,学年度总表!$E$3:$E$1025,0))="","",INDEX(学年度总表!$O$3:$O$1025,MATCH($E130,学年度总表!$E$3:$E$1025,0)))</f>
        <v>128.38</v>
      </c>
      <c r="P130" s="2" t="str">
        <f>IF(INDEX(学年度总表!$P$3:$P$1025,MATCH($E130,学年度总表!$E$3:$E$1025,0))="","",INDEX(学年度总表!$P$3:$P$1025,MATCH($E130,学年度总表!$E$3:$E$1025,0)))</f>
        <v/>
      </c>
      <c r="Q130" s="5" t="str">
        <f>IF(INDEX(学年度总表!$Q$3:$Q$1025,MATCH($E130,学年度总表!$E$3:$E$1025,0))="","",INDEX(学年度总表!$Q$3:$Q$1025,MATCH($E130,学年度总表!$E$3:$E$1025,0)))</f>
        <v/>
      </c>
    </row>
    <row r="131" spans="1:17">
      <c r="A131" s="2">
        <f>IF(INDEX(学年度总表!$A$3:$A$1025,MATCH($E131,学年度总表!$E$3:$E$1025,0))="","",INDEX(学年度总表!$A$3:$A$1025,MATCH($E131,学年度总表!$E$3:$E$1025,0)))</f>
        <v>742</v>
      </c>
      <c r="B131" s="2">
        <f>IF(INDEX(学年度总表!$B$3:$B$1025,MATCH($E131,学年度总表!$E$3:$E$1025,0))="","",INDEX(学年度总表!$B$3:$B$1025,MATCH($E131,学年度总表!$E$3:$E$1025,0)))</f>
        <v>128</v>
      </c>
      <c r="C131" s="2" t="str">
        <f>IF(INDEX(学年度总表!$C$3:$C$1025,MATCH($E131,学年度总表!$E$3:$E$1025,0))="","",INDEX(学年度总表!$C$3:$C$1025,MATCH($E131,学年度总表!$E$3:$E$1025,0)))</f>
        <v>计科</v>
      </c>
      <c r="D131" s="2" t="str">
        <f>IF(INDEX(学年度总表!$D$3:$D$1025,MATCH($E131,学年度总表!$E$3:$E$1025,0))="","",INDEX(学年度总表!$D$3:$D$1025,MATCH($E131,学年度总表!$E$3:$E$1025,0)))</f>
        <v>计科四班</v>
      </c>
      <c r="E131" s="2" t="s">
        <v>1547</v>
      </c>
      <c r="F131" s="2" t="str">
        <f>IF(INDEX(学年度总表!$F$3:$F$1025,MATCH($E131,学年度总表!$E$3:$E$1025,0))="","",INDEX(学年度总表!$F$3:$F$1025,MATCH($E131,学年度总表!$E$3:$E$1025,0)))</f>
        <v>王琳赫</v>
      </c>
      <c r="G131" s="3">
        <f>IF(INDEX(学年度总表!$G$3:$G$1025,MATCH($E131,学年度总表!$E$3:$E$1025,0))="","",INDEX(学年度总表!$G$3:$G$1025,MATCH($E131,学年度总表!$E$3:$E$1025,0)))</f>
        <v>10.4</v>
      </c>
      <c r="H131" s="3">
        <f>IF(INDEX(学年度总表!$H$3:$H$1025,MATCH($E131,学年度总表!$E$3:$E$1025,0))="","",INDEX(学年度总表!$H$3:$H$1025,MATCH($E131,学年度总表!$E$3:$E$1025,0)))</f>
        <v>56.060975609756099</v>
      </c>
      <c r="I131" s="3">
        <f>IF(INDEX(学年度总表!$I$3:$I$1025,MATCH($E131,学年度总表!$E$3:$E$1025,0))="","",INDEX(学年度总表!$I$3:$I$1025,MATCH($E131,学年度总表!$E$3:$E$1025,0)))</f>
        <v>3.6</v>
      </c>
      <c r="J131" s="3">
        <f>IF(INDEX(学年度总表!$J$3:$J$1025,MATCH($E131,学年度总表!$E$3:$E$1025,0))="","",INDEX(学年度总表!$J$3:$J$1025,MATCH($E131,学年度总表!$E$3:$E$1025,0)))</f>
        <v>70.06</v>
      </c>
      <c r="K131" s="3">
        <f>IF(INDEX(学年度总表!$K$3:$K$1025,MATCH($E131,学年度总表!$E$3:$E$1025,0))="","",INDEX(学年度总表!$K$3:$K$1025,MATCH($E131,学年度总表!$E$3:$E$1025,0)))</f>
        <v>9.8000000000000007</v>
      </c>
      <c r="L131" s="3">
        <f>IF(INDEX(学年度总表!$L$3:$L$1025,MATCH($E131,学年度总表!$E$3:$E$1025,0))="","",INDEX(学年度总表!$L$3:$L$1025,MATCH($E131,学年度总表!$E$3:$E$1025,0)))</f>
        <v>44.52</v>
      </c>
      <c r="M131" s="3">
        <f>IF(INDEX(学年度总表!$M$3:$M$1025,MATCH($E131,学年度总表!$E$3:$E$1025,0))="","",INDEX(学年度总表!$M$3:$M$1025,MATCH($E131,学年度总表!$E$3:$E$1025,0)))</f>
        <v>4</v>
      </c>
      <c r="N131" s="3">
        <f>IF(INDEX(学年度总表!$N$3:$N$1025,MATCH($E131,学年度总表!$E$3:$E$1025,0))="","",INDEX(学年度总表!$N$3:$N$1025,MATCH($E131,学年度总表!$E$3:$E$1025,0)))</f>
        <v>58.32</v>
      </c>
      <c r="O131" s="3">
        <f>IF(INDEX(学年度总表!$O$3:$O$1025,MATCH($E131,学年度总表!$E$3:$E$1025,0))="","",INDEX(学年度总表!$O$3:$O$1025,MATCH($E131,学年度总表!$E$3:$E$1025,0)))</f>
        <v>128.38</v>
      </c>
      <c r="P131" s="2" t="str">
        <f>IF(INDEX(学年度总表!$P$3:$P$1025,MATCH($E131,学年度总表!$E$3:$E$1025,0))="","",INDEX(学年度总表!$P$3:$P$1025,MATCH($E131,学年度总表!$E$3:$E$1025,0)))</f>
        <v/>
      </c>
      <c r="Q131" s="5" t="str">
        <f>IF(INDEX(学年度总表!$Q$3:$Q$1025,MATCH($E131,学年度总表!$E$3:$E$1025,0))="","",INDEX(学年度总表!$Q$3:$Q$1025,MATCH($E131,学年度总表!$E$3:$E$1025,0)))</f>
        <v/>
      </c>
    </row>
    <row r="132" spans="1:17">
      <c r="A132" s="2">
        <f>IF(INDEX(学年度总表!$A$3:$A$1025,MATCH($E132,学年度总表!$E$3:$E$1025,0))="","",INDEX(学年度总表!$A$3:$A$1025,MATCH($E132,学年度总表!$E$3:$E$1025,0)))</f>
        <v>751</v>
      </c>
      <c r="B132" s="2">
        <f>IF(INDEX(学年度总表!$B$3:$B$1025,MATCH($E132,学年度总表!$E$3:$E$1025,0))="","",INDEX(学年度总表!$B$3:$B$1025,MATCH($E132,学年度总表!$E$3:$E$1025,0)))</f>
        <v>130</v>
      </c>
      <c r="C132" s="2" t="str">
        <f>IF(INDEX(学年度总表!$C$3:$C$1025,MATCH($E132,学年度总表!$E$3:$E$1025,0))="","",INDEX(学年度总表!$C$3:$C$1025,MATCH($E132,学年度总表!$E$3:$E$1025,0)))</f>
        <v>计科</v>
      </c>
      <c r="D132" s="2" t="str">
        <f>IF(INDEX(学年度总表!$D$3:$D$1025,MATCH($E132,学年度总表!$E$3:$E$1025,0))="","",INDEX(学年度总表!$D$3:$D$1025,MATCH($E132,学年度总表!$E$3:$E$1025,0)))</f>
        <v>计科一班</v>
      </c>
      <c r="E132" s="2" t="s">
        <v>1563</v>
      </c>
      <c r="F132" s="2" t="str">
        <f>IF(INDEX(学年度总表!$F$3:$F$1025,MATCH($E132,学年度总表!$E$3:$E$1025,0))="","",INDEX(学年度总表!$F$3:$F$1025,MATCH($E132,学年度总表!$E$3:$E$1025,0)))</f>
        <v>朱君豪</v>
      </c>
      <c r="G132" s="3">
        <f>IF(INDEX(学年度总表!$G$3:$G$1025,MATCH($E132,学年度总表!$E$3:$E$1025,0))="","",INDEX(学年度总表!$G$3:$G$1025,MATCH($E132,学年度总表!$E$3:$E$1025,0)))</f>
        <v>10</v>
      </c>
      <c r="H132" s="3">
        <f>IF(INDEX(学年度总表!$H$3:$H$1025,MATCH($E132,学年度总表!$E$3:$E$1025,0))="","",INDEX(学年度总表!$H$3:$H$1025,MATCH($E132,学年度总表!$E$3:$E$1025,0)))</f>
        <v>48.829268292682897</v>
      </c>
      <c r="I132" s="3">
        <f>IF(INDEX(学年度总表!$I$3:$I$1025,MATCH($E132,学年度总表!$E$3:$E$1025,0))="","",INDEX(学年度总表!$I$3:$I$1025,MATCH($E132,学年度总表!$E$3:$E$1025,0)))</f>
        <v>3</v>
      </c>
      <c r="J132" s="3">
        <f>IF(INDEX(学年度总表!$J$3:$J$1025,MATCH($E132,学年度总表!$E$3:$E$1025,0))="","",INDEX(学年度总表!$J$3:$J$1025,MATCH($E132,学年度总表!$E$3:$E$1025,0)))</f>
        <v>61.83</v>
      </c>
      <c r="K132" s="3">
        <f>IF(INDEX(学年度总表!$K$3:$K$1025,MATCH($E132,学年度总表!$E$3:$E$1025,0))="","",INDEX(学年度总表!$K$3:$K$1025,MATCH($E132,学年度总表!$E$3:$E$1025,0)))</f>
        <v>10</v>
      </c>
      <c r="L132" s="3">
        <f>IF(INDEX(学年度总表!$L$3:$L$1025,MATCH($E132,学年度总表!$E$3:$E$1025,0))="","",INDEX(学年度总表!$L$3:$L$1025,MATCH($E132,学年度总表!$E$3:$E$1025,0)))</f>
        <v>52.83</v>
      </c>
      <c r="M132" s="3">
        <f>IF(INDEX(学年度总表!$M$3:$M$1025,MATCH($E132,学年度总表!$E$3:$E$1025,0))="","",INDEX(学年度总表!$M$3:$M$1025,MATCH($E132,学年度总表!$E$3:$E$1025,0)))</f>
        <v>3</v>
      </c>
      <c r="N132" s="3">
        <f>IF(INDEX(学年度总表!$N$3:$N$1025,MATCH($E132,学年度总表!$E$3:$E$1025,0))="","",INDEX(学年度总表!$N$3:$N$1025,MATCH($E132,学年度总表!$E$3:$E$1025,0)))</f>
        <v>65.83</v>
      </c>
      <c r="O132" s="3">
        <f>IF(INDEX(学年度总表!$O$3:$O$1025,MATCH($E132,学年度总表!$E$3:$E$1025,0))="","",INDEX(学年度总表!$O$3:$O$1025,MATCH($E132,学年度总表!$E$3:$E$1025,0)))</f>
        <v>127.66</v>
      </c>
      <c r="P132" s="2" t="str">
        <f>IF(INDEX(学年度总表!$P$3:$P$1025,MATCH($E132,学年度总表!$E$3:$E$1025,0))="","",INDEX(学年度总表!$P$3:$P$1025,MATCH($E132,学年度总表!$E$3:$E$1025,0)))</f>
        <v/>
      </c>
      <c r="Q132" s="5" t="str">
        <f>IF(INDEX(学年度总表!$Q$3:$Q$1025,MATCH($E132,学年度总表!$E$3:$E$1025,0))="","",INDEX(学年度总表!$Q$3:$Q$1025,MATCH($E132,学年度总表!$E$3:$E$1025,0)))</f>
        <v/>
      </c>
    </row>
    <row r="133" spans="1:17">
      <c r="A133" s="2">
        <f>IF(INDEX(学年度总表!$A$3:$A$1025,MATCH($E133,学年度总表!$E$3:$E$1025,0))="","",INDEX(学年度总表!$A$3:$A$1025,MATCH($E133,学年度总表!$E$3:$E$1025,0)))</f>
        <v>752</v>
      </c>
      <c r="B133" s="2">
        <f>IF(INDEX(学年度总表!$B$3:$B$1025,MATCH($E133,学年度总表!$E$3:$E$1025,0))="","",INDEX(学年度总表!$B$3:$B$1025,MATCH($E133,学年度总表!$E$3:$E$1025,0)))</f>
        <v>131</v>
      </c>
      <c r="C133" s="2" t="str">
        <f>IF(INDEX(学年度总表!$C$3:$C$1025,MATCH($E133,学年度总表!$E$3:$E$1025,0))="","",INDEX(学年度总表!$C$3:$C$1025,MATCH($E133,学年度总表!$E$3:$E$1025,0)))</f>
        <v>计科</v>
      </c>
      <c r="D133" s="2" t="str">
        <f>IF(INDEX(学年度总表!$D$3:$D$1025,MATCH($E133,学年度总表!$E$3:$E$1025,0))="","",INDEX(学年度总表!$D$3:$D$1025,MATCH($E133,学年度总表!$E$3:$E$1025,0)))</f>
        <v>计科一班</v>
      </c>
      <c r="E133" s="2" t="s">
        <v>1565</v>
      </c>
      <c r="F133" s="2" t="str">
        <f>IF(INDEX(学年度总表!$F$3:$F$1025,MATCH($E133,学年度总表!$E$3:$E$1025,0))="","",INDEX(学年度总表!$F$3:$F$1025,MATCH($E133,学年度总表!$E$3:$E$1025,0)))</f>
        <v>李国伟</v>
      </c>
      <c r="G133" s="3">
        <f>IF(INDEX(学年度总表!$G$3:$G$1025,MATCH($E133,学年度总表!$E$3:$E$1025,0))="","",INDEX(学年度总表!$G$3:$G$1025,MATCH($E133,学年度总表!$E$3:$E$1025,0)))</f>
        <v>9.8000000000000007</v>
      </c>
      <c r="H133" s="3">
        <f>IF(INDEX(学年度总表!$H$3:$H$1025,MATCH($E133,学年度总表!$E$3:$E$1025,0))="","",INDEX(学年度总表!$H$3:$H$1025,MATCH($E133,学年度总表!$E$3:$E$1025,0)))</f>
        <v>54.280487804878</v>
      </c>
      <c r="I133" s="3">
        <f>IF(INDEX(学年度总表!$I$3:$I$1025,MATCH($E133,学年度总表!$E$3:$E$1025,0))="","",INDEX(学年度总表!$I$3:$I$1025,MATCH($E133,学年度总表!$E$3:$E$1025,0)))</f>
        <v>4.5</v>
      </c>
      <c r="J133" s="3">
        <f>IF(INDEX(学年度总表!$J$3:$J$1025,MATCH($E133,学年度总表!$E$3:$E$1025,0))="","",INDEX(学年度总表!$J$3:$J$1025,MATCH($E133,学年度总表!$E$3:$E$1025,0)))</f>
        <v>68.58</v>
      </c>
      <c r="K133" s="3">
        <f>IF(INDEX(学年度总表!$K$3:$K$1025,MATCH($E133,学年度总表!$E$3:$E$1025,0))="","",INDEX(学年度总表!$K$3:$K$1025,MATCH($E133,学年度总表!$E$3:$E$1025,0)))</f>
        <v>10.8</v>
      </c>
      <c r="L133" s="3">
        <f>IF(INDEX(学年度总表!$L$3:$L$1025,MATCH($E133,学年度总表!$E$3:$E$1025,0))="","",INDEX(学年度总表!$L$3:$L$1025,MATCH($E133,学年度总表!$E$3:$E$1025,0)))</f>
        <v>43.71</v>
      </c>
      <c r="M133" s="3">
        <f>IF(INDEX(学年度总表!$M$3:$M$1025,MATCH($E133,学年度总表!$E$3:$E$1025,0))="","",INDEX(学年度总表!$M$3:$M$1025,MATCH($E133,学年度总表!$E$3:$E$1025,0)))</f>
        <v>4.5</v>
      </c>
      <c r="N133" s="3">
        <f>IF(INDEX(学年度总表!$N$3:$N$1025,MATCH($E133,学年度总表!$E$3:$E$1025,0))="","",INDEX(学年度总表!$N$3:$N$1025,MATCH($E133,学年度总表!$E$3:$E$1025,0)))</f>
        <v>59.01</v>
      </c>
      <c r="O133" s="3">
        <f>IF(INDEX(学年度总表!$O$3:$O$1025,MATCH($E133,学年度总表!$E$3:$E$1025,0))="","",INDEX(学年度总表!$O$3:$O$1025,MATCH($E133,学年度总表!$E$3:$E$1025,0)))</f>
        <v>127.59</v>
      </c>
      <c r="P133" s="2" t="str">
        <f>IF(INDEX(学年度总表!$P$3:$P$1025,MATCH($E133,学年度总表!$E$3:$E$1025,0))="","",INDEX(学年度总表!$P$3:$P$1025,MATCH($E133,学年度总表!$E$3:$E$1025,0)))</f>
        <v/>
      </c>
      <c r="Q133" s="5" t="str">
        <f>IF(INDEX(学年度总表!$Q$3:$Q$1025,MATCH($E133,学年度总表!$E$3:$E$1025,0))="","",INDEX(学年度总表!$Q$3:$Q$1025,MATCH($E133,学年度总表!$E$3:$E$1025,0)))</f>
        <v/>
      </c>
    </row>
    <row r="134" spans="1:17">
      <c r="A134" s="2">
        <f>IF(INDEX(学年度总表!$A$3:$A$1025,MATCH($E134,学年度总表!$E$3:$E$1025,0))="","",INDEX(学年度总表!$A$3:$A$1025,MATCH($E134,学年度总表!$E$3:$E$1025,0)))</f>
        <v>771</v>
      </c>
      <c r="B134" s="2">
        <f>IF(INDEX(学年度总表!$B$3:$B$1025,MATCH($E134,学年度总表!$E$3:$E$1025,0))="","",INDEX(学年度总表!$B$3:$B$1025,MATCH($E134,学年度总表!$E$3:$E$1025,0)))</f>
        <v>132</v>
      </c>
      <c r="C134" s="2" t="str">
        <f>IF(INDEX(学年度总表!$C$3:$C$1025,MATCH($E134,学年度总表!$E$3:$E$1025,0))="","",INDEX(学年度总表!$C$3:$C$1025,MATCH($E134,学年度总表!$E$3:$E$1025,0)))</f>
        <v>计科</v>
      </c>
      <c r="D134" s="2" t="str">
        <f>IF(INDEX(学年度总表!$D$3:$D$1025,MATCH($E134,学年度总表!$E$3:$E$1025,0))="","",INDEX(学年度总表!$D$3:$D$1025,MATCH($E134,学年度总表!$E$3:$E$1025,0)))</f>
        <v>计科三班</v>
      </c>
      <c r="E134" s="2" t="s">
        <v>1603</v>
      </c>
      <c r="F134" s="2" t="str">
        <f>IF(INDEX(学年度总表!$F$3:$F$1025,MATCH($E134,学年度总表!$E$3:$E$1025,0))="","",INDEX(学年度总表!$F$3:$F$1025,MATCH($E134,学年度总表!$E$3:$E$1025,0)))</f>
        <v>董彦麟</v>
      </c>
      <c r="G134" s="3">
        <f>IF(INDEX(学年度总表!$G$3:$G$1025,MATCH($E134,学年度总表!$E$3:$E$1025,0))="","",INDEX(学年度总表!$G$3:$G$1025,MATCH($E134,学年度总表!$E$3:$E$1025,0)))</f>
        <v>9.8000000000000007</v>
      </c>
      <c r="H134" s="3">
        <f>IF(INDEX(学年度总表!$H$3:$H$1025,MATCH($E134,学年度总表!$E$3:$E$1025,0))="","",INDEX(学年度总表!$H$3:$H$1025,MATCH($E134,学年度总表!$E$3:$E$1025,0)))</f>
        <v>46.085365853658502</v>
      </c>
      <c r="I134" s="3">
        <f>IF(INDEX(学年度总表!$I$3:$I$1025,MATCH($E134,学年度总表!$E$3:$E$1025,0))="","",INDEX(学年度总表!$I$3:$I$1025,MATCH($E134,学年度总表!$E$3:$E$1025,0)))</f>
        <v>3</v>
      </c>
      <c r="J134" s="3">
        <f>IF(INDEX(学年度总表!$J$3:$J$1025,MATCH($E134,学年度总表!$E$3:$E$1025,0))="","",INDEX(学年度总表!$J$3:$J$1025,MATCH($E134,学年度总表!$E$3:$E$1025,0)))</f>
        <v>58.89</v>
      </c>
      <c r="K134" s="3">
        <f>IF(INDEX(学年度总表!$K$3:$K$1025,MATCH($E134,学年度总表!$E$3:$E$1025,0))="","",INDEX(学年度总表!$K$3:$K$1025,MATCH($E134,学年度总表!$E$3:$E$1025,0)))</f>
        <v>9</v>
      </c>
      <c r="L134" s="3">
        <f>IF(INDEX(学年度总表!$L$3:$L$1025,MATCH($E134,学年度总表!$E$3:$E$1025,0))="","",INDEX(学年度总表!$L$3:$L$1025,MATCH($E134,学年度总表!$E$3:$E$1025,0)))</f>
        <v>55.05</v>
      </c>
      <c r="M134" s="3">
        <f>IF(INDEX(学年度总表!$M$3:$M$1025,MATCH($E134,学年度总表!$E$3:$E$1025,0))="","",INDEX(学年度总表!$M$3:$M$1025,MATCH($E134,学年度总表!$E$3:$E$1025,0)))</f>
        <v>3</v>
      </c>
      <c r="N134" s="3">
        <f>IF(INDEX(学年度总表!$N$3:$N$1025,MATCH($E134,学年度总表!$E$3:$E$1025,0))="","",INDEX(学年度总表!$N$3:$N$1025,MATCH($E134,学年度总表!$E$3:$E$1025,0)))</f>
        <v>67.05</v>
      </c>
      <c r="O134" s="3">
        <f>IF(INDEX(学年度总表!$O$3:$O$1025,MATCH($E134,学年度总表!$E$3:$E$1025,0))="","",INDEX(学年度总表!$O$3:$O$1025,MATCH($E134,学年度总表!$E$3:$E$1025,0)))</f>
        <v>125.94</v>
      </c>
      <c r="P134" s="2" t="str">
        <f>IF(INDEX(学年度总表!$P$3:$P$1025,MATCH($E134,学年度总表!$E$3:$E$1025,0))="","",INDEX(学年度总表!$P$3:$P$1025,MATCH($E134,学年度总表!$E$3:$E$1025,0)))</f>
        <v/>
      </c>
      <c r="Q134" s="5" t="str">
        <f>IF(INDEX(学年度总表!$Q$3:$Q$1025,MATCH($E134,学年度总表!$E$3:$E$1025,0))="","",INDEX(学年度总表!$Q$3:$Q$1025,MATCH($E134,学年度总表!$E$3:$E$1025,0)))</f>
        <v/>
      </c>
    </row>
    <row r="135" spans="1:17">
      <c r="A135" s="2">
        <f>IF(INDEX(学年度总表!$A$3:$A$1025,MATCH($E135,学年度总表!$E$3:$E$1025,0))="","",INDEX(学年度总表!$A$3:$A$1025,MATCH($E135,学年度总表!$E$3:$E$1025,0)))</f>
        <v>795</v>
      </c>
      <c r="B135" s="2">
        <f>IF(INDEX(学年度总表!$B$3:$B$1025,MATCH($E135,学年度总表!$E$3:$E$1025,0))="","",INDEX(学年度总表!$B$3:$B$1025,MATCH($E135,学年度总表!$E$3:$E$1025,0)))</f>
        <v>133</v>
      </c>
      <c r="C135" s="2" t="str">
        <f>IF(INDEX(学年度总表!$C$3:$C$1025,MATCH($E135,学年度总表!$E$3:$E$1025,0))="","",INDEX(学年度总表!$C$3:$C$1025,MATCH($E135,学年度总表!$E$3:$E$1025,0)))</f>
        <v>计科</v>
      </c>
      <c r="D135" s="2" t="str">
        <f>IF(INDEX(学年度总表!$D$3:$D$1025,MATCH($E135,学年度总表!$E$3:$E$1025,0))="","",INDEX(学年度总表!$D$3:$D$1025,MATCH($E135,学年度总表!$E$3:$E$1025,0)))</f>
        <v>计科三班</v>
      </c>
      <c r="E135" s="2" t="s">
        <v>1651</v>
      </c>
      <c r="F135" s="2" t="str">
        <f>IF(INDEX(学年度总表!$F$3:$F$1025,MATCH($E135,学年度总表!$E$3:$E$1025,0))="","",INDEX(学年度总表!$F$3:$F$1025,MATCH($E135,学年度总表!$E$3:$E$1025,0)))</f>
        <v>李昊东</v>
      </c>
      <c r="G135" s="3">
        <f>IF(INDEX(学年度总表!$G$3:$G$1025,MATCH($E135,学年度总表!$E$3:$E$1025,0))="","",INDEX(学年度总表!$G$3:$G$1025,MATCH($E135,学年度总表!$E$3:$E$1025,0)))</f>
        <v>10.8</v>
      </c>
      <c r="H135" s="3">
        <f>IF(INDEX(学年度总表!$H$3:$H$1025,MATCH($E135,学年度总表!$E$3:$E$1025,0))="","",INDEX(学年度总表!$H$3:$H$1025,MATCH($E135,学年度总表!$E$3:$E$1025,0)))</f>
        <v>44.682926829268297</v>
      </c>
      <c r="I135" s="3">
        <f>IF(INDEX(学年度总表!$I$3:$I$1025,MATCH($E135,学年度总表!$E$3:$E$1025,0))="","",INDEX(学年度总表!$I$3:$I$1025,MATCH($E135,学年度总表!$E$3:$E$1025,0)))</f>
        <v>3</v>
      </c>
      <c r="J135" s="3">
        <f>IF(INDEX(学年度总表!$J$3:$J$1025,MATCH($E135,学年度总表!$E$3:$E$1025,0))="","",INDEX(学年度总表!$J$3:$J$1025,MATCH($E135,学年度总表!$E$3:$E$1025,0)))</f>
        <v>58.48</v>
      </c>
      <c r="K135" s="3">
        <f>IF(INDEX(学年度总表!$K$3:$K$1025,MATCH($E135,学年度总表!$E$3:$E$1025,0))="","",INDEX(学年度总表!$K$3:$K$1025,MATCH($E135,学年度总表!$E$3:$E$1025,0)))</f>
        <v>9</v>
      </c>
      <c r="L135" s="3">
        <f>IF(INDEX(学年度总表!$L$3:$L$1025,MATCH($E135,学年度总表!$E$3:$E$1025,0))="","",INDEX(学年度总表!$L$3:$L$1025,MATCH($E135,学年度总表!$E$3:$E$1025,0)))</f>
        <v>54.01</v>
      </c>
      <c r="M135" s="3">
        <f>IF(INDEX(学年度总表!$M$3:$M$1025,MATCH($E135,学年度总表!$E$3:$E$1025,0))="","",INDEX(学年度总表!$M$3:$M$1025,MATCH($E135,学年度总表!$E$3:$E$1025,0)))</f>
        <v>3</v>
      </c>
      <c r="N135" s="3">
        <f>IF(INDEX(学年度总表!$N$3:$N$1025,MATCH($E135,学年度总表!$E$3:$E$1025,0))="","",INDEX(学年度总表!$N$3:$N$1025,MATCH($E135,学年度总表!$E$3:$E$1025,0)))</f>
        <v>66.010000000000005</v>
      </c>
      <c r="O135" s="3">
        <f>IF(INDEX(学年度总表!$O$3:$O$1025,MATCH($E135,学年度总表!$E$3:$E$1025,0))="","",INDEX(学年度总表!$O$3:$O$1025,MATCH($E135,学年度总表!$E$3:$E$1025,0)))</f>
        <v>124.49</v>
      </c>
      <c r="P135" s="2" t="str">
        <f>IF(INDEX(学年度总表!$P$3:$P$1025,MATCH($E135,学年度总表!$E$3:$E$1025,0))="","",INDEX(学年度总表!$P$3:$P$1025,MATCH($E135,学年度总表!$E$3:$E$1025,0)))</f>
        <v/>
      </c>
      <c r="Q135" s="5" t="str">
        <f>IF(INDEX(学年度总表!$Q$3:$Q$1025,MATCH($E135,学年度总表!$E$3:$E$1025,0))="","",INDEX(学年度总表!$Q$3:$Q$1025,MATCH($E135,学年度总表!$E$3:$E$1025,0)))</f>
        <v/>
      </c>
    </row>
    <row r="136" spans="1:17">
      <c r="A136" s="2">
        <f>IF(INDEX(学年度总表!$A$3:$A$1025,MATCH($E136,学年度总表!$E$3:$E$1025,0))="","",INDEX(学年度总表!$A$3:$A$1025,MATCH($E136,学年度总表!$E$3:$E$1025,0)))</f>
        <v>848</v>
      </c>
      <c r="B136" s="2">
        <f>IF(INDEX(学年度总表!$B$3:$B$1025,MATCH($E136,学年度总表!$E$3:$E$1025,0))="","",INDEX(学年度总表!$B$3:$B$1025,MATCH($E136,学年度总表!$E$3:$E$1025,0)))</f>
        <v>134</v>
      </c>
      <c r="C136" s="2" t="str">
        <f>IF(INDEX(学年度总表!$C$3:$C$1025,MATCH($E136,学年度总表!$E$3:$E$1025,0))="","",INDEX(学年度总表!$C$3:$C$1025,MATCH($E136,学年度总表!$E$3:$E$1025,0)))</f>
        <v>计科</v>
      </c>
      <c r="D136" s="2" t="str">
        <f>IF(INDEX(学年度总表!$D$3:$D$1025,MATCH($E136,学年度总表!$E$3:$E$1025,0))="","",INDEX(学年度总表!$D$3:$D$1025,MATCH($E136,学年度总表!$E$3:$E$1025,0)))</f>
        <v>计科二班</v>
      </c>
      <c r="E136" s="2" t="s">
        <v>1757</v>
      </c>
      <c r="F136" s="2" t="str">
        <f>IF(INDEX(学年度总表!$F$3:$F$1025,MATCH($E136,学年度总表!$E$3:$E$1025,0))="","",INDEX(学年度总表!$F$3:$F$1025,MATCH($E136,学年度总表!$E$3:$E$1025,0)))</f>
        <v>纪语晴</v>
      </c>
      <c r="G136" s="3">
        <f>IF(INDEX(学年度总表!$G$3:$G$1025,MATCH($E136,学年度总表!$E$3:$E$1025,0))="","",INDEX(学年度总表!$G$3:$G$1025,MATCH($E136,学年度总表!$E$3:$E$1025,0)))</f>
        <v>9.8000000000000007</v>
      </c>
      <c r="H136" s="3">
        <f>IF(INDEX(学年度总表!$H$3:$H$1025,MATCH($E136,学年度总表!$E$3:$E$1025,0))="","",INDEX(学年度总表!$H$3:$H$1025,MATCH($E136,学年度总表!$E$3:$E$1025,0)))</f>
        <v>49.5</v>
      </c>
      <c r="I136" s="3">
        <f>IF(INDEX(学年度总表!$I$3:$I$1025,MATCH($E136,学年度总表!$E$3:$E$1025,0))="","",INDEX(学年度总表!$I$3:$I$1025,MATCH($E136,学年度总表!$E$3:$E$1025,0)))</f>
        <v>4</v>
      </c>
      <c r="J136" s="3">
        <f>IF(INDEX(学年度总表!$J$3:$J$1025,MATCH($E136,学年度总表!$E$3:$E$1025,0))="","",INDEX(学年度总表!$J$3:$J$1025,MATCH($E136,学年度总表!$E$3:$E$1025,0)))</f>
        <v>63.3</v>
      </c>
      <c r="K136" s="3">
        <f>IF(INDEX(学年度总表!$K$3:$K$1025,MATCH($E136,学年度总表!$E$3:$E$1025,0))="","",INDEX(学年度总表!$K$3:$K$1025,MATCH($E136,学年度总表!$E$3:$E$1025,0)))</f>
        <v>9.8000000000000007</v>
      </c>
      <c r="L136" s="3">
        <f>IF(INDEX(学年度总表!$L$3:$L$1025,MATCH($E136,学年度总表!$E$3:$E$1025,0))="","",INDEX(学年度总表!$L$3:$L$1025,MATCH($E136,学年度总表!$E$3:$E$1025,0)))</f>
        <v>43.66</v>
      </c>
      <c r="M136" s="3">
        <f>IF(INDEX(学年度总表!$M$3:$M$1025,MATCH($E136,学年度总表!$E$3:$E$1025,0))="","",INDEX(学年度总表!$M$3:$M$1025,MATCH($E136,学年度总表!$E$3:$E$1025,0)))</f>
        <v>4.2</v>
      </c>
      <c r="N136" s="3">
        <f>IF(INDEX(学年度总表!$N$3:$N$1025,MATCH($E136,学年度总表!$E$3:$E$1025,0))="","",INDEX(学年度总表!$N$3:$N$1025,MATCH($E136,学年度总表!$E$3:$E$1025,0)))</f>
        <v>57.66</v>
      </c>
      <c r="O136" s="3">
        <f>IF(INDEX(学年度总表!$O$3:$O$1025,MATCH($E136,学年度总表!$E$3:$E$1025,0))="","",INDEX(学年度总表!$O$3:$O$1025,MATCH($E136,学年度总表!$E$3:$E$1025,0)))</f>
        <v>120.96</v>
      </c>
      <c r="P136" s="2" t="str">
        <f>IF(INDEX(学年度总表!$P$3:$P$1025,MATCH($E136,学年度总表!$E$3:$E$1025,0))="","",INDEX(学年度总表!$P$3:$P$1025,MATCH($E136,学年度总表!$E$3:$E$1025,0)))</f>
        <v/>
      </c>
      <c r="Q136" s="5" t="str">
        <f>IF(INDEX(学年度总表!$Q$3:$Q$1025,MATCH($E136,学年度总表!$E$3:$E$1025,0))="","",INDEX(学年度总表!$Q$3:$Q$1025,MATCH($E136,学年度总表!$E$3:$E$1025,0)))</f>
        <v/>
      </c>
    </row>
    <row r="137" spans="1:17">
      <c r="A137" s="2">
        <f>IF(INDEX(学年度总表!$A$3:$A$1025,MATCH($E137,学年度总表!$E$3:$E$1025,0))="","",INDEX(学年度总表!$A$3:$A$1025,MATCH($E137,学年度总表!$E$3:$E$1025,0)))</f>
        <v>908</v>
      </c>
      <c r="B137" s="2">
        <f>IF(INDEX(学年度总表!$B$3:$B$1025,MATCH($E137,学年度总表!$E$3:$E$1025,0))="","",INDEX(学年度总表!$B$3:$B$1025,MATCH($E137,学年度总表!$E$3:$E$1025,0)))</f>
        <v>135</v>
      </c>
      <c r="C137" s="2" t="str">
        <f>IF(INDEX(学年度总表!$C$3:$C$1025,MATCH($E137,学年度总表!$E$3:$E$1025,0))="","",INDEX(学年度总表!$C$3:$C$1025,MATCH($E137,学年度总表!$E$3:$E$1025,0)))</f>
        <v>计科</v>
      </c>
      <c r="D137" s="2" t="str">
        <f>IF(INDEX(学年度总表!$D$3:$D$1025,MATCH($E137,学年度总表!$E$3:$E$1025,0))="","",INDEX(学年度总表!$D$3:$D$1025,MATCH($E137,学年度总表!$E$3:$E$1025,0)))</f>
        <v>计科二班</v>
      </c>
      <c r="E137" s="2" t="s">
        <v>1877</v>
      </c>
      <c r="F137" s="2" t="str">
        <f>IF(INDEX(学年度总表!$F$3:$F$1025,MATCH($E137,学年度总表!$E$3:$E$1025,0))="","",INDEX(学年度总表!$F$3:$F$1025,MATCH($E137,学年度总表!$E$3:$E$1025,0)))</f>
        <v>李永灿</v>
      </c>
      <c r="G137" s="3">
        <f>IF(INDEX(学年度总表!$G$3:$G$1025,MATCH($E137,学年度总表!$E$3:$E$1025,0))="","",INDEX(学年度总表!$G$3:$G$1025,MATCH($E137,学年度总表!$E$3:$E$1025,0)))</f>
        <v>9.8000000000000007</v>
      </c>
      <c r="H137" s="3">
        <f>IF(INDEX(学年度总表!$H$3:$H$1025,MATCH($E137,学年度总表!$E$3:$E$1025,0))="","",INDEX(学年度总表!$H$3:$H$1025,MATCH($E137,学年度总表!$E$3:$E$1025,0)))</f>
        <v>43.153846153846203</v>
      </c>
      <c r="I137" s="3">
        <f>IF(INDEX(学年度总表!$I$3:$I$1025,MATCH($E137,学年度总表!$E$3:$E$1025,0))="","",INDEX(学年度总表!$I$3:$I$1025,MATCH($E137,学年度总表!$E$3:$E$1025,0)))</f>
        <v>3</v>
      </c>
      <c r="J137" s="3">
        <f>IF(INDEX(学年度总表!$J$3:$J$1025,MATCH($E137,学年度总表!$E$3:$E$1025,0))="","",INDEX(学年度总表!$J$3:$J$1025,MATCH($E137,学年度总表!$E$3:$E$1025,0)))</f>
        <v>55.95</v>
      </c>
      <c r="K137" s="3">
        <f>IF(INDEX(学年度总表!$K$3:$K$1025,MATCH($E137,学年度总表!$E$3:$E$1025,0))="","",INDEX(学年度总表!$K$3:$K$1025,MATCH($E137,学年度总表!$E$3:$E$1025,0)))</f>
        <v>9.8000000000000007</v>
      </c>
      <c r="L137" s="3">
        <f>IF(INDEX(学年度总表!$L$3:$L$1025,MATCH($E137,学年度总表!$E$3:$E$1025,0))="","",INDEX(学年度总表!$L$3:$L$1025,MATCH($E137,学年度总表!$E$3:$E$1025,0)))</f>
        <v>44.4</v>
      </c>
      <c r="M137" s="3">
        <f>IF(INDEX(学年度总表!$M$3:$M$1025,MATCH($E137,学年度总表!$E$3:$E$1025,0))="","",INDEX(学年度总表!$M$3:$M$1025,MATCH($E137,学年度总表!$E$3:$E$1025,0)))</f>
        <v>3.5</v>
      </c>
      <c r="N137" s="3">
        <f>IF(INDEX(学年度总表!$N$3:$N$1025,MATCH($E137,学年度总表!$E$3:$E$1025,0))="","",INDEX(学年度总表!$N$3:$N$1025,MATCH($E137,学年度总表!$E$3:$E$1025,0)))</f>
        <v>57.7</v>
      </c>
      <c r="O137" s="3">
        <f>IF(INDEX(学年度总表!$O$3:$O$1025,MATCH($E137,学年度总表!$E$3:$E$1025,0))="","",INDEX(学年度总表!$O$3:$O$1025,MATCH($E137,学年度总表!$E$3:$E$1025,0)))</f>
        <v>113.65</v>
      </c>
      <c r="P137" s="2" t="str">
        <f>IF(INDEX(学年度总表!$P$3:$P$1025,MATCH($E137,学年度总表!$E$3:$E$1025,0))="","",INDEX(学年度总表!$P$3:$P$1025,MATCH($E137,学年度总表!$E$3:$E$1025,0)))</f>
        <v/>
      </c>
      <c r="Q137" s="5" t="str">
        <f>IF(INDEX(学年度总表!$Q$3:$Q$1025,MATCH($E137,学年度总表!$E$3:$E$1025,0))="","",INDEX(学年度总表!$Q$3:$Q$1025,MATCH($E137,学年度总表!$E$3:$E$1025,0)))</f>
        <v/>
      </c>
    </row>
    <row r="138" spans="1:17">
      <c r="A138" s="2">
        <f>IF(INDEX(学年度总表!$A$3:$A$1025,MATCH($E138,学年度总表!$E$3:$E$1025,0))="","",INDEX(学年度总表!$A$3:$A$1025,MATCH($E138,学年度总表!$E$3:$E$1025,0)))</f>
        <v>922</v>
      </c>
      <c r="B138" s="2">
        <f>IF(INDEX(学年度总表!$B$3:$B$1025,MATCH($E138,学年度总表!$E$3:$E$1025,0))="","",INDEX(学年度总表!$B$3:$B$1025,MATCH($E138,学年度总表!$E$3:$E$1025,0)))</f>
        <v>136</v>
      </c>
      <c r="C138" s="2" t="str">
        <f>IF(INDEX(学年度总表!$C$3:$C$1025,MATCH($E138,学年度总表!$E$3:$E$1025,0))="","",INDEX(学年度总表!$C$3:$C$1025,MATCH($E138,学年度总表!$E$3:$E$1025,0)))</f>
        <v>计科</v>
      </c>
      <c r="D138" s="2" t="str">
        <f>IF(INDEX(学年度总表!$D$3:$D$1025,MATCH($E138,学年度总表!$E$3:$E$1025,0))="","",INDEX(学年度总表!$D$3:$D$1025,MATCH($E138,学年度总表!$E$3:$E$1025,0)))</f>
        <v>计科四班</v>
      </c>
      <c r="E138" s="2" t="s">
        <v>1905</v>
      </c>
      <c r="F138" s="2" t="str">
        <f>IF(INDEX(学年度总表!$F$3:$F$1025,MATCH($E138,学年度总表!$E$3:$E$1025,0))="","",INDEX(学年度总表!$F$3:$F$1025,MATCH($E138,学年度总表!$E$3:$E$1025,0)))</f>
        <v>王雨婷</v>
      </c>
      <c r="G138" s="3">
        <f>IF(INDEX(学年度总表!$G$3:$G$1025,MATCH($E138,学年度总表!$E$3:$E$1025,0))="","",INDEX(学年度总表!$G$3:$G$1025,MATCH($E138,学年度总表!$E$3:$E$1025,0)))</f>
        <v>9.8000000000000007</v>
      </c>
      <c r="H138" s="3">
        <f>IF(INDEX(学年度总表!$H$3:$H$1025,MATCH($E138,学年度总表!$E$3:$E$1025,0))="","",INDEX(学年度总表!$H$3:$H$1025,MATCH($E138,学年度总表!$E$3:$E$1025,0)))</f>
        <v>51.365853658536601</v>
      </c>
      <c r="I138" s="3">
        <f>IF(INDEX(学年度总表!$I$3:$I$1025,MATCH($E138,学年度总表!$E$3:$E$1025,0))="","",INDEX(学年度总表!$I$3:$I$1025,MATCH($E138,学年度总表!$E$3:$E$1025,0)))</f>
        <v>3</v>
      </c>
      <c r="J138" s="3">
        <f>IF(INDEX(学年度总表!$J$3:$J$1025,MATCH($E138,学年度总表!$E$3:$E$1025,0))="","",INDEX(学年度总表!$J$3:$J$1025,MATCH($E138,学年度总表!$E$3:$E$1025,0)))</f>
        <v>64.17</v>
      </c>
      <c r="K138" s="3">
        <f>IF(INDEX(学年度总表!$K$3:$K$1025,MATCH($E138,学年度总表!$E$3:$E$1025,0))="","",INDEX(学年度总表!$K$3:$K$1025,MATCH($E138,学年度总表!$E$3:$E$1025,0)))</f>
        <v>9.8000000000000007</v>
      </c>
      <c r="L138" s="3">
        <f>IF(INDEX(学年度总表!$L$3:$L$1025,MATCH($E138,学年度总表!$E$3:$E$1025,0))="","",INDEX(学年度总表!$L$3:$L$1025,MATCH($E138,学年度总表!$E$3:$E$1025,0)))</f>
        <v>34.4</v>
      </c>
      <c r="M138" s="3">
        <f>IF(INDEX(学年度总表!$M$3:$M$1025,MATCH($E138,学年度总表!$E$3:$E$1025,0))="","",INDEX(学年度总表!$M$3:$M$1025,MATCH($E138,学年度总表!$E$3:$E$1025,0)))</f>
        <v>3</v>
      </c>
      <c r="N138" s="3">
        <f>IF(INDEX(学年度总表!$N$3:$N$1025,MATCH($E138,学年度总表!$E$3:$E$1025,0))="","",INDEX(学年度总表!$N$3:$N$1025,MATCH($E138,学年度总表!$E$3:$E$1025,0)))</f>
        <v>47.2</v>
      </c>
      <c r="O138" s="3">
        <f>IF(INDEX(学年度总表!$O$3:$O$1025,MATCH($E138,学年度总表!$E$3:$E$1025,0))="","",INDEX(学年度总表!$O$3:$O$1025,MATCH($E138,学年度总表!$E$3:$E$1025,0)))</f>
        <v>111.37</v>
      </c>
      <c r="P138" s="2" t="str">
        <f>IF(INDEX(学年度总表!$P$3:$P$1025,MATCH($E138,学年度总表!$E$3:$E$1025,0))="","",INDEX(学年度总表!$P$3:$P$1025,MATCH($E138,学年度总表!$E$3:$E$1025,0)))</f>
        <v/>
      </c>
      <c r="Q138" s="5" t="str">
        <f>IF(INDEX(学年度总表!$Q$3:$Q$1025,MATCH($E138,学年度总表!$E$3:$E$1025,0))="","",INDEX(学年度总表!$Q$3:$Q$1025,MATCH($E138,学年度总表!$E$3:$E$1025,0)))</f>
        <v/>
      </c>
    </row>
    <row r="139" spans="1:17">
      <c r="A139" s="2">
        <f>IF(INDEX(学年度总表!$A$3:$A$1025,MATCH($E139,学年度总表!$E$3:$E$1025,0))="","",INDEX(学年度总表!$A$3:$A$1025,MATCH($E139,学年度总表!$E$3:$E$1025,0)))</f>
        <v>924</v>
      </c>
      <c r="B139" s="2">
        <f>IF(INDEX(学年度总表!$B$3:$B$1025,MATCH($E139,学年度总表!$E$3:$E$1025,0))="","",INDEX(学年度总表!$B$3:$B$1025,MATCH($E139,学年度总表!$E$3:$E$1025,0)))</f>
        <v>137</v>
      </c>
      <c r="C139" s="2" t="str">
        <f>IF(INDEX(学年度总表!$C$3:$C$1025,MATCH($E139,学年度总表!$E$3:$E$1025,0))="","",INDEX(学年度总表!$C$3:$C$1025,MATCH($E139,学年度总表!$E$3:$E$1025,0)))</f>
        <v>计科</v>
      </c>
      <c r="D139" s="2" t="str">
        <f>IF(INDEX(学年度总表!$D$3:$D$1025,MATCH($E139,学年度总表!$E$3:$E$1025,0))="","",INDEX(学年度总表!$D$3:$D$1025,MATCH($E139,学年度总表!$E$3:$E$1025,0)))</f>
        <v>计科一班</v>
      </c>
      <c r="E139" s="2" t="s">
        <v>1909</v>
      </c>
      <c r="F139" s="2" t="str">
        <f>IF(INDEX(学年度总表!$F$3:$F$1025,MATCH($E139,学年度总表!$E$3:$E$1025,0))="","",INDEX(学年度总表!$F$3:$F$1025,MATCH($E139,学年度总表!$E$3:$E$1025,0)))</f>
        <v>田睦洋</v>
      </c>
      <c r="G139" s="3">
        <f>IF(INDEX(学年度总表!$G$3:$G$1025,MATCH($E139,学年度总表!$E$3:$E$1025,0))="","",INDEX(学年度总表!$G$3:$G$1025,MATCH($E139,学年度总表!$E$3:$E$1025,0)))</f>
        <v>9.8000000000000007</v>
      </c>
      <c r="H139" s="3">
        <f>IF(INDEX(学年度总表!$H$3:$H$1025,MATCH($E139,学年度总表!$E$3:$E$1025,0))="","",INDEX(学年度总表!$H$3:$H$1025,MATCH($E139,学年度总表!$E$3:$E$1025,0)))</f>
        <v>51.134146341463399</v>
      </c>
      <c r="I139" s="3">
        <f>IF(INDEX(学年度总表!$I$3:$I$1025,MATCH($E139,学年度总表!$E$3:$E$1025,0))="","",INDEX(学年度总表!$I$3:$I$1025,MATCH($E139,学年度总表!$E$3:$E$1025,0)))</f>
        <v>3</v>
      </c>
      <c r="J139" s="3">
        <f>IF(INDEX(学年度总表!$J$3:$J$1025,MATCH($E139,学年度总表!$E$3:$E$1025,0))="","",INDEX(学年度总表!$J$3:$J$1025,MATCH($E139,学年度总表!$E$3:$E$1025,0)))</f>
        <v>63.93</v>
      </c>
      <c r="K139" s="3">
        <f>IF(INDEX(学年度总表!$K$3:$K$1025,MATCH($E139,学年度总表!$E$3:$E$1025,0))="","",INDEX(学年度总表!$K$3:$K$1025,MATCH($E139,学年度总表!$E$3:$E$1025,0)))</f>
        <v>7.3000000000000007</v>
      </c>
      <c r="L139" s="3">
        <f>IF(INDEX(学年度总表!$L$3:$L$1025,MATCH($E139,学年度总表!$E$3:$E$1025,0))="","",INDEX(学年度总表!$L$3:$L$1025,MATCH($E139,学年度总表!$E$3:$E$1025,0)))</f>
        <v>36.630000000000003</v>
      </c>
      <c r="M139" s="3">
        <f>IF(INDEX(学年度总表!$M$3:$M$1025,MATCH($E139,学年度总表!$E$3:$E$1025,0))="","",INDEX(学年度总表!$M$3:$M$1025,MATCH($E139,学年度总表!$E$3:$E$1025,0)))</f>
        <v>3</v>
      </c>
      <c r="N139" s="3">
        <f>IF(INDEX(学年度总表!$N$3:$N$1025,MATCH($E139,学年度总表!$E$3:$E$1025,0))="","",INDEX(学年度总表!$N$3:$N$1025,MATCH($E139,学年度总表!$E$3:$E$1025,0)))</f>
        <v>46.93</v>
      </c>
      <c r="O139" s="3">
        <f>IF(INDEX(学年度总表!$O$3:$O$1025,MATCH($E139,学年度总表!$E$3:$E$1025,0))="","",INDEX(学年度总表!$O$3:$O$1025,MATCH($E139,学年度总表!$E$3:$E$1025,0)))</f>
        <v>110.86</v>
      </c>
      <c r="P139" s="2" t="str">
        <f>IF(INDEX(学年度总表!$P$3:$P$1025,MATCH($E139,学年度总表!$E$3:$E$1025,0))="","",INDEX(学年度总表!$P$3:$P$1025,MATCH($E139,学年度总表!$E$3:$E$1025,0)))</f>
        <v/>
      </c>
      <c r="Q139" s="5" t="str">
        <f>IF(INDEX(学年度总表!$Q$3:$Q$1025,MATCH($E139,学年度总表!$E$3:$E$1025,0))="","",INDEX(学年度总表!$Q$3:$Q$1025,MATCH($E139,学年度总表!$E$3:$E$1025,0)))</f>
        <v/>
      </c>
    </row>
    <row r="140" spans="1:17">
      <c r="A140" s="2">
        <f>IF(INDEX(学年度总表!$A$3:$A$1025,MATCH($E140,学年度总表!$E$3:$E$1025,0))="","",INDEX(学年度总表!$A$3:$A$1025,MATCH($E140,学年度总表!$E$3:$E$1025,0)))</f>
        <v>936</v>
      </c>
      <c r="B140" s="2">
        <f>IF(INDEX(学年度总表!$B$3:$B$1025,MATCH($E140,学年度总表!$E$3:$E$1025,0))="","",INDEX(学年度总表!$B$3:$B$1025,MATCH($E140,学年度总表!$E$3:$E$1025,0)))</f>
        <v>138</v>
      </c>
      <c r="C140" s="2" t="str">
        <f>IF(INDEX(学年度总表!$C$3:$C$1025,MATCH($E140,学年度总表!$E$3:$E$1025,0))="","",INDEX(学年度总表!$C$3:$C$1025,MATCH($E140,学年度总表!$E$3:$E$1025,0)))</f>
        <v>计科</v>
      </c>
      <c r="D140" s="2" t="str">
        <f>IF(INDEX(学年度总表!$D$3:$D$1025,MATCH($E140,学年度总表!$E$3:$E$1025,0))="","",INDEX(学年度总表!$D$3:$D$1025,MATCH($E140,学年度总表!$E$3:$E$1025,0)))</f>
        <v>计科四班</v>
      </c>
      <c r="E140" s="2" t="s">
        <v>1932</v>
      </c>
      <c r="F140" s="2" t="str">
        <f>IF(INDEX(学年度总表!$F$3:$F$1025,MATCH($E140,学年度总表!$E$3:$E$1025,0))="","",INDEX(学年度总表!$F$3:$F$1025,MATCH($E140,学年度总表!$E$3:$E$1025,0)))</f>
        <v>张原唯</v>
      </c>
      <c r="G140" s="3">
        <f>IF(INDEX(学年度总表!$G$3:$G$1025,MATCH($E140,学年度总表!$E$3:$E$1025,0))="","",INDEX(学年度总表!$G$3:$G$1025,MATCH($E140,学年度总表!$E$3:$E$1025,0)))</f>
        <v>9.8000000000000007</v>
      </c>
      <c r="H140" s="3">
        <f>IF(INDEX(学年度总表!$H$3:$H$1025,MATCH($E140,学年度总表!$E$3:$E$1025,0))="","",INDEX(学年度总表!$H$3:$H$1025,MATCH($E140,学年度总表!$E$3:$E$1025,0)))</f>
        <v>30.153846153846199</v>
      </c>
      <c r="I140" s="3">
        <f>IF(INDEX(学年度总表!$I$3:$I$1025,MATCH($E140,学年度总表!$E$3:$E$1025,0))="","",INDEX(学年度总表!$I$3:$I$1025,MATCH($E140,学年度总表!$E$3:$E$1025,0)))</f>
        <v>4.5</v>
      </c>
      <c r="J140" s="3">
        <f>IF(INDEX(学年度总表!$J$3:$J$1025,MATCH($E140,学年度总表!$E$3:$E$1025,0))="","",INDEX(学年度总表!$J$3:$J$1025,MATCH($E140,学年度总表!$E$3:$E$1025,0)))</f>
        <v>44.45</v>
      </c>
      <c r="K140" s="3">
        <f>IF(INDEX(学年度总表!$K$3:$K$1025,MATCH($E140,学年度总表!$E$3:$E$1025,0))="","",INDEX(学年度总表!$K$3:$K$1025,MATCH($E140,学年度总表!$E$3:$E$1025,0)))</f>
        <v>9.8000000000000007</v>
      </c>
      <c r="L140" s="3">
        <f>IF(INDEX(学年度总表!$L$3:$L$1025,MATCH($E140,学年度总表!$E$3:$E$1025,0))="","",INDEX(学年度总表!$L$3:$L$1025,MATCH($E140,学年度总表!$E$3:$E$1025,0)))</f>
        <v>51.63</v>
      </c>
      <c r="M140" s="3">
        <f>IF(INDEX(学年度总表!$M$3:$M$1025,MATCH($E140,学年度总表!$E$3:$E$1025,0))="","",INDEX(学年度总表!$M$3:$M$1025,MATCH($E140,学年度总表!$E$3:$E$1025,0)))</f>
        <v>3</v>
      </c>
      <c r="N140" s="3">
        <f>IF(INDEX(学年度总表!$N$3:$N$1025,MATCH($E140,学年度总表!$E$3:$E$1025,0))="","",INDEX(学年度总表!$N$3:$N$1025,MATCH($E140,学年度总表!$E$3:$E$1025,0)))</f>
        <v>64.430000000000007</v>
      </c>
      <c r="O140" s="3">
        <f>IF(INDEX(学年度总表!$O$3:$O$1025,MATCH($E140,学年度总表!$E$3:$E$1025,0))="","",INDEX(学年度总表!$O$3:$O$1025,MATCH($E140,学年度总表!$E$3:$E$1025,0)))</f>
        <v>108.88</v>
      </c>
      <c r="P140" s="2" t="str">
        <f>IF(INDEX(学年度总表!$P$3:$P$1025,MATCH($E140,学年度总表!$E$3:$E$1025,0))="","",INDEX(学年度总表!$P$3:$P$1025,MATCH($E140,学年度总表!$E$3:$E$1025,0)))</f>
        <v/>
      </c>
      <c r="Q140" s="5" t="str">
        <f>IF(INDEX(学年度总表!$Q$3:$Q$1025,MATCH($E140,学年度总表!$E$3:$E$1025,0))="","",INDEX(学年度总表!$Q$3:$Q$1025,MATCH($E140,学年度总表!$E$3:$E$1025,0)))</f>
        <v/>
      </c>
    </row>
    <row r="141" spans="1:17">
      <c r="A141" s="2">
        <f>IF(INDEX(学年度总表!$A$3:$A$1025,MATCH($E141,学年度总表!$E$3:$E$1025,0))="","",INDEX(学年度总表!$A$3:$A$1025,MATCH($E141,学年度总表!$E$3:$E$1025,0)))</f>
        <v>964</v>
      </c>
      <c r="B141" s="2">
        <f>IF(INDEX(学年度总表!$B$3:$B$1025,MATCH($E141,学年度总表!$E$3:$E$1025,0))="","",INDEX(学年度总表!$B$3:$B$1025,MATCH($E141,学年度总表!$E$3:$E$1025,0)))</f>
        <v>139</v>
      </c>
      <c r="C141" s="2" t="str">
        <f>IF(INDEX(学年度总表!$C$3:$C$1025,MATCH($E141,学年度总表!$E$3:$E$1025,0))="","",INDEX(学年度总表!$C$3:$C$1025,MATCH($E141,学年度总表!$E$3:$E$1025,0)))</f>
        <v>计科</v>
      </c>
      <c r="D141" s="2" t="str">
        <f>IF(INDEX(学年度总表!$D$3:$D$1025,MATCH($E141,学年度总表!$E$3:$E$1025,0))="","",INDEX(学年度总表!$D$3:$D$1025,MATCH($E141,学年度总表!$E$3:$E$1025,0)))</f>
        <v>计科四班</v>
      </c>
      <c r="E141" s="2" t="s">
        <v>1988</v>
      </c>
      <c r="F141" s="2" t="str">
        <f>IF(INDEX(学年度总表!$F$3:$F$1025,MATCH($E141,学年度总表!$E$3:$E$1025,0))="","",INDEX(学年度总表!$F$3:$F$1025,MATCH($E141,学年度总表!$E$3:$E$1025,0)))</f>
        <v>蓝世强</v>
      </c>
      <c r="G141" s="3">
        <f>IF(INDEX(学年度总表!$G$3:$G$1025,MATCH($E141,学年度总表!$E$3:$E$1025,0))="","",INDEX(学年度总表!$G$3:$G$1025,MATCH($E141,学年度总表!$E$3:$E$1025,0)))</f>
        <v>12.8</v>
      </c>
      <c r="H141" s="3">
        <f>IF(INDEX(学年度总表!$H$3:$H$1025,MATCH($E141,学年度总表!$E$3:$E$1025,0))="","",INDEX(学年度总表!$H$3:$H$1025,MATCH($E141,学年度总表!$E$3:$E$1025,0)))</f>
        <v>45.963414634146403</v>
      </c>
      <c r="I141" s="3">
        <f>IF(INDEX(学年度总表!$I$3:$I$1025,MATCH($E141,学年度总表!$E$3:$E$1025,0))="","",INDEX(学年度总表!$I$3:$I$1025,MATCH($E141,学年度总表!$E$3:$E$1025,0)))</f>
        <v>4</v>
      </c>
      <c r="J141" s="3">
        <f>IF(INDEX(学年度总表!$J$3:$J$1025,MATCH($E141,学年度总表!$E$3:$E$1025,0))="","",INDEX(学年度总表!$J$3:$J$1025,MATCH($E141,学年度总表!$E$3:$E$1025,0)))</f>
        <v>62.76</v>
      </c>
      <c r="K141" s="3">
        <f>IF(INDEX(学年度总表!$K$3:$K$1025,MATCH($E141,学年度总表!$E$3:$E$1025,0))="","",INDEX(学年度总表!$K$3:$K$1025,MATCH($E141,学年度总表!$E$3:$E$1025,0)))</f>
        <v>7.3000000000000007</v>
      </c>
      <c r="L141" s="3">
        <f>IF(INDEX(学年度总表!$L$3:$L$1025,MATCH($E141,学年度总表!$E$3:$E$1025,0))="","",INDEX(学年度总表!$L$3:$L$1025,MATCH($E141,学年度总表!$E$3:$E$1025,0)))</f>
        <v>25.3</v>
      </c>
      <c r="M141" s="3">
        <f>IF(INDEX(学年度总表!$M$3:$M$1025,MATCH($E141,学年度总表!$E$3:$E$1025,0))="","",INDEX(学年度总表!$M$3:$M$1025,MATCH($E141,学年度总表!$E$3:$E$1025,0)))</f>
        <v>3</v>
      </c>
      <c r="N141" s="3">
        <f>IF(INDEX(学年度总表!$N$3:$N$1025,MATCH($E141,学年度总表!$E$3:$E$1025,0))="","",INDEX(学年度总表!$N$3:$N$1025,MATCH($E141,学年度总表!$E$3:$E$1025,0)))</f>
        <v>35.6</v>
      </c>
      <c r="O141" s="3">
        <f>IF(INDEX(学年度总表!$O$3:$O$1025,MATCH($E141,学年度总表!$E$3:$E$1025,0))="","",INDEX(学年度总表!$O$3:$O$1025,MATCH($E141,学年度总表!$E$3:$E$1025,0)))</f>
        <v>98.36</v>
      </c>
      <c r="P141" s="2" t="str">
        <f>IF(INDEX(学年度总表!$P$3:$P$1025,MATCH($E141,学年度总表!$E$3:$E$1025,0))="","",INDEX(学年度总表!$P$3:$P$1025,MATCH($E141,学年度总表!$E$3:$E$1025,0)))</f>
        <v/>
      </c>
      <c r="Q141" s="5" t="str">
        <f>IF(INDEX(学年度总表!$Q$3:$Q$1025,MATCH($E141,学年度总表!$E$3:$E$1025,0))="","",INDEX(学年度总表!$Q$3:$Q$1025,MATCH($E141,学年度总表!$E$3:$E$1025,0)))</f>
        <v/>
      </c>
    </row>
    <row r="142" spans="1:17">
      <c r="A142" s="2">
        <f>IF(INDEX(学年度总表!$A$3:$A$1025,MATCH($E142,学年度总表!$E$3:$E$1025,0))="","",INDEX(学年度总表!$A$3:$A$1025,MATCH($E142,学年度总表!$E$3:$E$1025,0)))</f>
        <v>992</v>
      </c>
      <c r="B142" s="2">
        <f>IF(INDEX(学年度总表!$B$3:$B$1025,MATCH($E142,学年度总表!$E$3:$E$1025,0))="","",INDEX(学年度总表!$B$3:$B$1025,MATCH($E142,学年度总表!$E$3:$E$1025,0)))</f>
        <v>140</v>
      </c>
      <c r="C142" s="2" t="str">
        <f>IF(INDEX(学年度总表!$C$3:$C$1025,MATCH($E142,学年度总表!$E$3:$E$1025,0))="","",INDEX(学年度总表!$C$3:$C$1025,MATCH($E142,学年度总表!$E$3:$E$1025,0)))</f>
        <v>计科</v>
      </c>
      <c r="D142" s="2" t="str">
        <f>IF(INDEX(学年度总表!$D$3:$D$1025,MATCH($E142,学年度总表!$E$3:$E$1025,0))="","",INDEX(学年度总表!$D$3:$D$1025,MATCH($E142,学年度总表!$E$3:$E$1025,0)))</f>
        <v>计科二班</v>
      </c>
      <c r="E142" s="2" t="s">
        <v>2048</v>
      </c>
      <c r="F142" s="2" t="str">
        <f>IF(INDEX(学年度总表!$F$3:$F$1025,MATCH($E142,学年度总表!$E$3:$E$1025,0))="","",INDEX(学年度总表!$F$3:$F$1025,MATCH($E142,学年度总表!$E$3:$E$1025,0)))</f>
        <v>代雨航</v>
      </c>
      <c r="G142" s="3" t="str">
        <f>IF(INDEX(学年度总表!$G$3:$G$1025,MATCH($E142,学年度总表!$E$3:$E$1025,0))="","",INDEX(学年度总表!$G$3:$G$1025,MATCH($E142,学年度总表!$E$3:$E$1025,0)))</f>
        <v/>
      </c>
      <c r="H142" s="3" t="str">
        <f>IF(INDEX(学年度总表!$H$3:$H$1025,MATCH($E142,学年度总表!$E$3:$E$1025,0))="","",INDEX(学年度总表!$H$3:$H$1025,MATCH($E142,学年度总表!$E$3:$E$1025,0)))</f>
        <v/>
      </c>
      <c r="I142" s="3" t="str">
        <f>IF(INDEX(学年度总表!$I$3:$I$1025,MATCH($E142,学年度总表!$E$3:$E$1025,0))="","",INDEX(学年度总表!$I$3:$I$1025,MATCH($E142,学年度总表!$E$3:$E$1025,0)))</f>
        <v/>
      </c>
      <c r="J142" s="3" t="str">
        <f>IF(INDEX(学年度总表!$J$3:$J$1025,MATCH($E142,学年度总表!$E$3:$E$1025,0))="","",INDEX(学年度总表!$J$3:$J$1025,MATCH($E142,学年度总表!$E$3:$E$1025,0)))</f>
        <v/>
      </c>
      <c r="K142" s="3">
        <f>IF(INDEX(学年度总表!$K$3:$K$1025,MATCH($E142,学年度总表!$E$3:$E$1025,0))="","",INDEX(学年度总表!$K$3:$K$1025,MATCH($E142,学年度总表!$E$3:$E$1025,0)))</f>
        <v>9.8000000000000007</v>
      </c>
      <c r="L142" s="3">
        <f>IF(INDEX(学年度总表!$L$3:$L$1025,MATCH($E142,学年度总表!$E$3:$E$1025,0))="","",INDEX(学年度总表!$L$3:$L$1025,MATCH($E142,学年度总表!$E$3:$E$1025,0)))</f>
        <v>0</v>
      </c>
      <c r="M142" s="3">
        <f>IF(INDEX(学年度总表!$M$3:$M$1025,MATCH($E142,学年度总表!$E$3:$E$1025,0))="","",INDEX(学年度总表!$M$3:$M$1025,MATCH($E142,学年度总表!$E$3:$E$1025,0)))</f>
        <v>3</v>
      </c>
      <c r="N142" s="3">
        <f>IF(INDEX(学年度总表!$N$3:$N$1025,MATCH($E142,学年度总表!$E$3:$E$1025,0))="","",INDEX(学年度总表!$N$3:$N$1025,MATCH($E142,学年度总表!$E$3:$E$1025,0)))</f>
        <v>12.8</v>
      </c>
      <c r="O142" s="3">
        <f>IF(INDEX(学年度总表!$O$3:$O$1025,MATCH($E142,学年度总表!$E$3:$E$1025,0))="","",INDEX(学年度总表!$O$3:$O$1025,MATCH($E142,学年度总表!$E$3:$E$1025,0)))</f>
        <v>12.8</v>
      </c>
      <c r="P142" s="2" t="str">
        <f>IF(INDEX(学年度总表!$P$3:$P$1025,MATCH($E142,学年度总表!$E$3:$E$1025,0))="","",INDEX(学年度总表!$P$3:$P$1025,MATCH($E142,学年度总表!$E$3:$E$1025,0)))</f>
        <v/>
      </c>
      <c r="Q142" s="5" t="str">
        <f>IF(INDEX(学年度总表!$Q$3:$Q$1025,MATCH($E142,学年度总表!$E$3:$E$1025,0))="","",INDEX(学年度总表!$Q$3:$Q$1025,MATCH($E142,学年度总表!$E$3:$E$1025,0)))</f>
        <v>无大一上综测成绩</v>
      </c>
    </row>
  </sheetData>
  <autoFilter ref="A2:Q142" xr:uid="{00000000-0009-0000-0000-000001000000}"/>
  <mergeCells count="11">
    <mergeCell ref="A1:A2"/>
    <mergeCell ref="P1:P2"/>
    <mergeCell ref="Q1:Q2"/>
    <mergeCell ref="K1:N1"/>
    <mergeCell ref="C1:C2"/>
    <mergeCell ref="B1:B2"/>
    <mergeCell ref="D1:D2"/>
    <mergeCell ref="E1:E2"/>
    <mergeCell ref="F1:F2"/>
    <mergeCell ref="G1:J1"/>
    <mergeCell ref="O1:O2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58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2" width="6" customWidth="1"/>
    <col min="3" max="3" width="7" customWidth="1"/>
    <col min="4" max="5" width="11" customWidth="1"/>
    <col min="6" max="6" width="9" customWidth="1"/>
    <col min="7" max="9" width="7.5" customWidth="1"/>
    <col min="10" max="10" width="8" customWidth="1"/>
    <col min="11" max="13" width="7.5" customWidth="1"/>
    <col min="14" max="14" width="8" customWidth="1"/>
    <col min="15" max="15" width="9" customWidth="1"/>
    <col min="16" max="16" width="18" customWidth="1"/>
    <col min="17" max="17" width="22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/>
      <c r="I1" s="8"/>
      <c r="J1" s="8"/>
      <c r="K1" s="8" t="s">
        <v>7</v>
      </c>
      <c r="L1" s="8"/>
      <c r="M1" s="8"/>
      <c r="N1" s="8"/>
      <c r="O1" s="8" t="s">
        <v>8</v>
      </c>
      <c r="P1" s="8" t="s">
        <v>9</v>
      </c>
      <c r="Q1" s="8" t="s">
        <v>10</v>
      </c>
    </row>
    <row r="2" spans="1:17" ht="28" customHeight="1">
      <c r="A2" s="8"/>
      <c r="B2" s="8"/>
      <c r="C2" s="8"/>
      <c r="D2" s="8"/>
      <c r="E2" s="8"/>
      <c r="F2" s="8"/>
      <c r="G2" s="1" t="s">
        <v>11</v>
      </c>
      <c r="H2" s="1" t="s">
        <v>12</v>
      </c>
      <c r="I2" s="1" t="s">
        <v>13</v>
      </c>
      <c r="J2" s="1" t="s">
        <v>14</v>
      </c>
      <c r="K2" s="1" t="s">
        <v>11</v>
      </c>
      <c r="L2" s="1" t="s">
        <v>12</v>
      </c>
      <c r="M2" s="1" t="s">
        <v>13</v>
      </c>
      <c r="N2" s="1" t="s">
        <v>14</v>
      </c>
      <c r="O2" s="8"/>
      <c r="P2" s="8"/>
      <c r="Q2" s="8"/>
    </row>
    <row r="3" spans="1:17">
      <c r="A3" s="2">
        <f>IF(INDEX(学年度总表!$A$3:$A$1025,MATCH($E3,学年度总表!$E$3:$E$1025,0))="","",INDEX(学年度总表!$A$3:$A$1025,MATCH($E3,学年度总表!$E$3:$E$1025,0)))</f>
        <v>2</v>
      </c>
      <c r="B3" s="2">
        <f>IF(INDEX(学年度总表!$B$3:$B$1025,MATCH($E3,学年度总表!$E$3:$E$1025,0))="","",INDEX(学年度总表!$B$3:$B$1025,MATCH($E3,学年度总表!$E$3:$E$1025,0)))</f>
        <v>1</v>
      </c>
      <c r="C3" s="2" t="str">
        <f>IF(INDEX(学年度总表!$C$3:$C$1025,MATCH($E3,学年度总表!$E$3:$E$1025,0))="","",INDEX(学年度总表!$C$3:$C$1025,MATCH($E3,学年度总表!$E$3:$E$1025,0)))</f>
        <v>软工</v>
      </c>
      <c r="D3" s="2" t="str">
        <f>IF(INDEX(学年度总表!$D$3:$D$1025,MATCH($E3,学年度总表!$E$3:$E$1025,0))="","",INDEX(学年度总表!$D$3:$D$1025,MATCH($E3,学年度总表!$E$3:$E$1025,0)))</f>
        <v>软工14班</v>
      </c>
      <c r="E3" s="2" t="s">
        <v>22</v>
      </c>
      <c r="F3" s="2" t="str">
        <f>IF(INDEX(学年度总表!$F$3:$F$1025,MATCH($E3,学年度总表!$E$3:$E$1025,0))="","",INDEX(学年度总表!$F$3:$F$1025,MATCH($E3,学年度总表!$E$3:$E$1025,0)))</f>
        <v>王奕茗</v>
      </c>
      <c r="G3" s="3">
        <f>IF(INDEX(学年度总表!$G$3:$G$1025,MATCH($E3,学年度总表!$E$3:$E$1025,0))="","",INDEX(学年度总表!$G$3:$G$1025,MATCH($E3,学年度总表!$E$3:$E$1025,0)))</f>
        <v>9.8000000000000007</v>
      </c>
      <c r="H3" s="3">
        <f>IF(INDEX(学年度总表!$H$3:$H$1025,MATCH($E3,学年度总表!$E$3:$E$1025,0))="","",INDEX(学年度总表!$H$3:$H$1025,MATCH($E3,学年度总表!$E$3:$E$1025,0)))</f>
        <v>72.02</v>
      </c>
      <c r="I3" s="3">
        <f>IF(INDEX(学年度总表!$I$3:$I$1025,MATCH($E3,学年度总表!$E$3:$E$1025,0))="","",INDEX(学年度总表!$I$3:$I$1025,MATCH($E3,学年度总表!$E$3:$E$1025,0)))</f>
        <v>5.0999999999999996</v>
      </c>
      <c r="J3" s="3">
        <f>IF(INDEX(学年度总表!$J$3:$J$1025,MATCH($E3,学年度总表!$E$3:$E$1025,0))="","",INDEX(学年度总表!$J$3:$J$1025,MATCH($E3,学年度总表!$E$3:$E$1025,0)))</f>
        <v>86.92</v>
      </c>
      <c r="K3" s="3">
        <f>IF(INDEX(学年度总表!$K$3:$K$1025,MATCH($E3,学年度总表!$E$3:$E$1025,0))="","",INDEX(学年度总表!$K$3:$K$1025,MATCH($E3,学年度总表!$E$3:$E$1025,0)))</f>
        <v>11.3</v>
      </c>
      <c r="L3" s="3">
        <f>IF(INDEX(学年度总表!$L$3:$L$1025,MATCH($E3,学年度总表!$E$3:$E$1025,0))="","",INDEX(学年度总表!$L$3:$L$1025,MATCH($E3,学年度总表!$E$3:$E$1025,0)))</f>
        <v>73.5</v>
      </c>
      <c r="M3" s="3">
        <f>IF(INDEX(学年度总表!$M$3:$M$1025,MATCH($E3,学年度总表!$E$3:$E$1025,0))="","",INDEX(学年度总表!$M$3:$M$1025,MATCH($E3,学年度总表!$E$3:$E$1025,0)))</f>
        <v>8.0500000000000007</v>
      </c>
      <c r="N3" s="3">
        <f>IF(INDEX(学年度总表!$N$3:$N$1025,MATCH($E3,学年度总表!$E$3:$E$1025,0))="","",INDEX(学年度总表!$N$3:$N$1025,MATCH($E3,学年度总表!$E$3:$E$1025,0)))</f>
        <v>92.85</v>
      </c>
      <c r="O3" s="3">
        <f>IF(INDEX(学年度总表!$O$3:$O$1025,MATCH($E3,学年度总表!$E$3:$E$1025,0))="","",INDEX(学年度总表!$O$3:$O$1025,MATCH($E3,学年度总表!$E$3:$E$1025,0)))</f>
        <v>179.77</v>
      </c>
      <c r="P3" s="4" t="str">
        <f>IF(INDEX(学年度总表!$P$3:$P$1025,MATCH($E3,学年度总表!$E$3:$E$1025,0))="","",INDEX(学年度总表!$P$3:$P$1025,MATCH($E3,学年度总表!$E$3:$E$1025,0)))</f>
        <v>国奖</v>
      </c>
      <c r="Q3" s="5" t="str">
        <f>IF(INDEX(学年度总表!$Q$3:$Q$1025,MATCH($E3,学年度总表!$E$3:$E$1025,0))="","",INDEX(学年度总表!$Q$3:$Q$1025,MATCH($E3,学年度总表!$E$3:$E$1025,0)))</f>
        <v/>
      </c>
    </row>
    <row r="4" spans="1:17">
      <c r="A4" s="2">
        <f>IF(INDEX(学年度总表!$A$3:$A$1025,MATCH($E4,学年度总表!$E$3:$E$1025,0))="","",INDEX(学年度总表!$A$3:$A$1025,MATCH($E4,学年度总表!$E$3:$E$1025,0)))</f>
        <v>4</v>
      </c>
      <c r="B4" s="2">
        <f>IF(INDEX(学年度总表!$B$3:$B$1025,MATCH($E4,学年度总表!$E$3:$E$1025,0))="","",INDEX(学年度总表!$B$3:$B$1025,MATCH($E4,学年度总表!$E$3:$E$1025,0)))</f>
        <v>2</v>
      </c>
      <c r="C4" s="2" t="str">
        <f>IF(INDEX(学年度总表!$C$3:$C$1025,MATCH($E4,学年度总表!$E$3:$E$1025,0))="","",INDEX(学年度总表!$C$3:$C$1025,MATCH($E4,学年度总表!$E$3:$E$1025,0)))</f>
        <v>软工</v>
      </c>
      <c r="D4" s="2" t="str">
        <f>IF(INDEX(学年度总表!$D$3:$D$1025,MATCH($E4,学年度总表!$E$3:$E$1025,0))="","",INDEX(学年度总表!$D$3:$D$1025,MATCH($E4,学年度总表!$E$3:$E$1025,0)))</f>
        <v>软工12班</v>
      </c>
      <c r="E4" s="2" t="s">
        <v>30</v>
      </c>
      <c r="F4" s="2" t="str">
        <f>IF(INDEX(学年度总表!$F$3:$F$1025,MATCH($E4,学年度总表!$E$3:$E$1025,0))="","",INDEX(学年度总表!$F$3:$F$1025,MATCH($E4,学年度总表!$E$3:$E$1025,0)))</f>
        <v>刘航绮</v>
      </c>
      <c r="G4" s="3">
        <f>IF(INDEX(学年度总表!$G$3:$G$1025,MATCH($E4,学年度总表!$E$3:$E$1025,0))="","",INDEX(学年度总表!$G$3:$G$1025,MATCH($E4,学年度总表!$E$3:$E$1025,0)))</f>
        <v>12.5</v>
      </c>
      <c r="H4" s="3">
        <f>IF(INDEX(学年度总表!$H$3:$H$1025,MATCH($E4,学年度总表!$E$3:$E$1025,0))="","",INDEX(学年度总表!$H$3:$H$1025,MATCH($E4,学年度总表!$E$3:$E$1025,0)))</f>
        <v>69.19</v>
      </c>
      <c r="I4" s="3">
        <f>IF(INDEX(学年度总表!$I$3:$I$1025,MATCH($E4,学年度总表!$E$3:$E$1025,0))="","",INDEX(学年度总表!$I$3:$I$1025,MATCH($E4,学年度总表!$E$3:$E$1025,0)))</f>
        <v>6.9</v>
      </c>
      <c r="J4" s="3">
        <f>IF(INDEX(学年度总表!$J$3:$J$1025,MATCH($E4,学年度总表!$E$3:$E$1025,0))="","",INDEX(学年度总表!$J$3:$J$1025,MATCH($E4,学年度总表!$E$3:$E$1025,0)))</f>
        <v>88.59</v>
      </c>
      <c r="K4" s="3">
        <f>IF(INDEX(学年度总表!$K$3:$K$1025,MATCH($E4,学年度总表!$E$3:$E$1025,0))="","",INDEX(学年度总表!$K$3:$K$1025,MATCH($E4,学年度总表!$E$3:$E$1025,0)))</f>
        <v>11</v>
      </c>
      <c r="L4" s="3">
        <f>IF(INDEX(学年度总表!$L$3:$L$1025,MATCH($E4,学年度总表!$E$3:$E$1025,0))="","",INDEX(学年度总表!$L$3:$L$1025,MATCH($E4,学年度总表!$E$3:$E$1025,0)))</f>
        <v>70.11999999999999</v>
      </c>
      <c r="M4" s="3">
        <f>IF(INDEX(学年度总表!$M$3:$M$1025,MATCH($E4,学年度总表!$E$3:$E$1025,0))="","",INDEX(学年度总表!$M$3:$M$1025,MATCH($E4,学年度总表!$E$3:$E$1025,0)))</f>
        <v>8.5</v>
      </c>
      <c r="N4" s="3">
        <f>IF(INDEX(学年度总表!$N$3:$N$1025,MATCH($E4,学年度总表!$E$3:$E$1025,0))="","",INDEX(学年度总表!$N$3:$N$1025,MATCH($E4,学年度总表!$E$3:$E$1025,0)))</f>
        <v>89.62</v>
      </c>
      <c r="O4" s="3">
        <f>IF(INDEX(学年度总表!$O$3:$O$1025,MATCH($E4,学年度总表!$E$3:$E$1025,0))="","",INDEX(学年度总表!$O$3:$O$1025,MATCH($E4,学年度总表!$E$3:$E$1025,0)))</f>
        <v>178.21</v>
      </c>
      <c r="P4" s="4" t="str">
        <f>IF(INDEX(学年度总表!$P$3:$P$1025,MATCH($E4,学年度总表!$E$3:$E$1025,0))="","",INDEX(学年度总表!$P$3:$P$1025,MATCH($E4,学年度总表!$E$3:$E$1025,0)))</f>
        <v>省奖</v>
      </c>
      <c r="Q4" s="5" t="str">
        <f>IF(INDEX(学年度总表!$Q$3:$Q$1025,MATCH($E4,学年度总表!$E$3:$E$1025,0))="","",INDEX(学年度总表!$Q$3:$Q$1025,MATCH($E4,学年度总表!$E$3:$E$1025,0)))</f>
        <v/>
      </c>
    </row>
    <row r="5" spans="1:17">
      <c r="A5" s="2">
        <f>IF(INDEX(学年度总表!$A$3:$A$1025,MATCH($E5,学年度总表!$E$3:$E$1025,0))="","",INDEX(学年度总表!$A$3:$A$1025,MATCH($E5,学年度总表!$E$3:$E$1025,0)))</f>
        <v>5</v>
      </c>
      <c r="B5" s="2">
        <f>IF(INDEX(学年度总表!$B$3:$B$1025,MATCH($E5,学年度总表!$E$3:$E$1025,0))="","",INDEX(学年度总表!$B$3:$B$1025,MATCH($E5,学年度总表!$E$3:$E$1025,0)))</f>
        <v>3</v>
      </c>
      <c r="C5" s="2" t="str">
        <f>IF(INDEX(学年度总表!$C$3:$C$1025,MATCH($E5,学年度总表!$E$3:$E$1025,0))="","",INDEX(学年度总表!$C$3:$C$1025,MATCH($E5,学年度总表!$E$3:$E$1025,0)))</f>
        <v>软工</v>
      </c>
      <c r="D5" s="2" t="str">
        <f>IF(INDEX(学年度总表!$D$3:$D$1025,MATCH($E5,学年度总表!$E$3:$E$1025,0))="","",INDEX(学年度总表!$D$3:$D$1025,MATCH($E5,学年度总表!$E$3:$E$1025,0)))</f>
        <v>软工9班</v>
      </c>
      <c r="E5" s="2" t="s">
        <v>33</v>
      </c>
      <c r="F5" s="2" t="str">
        <f>IF(INDEX(学年度总表!$F$3:$F$1025,MATCH($E5,学年度总表!$E$3:$E$1025,0))="","",INDEX(学年度总表!$F$3:$F$1025,MATCH($E5,学年度总表!$E$3:$E$1025,0)))</f>
        <v>夏艺洋</v>
      </c>
      <c r="G5" s="3">
        <f>IF(INDEX(学年度总表!$G$3:$G$1025,MATCH($E5,学年度总表!$E$3:$E$1025,0))="","",INDEX(学年度总表!$G$3:$G$1025,MATCH($E5,学年度总表!$E$3:$E$1025,0)))</f>
        <v>10.3</v>
      </c>
      <c r="H5" s="3">
        <f>IF(INDEX(学年度总表!$H$3:$H$1025,MATCH($E5,学年度总表!$E$3:$E$1025,0))="","",INDEX(学年度总表!$H$3:$H$1025,MATCH($E5,学年度总表!$E$3:$E$1025,0)))</f>
        <v>75</v>
      </c>
      <c r="I5" s="3">
        <f>IF(INDEX(学年度总表!$I$3:$I$1025,MATCH($E5,学年度总表!$E$3:$E$1025,0))="","",INDEX(学年度总表!$I$3:$I$1025,MATCH($E5,学年度总表!$E$3:$E$1025,0)))</f>
        <v>5.0999999999999996</v>
      </c>
      <c r="J5" s="3">
        <f>IF(INDEX(学年度总表!$J$3:$J$1025,MATCH($E5,学年度总表!$E$3:$E$1025,0))="","",INDEX(学年度总表!$J$3:$J$1025,MATCH($E5,学年度总表!$E$3:$E$1025,0)))</f>
        <v>90.4</v>
      </c>
      <c r="K5" s="3">
        <f>IF(INDEX(学年度总表!$K$3:$K$1025,MATCH($E5,学年度总表!$E$3:$E$1025,0))="","",INDEX(学年度总表!$K$3:$K$1025,MATCH($E5,学年度总表!$E$3:$E$1025,0)))</f>
        <v>10.8</v>
      </c>
      <c r="L5" s="3">
        <f>IF(INDEX(学年度总表!$L$3:$L$1025,MATCH($E5,学年度总表!$E$3:$E$1025,0))="","",INDEX(学年度总表!$L$3:$L$1025,MATCH($E5,学年度总表!$E$3:$E$1025,0)))</f>
        <v>70.45</v>
      </c>
      <c r="M5" s="3">
        <f>IF(INDEX(学年度总表!$M$3:$M$1025,MATCH($E5,学年度总表!$E$3:$E$1025,0))="","",INDEX(学年度总表!$M$3:$M$1025,MATCH($E5,学年度总表!$E$3:$E$1025,0)))</f>
        <v>6.5</v>
      </c>
      <c r="N5" s="3">
        <f>IF(INDEX(学年度总表!$N$3:$N$1025,MATCH($E5,学年度总表!$E$3:$E$1025,0))="","",INDEX(学年度总表!$N$3:$N$1025,MATCH($E5,学年度总表!$E$3:$E$1025,0)))</f>
        <v>87.75</v>
      </c>
      <c r="O5" s="3">
        <f>IF(INDEX(学年度总表!$O$3:$O$1025,MATCH($E5,学年度总表!$E$3:$E$1025,0))="","",INDEX(学年度总表!$O$3:$O$1025,MATCH($E5,学年度总表!$E$3:$E$1025,0)))</f>
        <v>178.15</v>
      </c>
      <c r="P5" s="4" t="str">
        <f>IF(INDEX(学年度总表!$P$3:$P$1025,MATCH($E5,学年度总表!$E$3:$E$1025,0))="","",INDEX(学年度总表!$P$3:$P$1025,MATCH($E5,学年度总表!$E$3:$E$1025,0)))</f>
        <v>校一等</v>
      </c>
      <c r="Q5" s="5" t="str">
        <f>IF(INDEX(学年度总表!$Q$3:$Q$1025,MATCH($E5,学年度总表!$E$3:$E$1025,0))="","",INDEX(学年度总表!$Q$3:$Q$1025,MATCH($E5,学年度总表!$E$3:$E$1025,0)))</f>
        <v/>
      </c>
    </row>
    <row r="6" spans="1:17">
      <c r="A6" s="2">
        <f>IF(INDEX(学年度总表!$A$3:$A$1025,MATCH($E6,学年度总表!$E$3:$E$1025,0))="","",INDEX(学年度总表!$A$3:$A$1025,MATCH($E6,学年度总表!$E$3:$E$1025,0)))</f>
        <v>6</v>
      </c>
      <c r="B6" s="2">
        <f>IF(INDEX(学年度总表!$B$3:$B$1025,MATCH($E6,学年度总表!$E$3:$E$1025,0))="","",INDEX(学年度总表!$B$3:$B$1025,MATCH($E6,学年度总表!$E$3:$E$1025,0)))</f>
        <v>4</v>
      </c>
      <c r="C6" s="2" t="str">
        <f>IF(INDEX(学年度总表!$C$3:$C$1025,MATCH($E6,学年度总表!$E$3:$E$1025,0))="","",INDEX(学年度总表!$C$3:$C$1025,MATCH($E6,学年度总表!$E$3:$E$1025,0)))</f>
        <v>软工</v>
      </c>
      <c r="D6" s="2" t="str">
        <f>IF(INDEX(学年度总表!$D$3:$D$1025,MATCH($E6,学年度总表!$E$3:$E$1025,0))="","",INDEX(学年度总表!$D$3:$D$1025,MATCH($E6,学年度总表!$E$3:$E$1025,0)))</f>
        <v>软工13班</v>
      </c>
      <c r="E6" s="2" t="s">
        <v>37</v>
      </c>
      <c r="F6" s="2" t="str">
        <f>IF(INDEX(学年度总表!$F$3:$F$1025,MATCH($E6,学年度总表!$E$3:$E$1025,0))="","",INDEX(学年度总表!$F$3:$F$1025,MATCH($E6,学年度总表!$E$3:$E$1025,0)))</f>
        <v>孙远骐</v>
      </c>
      <c r="G6" s="3">
        <f>IF(INDEX(学年度总表!$G$3:$G$1025,MATCH($E6,学年度总表!$E$3:$E$1025,0))="","",INDEX(学年度总表!$G$3:$G$1025,MATCH($E6,学年度总表!$E$3:$E$1025,0)))</f>
        <v>10.6</v>
      </c>
      <c r="H6" s="3">
        <f>IF(INDEX(学年度总表!$H$3:$H$1025,MATCH($E6,学年度总表!$E$3:$E$1025,0))="","",INDEX(学年度总表!$H$3:$H$1025,MATCH($E6,学年度总表!$E$3:$E$1025,0)))</f>
        <v>72.84</v>
      </c>
      <c r="I6" s="3">
        <f>IF(INDEX(学年度总表!$I$3:$I$1025,MATCH($E6,学年度总表!$E$3:$E$1025,0))="","",INDEX(学年度总表!$I$3:$I$1025,MATCH($E6,学年度总表!$E$3:$E$1025,0)))</f>
        <v>5.2</v>
      </c>
      <c r="J6" s="3">
        <f>IF(INDEX(学年度总表!$J$3:$J$1025,MATCH($E6,学年度总表!$E$3:$E$1025,0))="","",INDEX(学年度总表!$J$3:$J$1025,MATCH($E6,学年度总表!$E$3:$E$1025,0)))</f>
        <v>88.64</v>
      </c>
      <c r="K6" s="3">
        <f>IF(INDEX(学年度总表!$K$3:$K$1025,MATCH($E6,学年度总表!$E$3:$E$1025,0))="","",INDEX(学年度总表!$K$3:$K$1025,MATCH($E6,学年度总表!$E$3:$E$1025,0)))</f>
        <v>10.8</v>
      </c>
      <c r="L6" s="3">
        <f>IF(INDEX(学年度总表!$L$3:$L$1025,MATCH($E6,学年度总表!$E$3:$E$1025,0))="","",INDEX(学年度总表!$L$3:$L$1025,MATCH($E6,学年度总表!$E$3:$E$1025,0)))</f>
        <v>67.92</v>
      </c>
      <c r="M6" s="3">
        <f>IF(INDEX(学年度总表!$M$3:$M$1025,MATCH($E6,学年度总表!$E$3:$E$1025,0))="","",INDEX(学年度总表!$M$3:$M$1025,MATCH($E6,学年度总表!$E$3:$E$1025,0)))</f>
        <v>6.85</v>
      </c>
      <c r="N6" s="3">
        <f>IF(INDEX(学年度总表!$N$3:$N$1025,MATCH($E6,学年度总表!$E$3:$E$1025,0))="","",INDEX(学年度总表!$N$3:$N$1025,MATCH($E6,学年度总表!$E$3:$E$1025,0)))</f>
        <v>85.57</v>
      </c>
      <c r="O6" s="3">
        <f>IF(INDEX(学年度总表!$O$3:$O$1025,MATCH($E6,学年度总表!$E$3:$E$1025,0))="","",INDEX(学年度总表!$O$3:$O$1025,MATCH($E6,学年度总表!$E$3:$E$1025,0)))</f>
        <v>174.21</v>
      </c>
      <c r="P6" s="4" t="str">
        <f>IF(INDEX(学年度总表!$P$3:$P$1025,MATCH($E6,学年度总表!$E$3:$E$1025,0))="","",INDEX(学年度总表!$P$3:$P$1025,MATCH($E6,学年度总表!$E$3:$E$1025,0)))</f>
        <v>校一等</v>
      </c>
      <c r="Q6" s="5" t="str">
        <f>IF(INDEX(学年度总表!$Q$3:$Q$1025,MATCH($E6,学年度总表!$E$3:$E$1025,0))="","",INDEX(学年度总表!$Q$3:$Q$1025,MATCH($E6,学年度总表!$E$3:$E$1025,0)))</f>
        <v/>
      </c>
    </row>
    <row r="7" spans="1:17">
      <c r="A7" s="2">
        <f>IF(INDEX(学年度总表!$A$3:$A$1025,MATCH($E7,学年度总表!$E$3:$E$1025,0))="","",INDEX(学年度总表!$A$3:$A$1025,MATCH($E7,学年度总表!$E$3:$E$1025,0)))</f>
        <v>8</v>
      </c>
      <c r="B7" s="2">
        <f>IF(INDEX(学年度总表!$B$3:$B$1025,MATCH($E7,学年度总表!$E$3:$E$1025,0))="","",INDEX(学年度总表!$B$3:$B$1025,MATCH($E7,学年度总表!$E$3:$E$1025,0)))</f>
        <v>5</v>
      </c>
      <c r="C7" s="2" t="str">
        <f>IF(INDEX(学年度总表!$C$3:$C$1025,MATCH($E7,学年度总表!$E$3:$E$1025,0))="","",INDEX(学年度总表!$C$3:$C$1025,MATCH($E7,学年度总表!$E$3:$E$1025,0)))</f>
        <v>软工</v>
      </c>
      <c r="D7" s="2" t="str">
        <f>IF(INDEX(学年度总表!$D$3:$D$1025,MATCH($E7,学年度总表!$E$3:$E$1025,0))="","",INDEX(学年度总表!$D$3:$D$1025,MATCH($E7,学年度总表!$E$3:$E$1025,0)))</f>
        <v>软工6班</v>
      </c>
      <c r="E7" s="2" t="s">
        <v>43</v>
      </c>
      <c r="F7" s="2" t="str">
        <f>IF(INDEX(学年度总表!$F$3:$F$1025,MATCH($E7,学年度总表!$E$3:$E$1025,0))="","",INDEX(学年度总表!$F$3:$F$1025,MATCH($E7,学年度总表!$E$3:$E$1025,0)))</f>
        <v>陈韵竹</v>
      </c>
      <c r="G7" s="3">
        <f>IF(INDEX(学年度总表!$G$3:$G$1025,MATCH($E7,学年度总表!$E$3:$E$1025,0))="","",INDEX(学年度总表!$G$3:$G$1025,MATCH($E7,学年度总表!$E$3:$E$1025,0)))</f>
        <v>11.6</v>
      </c>
      <c r="H7" s="3">
        <f>IF(INDEX(学年度总表!$H$3:$H$1025,MATCH($E7,学年度总表!$E$3:$E$1025,0))="","",INDEX(学年度总表!$H$3:$H$1025,MATCH($E7,学年度总表!$E$3:$E$1025,0)))</f>
        <v>73.690909090909102</v>
      </c>
      <c r="I7" s="3">
        <f>IF(INDEX(学年度总表!$I$3:$I$1025,MATCH($E7,学年度总表!$E$3:$E$1025,0))="","",INDEX(学年度总表!$I$3:$I$1025,MATCH($E7,学年度总表!$E$3:$E$1025,0)))</f>
        <v>3.5</v>
      </c>
      <c r="J7" s="3">
        <f>IF(INDEX(学年度总表!$J$3:$J$1025,MATCH($E7,学年度总表!$E$3:$E$1025,0))="","",INDEX(学年度总表!$J$3:$J$1025,MATCH($E7,学年度总表!$E$3:$E$1025,0)))</f>
        <v>88.79</v>
      </c>
      <c r="K7" s="3">
        <f>IF(INDEX(学年度总表!$K$3:$K$1025,MATCH($E7,学年度总表!$E$3:$E$1025,0))="","",INDEX(学年度总表!$K$3:$K$1025,MATCH($E7,学年度总表!$E$3:$E$1025,0)))</f>
        <v>9.8000000000000007</v>
      </c>
      <c r="L7" s="3">
        <f>IF(INDEX(学年度总表!$L$3:$L$1025,MATCH($E7,学年度总表!$E$3:$E$1025,0))="","",INDEX(学年度总表!$L$3:$L$1025,MATCH($E7,学年度总表!$E$3:$E$1025,0)))</f>
        <v>70.430000000000007</v>
      </c>
      <c r="M7" s="3">
        <f>IF(INDEX(学年度总表!$M$3:$M$1025,MATCH($E7,学年度总表!$E$3:$E$1025,0))="","",INDEX(学年度总表!$M$3:$M$1025,MATCH($E7,学年度总表!$E$3:$E$1025,0)))</f>
        <v>4.9000000000000004</v>
      </c>
      <c r="N7" s="3">
        <f>IF(INDEX(学年度总表!$N$3:$N$1025,MATCH($E7,学年度总表!$E$3:$E$1025,0))="","",INDEX(学年度总表!$N$3:$N$1025,MATCH($E7,学年度总表!$E$3:$E$1025,0)))</f>
        <v>85.13</v>
      </c>
      <c r="O7" s="3">
        <f>IF(INDEX(学年度总表!$O$3:$O$1025,MATCH($E7,学年度总表!$E$3:$E$1025,0))="","",INDEX(学年度总表!$O$3:$O$1025,MATCH($E7,学年度总表!$E$3:$E$1025,0)))</f>
        <v>173.92</v>
      </c>
      <c r="P7" s="4" t="str">
        <f>IF(INDEX(学年度总表!$P$3:$P$1025,MATCH($E7,学年度总表!$E$3:$E$1025,0))="","",INDEX(学年度总表!$P$3:$P$1025,MATCH($E7,学年度总表!$E$3:$E$1025,0)))</f>
        <v>校一等</v>
      </c>
      <c r="Q7" s="5" t="str">
        <f>IF(INDEX(学年度总表!$Q$3:$Q$1025,MATCH($E7,学年度总表!$E$3:$E$1025,0))="","",INDEX(学年度总表!$Q$3:$Q$1025,MATCH($E7,学年度总表!$E$3:$E$1025,0)))</f>
        <v/>
      </c>
    </row>
    <row r="8" spans="1:17">
      <c r="A8" s="2">
        <f>IF(INDEX(学年度总表!$A$3:$A$1025,MATCH($E8,学年度总表!$E$3:$E$1025,0))="","",INDEX(学年度总表!$A$3:$A$1025,MATCH($E8,学年度总表!$E$3:$E$1025,0)))</f>
        <v>15</v>
      </c>
      <c r="B8" s="2">
        <f>IF(INDEX(学年度总表!$B$3:$B$1025,MATCH($E8,学年度总表!$E$3:$E$1025,0))="","",INDEX(学年度总表!$B$3:$B$1025,MATCH($E8,学年度总表!$E$3:$E$1025,0)))</f>
        <v>6</v>
      </c>
      <c r="C8" s="2" t="str">
        <f>IF(INDEX(学年度总表!$C$3:$C$1025,MATCH($E8,学年度总表!$E$3:$E$1025,0))="","",INDEX(学年度总表!$C$3:$C$1025,MATCH($E8,学年度总表!$E$3:$E$1025,0)))</f>
        <v>软工</v>
      </c>
      <c r="D8" s="2" t="str">
        <f>IF(INDEX(学年度总表!$D$3:$D$1025,MATCH($E8,学年度总表!$E$3:$E$1025,0))="","",INDEX(学年度总表!$D$3:$D$1025,MATCH($E8,学年度总表!$E$3:$E$1025,0)))</f>
        <v>软工14班</v>
      </c>
      <c r="E8" s="2" t="s">
        <v>63</v>
      </c>
      <c r="F8" s="2" t="str">
        <f>IF(INDEX(学年度总表!$F$3:$F$1025,MATCH($E8,学年度总表!$E$3:$E$1025,0))="","",INDEX(学年度总表!$F$3:$F$1025,MATCH($E8,学年度总表!$E$3:$E$1025,0)))</f>
        <v>周梓锐</v>
      </c>
      <c r="G8" s="3">
        <f>IF(INDEX(学年度总表!$G$3:$G$1025,MATCH($E8,学年度总表!$E$3:$E$1025,0))="","",INDEX(学年度总表!$G$3:$G$1025,MATCH($E8,学年度总表!$E$3:$E$1025,0)))</f>
        <v>11</v>
      </c>
      <c r="H8" s="3">
        <f>IF(INDEX(学年度总表!$H$3:$H$1025,MATCH($E8,学年度总表!$E$3:$E$1025,0))="","",INDEX(学年度总表!$H$3:$H$1025,MATCH($E8,学年度总表!$E$3:$E$1025,0)))</f>
        <v>73.14</v>
      </c>
      <c r="I8" s="3">
        <f>IF(INDEX(学年度总表!$I$3:$I$1025,MATCH($E8,学年度总表!$E$3:$E$1025,0))="","",INDEX(学年度总表!$I$3:$I$1025,MATCH($E8,学年度总表!$E$3:$E$1025,0)))</f>
        <v>3.8</v>
      </c>
      <c r="J8" s="3">
        <f>IF(INDEX(学年度总表!$J$3:$J$1025,MATCH($E8,学年度总表!$E$3:$E$1025,0))="","",INDEX(学年度总表!$J$3:$J$1025,MATCH($E8,学年度总表!$E$3:$E$1025,0)))</f>
        <v>87.94</v>
      </c>
      <c r="K8" s="3">
        <f>IF(INDEX(学年度总表!$K$3:$K$1025,MATCH($E8,学年度总表!$E$3:$E$1025,0))="","",INDEX(学年度总表!$K$3:$K$1025,MATCH($E8,学年度总表!$E$3:$E$1025,0)))</f>
        <v>10</v>
      </c>
      <c r="L8" s="3">
        <f>IF(INDEX(学年度总表!$L$3:$L$1025,MATCH($E8,学年度总表!$E$3:$E$1025,0))="","",INDEX(学年度总表!$L$3:$L$1025,MATCH($E8,学年度总表!$E$3:$E$1025,0)))</f>
        <v>68.5</v>
      </c>
      <c r="M8" s="3">
        <f>IF(INDEX(学年度总表!$M$3:$M$1025,MATCH($E8,学年度总表!$E$3:$E$1025,0))="","",INDEX(学年度总表!$M$3:$M$1025,MATCH($E8,学年度总表!$E$3:$E$1025,0)))</f>
        <v>4</v>
      </c>
      <c r="N8" s="3">
        <f>IF(INDEX(学年度总表!$N$3:$N$1025,MATCH($E8,学年度总表!$E$3:$E$1025,0))="","",INDEX(学年度总表!$N$3:$N$1025,MATCH($E8,学年度总表!$E$3:$E$1025,0)))</f>
        <v>82.5</v>
      </c>
      <c r="O8" s="3">
        <f>IF(INDEX(学年度总表!$O$3:$O$1025,MATCH($E8,学年度总表!$E$3:$E$1025,0))="","",INDEX(学年度总表!$O$3:$O$1025,MATCH($E8,学年度总表!$E$3:$E$1025,0)))</f>
        <v>170.44</v>
      </c>
      <c r="P8" s="4" t="str">
        <f>IF(INDEX(学年度总表!$P$3:$P$1025,MATCH($E8,学年度总表!$E$3:$E$1025,0))="","",INDEX(学年度总表!$P$3:$P$1025,MATCH($E8,学年度总表!$E$3:$E$1025,0)))</f>
        <v>校一等</v>
      </c>
      <c r="Q8" s="5" t="str">
        <f>IF(INDEX(学年度总表!$Q$3:$Q$1025,MATCH($E8,学年度总表!$E$3:$E$1025,0))="","",INDEX(学年度总表!$Q$3:$Q$1025,MATCH($E8,学年度总表!$E$3:$E$1025,0)))</f>
        <v/>
      </c>
    </row>
    <row r="9" spans="1:17">
      <c r="A9" s="2">
        <f>IF(INDEX(学年度总表!$A$3:$A$1025,MATCH($E9,学年度总表!$E$3:$E$1025,0))="","",INDEX(学年度总表!$A$3:$A$1025,MATCH($E9,学年度总表!$E$3:$E$1025,0)))</f>
        <v>16</v>
      </c>
      <c r="B9" s="2">
        <f>IF(INDEX(学年度总表!$B$3:$B$1025,MATCH($E9,学年度总表!$E$3:$E$1025,0))="","",INDEX(学年度总表!$B$3:$B$1025,MATCH($E9,学年度总表!$E$3:$E$1025,0)))</f>
        <v>7</v>
      </c>
      <c r="C9" s="2" t="str">
        <f>IF(INDEX(学年度总表!$C$3:$C$1025,MATCH($E9,学年度总表!$E$3:$E$1025,0))="","",INDEX(学年度总表!$C$3:$C$1025,MATCH($E9,学年度总表!$E$3:$E$1025,0)))</f>
        <v>软工</v>
      </c>
      <c r="D9" s="2" t="str">
        <f>IF(INDEX(学年度总表!$D$3:$D$1025,MATCH($E9,学年度总表!$E$3:$E$1025,0))="","",INDEX(学年度总表!$D$3:$D$1025,MATCH($E9,学年度总表!$E$3:$E$1025,0)))</f>
        <v>软工7班</v>
      </c>
      <c r="E9" s="2" t="s">
        <v>66</v>
      </c>
      <c r="F9" s="2" t="str">
        <f>IF(INDEX(学年度总表!$F$3:$F$1025,MATCH($E9,学年度总表!$E$3:$E$1025,0))="","",INDEX(学年度总表!$F$3:$F$1025,MATCH($E9,学年度总表!$E$3:$E$1025,0)))</f>
        <v>吴悠</v>
      </c>
      <c r="G9" s="3">
        <f>IF(INDEX(学年度总表!$G$3:$G$1025,MATCH($E9,学年度总表!$E$3:$E$1025,0))="","",INDEX(学年度总表!$G$3:$G$1025,MATCH($E9,学年度总表!$E$3:$E$1025,0)))</f>
        <v>11.1</v>
      </c>
      <c r="H9" s="3">
        <f>IF(INDEX(学年度总表!$H$3:$H$1025,MATCH($E9,学年度总表!$E$3:$E$1025,0))="","",INDEX(学年度总表!$H$3:$H$1025,MATCH($E9,学年度总表!$E$3:$E$1025,0)))</f>
        <v>69.239999999999995</v>
      </c>
      <c r="I9" s="3">
        <f>IF(INDEX(学年度总表!$I$3:$I$1025,MATCH($E9,学年度总表!$E$3:$E$1025,0))="","",INDEX(学年度总表!$I$3:$I$1025,MATCH($E9,学年度总表!$E$3:$E$1025,0)))</f>
        <v>4.9000000000000004</v>
      </c>
      <c r="J9" s="3">
        <f>IF(INDEX(学年度总表!$J$3:$J$1025,MATCH($E9,学年度总表!$E$3:$E$1025,0))="","",INDEX(学年度总表!$J$3:$J$1025,MATCH($E9,学年度总表!$E$3:$E$1025,0)))</f>
        <v>85.24</v>
      </c>
      <c r="K9" s="3">
        <f>IF(INDEX(学年度总表!$K$3:$K$1025,MATCH($E9,学年度总表!$E$3:$E$1025,0))="","",INDEX(学年度总表!$K$3:$K$1025,MATCH($E9,学年度总表!$E$3:$E$1025,0)))</f>
        <v>9.8000000000000007</v>
      </c>
      <c r="L9" s="3">
        <f>IF(INDEX(学年度总表!$L$3:$L$1025,MATCH($E9,学年度总表!$E$3:$E$1025,0))="","",INDEX(学年度总表!$L$3:$L$1025,MATCH($E9,学年度总表!$E$3:$E$1025,0)))</f>
        <v>68.08</v>
      </c>
      <c r="M9" s="3">
        <f>IF(INDEX(学年度总表!$M$3:$M$1025,MATCH($E9,学年度总表!$E$3:$E$1025,0))="","",INDEX(学年度总表!$M$3:$M$1025,MATCH($E9,学年度总表!$E$3:$E$1025,0)))</f>
        <v>7.2</v>
      </c>
      <c r="N9" s="3">
        <f>IF(INDEX(学年度总表!$N$3:$N$1025,MATCH($E9,学年度总表!$E$3:$E$1025,0))="","",INDEX(学年度总表!$N$3:$N$1025,MATCH($E9,学年度总表!$E$3:$E$1025,0)))</f>
        <v>85.08</v>
      </c>
      <c r="O9" s="3">
        <f>IF(INDEX(学年度总表!$O$3:$O$1025,MATCH($E9,学年度总表!$E$3:$E$1025,0))="","",INDEX(学年度总表!$O$3:$O$1025,MATCH($E9,学年度总表!$E$3:$E$1025,0)))</f>
        <v>170.32</v>
      </c>
      <c r="P9" s="4" t="str">
        <f>IF(INDEX(学年度总表!$P$3:$P$1025,MATCH($E9,学年度总表!$E$3:$E$1025,0))="","",INDEX(学年度总表!$P$3:$P$1025,MATCH($E9,学年度总表!$E$3:$E$1025,0)))</f>
        <v>校一等</v>
      </c>
      <c r="Q9" s="5" t="str">
        <f>IF(INDEX(学年度总表!$Q$3:$Q$1025,MATCH($E9,学年度总表!$E$3:$E$1025,0))="","",INDEX(学年度总表!$Q$3:$Q$1025,MATCH($E9,学年度总表!$E$3:$E$1025,0)))</f>
        <v/>
      </c>
    </row>
    <row r="10" spans="1:17">
      <c r="A10" s="2">
        <f>IF(INDEX(学年度总表!$A$3:$A$1025,MATCH($E10,学年度总表!$E$3:$E$1025,0))="","",INDEX(学年度总表!$A$3:$A$1025,MATCH($E10,学年度总表!$E$3:$E$1025,0)))</f>
        <v>17</v>
      </c>
      <c r="B10" s="2">
        <f>IF(INDEX(学年度总表!$B$3:$B$1025,MATCH($E10,学年度总表!$E$3:$E$1025,0))="","",INDEX(学年度总表!$B$3:$B$1025,MATCH($E10,学年度总表!$E$3:$E$1025,0)))</f>
        <v>8</v>
      </c>
      <c r="C10" s="2" t="str">
        <f>IF(INDEX(学年度总表!$C$3:$C$1025,MATCH($E10,学年度总表!$E$3:$E$1025,0))="","",INDEX(学年度总表!$C$3:$C$1025,MATCH($E10,学年度总表!$E$3:$E$1025,0)))</f>
        <v>软工</v>
      </c>
      <c r="D10" s="2" t="str">
        <f>IF(INDEX(学年度总表!$D$3:$D$1025,MATCH($E10,学年度总表!$E$3:$E$1025,0))="","",INDEX(学年度总表!$D$3:$D$1025,MATCH($E10,学年度总表!$E$3:$E$1025,0)))</f>
        <v>软工7班</v>
      </c>
      <c r="E10" s="2" t="s">
        <v>68</v>
      </c>
      <c r="F10" s="2" t="str">
        <f>IF(INDEX(学年度总表!$F$3:$F$1025,MATCH($E10,学年度总表!$E$3:$E$1025,0))="","",INDEX(学年度总表!$F$3:$F$1025,MATCH($E10,学年度总表!$E$3:$E$1025,0)))</f>
        <v>尹彦茜</v>
      </c>
      <c r="G10" s="3">
        <f>IF(INDEX(学年度总表!$G$3:$G$1025,MATCH($E10,学年度总表!$E$3:$E$1025,0))="","",INDEX(学年度总表!$G$3:$G$1025,MATCH($E10,学年度总表!$E$3:$E$1025,0)))</f>
        <v>10.8</v>
      </c>
      <c r="H10" s="3">
        <f>IF(INDEX(学年度总表!$H$3:$H$1025,MATCH($E10,学年度总表!$E$3:$E$1025,0))="","",INDEX(学年度总表!$H$3:$H$1025,MATCH($E10,学年度总表!$E$3:$E$1025,0)))</f>
        <v>73.7</v>
      </c>
      <c r="I10" s="3">
        <f>IF(INDEX(学年度总表!$I$3:$I$1025,MATCH($E10,学年度总表!$E$3:$E$1025,0))="","",INDEX(学年度总表!$I$3:$I$1025,MATCH($E10,学年度总表!$E$3:$E$1025,0)))</f>
        <v>4</v>
      </c>
      <c r="J10" s="3">
        <f>IF(INDEX(学年度总表!$J$3:$J$1025,MATCH($E10,学年度总表!$E$3:$E$1025,0))="","",INDEX(学年度总表!$J$3:$J$1025,MATCH($E10,学年度总表!$E$3:$E$1025,0)))</f>
        <v>88.5</v>
      </c>
      <c r="K10" s="3">
        <f>IF(INDEX(学年度总表!$K$3:$K$1025,MATCH($E10,学年度总表!$E$3:$E$1025,0))="","",INDEX(学年度总表!$K$3:$K$1025,MATCH($E10,学年度总表!$E$3:$E$1025,0)))</f>
        <v>7.3000000000000007</v>
      </c>
      <c r="L10" s="3">
        <f>IF(INDEX(学年度总表!$L$3:$L$1025,MATCH($E10,学年度总表!$E$3:$E$1025,0))="","",INDEX(学年度总表!$L$3:$L$1025,MATCH($E10,学年度总表!$E$3:$E$1025,0)))</f>
        <v>70.23</v>
      </c>
      <c r="M10" s="3">
        <f>IF(INDEX(学年度总表!$M$3:$M$1025,MATCH($E10,学年度总表!$E$3:$E$1025,0))="","",INDEX(学年度总表!$M$3:$M$1025,MATCH($E10,学年度总表!$E$3:$E$1025,0)))</f>
        <v>4</v>
      </c>
      <c r="N10" s="3">
        <f>IF(INDEX(学年度总表!$N$3:$N$1025,MATCH($E10,学年度总表!$E$3:$E$1025,0))="","",INDEX(学年度总表!$N$3:$N$1025,MATCH($E10,学年度总表!$E$3:$E$1025,0)))</f>
        <v>81.53</v>
      </c>
      <c r="O10" s="3">
        <f>IF(INDEX(学年度总表!$O$3:$O$1025,MATCH($E10,学年度总表!$E$3:$E$1025,0))="","",INDEX(学年度总表!$O$3:$O$1025,MATCH($E10,学年度总表!$E$3:$E$1025,0)))</f>
        <v>170.03</v>
      </c>
      <c r="P10" s="4" t="str">
        <f>IF(INDEX(学年度总表!$P$3:$P$1025,MATCH($E10,学年度总表!$E$3:$E$1025,0))="","",INDEX(学年度总表!$P$3:$P$1025,MATCH($E10,学年度总表!$E$3:$E$1025,0)))</f>
        <v>校一等</v>
      </c>
      <c r="Q10" s="5" t="str">
        <f>IF(INDEX(学年度总表!$Q$3:$Q$1025,MATCH($E10,学年度总表!$E$3:$E$1025,0))="","",INDEX(学年度总表!$Q$3:$Q$1025,MATCH($E10,学年度总表!$E$3:$E$1025,0)))</f>
        <v/>
      </c>
    </row>
    <row r="11" spans="1:17">
      <c r="A11" s="2">
        <f>IF(INDEX(学年度总表!$A$3:$A$1025,MATCH($E11,学年度总表!$E$3:$E$1025,0))="","",INDEX(学年度总表!$A$3:$A$1025,MATCH($E11,学年度总表!$E$3:$E$1025,0)))</f>
        <v>22</v>
      </c>
      <c r="B11" s="2">
        <f>IF(INDEX(学年度总表!$B$3:$B$1025,MATCH($E11,学年度总表!$E$3:$E$1025,0))="","",INDEX(学年度总表!$B$3:$B$1025,MATCH($E11,学年度总表!$E$3:$E$1025,0)))</f>
        <v>9</v>
      </c>
      <c r="C11" s="2" t="str">
        <f>IF(INDEX(学年度总表!$C$3:$C$1025,MATCH($E11,学年度总表!$E$3:$E$1025,0))="","",INDEX(学年度总表!$C$3:$C$1025,MATCH($E11,学年度总表!$E$3:$E$1025,0)))</f>
        <v>软工</v>
      </c>
      <c r="D11" s="2" t="str">
        <f>IF(INDEX(学年度总表!$D$3:$D$1025,MATCH($E11,学年度总表!$E$3:$E$1025,0))="","",INDEX(学年度总表!$D$3:$D$1025,MATCH($E11,学年度总表!$E$3:$E$1025,0)))</f>
        <v>软工8班</v>
      </c>
      <c r="E11" s="2" t="s">
        <v>83</v>
      </c>
      <c r="F11" s="2" t="str">
        <f>IF(INDEX(学年度总表!$F$3:$F$1025,MATCH($E11,学年度总表!$E$3:$E$1025,0))="","",INDEX(学年度总表!$F$3:$F$1025,MATCH($E11,学年度总表!$E$3:$E$1025,0)))</f>
        <v>万雨</v>
      </c>
      <c r="G11" s="3">
        <f>IF(INDEX(学年度总表!$G$3:$G$1025,MATCH($E11,学年度总表!$E$3:$E$1025,0))="","",INDEX(学年度总表!$G$3:$G$1025,MATCH($E11,学年度总表!$E$3:$E$1025,0)))</f>
        <v>11.3</v>
      </c>
      <c r="H11" s="3">
        <f>IF(INDEX(学年度总表!$H$3:$H$1025,MATCH($E11,学年度总表!$E$3:$E$1025,0))="","",INDEX(学年度总表!$H$3:$H$1025,MATCH($E11,学年度总表!$E$3:$E$1025,0)))</f>
        <v>68.323529411764696</v>
      </c>
      <c r="I11" s="3">
        <f>IF(INDEX(学年度总表!$I$3:$I$1025,MATCH($E11,学年度总表!$E$3:$E$1025,0))="","",INDEX(学年度总表!$I$3:$I$1025,MATCH($E11,学年度总表!$E$3:$E$1025,0)))</f>
        <v>5.5</v>
      </c>
      <c r="J11" s="3">
        <f>IF(INDEX(学年度总表!$J$3:$J$1025,MATCH($E11,学年度总表!$E$3:$E$1025,0))="","",INDEX(学年度总表!$J$3:$J$1025,MATCH($E11,学年度总表!$E$3:$E$1025,0)))</f>
        <v>85.12</v>
      </c>
      <c r="K11" s="3">
        <f>IF(INDEX(学年度总表!$K$3:$K$1025,MATCH($E11,学年度总表!$E$3:$E$1025,0))="","",INDEX(学年度总表!$K$3:$K$1025,MATCH($E11,学年度总表!$E$3:$E$1025,0)))</f>
        <v>11</v>
      </c>
      <c r="L11" s="3">
        <f>IF(INDEX(学年度总表!$L$3:$L$1025,MATCH($E11,学年度总表!$E$3:$E$1025,0))="","",INDEX(学年度总表!$L$3:$L$1025,MATCH($E11,学年度总表!$E$3:$E$1025,0)))</f>
        <v>67.22</v>
      </c>
      <c r="M11" s="3">
        <f>IF(INDEX(学年度总表!$M$3:$M$1025,MATCH($E11,学年度总表!$E$3:$E$1025,0))="","",INDEX(学年度总表!$M$3:$M$1025,MATCH($E11,学年度总表!$E$3:$E$1025,0)))</f>
        <v>5.0999999999999996</v>
      </c>
      <c r="N11" s="3">
        <f>IF(INDEX(学年度总表!$N$3:$N$1025,MATCH($E11,学年度总表!$E$3:$E$1025,0))="","",INDEX(学年度总表!$N$3:$N$1025,MATCH($E11,学年度总表!$E$3:$E$1025,0)))</f>
        <v>83.32</v>
      </c>
      <c r="O11" s="3">
        <f>IF(INDEX(学年度总表!$O$3:$O$1025,MATCH($E11,学年度总表!$E$3:$E$1025,0))="","",INDEX(学年度总表!$O$3:$O$1025,MATCH($E11,学年度总表!$E$3:$E$1025,0)))</f>
        <v>168.44</v>
      </c>
      <c r="P11" s="4" t="str">
        <f>IF(INDEX(学年度总表!$P$3:$P$1025,MATCH($E11,学年度总表!$E$3:$E$1025,0))="","",INDEX(学年度总表!$P$3:$P$1025,MATCH($E11,学年度总表!$E$3:$E$1025,0)))</f>
        <v>校一等</v>
      </c>
      <c r="Q11" s="5" t="str">
        <f>IF(INDEX(学年度总表!$Q$3:$Q$1025,MATCH($E11,学年度总表!$E$3:$E$1025,0))="","",INDEX(学年度总表!$Q$3:$Q$1025,MATCH($E11,学年度总表!$E$3:$E$1025,0)))</f>
        <v/>
      </c>
    </row>
    <row r="12" spans="1:17">
      <c r="A12" s="2">
        <f>IF(INDEX(学年度总表!$A$3:$A$1025,MATCH($E12,学年度总表!$E$3:$E$1025,0))="","",INDEX(学年度总表!$A$3:$A$1025,MATCH($E12,学年度总表!$E$3:$E$1025,0)))</f>
        <v>23</v>
      </c>
      <c r="B12" s="2">
        <f>IF(INDEX(学年度总表!$B$3:$B$1025,MATCH($E12,学年度总表!$E$3:$E$1025,0))="","",INDEX(学年度总表!$B$3:$B$1025,MATCH($E12,学年度总表!$E$3:$E$1025,0)))</f>
        <v>10</v>
      </c>
      <c r="C12" s="2" t="str">
        <f>IF(INDEX(学年度总表!$C$3:$C$1025,MATCH($E12,学年度总表!$E$3:$E$1025,0))="","",INDEX(学年度总表!$C$3:$C$1025,MATCH($E12,学年度总表!$E$3:$E$1025,0)))</f>
        <v>软工</v>
      </c>
      <c r="D12" s="2" t="str">
        <f>IF(INDEX(学年度总表!$D$3:$D$1025,MATCH($E12,学年度总表!$E$3:$E$1025,0))="","",INDEX(学年度总表!$D$3:$D$1025,MATCH($E12,学年度总表!$E$3:$E$1025,0)))</f>
        <v>软工14班</v>
      </c>
      <c r="E12" s="2" t="s">
        <v>85</v>
      </c>
      <c r="F12" s="2" t="str">
        <f>IF(INDEX(学年度总表!$F$3:$F$1025,MATCH($E12,学年度总表!$E$3:$E$1025,0))="","",INDEX(学年度总表!$F$3:$F$1025,MATCH($E12,学年度总表!$E$3:$E$1025,0)))</f>
        <v>马艺方</v>
      </c>
      <c r="G12" s="3">
        <f>IF(INDEX(学年度总表!$G$3:$G$1025,MATCH($E12,学年度总表!$E$3:$E$1025,0))="","",INDEX(学年度总表!$G$3:$G$1025,MATCH($E12,学年度总表!$E$3:$E$1025,0)))</f>
        <v>11.3</v>
      </c>
      <c r="H12" s="3">
        <f>IF(INDEX(学年度总表!$H$3:$H$1025,MATCH($E12,学年度总表!$E$3:$E$1025,0))="","",INDEX(学年度总表!$H$3:$H$1025,MATCH($E12,学年度总表!$E$3:$E$1025,0)))</f>
        <v>69.77</v>
      </c>
      <c r="I12" s="3">
        <f>IF(INDEX(学年度总表!$I$3:$I$1025,MATCH($E12,学年度总表!$E$3:$E$1025,0))="","",INDEX(学年度总表!$I$3:$I$1025,MATCH($E12,学年度总表!$E$3:$E$1025,0)))</f>
        <v>5.0999999999999996</v>
      </c>
      <c r="J12" s="3">
        <f>IF(INDEX(学年度总表!$J$3:$J$1025,MATCH($E12,学年度总表!$E$3:$E$1025,0))="","",INDEX(学年度总表!$J$3:$J$1025,MATCH($E12,学年度总表!$E$3:$E$1025,0)))</f>
        <v>86.17</v>
      </c>
      <c r="K12" s="3">
        <f>IF(INDEX(学年度总表!$K$3:$K$1025,MATCH($E12,学年度总表!$E$3:$E$1025,0))="","",INDEX(学年度总表!$K$3:$K$1025,MATCH($E12,学年度总表!$E$3:$E$1025,0)))</f>
        <v>10.8</v>
      </c>
      <c r="L12" s="3">
        <f>IF(INDEX(学年度总表!$L$3:$L$1025,MATCH($E12,学年度总表!$E$3:$E$1025,0))="","",INDEX(学年度总表!$L$3:$L$1025,MATCH($E12,学年度总表!$E$3:$E$1025,0)))</f>
        <v>66</v>
      </c>
      <c r="M12" s="3">
        <f>IF(INDEX(学年度总表!$M$3:$M$1025,MATCH($E12,学年度总表!$E$3:$E$1025,0))="","",INDEX(学年度总表!$M$3:$M$1025,MATCH($E12,学年度总表!$E$3:$E$1025,0)))</f>
        <v>5.3</v>
      </c>
      <c r="N12" s="3">
        <f>IF(INDEX(学年度总表!$N$3:$N$1025,MATCH($E12,学年度总表!$E$3:$E$1025,0))="","",INDEX(学年度总表!$N$3:$N$1025,MATCH($E12,学年度总表!$E$3:$E$1025,0)))</f>
        <v>82.1</v>
      </c>
      <c r="O12" s="3">
        <f>IF(INDEX(学年度总表!$O$3:$O$1025,MATCH($E12,学年度总表!$E$3:$E$1025,0))="","",INDEX(学年度总表!$O$3:$O$1025,MATCH($E12,学年度总表!$E$3:$E$1025,0)))</f>
        <v>168.27</v>
      </c>
      <c r="P12" s="4" t="str">
        <f>IF(INDEX(学年度总表!$P$3:$P$1025,MATCH($E12,学年度总表!$E$3:$E$1025,0))="","",INDEX(学年度总表!$P$3:$P$1025,MATCH($E12,学年度总表!$E$3:$E$1025,0)))</f>
        <v>校二等</v>
      </c>
      <c r="Q12" s="5" t="str">
        <f>IF(INDEX(学年度总表!$Q$3:$Q$1025,MATCH($E12,学年度总表!$E$3:$E$1025,0))="","",INDEX(学年度总表!$Q$3:$Q$1025,MATCH($E12,学年度总表!$E$3:$E$1025,0)))</f>
        <v/>
      </c>
    </row>
    <row r="13" spans="1:17">
      <c r="A13" s="2">
        <f>IF(INDEX(学年度总表!$A$3:$A$1025,MATCH($E13,学年度总表!$E$3:$E$1025,0))="","",INDEX(学年度总表!$A$3:$A$1025,MATCH($E13,学年度总表!$E$3:$E$1025,0)))</f>
        <v>24</v>
      </c>
      <c r="B13" s="2">
        <f>IF(INDEX(学年度总表!$B$3:$B$1025,MATCH($E13,学年度总表!$E$3:$E$1025,0))="","",INDEX(学年度总表!$B$3:$B$1025,MATCH($E13,学年度总表!$E$3:$E$1025,0)))</f>
        <v>11</v>
      </c>
      <c r="C13" s="2" t="str">
        <f>IF(INDEX(学年度总表!$C$3:$C$1025,MATCH($E13,学年度总表!$E$3:$E$1025,0))="","",INDEX(学年度总表!$C$3:$C$1025,MATCH($E13,学年度总表!$E$3:$E$1025,0)))</f>
        <v>软工</v>
      </c>
      <c r="D13" s="2" t="str">
        <f>IF(INDEX(学年度总表!$D$3:$D$1025,MATCH($E13,学年度总表!$E$3:$E$1025,0))="","",INDEX(学年度总表!$D$3:$D$1025,MATCH($E13,学年度总表!$E$3:$E$1025,0)))</f>
        <v>软工13班</v>
      </c>
      <c r="E13" s="2" t="s">
        <v>87</v>
      </c>
      <c r="F13" s="2" t="str">
        <f>IF(INDEX(学年度总表!$F$3:$F$1025,MATCH($E13,学年度总表!$E$3:$E$1025,0))="","",INDEX(学年度总表!$F$3:$F$1025,MATCH($E13,学年度总表!$E$3:$E$1025,0)))</f>
        <v>赵君昇</v>
      </c>
      <c r="G13" s="3">
        <f>IF(INDEX(学年度总表!$G$3:$G$1025,MATCH($E13,学年度总表!$E$3:$E$1025,0))="","",INDEX(学年度总表!$G$3:$G$1025,MATCH($E13,学年度总表!$E$3:$E$1025,0)))</f>
        <v>10</v>
      </c>
      <c r="H13" s="3">
        <f>IF(INDEX(学年度总表!$H$3:$H$1025,MATCH($E13,学年度总表!$E$3:$E$1025,0))="","",INDEX(学年度总表!$H$3:$H$1025,MATCH($E13,学年度总表!$E$3:$E$1025,0)))</f>
        <v>73.8</v>
      </c>
      <c r="I13" s="3">
        <f>IF(INDEX(学年度总表!$I$3:$I$1025,MATCH($E13,学年度总表!$E$3:$E$1025,0))="","",INDEX(学年度总表!$I$3:$I$1025,MATCH($E13,学年度总表!$E$3:$E$1025,0)))</f>
        <v>4</v>
      </c>
      <c r="J13" s="3">
        <f>IF(INDEX(学年度总表!$J$3:$J$1025,MATCH($E13,学年度总表!$E$3:$E$1025,0))="","",INDEX(学年度总表!$J$3:$J$1025,MATCH($E13,学年度总表!$E$3:$E$1025,0)))</f>
        <v>87.8</v>
      </c>
      <c r="K13" s="3">
        <f>IF(INDEX(学年度总表!$K$3:$K$1025,MATCH($E13,学年度总表!$E$3:$E$1025,0))="","",INDEX(学年度总表!$K$3:$K$1025,MATCH($E13,学年度总表!$E$3:$E$1025,0)))</f>
        <v>10</v>
      </c>
      <c r="L13" s="3">
        <f>IF(INDEX(学年度总表!$L$3:$L$1025,MATCH($E13,学年度总表!$E$3:$E$1025,0))="","",INDEX(学年度总表!$L$3:$L$1025,MATCH($E13,学年度总表!$E$3:$E$1025,0)))</f>
        <v>66.959999999999994</v>
      </c>
      <c r="M13" s="3">
        <f>IF(INDEX(学年度总表!$M$3:$M$1025,MATCH($E13,学年度总表!$E$3:$E$1025,0))="","",INDEX(学年度总表!$M$3:$M$1025,MATCH($E13,学年度总表!$E$3:$E$1025,0)))</f>
        <v>3.5</v>
      </c>
      <c r="N13" s="3">
        <f>IF(INDEX(学年度总表!$N$3:$N$1025,MATCH($E13,学年度总表!$E$3:$E$1025,0))="","",INDEX(学年度总表!$N$3:$N$1025,MATCH($E13,学年度总表!$E$3:$E$1025,0)))</f>
        <v>80.459999999999994</v>
      </c>
      <c r="O13" s="3">
        <f>IF(INDEX(学年度总表!$O$3:$O$1025,MATCH($E13,学年度总表!$E$3:$E$1025,0))="","",INDEX(学年度总表!$O$3:$O$1025,MATCH($E13,学年度总表!$E$3:$E$1025,0)))</f>
        <v>168.26</v>
      </c>
      <c r="P13" s="4" t="str">
        <f>IF(INDEX(学年度总表!$P$3:$P$1025,MATCH($E13,学年度总表!$E$3:$E$1025,0))="","",INDEX(学年度总表!$P$3:$P$1025,MATCH($E13,学年度总表!$E$3:$E$1025,0)))</f>
        <v>校二等</v>
      </c>
      <c r="Q13" s="5" t="str">
        <f>IF(INDEX(学年度总表!$Q$3:$Q$1025,MATCH($E13,学年度总表!$E$3:$E$1025,0))="","",INDEX(学年度总表!$Q$3:$Q$1025,MATCH($E13,学年度总表!$E$3:$E$1025,0)))</f>
        <v/>
      </c>
    </row>
    <row r="14" spans="1:17">
      <c r="A14" s="2">
        <f>IF(INDEX(学年度总表!$A$3:$A$1025,MATCH($E14,学年度总表!$E$3:$E$1025,0))="","",INDEX(学年度总表!$A$3:$A$1025,MATCH($E14,学年度总表!$E$3:$E$1025,0)))</f>
        <v>27</v>
      </c>
      <c r="B14" s="2">
        <f>IF(INDEX(学年度总表!$B$3:$B$1025,MATCH($E14,学年度总表!$E$3:$E$1025,0))="","",INDEX(学年度总表!$B$3:$B$1025,MATCH($E14,学年度总表!$E$3:$E$1025,0)))</f>
        <v>12</v>
      </c>
      <c r="C14" s="2" t="str">
        <f>IF(INDEX(学年度总表!$C$3:$C$1025,MATCH($E14,学年度总表!$E$3:$E$1025,0))="","",INDEX(学年度总表!$C$3:$C$1025,MATCH($E14,学年度总表!$E$3:$E$1025,0)))</f>
        <v>软工</v>
      </c>
      <c r="D14" s="2" t="str">
        <f>IF(INDEX(学年度总表!$D$3:$D$1025,MATCH($E14,学年度总表!$E$3:$E$1025,0))="","",INDEX(学年度总表!$D$3:$D$1025,MATCH($E14,学年度总表!$E$3:$E$1025,0)))</f>
        <v>软工14班</v>
      </c>
      <c r="E14" s="2" t="s">
        <v>94</v>
      </c>
      <c r="F14" s="2" t="str">
        <f>IF(INDEX(学年度总表!$F$3:$F$1025,MATCH($E14,学年度总表!$E$3:$E$1025,0))="","",INDEX(学年度总表!$F$3:$F$1025,MATCH($E14,学年度总表!$E$3:$E$1025,0)))</f>
        <v>郭岩博</v>
      </c>
      <c r="G14" s="3">
        <f>IF(INDEX(学年度总表!$G$3:$G$1025,MATCH($E14,学年度总表!$E$3:$E$1025,0))="","",INDEX(学年度总表!$G$3:$G$1025,MATCH($E14,学年度总表!$E$3:$E$1025,0)))</f>
        <v>11</v>
      </c>
      <c r="H14" s="3">
        <f>IF(INDEX(学年度总表!$H$3:$H$1025,MATCH($E14,学年度总表!$E$3:$E$1025,0))="","",INDEX(学年度总表!$H$3:$H$1025,MATCH($E14,学年度总表!$E$3:$E$1025,0)))</f>
        <v>63.77</v>
      </c>
      <c r="I14" s="3">
        <f>IF(INDEX(学年度总表!$I$3:$I$1025,MATCH($E14,学年度总表!$E$3:$E$1025,0))="","",INDEX(学年度总表!$I$3:$I$1025,MATCH($E14,学年度总表!$E$3:$E$1025,0)))</f>
        <v>5.7</v>
      </c>
      <c r="J14" s="3">
        <f>IF(INDEX(学年度总表!$J$3:$J$1025,MATCH($E14,学年度总表!$E$3:$E$1025,0))="","",INDEX(学年度总表!$J$3:$J$1025,MATCH($E14,学年度总表!$E$3:$E$1025,0)))</f>
        <v>80.47</v>
      </c>
      <c r="K14" s="3">
        <f>IF(INDEX(学年度总表!$K$3:$K$1025,MATCH($E14,学年度总表!$E$3:$E$1025,0))="","",INDEX(学年度总表!$K$3:$K$1025,MATCH($E14,学年度总表!$E$3:$E$1025,0)))</f>
        <v>11</v>
      </c>
      <c r="L14" s="3">
        <f>IF(INDEX(学年度总表!$L$3:$L$1025,MATCH($E14,学年度总表!$E$3:$E$1025,0))="","",INDEX(学年度总表!$L$3:$L$1025,MATCH($E14,学年度总表!$E$3:$E$1025,0)))</f>
        <v>67.570000000000007</v>
      </c>
      <c r="M14" s="3">
        <f>IF(INDEX(学年度总表!$M$3:$M$1025,MATCH($E14,学年度总表!$E$3:$E$1025,0))="","",INDEX(学年度总表!$M$3:$M$1025,MATCH($E14,学年度总表!$E$3:$E$1025,0)))</f>
        <v>7.85</v>
      </c>
      <c r="N14" s="3">
        <f>IF(INDEX(学年度总表!$N$3:$N$1025,MATCH($E14,学年度总表!$E$3:$E$1025,0))="","",INDEX(学年度总表!$N$3:$N$1025,MATCH($E14,学年度总表!$E$3:$E$1025,0)))</f>
        <v>86.42</v>
      </c>
      <c r="O14" s="3">
        <f>IF(INDEX(学年度总表!$O$3:$O$1025,MATCH($E14,学年度总表!$E$3:$E$1025,0))="","",INDEX(学年度总表!$O$3:$O$1025,MATCH($E14,学年度总表!$E$3:$E$1025,0)))</f>
        <v>166.89</v>
      </c>
      <c r="P14" s="4" t="str">
        <f>IF(INDEX(学年度总表!$P$3:$P$1025,MATCH($E14,学年度总表!$E$3:$E$1025,0))="","",INDEX(学年度总表!$P$3:$P$1025,MATCH($E14,学年度总表!$E$3:$E$1025,0)))</f>
        <v>校二等</v>
      </c>
      <c r="Q14" s="5" t="str">
        <f>IF(INDEX(学年度总表!$Q$3:$Q$1025,MATCH($E14,学年度总表!$E$3:$E$1025,0))="","",INDEX(学年度总表!$Q$3:$Q$1025,MATCH($E14,学年度总表!$E$3:$E$1025,0)))</f>
        <v/>
      </c>
    </row>
    <row r="15" spans="1:17">
      <c r="A15" s="2">
        <f>IF(INDEX(学年度总表!$A$3:$A$1025,MATCH($E15,学年度总表!$E$3:$E$1025,0))="","",INDEX(学年度总表!$A$3:$A$1025,MATCH($E15,学年度总表!$E$3:$E$1025,0)))</f>
        <v>29</v>
      </c>
      <c r="B15" s="2">
        <f>IF(INDEX(学年度总表!$B$3:$B$1025,MATCH($E15,学年度总表!$E$3:$E$1025,0))="","",INDEX(学年度总表!$B$3:$B$1025,MATCH($E15,学年度总表!$E$3:$E$1025,0)))</f>
        <v>13</v>
      </c>
      <c r="C15" s="2" t="str">
        <f>IF(INDEX(学年度总表!$C$3:$C$1025,MATCH($E15,学年度总表!$E$3:$E$1025,0))="","",INDEX(学年度总表!$C$3:$C$1025,MATCH($E15,学年度总表!$E$3:$E$1025,0)))</f>
        <v>软工</v>
      </c>
      <c r="D15" s="2" t="str">
        <f>IF(INDEX(学年度总表!$D$3:$D$1025,MATCH($E15,学年度总表!$E$3:$E$1025,0))="","",INDEX(学年度总表!$D$3:$D$1025,MATCH($E15,学年度总表!$E$3:$E$1025,0)))</f>
        <v>软工13班</v>
      </c>
      <c r="E15" s="2" t="s">
        <v>99</v>
      </c>
      <c r="F15" s="2" t="str">
        <f>IF(INDEX(学年度总表!$F$3:$F$1025,MATCH($E15,学年度总表!$E$3:$E$1025,0))="","",INDEX(学年度总表!$F$3:$F$1025,MATCH($E15,学年度总表!$E$3:$E$1025,0)))</f>
        <v>刘思琪</v>
      </c>
      <c r="G15" s="3">
        <f>IF(INDEX(学年度总表!$G$3:$G$1025,MATCH($E15,学年度总表!$E$3:$E$1025,0))="","",INDEX(学年度总表!$G$3:$G$1025,MATCH($E15,学年度总表!$E$3:$E$1025,0)))</f>
        <v>10.8</v>
      </c>
      <c r="H15" s="3">
        <f>IF(INDEX(学年度总表!$H$3:$H$1025,MATCH($E15,学年度总表!$E$3:$E$1025,0))="","",INDEX(学年度总表!$H$3:$H$1025,MATCH($E15,学年度总表!$E$3:$E$1025,0)))</f>
        <v>67.069999999999993</v>
      </c>
      <c r="I15" s="3">
        <f>IF(INDEX(学年度总表!$I$3:$I$1025,MATCH($E15,学年度总表!$E$3:$E$1025,0))="","",INDEX(学年度总表!$I$3:$I$1025,MATCH($E15,学年度总表!$E$3:$E$1025,0)))</f>
        <v>5</v>
      </c>
      <c r="J15" s="3">
        <f>IF(INDEX(学年度总表!$J$3:$J$1025,MATCH($E15,学年度总表!$E$3:$E$1025,0))="","",INDEX(学年度总表!$J$3:$J$1025,MATCH($E15,学年度总表!$E$3:$E$1025,0)))</f>
        <v>82.87</v>
      </c>
      <c r="K15" s="3">
        <f>IF(INDEX(学年度总表!$K$3:$K$1025,MATCH($E15,学年度总表!$E$3:$E$1025,0))="","",INDEX(学年度总表!$K$3:$K$1025,MATCH($E15,学年度总表!$E$3:$E$1025,0)))</f>
        <v>10.8</v>
      </c>
      <c r="L15" s="3">
        <f>IF(INDEX(学年度总表!$L$3:$L$1025,MATCH($E15,学年度总表!$E$3:$E$1025,0))="","",INDEX(学年度总表!$L$3:$L$1025,MATCH($E15,学年度总表!$E$3:$E$1025,0)))</f>
        <v>64.86</v>
      </c>
      <c r="M15" s="3">
        <f>IF(INDEX(学年度总表!$M$3:$M$1025,MATCH($E15,学年度总表!$E$3:$E$1025,0))="","",INDEX(学年度总表!$M$3:$M$1025,MATCH($E15,学年度总表!$E$3:$E$1025,0)))</f>
        <v>8.3000000000000007</v>
      </c>
      <c r="N15" s="3">
        <f>IF(INDEX(学年度总表!$N$3:$N$1025,MATCH($E15,学年度总表!$E$3:$E$1025,0))="","",INDEX(学年度总表!$N$3:$N$1025,MATCH($E15,学年度总表!$E$3:$E$1025,0)))</f>
        <v>83.96</v>
      </c>
      <c r="O15" s="3">
        <f>IF(INDEX(学年度总表!$O$3:$O$1025,MATCH($E15,学年度总表!$E$3:$E$1025,0))="","",INDEX(学年度总表!$O$3:$O$1025,MATCH($E15,学年度总表!$E$3:$E$1025,0)))</f>
        <v>166.83</v>
      </c>
      <c r="P15" s="4" t="str">
        <f>IF(INDEX(学年度总表!$P$3:$P$1025,MATCH($E15,学年度总表!$E$3:$E$1025,0))="","",INDEX(学年度总表!$P$3:$P$1025,MATCH($E15,学年度总表!$E$3:$E$1025,0)))</f>
        <v>校二等</v>
      </c>
      <c r="Q15" s="5" t="str">
        <f>IF(INDEX(学年度总表!$Q$3:$Q$1025,MATCH($E15,学年度总表!$E$3:$E$1025,0))="","",INDEX(学年度总表!$Q$3:$Q$1025,MATCH($E15,学年度总表!$E$3:$E$1025,0)))</f>
        <v/>
      </c>
    </row>
    <row r="16" spans="1:17">
      <c r="A16" s="2">
        <f>IF(INDEX(学年度总表!$A$3:$A$1025,MATCH($E16,学年度总表!$E$3:$E$1025,0))="","",INDEX(学年度总表!$A$3:$A$1025,MATCH($E16,学年度总表!$E$3:$E$1025,0)))</f>
        <v>33</v>
      </c>
      <c r="B16" s="2">
        <f>IF(INDEX(学年度总表!$B$3:$B$1025,MATCH($E16,学年度总表!$E$3:$E$1025,0))="","",INDEX(学年度总表!$B$3:$B$1025,MATCH($E16,学年度总表!$E$3:$E$1025,0)))</f>
        <v>14</v>
      </c>
      <c r="C16" s="2" t="str">
        <f>IF(INDEX(学年度总表!$C$3:$C$1025,MATCH($E16,学年度总表!$E$3:$E$1025,0))="","",INDEX(学年度总表!$C$3:$C$1025,MATCH($E16,学年度总表!$E$3:$E$1025,0)))</f>
        <v>软工</v>
      </c>
      <c r="D16" s="2" t="str">
        <f>IF(INDEX(学年度总表!$D$3:$D$1025,MATCH($E16,学年度总表!$E$3:$E$1025,0))="","",INDEX(学年度总表!$D$3:$D$1025,MATCH($E16,学年度总表!$E$3:$E$1025,0)))</f>
        <v>软工12班</v>
      </c>
      <c r="E16" s="2" t="s">
        <v>107</v>
      </c>
      <c r="F16" s="2" t="str">
        <f>IF(INDEX(学年度总表!$F$3:$F$1025,MATCH($E16,学年度总表!$E$3:$E$1025,0))="","",INDEX(学年度总表!$F$3:$F$1025,MATCH($E16,学年度总表!$E$3:$E$1025,0)))</f>
        <v>朱泓蓉</v>
      </c>
      <c r="G16" s="3">
        <f>IF(INDEX(学年度总表!$G$3:$G$1025,MATCH($E16,学年度总表!$E$3:$E$1025,0))="","",INDEX(学年度总表!$G$3:$G$1025,MATCH($E16,学年度总表!$E$3:$E$1025,0)))</f>
        <v>12.8</v>
      </c>
      <c r="H16" s="3">
        <f>IF(INDEX(学年度总表!$H$3:$H$1025,MATCH($E16,学年度总表!$E$3:$E$1025,0))="","",INDEX(学年度总表!$H$3:$H$1025,MATCH($E16,学年度总表!$E$3:$E$1025,0)))</f>
        <v>67.17</v>
      </c>
      <c r="I16" s="3">
        <f>IF(INDEX(学年度总表!$I$3:$I$1025,MATCH($E16,学年度总表!$E$3:$E$1025,0))="","",INDEX(学年度总表!$I$3:$I$1025,MATCH($E16,学年度总表!$E$3:$E$1025,0)))</f>
        <v>5.5</v>
      </c>
      <c r="J16" s="3">
        <f>IF(INDEX(学年度总表!$J$3:$J$1025,MATCH($E16,学年度总表!$E$3:$E$1025,0))="","",INDEX(学年度总表!$J$3:$J$1025,MATCH($E16,学年度总表!$E$3:$E$1025,0)))</f>
        <v>85.47</v>
      </c>
      <c r="K16" s="3">
        <f>IF(INDEX(学年度总表!$K$3:$K$1025,MATCH($E16,学年度总表!$E$3:$E$1025,0))="","",INDEX(学年度总表!$K$3:$K$1025,MATCH($E16,学年度总表!$E$3:$E$1025,0)))</f>
        <v>11.3</v>
      </c>
      <c r="L16" s="3">
        <f>IF(INDEX(学年度总表!$L$3:$L$1025,MATCH($E16,学年度总表!$E$3:$E$1025,0))="","",INDEX(学年度总表!$L$3:$L$1025,MATCH($E16,学年度总表!$E$3:$E$1025,0)))</f>
        <v>60.47</v>
      </c>
      <c r="M16" s="3">
        <f>IF(INDEX(学年度总表!$M$3:$M$1025,MATCH($E16,学年度总表!$E$3:$E$1025,0))="","",INDEX(学年度总表!$M$3:$M$1025,MATCH($E16,学年度总表!$E$3:$E$1025,0)))</f>
        <v>9</v>
      </c>
      <c r="N16" s="3">
        <f>IF(INDEX(学年度总表!$N$3:$N$1025,MATCH($E16,学年度总表!$E$3:$E$1025,0))="","",INDEX(学年度总表!$N$3:$N$1025,MATCH($E16,学年度总表!$E$3:$E$1025,0)))</f>
        <v>80.77</v>
      </c>
      <c r="O16" s="3">
        <f>IF(INDEX(学年度总表!$O$3:$O$1025,MATCH($E16,学年度总表!$E$3:$E$1025,0))="","",INDEX(学年度总表!$O$3:$O$1025,MATCH($E16,学年度总表!$E$3:$E$1025,0)))</f>
        <v>166.24</v>
      </c>
      <c r="P16" s="4" t="str">
        <f>IF(INDEX(学年度总表!$P$3:$P$1025,MATCH($E16,学年度总表!$E$3:$E$1025,0))="","",INDEX(学年度总表!$P$3:$P$1025,MATCH($E16,学年度总表!$E$3:$E$1025,0)))</f>
        <v>校二等</v>
      </c>
      <c r="Q16" s="5" t="str">
        <f>IF(INDEX(学年度总表!$Q$3:$Q$1025,MATCH($E16,学年度总表!$E$3:$E$1025,0))="","",INDEX(学年度总表!$Q$3:$Q$1025,MATCH($E16,学年度总表!$E$3:$E$1025,0)))</f>
        <v/>
      </c>
    </row>
    <row r="17" spans="1:17">
      <c r="A17" s="2">
        <f>IF(INDEX(学年度总表!$A$3:$A$1025,MATCH($E17,学年度总表!$E$3:$E$1025,0))="","",INDEX(学年度总表!$A$3:$A$1025,MATCH($E17,学年度总表!$E$3:$E$1025,0)))</f>
        <v>37</v>
      </c>
      <c r="B17" s="2">
        <f>IF(INDEX(学年度总表!$B$3:$B$1025,MATCH($E17,学年度总表!$E$3:$E$1025,0))="","",INDEX(学年度总表!$B$3:$B$1025,MATCH($E17,学年度总表!$E$3:$E$1025,0)))</f>
        <v>15</v>
      </c>
      <c r="C17" s="2" t="str">
        <f>IF(INDEX(学年度总表!$C$3:$C$1025,MATCH($E17,学年度总表!$E$3:$E$1025,0))="","",INDEX(学年度总表!$C$3:$C$1025,MATCH($E17,学年度总表!$E$3:$E$1025,0)))</f>
        <v>软工</v>
      </c>
      <c r="D17" s="2" t="str">
        <f>IF(INDEX(学年度总表!$D$3:$D$1025,MATCH($E17,学年度总表!$E$3:$E$1025,0))="","",INDEX(学年度总表!$D$3:$D$1025,MATCH($E17,学年度总表!$E$3:$E$1025,0)))</f>
        <v>软工11班</v>
      </c>
      <c r="E17" s="2" t="s">
        <v>118</v>
      </c>
      <c r="F17" s="2" t="str">
        <f>IF(INDEX(学年度总表!$F$3:$F$1025,MATCH($E17,学年度总表!$E$3:$E$1025,0))="","",INDEX(学年度总表!$F$3:$F$1025,MATCH($E17,学年度总表!$E$3:$E$1025,0)))</f>
        <v>李沛庭</v>
      </c>
      <c r="G17" s="3">
        <f>IF(INDEX(学年度总表!$G$3:$G$1025,MATCH($E17,学年度总表!$E$3:$E$1025,0))="","",INDEX(学年度总表!$G$3:$G$1025,MATCH($E17,学年度总表!$E$3:$E$1025,0)))</f>
        <v>11</v>
      </c>
      <c r="H17" s="3">
        <f>IF(INDEX(学年度总表!$H$3:$H$1025,MATCH($E17,学年度总表!$E$3:$E$1025,0))="","",INDEX(学年度总表!$H$3:$H$1025,MATCH($E17,学年度总表!$E$3:$E$1025,0)))</f>
        <v>67.98</v>
      </c>
      <c r="I17" s="3">
        <f>IF(INDEX(学年度总表!$I$3:$I$1025,MATCH($E17,学年度总表!$E$3:$E$1025,0))="","",INDEX(学年度总表!$I$3:$I$1025,MATCH($E17,学年度总表!$E$3:$E$1025,0)))</f>
        <v>5.2</v>
      </c>
      <c r="J17" s="3">
        <f>IF(INDEX(学年度总表!$J$3:$J$1025,MATCH($E17,学年度总表!$E$3:$E$1025,0))="","",INDEX(学年度总表!$J$3:$J$1025,MATCH($E17,学年度总表!$E$3:$E$1025,0)))</f>
        <v>84.18</v>
      </c>
      <c r="K17" s="3">
        <f>IF(INDEX(学年度总表!$K$3:$K$1025,MATCH($E17,学年度总表!$E$3:$E$1025,0))="","",INDEX(学年度总表!$K$3:$K$1025,MATCH($E17,学年度总表!$E$3:$E$1025,0)))</f>
        <v>10</v>
      </c>
      <c r="L17" s="3">
        <f>IF(INDEX(学年度总表!$L$3:$L$1025,MATCH($E17,学年度总表!$E$3:$E$1025,0))="","",INDEX(学年度总表!$L$3:$L$1025,MATCH($E17,学年度总表!$E$3:$E$1025,0)))</f>
        <v>65.52</v>
      </c>
      <c r="M17" s="3">
        <f>IF(INDEX(学年度总表!$M$3:$M$1025,MATCH($E17,学年度总表!$E$3:$E$1025,0))="","",INDEX(学年度总表!$M$3:$M$1025,MATCH($E17,学年度总表!$E$3:$E$1025,0)))</f>
        <v>6.2</v>
      </c>
      <c r="N17" s="3">
        <f>IF(INDEX(学年度总表!$N$3:$N$1025,MATCH($E17,学年度总表!$E$3:$E$1025,0))="","",INDEX(学年度总表!$N$3:$N$1025,MATCH($E17,学年度总表!$E$3:$E$1025,0)))</f>
        <v>81.72</v>
      </c>
      <c r="O17" s="3">
        <f>IF(INDEX(学年度总表!$O$3:$O$1025,MATCH($E17,学年度总表!$E$3:$E$1025,0))="","",INDEX(学年度总表!$O$3:$O$1025,MATCH($E17,学年度总表!$E$3:$E$1025,0)))</f>
        <v>165.9</v>
      </c>
      <c r="P17" s="4" t="str">
        <f>IF(INDEX(学年度总表!$P$3:$P$1025,MATCH($E17,学年度总表!$E$3:$E$1025,0))="","",INDEX(学年度总表!$P$3:$P$1025,MATCH($E17,学年度总表!$E$3:$E$1025,0)))</f>
        <v>校二等</v>
      </c>
      <c r="Q17" s="5" t="str">
        <f>IF(INDEX(学年度总表!$Q$3:$Q$1025,MATCH($E17,学年度总表!$E$3:$E$1025,0))="","",INDEX(学年度总表!$Q$3:$Q$1025,MATCH($E17,学年度总表!$E$3:$E$1025,0)))</f>
        <v/>
      </c>
    </row>
    <row r="18" spans="1:17">
      <c r="A18" s="2">
        <f>IF(INDEX(学年度总表!$A$3:$A$1025,MATCH($E18,学年度总表!$E$3:$E$1025,0))="","",INDEX(学年度总表!$A$3:$A$1025,MATCH($E18,学年度总表!$E$3:$E$1025,0)))</f>
        <v>43</v>
      </c>
      <c r="B18" s="2">
        <f>IF(INDEX(学年度总表!$B$3:$B$1025,MATCH($E18,学年度总表!$E$3:$E$1025,0))="","",INDEX(学年度总表!$B$3:$B$1025,MATCH($E18,学年度总表!$E$3:$E$1025,0)))</f>
        <v>16</v>
      </c>
      <c r="C18" s="2" t="str">
        <f>IF(INDEX(学年度总表!$C$3:$C$1025,MATCH($E18,学年度总表!$E$3:$E$1025,0))="","",INDEX(学年度总表!$C$3:$C$1025,MATCH($E18,学年度总表!$E$3:$E$1025,0)))</f>
        <v>软工</v>
      </c>
      <c r="D18" s="2" t="str">
        <f>IF(INDEX(学年度总表!$D$3:$D$1025,MATCH($E18,学年度总表!$E$3:$E$1025,0))="","",INDEX(学年度总表!$D$3:$D$1025,MATCH($E18,学年度总表!$E$3:$E$1025,0)))</f>
        <v>软工6班</v>
      </c>
      <c r="E18" s="2" t="s">
        <v>131</v>
      </c>
      <c r="F18" s="2" t="str">
        <f>IF(INDEX(学年度总表!$F$3:$F$1025,MATCH($E18,学年度总表!$E$3:$E$1025,0))="","",INDEX(学年度总表!$F$3:$F$1025,MATCH($E18,学年度总表!$E$3:$E$1025,0)))</f>
        <v>佟欣恬</v>
      </c>
      <c r="G18" s="3">
        <f>IF(INDEX(学年度总表!$G$3:$G$1025,MATCH($E18,学年度总表!$E$3:$E$1025,0))="","",INDEX(学年度总表!$G$3:$G$1025,MATCH($E18,学年度总表!$E$3:$E$1025,0)))</f>
        <v>11.8</v>
      </c>
      <c r="H18" s="3">
        <f>IF(INDEX(学年度总表!$H$3:$H$1025,MATCH($E18,学年度总表!$E$3:$E$1025,0))="","",INDEX(学年度总表!$H$3:$H$1025,MATCH($E18,学年度总表!$E$3:$E$1025,0)))</f>
        <v>66.142857142857096</v>
      </c>
      <c r="I18" s="3">
        <f>IF(INDEX(学年度总表!$I$3:$I$1025,MATCH($E18,学年度总表!$E$3:$E$1025,0))="","",INDEX(学年度总表!$I$3:$I$1025,MATCH($E18,学年度总表!$E$3:$E$1025,0)))</f>
        <v>5.6</v>
      </c>
      <c r="J18" s="3">
        <f>IF(INDEX(学年度总表!$J$3:$J$1025,MATCH($E18,学年度总表!$E$3:$E$1025,0))="","",INDEX(学年度总表!$J$3:$J$1025,MATCH($E18,学年度总表!$E$3:$E$1025,0)))</f>
        <v>83.54</v>
      </c>
      <c r="K18" s="3">
        <f>IF(INDEX(学年度总表!$K$3:$K$1025,MATCH($E18,学年度总表!$E$3:$E$1025,0))="","",INDEX(学年度总表!$K$3:$K$1025,MATCH($E18,学年度总表!$E$3:$E$1025,0)))</f>
        <v>9.8000000000000007</v>
      </c>
      <c r="L18" s="3">
        <f>IF(INDEX(学年度总表!$L$3:$L$1025,MATCH($E18,学年度总表!$E$3:$E$1025,0))="","",INDEX(学年度总表!$L$3:$L$1025,MATCH($E18,学年度总表!$E$3:$E$1025,0)))</f>
        <v>63</v>
      </c>
      <c r="M18" s="3">
        <f>IF(INDEX(学年度总表!$M$3:$M$1025,MATCH($E18,学年度总表!$E$3:$E$1025,0))="","",INDEX(学年度总表!$M$3:$M$1025,MATCH($E18,学年度总表!$E$3:$E$1025,0)))</f>
        <v>8.4499999999999993</v>
      </c>
      <c r="N18" s="3">
        <f>IF(INDEX(学年度总表!$N$3:$N$1025,MATCH($E18,学年度总表!$E$3:$E$1025,0))="","",INDEX(学年度总表!$N$3:$N$1025,MATCH($E18,学年度总表!$E$3:$E$1025,0)))</f>
        <v>81.25</v>
      </c>
      <c r="O18" s="3">
        <f>IF(INDEX(学年度总表!$O$3:$O$1025,MATCH($E18,学年度总表!$E$3:$E$1025,0))="","",INDEX(学年度总表!$O$3:$O$1025,MATCH($E18,学年度总表!$E$3:$E$1025,0)))</f>
        <v>164.79</v>
      </c>
      <c r="P18" s="4" t="str">
        <f>IF(INDEX(学年度总表!$P$3:$P$1025,MATCH($E18,学年度总表!$E$3:$E$1025,0))="","",INDEX(学年度总表!$P$3:$P$1025,MATCH($E18,学年度总表!$E$3:$E$1025,0)))</f>
        <v>校二等</v>
      </c>
      <c r="Q18" s="5" t="str">
        <f>IF(INDEX(学年度总表!$Q$3:$Q$1025,MATCH($E18,学年度总表!$E$3:$E$1025,0))="","",INDEX(学年度总表!$Q$3:$Q$1025,MATCH($E18,学年度总表!$E$3:$E$1025,0)))</f>
        <v/>
      </c>
    </row>
    <row r="19" spans="1:17">
      <c r="A19" s="2">
        <f>IF(INDEX(学年度总表!$A$3:$A$1025,MATCH($E19,学年度总表!$E$3:$E$1025,0))="","",INDEX(学年度总表!$A$3:$A$1025,MATCH($E19,学年度总表!$E$3:$E$1025,0)))</f>
        <v>44</v>
      </c>
      <c r="B19" s="2">
        <f>IF(INDEX(学年度总表!$B$3:$B$1025,MATCH($E19,学年度总表!$E$3:$E$1025,0))="","",INDEX(学年度总表!$B$3:$B$1025,MATCH($E19,学年度总表!$E$3:$E$1025,0)))</f>
        <v>17</v>
      </c>
      <c r="C19" s="2" t="str">
        <f>IF(INDEX(学年度总表!$C$3:$C$1025,MATCH($E19,学年度总表!$E$3:$E$1025,0))="","",INDEX(学年度总表!$C$3:$C$1025,MATCH($E19,学年度总表!$E$3:$E$1025,0)))</f>
        <v>软工</v>
      </c>
      <c r="D19" s="2" t="str">
        <f>IF(INDEX(学年度总表!$D$3:$D$1025,MATCH($E19,学年度总表!$E$3:$E$1025,0))="","",INDEX(学年度总表!$D$3:$D$1025,MATCH($E19,学年度总表!$E$3:$E$1025,0)))</f>
        <v>软工13班</v>
      </c>
      <c r="E19" s="2" t="s">
        <v>133</v>
      </c>
      <c r="F19" s="2" t="str">
        <f>IF(INDEX(学年度总表!$F$3:$F$1025,MATCH($E19,学年度总表!$E$3:$E$1025,0))="","",INDEX(学年度总表!$F$3:$F$1025,MATCH($E19,学年度总表!$E$3:$E$1025,0)))</f>
        <v>闻宣淇</v>
      </c>
      <c r="G19" s="3">
        <f>IF(INDEX(学年度总表!$G$3:$G$1025,MATCH($E19,学年度总表!$E$3:$E$1025,0))="","",INDEX(学年度总表!$G$3:$G$1025,MATCH($E19,学年度总表!$E$3:$E$1025,0)))</f>
        <v>11</v>
      </c>
      <c r="H19" s="3">
        <f>IF(INDEX(学年度总表!$H$3:$H$1025,MATCH($E19,学年度总表!$E$3:$E$1025,0))="","",INDEX(学年度总表!$H$3:$H$1025,MATCH($E19,学年度总表!$E$3:$E$1025,0)))</f>
        <v>71.28</v>
      </c>
      <c r="I19" s="3">
        <f>IF(INDEX(学年度总表!$I$3:$I$1025,MATCH($E19,学年度总表!$E$3:$E$1025,0))="","",INDEX(学年度总表!$I$3:$I$1025,MATCH($E19,学年度总表!$E$3:$E$1025,0)))</f>
        <v>3.8</v>
      </c>
      <c r="J19" s="3">
        <f>IF(INDEX(学年度总表!$J$3:$J$1025,MATCH($E19,学年度总表!$E$3:$E$1025,0))="","",INDEX(学年度总表!$J$3:$J$1025,MATCH($E19,学年度总表!$E$3:$E$1025,0)))</f>
        <v>86.08</v>
      </c>
      <c r="K19" s="3">
        <f>IF(INDEX(学年度总表!$K$3:$K$1025,MATCH($E19,学年度总表!$E$3:$E$1025,0))="","",INDEX(学年度总表!$K$3:$K$1025,MATCH($E19,学年度总表!$E$3:$E$1025,0)))</f>
        <v>10</v>
      </c>
      <c r="L19" s="3">
        <f>IF(INDEX(学年度总表!$L$3:$L$1025,MATCH($E19,学年度总表!$E$3:$E$1025,0))="","",INDEX(学年度总表!$L$3:$L$1025,MATCH($E19,学年度总表!$E$3:$E$1025,0)))</f>
        <v>64.009999999999991</v>
      </c>
      <c r="M19" s="3">
        <f>IF(INDEX(学年度总表!$M$3:$M$1025,MATCH($E19,学年度总表!$E$3:$E$1025,0))="","",INDEX(学年度总表!$M$3:$M$1025,MATCH($E19,学年度总表!$E$3:$E$1025,0)))</f>
        <v>4.5999999999999996</v>
      </c>
      <c r="N19" s="3">
        <f>IF(INDEX(学年度总表!$N$3:$N$1025,MATCH($E19,学年度总表!$E$3:$E$1025,0))="","",INDEX(学年度总表!$N$3:$N$1025,MATCH($E19,学年度总表!$E$3:$E$1025,0)))</f>
        <v>78.61</v>
      </c>
      <c r="O19" s="3">
        <f>IF(INDEX(学年度总表!$O$3:$O$1025,MATCH($E19,学年度总表!$E$3:$E$1025,0))="","",INDEX(学年度总表!$O$3:$O$1025,MATCH($E19,学年度总表!$E$3:$E$1025,0)))</f>
        <v>164.69</v>
      </c>
      <c r="P19" s="4" t="str">
        <f>IF(INDEX(学年度总表!$P$3:$P$1025,MATCH($E19,学年度总表!$E$3:$E$1025,0))="","",INDEX(学年度总表!$P$3:$P$1025,MATCH($E19,学年度总表!$E$3:$E$1025,0)))</f>
        <v>校二等</v>
      </c>
      <c r="Q19" s="5" t="str">
        <f>IF(INDEX(学年度总表!$Q$3:$Q$1025,MATCH($E19,学年度总表!$E$3:$E$1025,0))="","",INDEX(学年度总表!$Q$3:$Q$1025,MATCH($E19,学年度总表!$E$3:$E$1025,0)))</f>
        <v>转英语</v>
      </c>
    </row>
    <row r="20" spans="1:17">
      <c r="A20" s="2">
        <f>IF(INDEX(学年度总表!$A$3:$A$1025,MATCH($E20,学年度总表!$E$3:$E$1025,0))="","",INDEX(学年度总表!$A$3:$A$1025,MATCH($E20,学年度总表!$E$3:$E$1025,0)))</f>
        <v>47</v>
      </c>
      <c r="B20" s="2">
        <f>IF(INDEX(学年度总表!$B$3:$B$1025,MATCH($E20,学年度总表!$E$3:$E$1025,0))="","",INDEX(学年度总表!$B$3:$B$1025,MATCH($E20,学年度总表!$E$3:$E$1025,0)))</f>
        <v>18</v>
      </c>
      <c r="C20" s="2" t="str">
        <f>IF(INDEX(学年度总表!$C$3:$C$1025,MATCH($E20,学年度总表!$E$3:$E$1025,0))="","",INDEX(学年度总表!$C$3:$C$1025,MATCH($E20,学年度总表!$E$3:$E$1025,0)))</f>
        <v>软工</v>
      </c>
      <c r="D20" s="2" t="str">
        <f>IF(INDEX(学年度总表!$D$3:$D$1025,MATCH($E20,学年度总表!$E$3:$E$1025,0))="","",INDEX(学年度总表!$D$3:$D$1025,MATCH($E20,学年度总表!$E$3:$E$1025,0)))</f>
        <v>软工9班</v>
      </c>
      <c r="E20" s="2" t="s">
        <v>140</v>
      </c>
      <c r="F20" s="2" t="str">
        <f>IF(INDEX(学年度总表!$F$3:$F$1025,MATCH($E20,学年度总表!$E$3:$E$1025,0))="","",INDEX(学年度总表!$F$3:$F$1025,MATCH($E20,学年度总表!$E$3:$E$1025,0)))</f>
        <v>姜珊多娇</v>
      </c>
      <c r="G20" s="3">
        <f>IF(INDEX(学年度总表!$G$3:$G$1025,MATCH($E20,学年度总表!$E$3:$E$1025,0))="","",INDEX(学年度总表!$G$3:$G$1025,MATCH($E20,学年度总表!$E$3:$E$1025,0)))</f>
        <v>10.3</v>
      </c>
      <c r="H20" s="3">
        <f>IF(INDEX(学年度总表!$H$3:$H$1025,MATCH($E20,学年度总表!$E$3:$E$1025,0))="","",INDEX(学年度总表!$H$3:$H$1025,MATCH($E20,学年度总表!$E$3:$E$1025,0)))</f>
        <v>69.009090909090901</v>
      </c>
      <c r="I20" s="3">
        <f>IF(INDEX(学年度总表!$I$3:$I$1025,MATCH($E20,学年度总表!$E$3:$E$1025,0))="","",INDEX(学年度总表!$I$3:$I$1025,MATCH($E20,学年度总表!$E$3:$E$1025,0)))</f>
        <v>4.9000000000000004</v>
      </c>
      <c r="J20" s="3">
        <f>IF(INDEX(学年度总表!$J$3:$J$1025,MATCH($E20,学年度总表!$E$3:$E$1025,0))="","",INDEX(学年度总表!$J$3:$J$1025,MATCH($E20,学年度总表!$E$3:$E$1025,0)))</f>
        <v>84.21</v>
      </c>
      <c r="K20" s="3">
        <f>IF(INDEX(学年度总表!$K$3:$K$1025,MATCH($E20,学年度总表!$E$3:$E$1025,0))="","",INDEX(学年度总表!$K$3:$K$1025,MATCH($E20,学年度总表!$E$3:$E$1025,0)))</f>
        <v>10.8</v>
      </c>
      <c r="L20" s="3">
        <f>IF(INDEX(学年度总表!$L$3:$L$1025,MATCH($E20,学年度总表!$E$3:$E$1025,0))="","",INDEX(学年度总表!$L$3:$L$1025,MATCH($E20,学年度总表!$E$3:$E$1025,0)))</f>
        <v>65.930000000000007</v>
      </c>
      <c r="M20" s="3">
        <f>IF(INDEX(学年度总表!$M$3:$M$1025,MATCH($E20,学年度总表!$E$3:$E$1025,0))="","",INDEX(学年度总表!$M$3:$M$1025,MATCH($E20,学年度总表!$E$3:$E$1025,0)))</f>
        <v>3.5</v>
      </c>
      <c r="N20" s="3">
        <f>IF(INDEX(学年度总表!$N$3:$N$1025,MATCH($E20,学年度总表!$E$3:$E$1025,0))="","",INDEX(学年度总表!$N$3:$N$1025,MATCH($E20,学年度总表!$E$3:$E$1025,0)))</f>
        <v>80.23</v>
      </c>
      <c r="O20" s="3">
        <f>IF(INDEX(学年度总表!$O$3:$O$1025,MATCH($E20,学年度总表!$E$3:$E$1025,0))="","",INDEX(学年度总表!$O$3:$O$1025,MATCH($E20,学年度总表!$E$3:$E$1025,0)))</f>
        <v>164.44</v>
      </c>
      <c r="P20" s="4" t="str">
        <f>IF(INDEX(学年度总表!$P$3:$P$1025,MATCH($E20,学年度总表!$E$3:$E$1025,0))="","",INDEX(学年度总表!$P$3:$P$1025,MATCH($E20,学年度总表!$E$3:$E$1025,0)))</f>
        <v>校二等</v>
      </c>
      <c r="Q20" s="5" t="str">
        <f>IF(INDEX(学年度总表!$Q$3:$Q$1025,MATCH($E20,学年度总表!$E$3:$E$1025,0))="","",INDEX(学年度总表!$Q$3:$Q$1025,MATCH($E20,学年度总表!$E$3:$E$1025,0)))</f>
        <v/>
      </c>
    </row>
    <row r="21" spans="1:17">
      <c r="A21" s="2">
        <f>IF(INDEX(学年度总表!$A$3:$A$1025,MATCH($E21,学年度总表!$E$3:$E$1025,0))="","",INDEX(学年度总表!$A$3:$A$1025,MATCH($E21,学年度总表!$E$3:$E$1025,0)))</f>
        <v>48</v>
      </c>
      <c r="B21" s="2">
        <f>IF(INDEX(学年度总表!$B$3:$B$1025,MATCH($E21,学年度总表!$E$3:$E$1025,0))="","",INDEX(学年度总表!$B$3:$B$1025,MATCH($E21,学年度总表!$E$3:$E$1025,0)))</f>
        <v>19</v>
      </c>
      <c r="C21" s="2" t="str">
        <f>IF(INDEX(学年度总表!$C$3:$C$1025,MATCH($E21,学年度总表!$E$3:$E$1025,0))="","",INDEX(学年度总表!$C$3:$C$1025,MATCH($E21,学年度总表!$E$3:$E$1025,0)))</f>
        <v>软工</v>
      </c>
      <c r="D21" s="2" t="str">
        <f>IF(INDEX(学年度总表!$D$3:$D$1025,MATCH($E21,学年度总表!$E$3:$E$1025,0))="","",INDEX(学年度总表!$D$3:$D$1025,MATCH($E21,学年度总表!$E$3:$E$1025,0)))</f>
        <v>软工13班</v>
      </c>
      <c r="E21" s="2" t="s">
        <v>142</v>
      </c>
      <c r="F21" s="2" t="str">
        <f>IF(INDEX(学年度总表!$F$3:$F$1025,MATCH($E21,学年度总表!$E$3:$E$1025,0))="","",INDEX(学年度总表!$F$3:$F$1025,MATCH($E21,学年度总表!$E$3:$E$1025,0)))</f>
        <v>孙嘉悦</v>
      </c>
      <c r="G21" s="3">
        <f>IF(INDEX(学年度总表!$G$3:$G$1025,MATCH($E21,学年度总表!$E$3:$E$1025,0))="","",INDEX(学年度总表!$G$3:$G$1025,MATCH($E21,学年度总表!$E$3:$E$1025,0)))</f>
        <v>9.8000000000000007</v>
      </c>
      <c r="H21" s="3">
        <f>IF(INDEX(学年度总表!$H$3:$H$1025,MATCH($E21,学年度总表!$E$3:$E$1025,0))="","",INDEX(学年度总表!$H$3:$H$1025,MATCH($E21,学年度总表!$E$3:$E$1025,0)))</f>
        <v>72.040000000000006</v>
      </c>
      <c r="I21" s="3">
        <f>IF(INDEX(学年度总表!$I$3:$I$1025,MATCH($E21,学年度总表!$E$3:$E$1025,0))="","",INDEX(学年度总表!$I$3:$I$1025,MATCH($E21,学年度总表!$E$3:$E$1025,0)))</f>
        <v>5</v>
      </c>
      <c r="J21" s="3">
        <f>IF(INDEX(学年度总表!$J$3:$J$1025,MATCH($E21,学年度总表!$E$3:$E$1025,0))="","",INDEX(学年度总表!$J$3:$J$1025,MATCH($E21,学年度总表!$E$3:$E$1025,0)))</f>
        <v>86.84</v>
      </c>
      <c r="K21" s="3">
        <f>IF(INDEX(学年度总表!$K$3:$K$1025,MATCH($E21,学年度总表!$E$3:$E$1025,0))="","",INDEX(学年度总表!$K$3:$K$1025,MATCH($E21,学年度总表!$E$3:$E$1025,0)))</f>
        <v>9.8000000000000007</v>
      </c>
      <c r="L21" s="3">
        <f>IF(INDEX(学年度总表!$L$3:$L$1025,MATCH($E21,学年度总表!$E$3:$E$1025,0))="","",INDEX(学年度总表!$L$3:$L$1025,MATCH($E21,学年度总表!$E$3:$E$1025,0)))</f>
        <v>63.13</v>
      </c>
      <c r="M21" s="3">
        <f>IF(INDEX(学年度总表!$M$3:$M$1025,MATCH($E21,学年度总表!$E$3:$E$1025,0))="","",INDEX(学年度总表!$M$3:$M$1025,MATCH($E21,学年度总表!$E$3:$E$1025,0)))</f>
        <v>4.5</v>
      </c>
      <c r="N21" s="3">
        <f>IF(INDEX(学年度总表!$N$3:$N$1025,MATCH($E21,学年度总表!$E$3:$E$1025,0))="","",INDEX(学年度总表!$N$3:$N$1025,MATCH($E21,学年度总表!$E$3:$E$1025,0)))</f>
        <v>77.430000000000007</v>
      </c>
      <c r="O21" s="3">
        <f>IF(INDEX(学年度总表!$O$3:$O$1025,MATCH($E21,学年度总表!$E$3:$E$1025,0))="","",INDEX(学年度总表!$O$3:$O$1025,MATCH($E21,学年度总表!$E$3:$E$1025,0)))</f>
        <v>164.27</v>
      </c>
      <c r="P21" s="4" t="str">
        <f>IF(INDEX(学年度总表!$P$3:$P$1025,MATCH($E21,学年度总表!$E$3:$E$1025,0))="","",INDEX(学年度总表!$P$3:$P$1025,MATCH($E21,学年度总表!$E$3:$E$1025,0)))</f>
        <v>校二等</v>
      </c>
      <c r="Q21" s="5" t="str">
        <f>IF(INDEX(学年度总表!$Q$3:$Q$1025,MATCH($E21,学年度总表!$E$3:$E$1025,0))="","",INDEX(学年度总表!$Q$3:$Q$1025,MATCH($E21,学年度总表!$E$3:$E$1025,0)))</f>
        <v/>
      </c>
    </row>
    <row r="22" spans="1:17">
      <c r="A22" s="2">
        <f>IF(INDEX(学年度总表!$A$3:$A$1025,MATCH($E22,学年度总表!$E$3:$E$1025,0))="","",INDEX(学年度总表!$A$3:$A$1025,MATCH($E22,学年度总表!$E$3:$E$1025,0)))</f>
        <v>50</v>
      </c>
      <c r="B22" s="2">
        <f>IF(INDEX(学年度总表!$B$3:$B$1025,MATCH($E22,学年度总表!$E$3:$E$1025,0))="","",INDEX(学年度总表!$B$3:$B$1025,MATCH($E22,学年度总表!$E$3:$E$1025,0)))</f>
        <v>20</v>
      </c>
      <c r="C22" s="2" t="str">
        <f>IF(INDEX(学年度总表!$C$3:$C$1025,MATCH($E22,学年度总表!$E$3:$E$1025,0))="","",INDEX(学年度总表!$C$3:$C$1025,MATCH($E22,学年度总表!$E$3:$E$1025,0)))</f>
        <v>软工</v>
      </c>
      <c r="D22" s="2" t="str">
        <f>IF(INDEX(学年度总表!$D$3:$D$1025,MATCH($E22,学年度总表!$E$3:$E$1025,0))="","",INDEX(学年度总表!$D$3:$D$1025,MATCH($E22,学年度总表!$E$3:$E$1025,0)))</f>
        <v>软工11班</v>
      </c>
      <c r="E22" s="2" t="s">
        <v>146</v>
      </c>
      <c r="F22" s="2" t="str">
        <f>IF(INDEX(学年度总表!$F$3:$F$1025,MATCH($E22,学年度总表!$E$3:$E$1025,0))="","",INDEX(学年度总表!$F$3:$F$1025,MATCH($E22,学年度总表!$E$3:$E$1025,0)))</f>
        <v>谢可鑫</v>
      </c>
      <c r="G22" s="3">
        <f>IF(INDEX(学年度总表!$G$3:$G$1025,MATCH($E22,学年度总表!$E$3:$E$1025,0))="","",INDEX(学年度总表!$G$3:$G$1025,MATCH($E22,学年度总表!$E$3:$E$1025,0)))</f>
        <v>10</v>
      </c>
      <c r="H22" s="3">
        <f>IF(INDEX(学年度总表!$H$3:$H$1025,MATCH($E22,学年度总表!$E$3:$E$1025,0))="","",INDEX(学年度总表!$H$3:$H$1025,MATCH($E22,学年度总表!$E$3:$E$1025,0)))</f>
        <v>68.27</v>
      </c>
      <c r="I22" s="3">
        <f>IF(INDEX(学年度总表!$I$3:$I$1025,MATCH($E22,学年度总表!$E$3:$E$1025,0))="","",INDEX(学年度总表!$I$3:$I$1025,MATCH($E22,学年度总表!$E$3:$E$1025,0)))</f>
        <v>3.6</v>
      </c>
      <c r="J22" s="3">
        <f>IF(INDEX(学年度总表!$J$3:$J$1025,MATCH($E22,学年度总表!$E$3:$E$1025,0))="","",INDEX(学年度总表!$J$3:$J$1025,MATCH($E22,学年度总表!$E$3:$E$1025,0)))</f>
        <v>81.87</v>
      </c>
      <c r="K22" s="3">
        <f>IF(INDEX(学年度总表!$K$3:$K$1025,MATCH($E22,学年度总表!$E$3:$E$1025,0))="","",INDEX(学年度总表!$K$3:$K$1025,MATCH($E22,学年度总表!$E$3:$E$1025,0)))</f>
        <v>11.5</v>
      </c>
      <c r="L22" s="3">
        <f>IF(INDEX(学年度总表!$L$3:$L$1025,MATCH($E22,学年度总表!$E$3:$E$1025,0))="","",INDEX(学年度总表!$L$3:$L$1025,MATCH($E22,学年度总表!$E$3:$E$1025,0)))</f>
        <v>65.959999999999994</v>
      </c>
      <c r="M22" s="3">
        <f>IF(INDEX(学年度总表!$M$3:$M$1025,MATCH($E22,学年度总表!$E$3:$E$1025,0))="","",INDEX(学年度总表!$M$3:$M$1025,MATCH($E22,学年度总表!$E$3:$E$1025,0)))</f>
        <v>4.5999999999999996</v>
      </c>
      <c r="N22" s="3">
        <f>IF(INDEX(学年度总表!$N$3:$N$1025,MATCH($E22,学年度总表!$E$3:$E$1025,0))="","",INDEX(学年度总表!$N$3:$N$1025,MATCH($E22,学年度总表!$E$3:$E$1025,0)))</f>
        <v>82.06</v>
      </c>
      <c r="O22" s="3">
        <f>IF(INDEX(学年度总表!$O$3:$O$1025,MATCH($E22,学年度总表!$E$3:$E$1025,0))="","",INDEX(学年度总表!$O$3:$O$1025,MATCH($E22,学年度总表!$E$3:$E$1025,0)))</f>
        <v>163.93</v>
      </c>
      <c r="P22" s="4" t="str">
        <f>IF(INDEX(学年度总表!$P$3:$P$1025,MATCH($E22,学年度总表!$E$3:$E$1025,0))="","",INDEX(学年度总表!$P$3:$P$1025,MATCH($E22,学年度总表!$E$3:$E$1025,0)))</f>
        <v>校二等</v>
      </c>
      <c r="Q22" s="5" t="str">
        <f>IF(INDEX(学年度总表!$Q$3:$Q$1025,MATCH($E22,学年度总表!$E$3:$E$1025,0))="","",INDEX(学年度总表!$Q$3:$Q$1025,MATCH($E22,学年度总表!$E$3:$E$1025,0)))</f>
        <v/>
      </c>
    </row>
    <row r="23" spans="1:17">
      <c r="A23" s="2">
        <f>IF(INDEX(学年度总表!$A$3:$A$1025,MATCH($E23,学年度总表!$E$3:$E$1025,0))="","",INDEX(学年度总表!$A$3:$A$1025,MATCH($E23,学年度总表!$E$3:$E$1025,0)))</f>
        <v>52</v>
      </c>
      <c r="B23" s="2">
        <f>IF(INDEX(学年度总表!$B$3:$B$1025,MATCH($E23,学年度总表!$E$3:$E$1025,0))="","",INDEX(学年度总表!$B$3:$B$1025,MATCH($E23,学年度总表!$E$3:$E$1025,0)))</f>
        <v>21</v>
      </c>
      <c r="C23" s="2" t="str">
        <f>IF(INDEX(学年度总表!$C$3:$C$1025,MATCH($E23,学年度总表!$E$3:$E$1025,0))="","",INDEX(学年度总表!$C$3:$C$1025,MATCH($E23,学年度总表!$E$3:$E$1025,0)))</f>
        <v>软工</v>
      </c>
      <c r="D23" s="2" t="str">
        <f>IF(INDEX(学年度总表!$D$3:$D$1025,MATCH($E23,学年度总表!$E$3:$E$1025,0))="","",INDEX(学年度总表!$D$3:$D$1025,MATCH($E23,学年度总表!$E$3:$E$1025,0)))</f>
        <v>软工14班</v>
      </c>
      <c r="E23" s="2" t="s">
        <v>150</v>
      </c>
      <c r="F23" s="2" t="str">
        <f>IF(INDEX(学年度总表!$F$3:$F$1025,MATCH($E23,学年度总表!$E$3:$E$1025,0))="","",INDEX(学年度总表!$F$3:$F$1025,MATCH($E23,学年度总表!$E$3:$E$1025,0)))</f>
        <v>莫耀钧</v>
      </c>
      <c r="G23" s="3">
        <f>IF(INDEX(学年度总表!$G$3:$G$1025,MATCH($E23,学年度总表!$E$3:$E$1025,0))="","",INDEX(学年度总表!$G$3:$G$1025,MATCH($E23,学年度总表!$E$3:$E$1025,0)))</f>
        <v>9.8000000000000007</v>
      </c>
      <c r="H23" s="3">
        <f>IF(INDEX(学年度总表!$H$3:$H$1025,MATCH($E23,学年度总表!$E$3:$E$1025,0))="","",INDEX(学年度总表!$H$3:$H$1025,MATCH($E23,学年度总表!$E$3:$E$1025,0)))</f>
        <v>72.19</v>
      </c>
      <c r="I23" s="3">
        <f>IF(INDEX(学年度总表!$I$3:$I$1025,MATCH($E23,学年度总表!$E$3:$E$1025,0))="","",INDEX(学年度总表!$I$3:$I$1025,MATCH($E23,学年度总表!$E$3:$E$1025,0)))</f>
        <v>3</v>
      </c>
      <c r="J23" s="3">
        <f>IF(INDEX(学年度总表!$J$3:$J$1025,MATCH($E23,学年度总表!$E$3:$E$1025,0))="","",INDEX(学年度总表!$J$3:$J$1025,MATCH($E23,学年度总表!$E$3:$E$1025,0)))</f>
        <v>84.99</v>
      </c>
      <c r="K23" s="3">
        <f>IF(INDEX(学年度总表!$K$3:$K$1025,MATCH($E23,学年度总表!$E$3:$E$1025,0))="","",INDEX(学年度总表!$K$3:$K$1025,MATCH($E23,学年度总表!$E$3:$E$1025,0)))</f>
        <v>9.8000000000000007</v>
      </c>
      <c r="L23" s="3">
        <f>IF(INDEX(学年度总表!$L$3:$L$1025,MATCH($E23,学年度总表!$E$3:$E$1025,0))="","",INDEX(学年度总表!$L$3:$L$1025,MATCH($E23,学年度总表!$E$3:$E$1025,0)))</f>
        <v>64.75</v>
      </c>
      <c r="M23" s="3">
        <f>IF(INDEX(学年度总表!$M$3:$M$1025,MATCH($E23,学年度总表!$E$3:$E$1025,0))="","",INDEX(学年度总表!$M$3:$M$1025,MATCH($E23,学年度总表!$E$3:$E$1025,0)))</f>
        <v>4.3</v>
      </c>
      <c r="N23" s="3">
        <f>IF(INDEX(学年度总表!$N$3:$N$1025,MATCH($E23,学年度总表!$E$3:$E$1025,0))="","",INDEX(学年度总表!$N$3:$N$1025,MATCH($E23,学年度总表!$E$3:$E$1025,0)))</f>
        <v>78.849999999999994</v>
      </c>
      <c r="O23" s="3">
        <f>IF(INDEX(学年度总表!$O$3:$O$1025,MATCH($E23,学年度总表!$E$3:$E$1025,0))="","",INDEX(学年度总表!$O$3:$O$1025,MATCH($E23,学年度总表!$E$3:$E$1025,0)))</f>
        <v>163.84</v>
      </c>
      <c r="P23" s="4" t="str">
        <f>IF(INDEX(学年度总表!$P$3:$P$1025,MATCH($E23,学年度总表!$E$3:$E$1025,0))="","",INDEX(学年度总表!$P$3:$P$1025,MATCH($E23,学年度总表!$E$3:$E$1025,0)))</f>
        <v>校三等</v>
      </c>
      <c r="Q23" s="5" t="str">
        <f>IF(INDEX(学年度总表!$Q$3:$Q$1025,MATCH($E23,学年度总表!$E$3:$E$1025,0))="","",INDEX(学年度总表!$Q$3:$Q$1025,MATCH($E23,学年度总表!$E$3:$E$1025,0)))</f>
        <v/>
      </c>
    </row>
    <row r="24" spans="1:17">
      <c r="A24" s="2">
        <f>IF(INDEX(学年度总表!$A$3:$A$1025,MATCH($E24,学年度总表!$E$3:$E$1025,0))="","",INDEX(学年度总表!$A$3:$A$1025,MATCH($E24,学年度总表!$E$3:$E$1025,0)))</f>
        <v>59</v>
      </c>
      <c r="B24" s="2">
        <f>IF(INDEX(学年度总表!$B$3:$B$1025,MATCH($E24,学年度总表!$E$3:$E$1025,0))="","",INDEX(学年度总表!$B$3:$B$1025,MATCH($E24,学年度总表!$E$3:$E$1025,0)))</f>
        <v>22</v>
      </c>
      <c r="C24" s="2" t="str">
        <f>IF(INDEX(学年度总表!$C$3:$C$1025,MATCH($E24,学年度总表!$E$3:$E$1025,0))="","",INDEX(学年度总表!$C$3:$C$1025,MATCH($E24,学年度总表!$E$3:$E$1025,0)))</f>
        <v>软工</v>
      </c>
      <c r="D24" s="2" t="str">
        <f>IF(INDEX(学年度总表!$D$3:$D$1025,MATCH($E24,学年度总表!$E$3:$E$1025,0))="","",INDEX(学年度总表!$D$3:$D$1025,MATCH($E24,学年度总表!$E$3:$E$1025,0)))</f>
        <v>软工10班</v>
      </c>
      <c r="E24" s="2" t="s">
        <v>165</v>
      </c>
      <c r="F24" s="2" t="str">
        <f>IF(INDEX(学年度总表!$F$3:$F$1025,MATCH($E24,学年度总表!$E$3:$E$1025,0))="","",INDEX(学年度总表!$F$3:$F$1025,MATCH($E24,学年度总表!$E$3:$E$1025,0)))</f>
        <v>黄楚瑶</v>
      </c>
      <c r="G24" s="3">
        <f>IF(INDEX(学年度总表!$G$3:$G$1025,MATCH($E24,学年度总表!$E$3:$E$1025,0))="","",INDEX(学年度总表!$G$3:$G$1025,MATCH($E24,学年度总表!$E$3:$E$1025,0)))</f>
        <v>10.5</v>
      </c>
      <c r="H24" s="3">
        <f>IF(INDEX(学年度总表!$H$3:$H$1025,MATCH($E24,学年度总表!$E$3:$E$1025,0))="","",INDEX(学年度总表!$H$3:$H$1025,MATCH($E24,学年度总表!$E$3:$E$1025,0)))</f>
        <v>66.7</v>
      </c>
      <c r="I24" s="3">
        <f>IF(INDEX(学年度总表!$I$3:$I$1025,MATCH($E24,学年度总表!$E$3:$E$1025,0))="","",INDEX(学年度总表!$I$3:$I$1025,MATCH($E24,学年度总表!$E$3:$E$1025,0)))</f>
        <v>4.9000000000000004</v>
      </c>
      <c r="J24" s="3">
        <f>IF(INDEX(学年度总表!$J$3:$J$1025,MATCH($E24,学年度总表!$E$3:$E$1025,0))="","",INDEX(学年度总表!$J$3:$J$1025,MATCH($E24,学年度总表!$E$3:$E$1025,0)))</f>
        <v>82.1</v>
      </c>
      <c r="K24" s="3">
        <f>IF(INDEX(学年度总表!$K$3:$K$1025,MATCH($E24,学年度总表!$E$3:$E$1025,0))="","",INDEX(学年度总表!$K$3:$K$1025,MATCH($E24,学年度总表!$E$3:$E$1025,0)))</f>
        <v>11</v>
      </c>
      <c r="L24" s="3">
        <f>IF(INDEX(学年度总表!$L$3:$L$1025,MATCH($E24,学年度总表!$E$3:$E$1025,0))="","",INDEX(学年度总表!$L$3:$L$1025,MATCH($E24,学年度总表!$E$3:$E$1025,0)))</f>
        <v>63.12</v>
      </c>
      <c r="M24" s="3">
        <f>IF(INDEX(学年度总表!$M$3:$M$1025,MATCH($E24,学年度总表!$E$3:$E$1025,0))="","",INDEX(学年度总表!$M$3:$M$1025,MATCH($E24,学年度总表!$E$3:$E$1025,0)))</f>
        <v>6</v>
      </c>
      <c r="N24" s="3">
        <f>IF(INDEX(学年度总表!$N$3:$N$1025,MATCH($E24,学年度总表!$E$3:$E$1025,0))="","",INDEX(学年度总表!$N$3:$N$1025,MATCH($E24,学年度总表!$E$3:$E$1025,0)))</f>
        <v>80.12</v>
      </c>
      <c r="O24" s="3">
        <f>IF(INDEX(学年度总表!$O$3:$O$1025,MATCH($E24,学年度总表!$E$3:$E$1025,0))="","",INDEX(学年度总表!$O$3:$O$1025,MATCH($E24,学年度总表!$E$3:$E$1025,0)))</f>
        <v>162.22</v>
      </c>
      <c r="P24" s="4" t="str">
        <f>IF(INDEX(学年度总表!$P$3:$P$1025,MATCH($E24,学年度总表!$E$3:$E$1025,0))="","",INDEX(学年度总表!$P$3:$P$1025,MATCH($E24,学年度总表!$E$3:$E$1025,0)))</f>
        <v>校三等</v>
      </c>
      <c r="Q24" s="5" t="str">
        <f>IF(INDEX(学年度总表!$Q$3:$Q$1025,MATCH($E24,学年度总表!$E$3:$E$1025,0))="","",INDEX(学年度总表!$Q$3:$Q$1025,MATCH($E24,学年度总表!$E$3:$E$1025,0)))</f>
        <v/>
      </c>
    </row>
    <row r="25" spans="1:17">
      <c r="A25" s="2">
        <f>IF(INDEX(学年度总表!$A$3:$A$1025,MATCH($E25,学年度总表!$E$3:$E$1025,0))="","",INDEX(学年度总表!$A$3:$A$1025,MATCH($E25,学年度总表!$E$3:$E$1025,0)))</f>
        <v>63</v>
      </c>
      <c r="B25" s="2">
        <f>IF(INDEX(学年度总表!$B$3:$B$1025,MATCH($E25,学年度总表!$E$3:$E$1025,0))="","",INDEX(学年度总表!$B$3:$B$1025,MATCH($E25,学年度总表!$E$3:$E$1025,0)))</f>
        <v>23</v>
      </c>
      <c r="C25" s="2" t="str">
        <f>IF(INDEX(学年度总表!$C$3:$C$1025,MATCH($E25,学年度总表!$E$3:$E$1025,0))="","",INDEX(学年度总表!$C$3:$C$1025,MATCH($E25,学年度总表!$E$3:$E$1025,0)))</f>
        <v>软工</v>
      </c>
      <c r="D25" s="2" t="str">
        <f>IF(INDEX(学年度总表!$D$3:$D$1025,MATCH($E25,学年度总表!$E$3:$E$1025,0))="","",INDEX(学年度总表!$D$3:$D$1025,MATCH($E25,学年度总表!$E$3:$E$1025,0)))</f>
        <v>软工8班</v>
      </c>
      <c r="E25" s="2" t="s">
        <v>173</v>
      </c>
      <c r="F25" s="2" t="str">
        <f>IF(INDEX(学年度总表!$F$3:$F$1025,MATCH($E25,学年度总表!$E$3:$E$1025,0))="","",INDEX(学年度总表!$F$3:$F$1025,MATCH($E25,学年度总表!$E$3:$E$1025,0)))</f>
        <v>王芷涵</v>
      </c>
      <c r="G25" s="3">
        <f>IF(INDEX(学年度总表!$G$3:$G$1025,MATCH($E25,学年度总表!$E$3:$E$1025,0))="","",INDEX(学年度总表!$G$3:$G$1025,MATCH($E25,学年度总表!$E$3:$E$1025,0)))</f>
        <v>11</v>
      </c>
      <c r="H25" s="3">
        <f>IF(INDEX(学年度总表!$H$3:$H$1025,MATCH($E25,学年度总表!$E$3:$E$1025,0))="","",INDEX(学年度总表!$H$3:$H$1025,MATCH($E25,学年度总表!$E$3:$E$1025,0)))</f>
        <v>64.285714285714306</v>
      </c>
      <c r="I25" s="3">
        <f>IF(INDEX(学年度总表!$I$3:$I$1025,MATCH($E25,学年度总表!$E$3:$E$1025,0))="","",INDEX(学年度总表!$I$3:$I$1025,MATCH($E25,学年度总表!$E$3:$E$1025,0)))</f>
        <v>5.2</v>
      </c>
      <c r="J25" s="3">
        <f>IF(INDEX(学年度总表!$J$3:$J$1025,MATCH($E25,学年度总表!$E$3:$E$1025,0))="","",INDEX(学年度总表!$J$3:$J$1025,MATCH($E25,学年度总表!$E$3:$E$1025,0)))</f>
        <v>80.489999999999995</v>
      </c>
      <c r="K25" s="3">
        <f>IF(INDEX(学年度总表!$K$3:$K$1025,MATCH($E25,学年度总表!$E$3:$E$1025,0))="","",INDEX(学年度总表!$K$3:$K$1025,MATCH($E25,学年度总表!$E$3:$E$1025,0)))</f>
        <v>12</v>
      </c>
      <c r="L25" s="3">
        <f>IF(INDEX(学年度总表!$L$3:$L$1025,MATCH($E25,学年度总表!$E$3:$E$1025,0))="","",INDEX(学年度总表!$L$3:$L$1025,MATCH($E25,学年度总表!$E$3:$E$1025,0)))</f>
        <v>63.25</v>
      </c>
      <c r="M25" s="3">
        <f>IF(INDEX(学年度总表!$M$3:$M$1025,MATCH($E25,学年度总表!$E$3:$E$1025,0))="","",INDEX(学年度总表!$M$3:$M$1025,MATCH($E25,学年度总表!$E$3:$E$1025,0)))</f>
        <v>6</v>
      </c>
      <c r="N25" s="3">
        <f>IF(INDEX(学年度总表!$N$3:$N$1025,MATCH($E25,学年度总表!$E$3:$E$1025,0))="","",INDEX(学年度总表!$N$3:$N$1025,MATCH($E25,学年度总表!$E$3:$E$1025,0)))</f>
        <v>81.25</v>
      </c>
      <c r="O25" s="3">
        <f>IF(INDEX(学年度总表!$O$3:$O$1025,MATCH($E25,学年度总表!$E$3:$E$1025,0))="","",INDEX(学年度总表!$O$3:$O$1025,MATCH($E25,学年度总表!$E$3:$E$1025,0)))</f>
        <v>161.74</v>
      </c>
      <c r="P25" s="4" t="str">
        <f>IF(INDEX(学年度总表!$P$3:$P$1025,MATCH($E25,学年度总表!$E$3:$E$1025,0))="","",INDEX(学年度总表!$P$3:$P$1025,MATCH($E25,学年度总表!$E$3:$E$1025,0)))</f>
        <v>校三等</v>
      </c>
      <c r="Q25" s="5" t="str">
        <f>IF(INDEX(学年度总表!$Q$3:$Q$1025,MATCH($E25,学年度总表!$E$3:$E$1025,0))="","",INDEX(学年度总表!$Q$3:$Q$1025,MATCH($E25,学年度总表!$E$3:$E$1025,0)))</f>
        <v/>
      </c>
    </row>
    <row r="26" spans="1:17">
      <c r="A26" s="2">
        <f>IF(INDEX(学年度总表!$A$3:$A$1025,MATCH($E26,学年度总表!$E$3:$E$1025,0))="","",INDEX(学年度总表!$A$3:$A$1025,MATCH($E26,学年度总表!$E$3:$E$1025,0)))</f>
        <v>64</v>
      </c>
      <c r="B26" s="2">
        <f>IF(INDEX(学年度总表!$B$3:$B$1025,MATCH($E26,学年度总表!$E$3:$E$1025,0))="","",INDEX(学年度总表!$B$3:$B$1025,MATCH($E26,学年度总表!$E$3:$E$1025,0)))</f>
        <v>24</v>
      </c>
      <c r="C26" s="2" t="str">
        <f>IF(INDEX(学年度总表!$C$3:$C$1025,MATCH($E26,学年度总表!$E$3:$E$1025,0))="","",INDEX(学年度总表!$C$3:$C$1025,MATCH($E26,学年度总表!$E$3:$E$1025,0)))</f>
        <v>软工</v>
      </c>
      <c r="D26" s="2" t="str">
        <f>IF(INDEX(学年度总表!$D$3:$D$1025,MATCH($E26,学年度总表!$E$3:$E$1025,0))="","",INDEX(学年度总表!$D$3:$D$1025,MATCH($E26,学年度总表!$E$3:$E$1025,0)))</f>
        <v>软工14班</v>
      </c>
      <c r="E26" s="2" t="s">
        <v>175</v>
      </c>
      <c r="F26" s="2" t="str">
        <f>IF(INDEX(学年度总表!$F$3:$F$1025,MATCH($E26,学年度总表!$E$3:$E$1025,0))="","",INDEX(学年度总表!$F$3:$F$1025,MATCH($E26,学年度总表!$E$3:$E$1025,0)))</f>
        <v>范超迪</v>
      </c>
      <c r="G26" s="3">
        <f>IF(INDEX(学年度总表!$G$3:$G$1025,MATCH($E26,学年度总表!$E$3:$E$1025,0))="","",INDEX(学年度总表!$G$3:$G$1025,MATCH($E26,学年度总表!$E$3:$E$1025,0)))</f>
        <v>10.3</v>
      </c>
      <c r="H26" s="3">
        <f>IF(INDEX(学年度总表!$H$3:$H$1025,MATCH($E26,学年度总表!$E$3:$E$1025,0))="","",INDEX(学年度总表!$H$3:$H$1025,MATCH($E26,学年度总表!$E$3:$E$1025,0)))</f>
        <v>66.12</v>
      </c>
      <c r="I26" s="3">
        <f>IF(INDEX(学年度总表!$I$3:$I$1025,MATCH($E26,学年度总表!$E$3:$E$1025,0))="","",INDEX(学年度总表!$I$3:$I$1025,MATCH($E26,学年度总表!$E$3:$E$1025,0)))</f>
        <v>3.5</v>
      </c>
      <c r="J26" s="3">
        <f>IF(INDEX(学年度总表!$J$3:$J$1025,MATCH($E26,学年度总表!$E$3:$E$1025,0))="","",INDEX(学年度总表!$J$3:$J$1025,MATCH($E26,学年度总表!$E$3:$E$1025,0)))</f>
        <v>79.92</v>
      </c>
      <c r="K26" s="3">
        <f>IF(INDEX(学年度总表!$K$3:$K$1025,MATCH($E26,学年度总表!$E$3:$E$1025,0))="","",INDEX(学年度总表!$K$3:$K$1025,MATCH($E26,学年度总表!$E$3:$E$1025,0)))</f>
        <v>9.8000000000000007</v>
      </c>
      <c r="L26" s="3">
        <f>IF(INDEX(学年度总表!$L$3:$L$1025,MATCH($E26,学年度总表!$E$3:$E$1025,0))="","",INDEX(学年度总表!$L$3:$L$1025,MATCH($E26,学年度总表!$E$3:$E$1025,0)))</f>
        <v>67.67</v>
      </c>
      <c r="M26" s="3">
        <f>IF(INDEX(学年度总表!$M$3:$M$1025,MATCH($E26,学年度总表!$E$3:$E$1025,0))="","",INDEX(学年度总表!$M$3:$M$1025,MATCH($E26,学年度总表!$E$3:$E$1025,0)))</f>
        <v>4.3</v>
      </c>
      <c r="N26" s="3">
        <f>IF(INDEX(学年度总表!$N$3:$N$1025,MATCH($E26,学年度总表!$E$3:$E$1025,0))="","",INDEX(学年度总表!$N$3:$N$1025,MATCH($E26,学年度总表!$E$3:$E$1025,0)))</f>
        <v>81.77</v>
      </c>
      <c r="O26" s="3">
        <f>IF(INDEX(学年度总表!$O$3:$O$1025,MATCH($E26,学年度总表!$E$3:$E$1025,0))="","",INDEX(学年度总表!$O$3:$O$1025,MATCH($E26,学年度总表!$E$3:$E$1025,0)))</f>
        <v>161.69</v>
      </c>
      <c r="P26" s="4" t="str">
        <f>IF(INDEX(学年度总表!$P$3:$P$1025,MATCH($E26,学年度总表!$E$3:$E$1025,0))="","",INDEX(学年度总表!$P$3:$P$1025,MATCH($E26,学年度总表!$E$3:$E$1025,0)))</f>
        <v>国励</v>
      </c>
      <c r="Q26" s="5" t="str">
        <f>IF(INDEX(学年度总表!$Q$3:$Q$1025,MATCH($E26,学年度总表!$E$3:$E$1025,0))="","",INDEX(学年度总表!$Q$3:$Q$1025,MATCH($E26,学年度总表!$E$3:$E$1025,0)))</f>
        <v/>
      </c>
    </row>
    <row r="27" spans="1:17">
      <c r="A27" s="2">
        <f>IF(INDEX(学年度总表!$A$3:$A$1025,MATCH($E27,学年度总表!$E$3:$E$1025,0))="","",INDEX(学年度总表!$A$3:$A$1025,MATCH($E27,学年度总表!$E$3:$E$1025,0)))</f>
        <v>65</v>
      </c>
      <c r="B27" s="2">
        <f>IF(INDEX(学年度总表!$B$3:$B$1025,MATCH($E27,学年度总表!$E$3:$E$1025,0))="","",INDEX(学年度总表!$B$3:$B$1025,MATCH($E27,学年度总表!$E$3:$E$1025,0)))</f>
        <v>25</v>
      </c>
      <c r="C27" s="2" t="str">
        <f>IF(INDEX(学年度总表!$C$3:$C$1025,MATCH($E27,学年度总表!$E$3:$E$1025,0))="","",INDEX(学年度总表!$C$3:$C$1025,MATCH($E27,学年度总表!$E$3:$E$1025,0)))</f>
        <v>软工</v>
      </c>
      <c r="D27" s="2" t="str">
        <f>IF(INDEX(学年度总表!$D$3:$D$1025,MATCH($E27,学年度总表!$E$3:$E$1025,0))="","",INDEX(学年度总表!$D$3:$D$1025,MATCH($E27,学年度总表!$E$3:$E$1025,0)))</f>
        <v>软工10班</v>
      </c>
      <c r="E27" s="2" t="s">
        <v>177</v>
      </c>
      <c r="F27" s="2" t="str">
        <f>IF(INDEX(学年度总表!$F$3:$F$1025,MATCH($E27,学年度总表!$E$3:$E$1025,0))="","",INDEX(学年度总表!$F$3:$F$1025,MATCH($E27,学年度总表!$E$3:$E$1025,0)))</f>
        <v>陈佳琪</v>
      </c>
      <c r="G27" s="3">
        <f>IF(INDEX(学年度总表!$G$3:$G$1025,MATCH($E27,学年度总表!$E$3:$E$1025,0))="","",INDEX(学年度总表!$G$3:$G$1025,MATCH($E27,学年度总表!$E$3:$E$1025,0)))</f>
        <v>10.8</v>
      </c>
      <c r="H27" s="3">
        <f>IF(INDEX(学年度总表!$H$3:$H$1025,MATCH($E27,学年度总表!$E$3:$E$1025,0))="","",INDEX(学年度总表!$H$3:$H$1025,MATCH($E27,学年度总表!$E$3:$E$1025,0)))</f>
        <v>66.88</v>
      </c>
      <c r="I27" s="3">
        <f>IF(INDEX(学年度总表!$I$3:$I$1025,MATCH($E27,学年度总表!$E$3:$E$1025,0))="","",INDEX(学年度总表!$I$3:$I$1025,MATCH($E27,学年度总表!$E$3:$E$1025,0)))</f>
        <v>4.4000000000000004</v>
      </c>
      <c r="J27" s="3">
        <f>IF(INDEX(学年度总表!$J$3:$J$1025,MATCH($E27,学年度总表!$E$3:$E$1025,0))="","",INDEX(学年度总表!$J$3:$J$1025,MATCH($E27,学年度总表!$E$3:$E$1025,0)))</f>
        <v>82.08</v>
      </c>
      <c r="K27" s="3">
        <f>IF(INDEX(学年度总表!$K$3:$K$1025,MATCH($E27,学年度总表!$E$3:$E$1025,0))="","",INDEX(学年度总表!$K$3:$K$1025,MATCH($E27,学年度总表!$E$3:$E$1025,0)))</f>
        <v>9.8000000000000007</v>
      </c>
      <c r="L27" s="3">
        <f>IF(INDEX(学年度总表!$L$3:$L$1025,MATCH($E27,学年度总表!$E$3:$E$1025,0))="","",INDEX(学年度总表!$L$3:$L$1025,MATCH($E27,学年度总表!$E$3:$E$1025,0)))</f>
        <v>63.07</v>
      </c>
      <c r="M27" s="3">
        <f>IF(INDEX(学年度总表!$M$3:$M$1025,MATCH($E27,学年度总表!$E$3:$E$1025,0))="","",INDEX(学年度总表!$M$3:$M$1025,MATCH($E27,学年度总表!$E$3:$E$1025,0)))</f>
        <v>6.7</v>
      </c>
      <c r="N27" s="3">
        <f>IF(INDEX(学年度总表!$N$3:$N$1025,MATCH($E27,学年度总表!$E$3:$E$1025,0))="","",INDEX(学年度总表!$N$3:$N$1025,MATCH($E27,学年度总表!$E$3:$E$1025,0)))</f>
        <v>79.569999999999993</v>
      </c>
      <c r="O27" s="3">
        <f>IF(INDEX(学年度总表!$O$3:$O$1025,MATCH($E27,学年度总表!$E$3:$E$1025,0))="","",INDEX(学年度总表!$O$3:$O$1025,MATCH($E27,学年度总表!$E$3:$E$1025,0)))</f>
        <v>161.65</v>
      </c>
      <c r="P27" s="4" t="str">
        <f>IF(INDEX(学年度总表!$P$3:$P$1025,MATCH($E27,学年度总表!$E$3:$E$1025,0))="","",INDEX(学年度总表!$P$3:$P$1025,MATCH($E27,学年度总表!$E$3:$E$1025,0)))</f>
        <v>校三等</v>
      </c>
      <c r="Q27" s="5" t="str">
        <f>IF(INDEX(学年度总表!$Q$3:$Q$1025,MATCH($E27,学年度总表!$E$3:$E$1025,0))="","",INDEX(学年度总表!$Q$3:$Q$1025,MATCH($E27,学年度总表!$E$3:$E$1025,0)))</f>
        <v/>
      </c>
    </row>
    <row r="28" spans="1:17">
      <c r="A28" s="2">
        <f>IF(INDEX(学年度总表!$A$3:$A$1025,MATCH($E28,学年度总表!$E$3:$E$1025,0))="","",INDEX(学年度总表!$A$3:$A$1025,MATCH($E28,学年度总表!$E$3:$E$1025,0)))</f>
        <v>70</v>
      </c>
      <c r="B28" s="2">
        <f>IF(INDEX(学年度总表!$B$3:$B$1025,MATCH($E28,学年度总表!$E$3:$E$1025,0))="","",INDEX(学年度总表!$B$3:$B$1025,MATCH($E28,学年度总表!$E$3:$E$1025,0)))</f>
        <v>26</v>
      </c>
      <c r="C28" s="2" t="str">
        <f>IF(INDEX(学年度总表!$C$3:$C$1025,MATCH($E28,学年度总表!$E$3:$E$1025,0))="","",INDEX(学年度总表!$C$3:$C$1025,MATCH($E28,学年度总表!$E$3:$E$1025,0)))</f>
        <v>软工</v>
      </c>
      <c r="D28" s="2" t="str">
        <f>IF(INDEX(学年度总表!$D$3:$D$1025,MATCH($E28,学年度总表!$E$3:$E$1025,0))="","",INDEX(学年度总表!$D$3:$D$1025,MATCH($E28,学年度总表!$E$3:$E$1025,0)))</f>
        <v>软工12班</v>
      </c>
      <c r="E28" s="2" t="s">
        <v>188</v>
      </c>
      <c r="F28" s="2" t="str">
        <f>IF(INDEX(学年度总表!$F$3:$F$1025,MATCH($E28,学年度总表!$E$3:$E$1025,0))="","",INDEX(学年度总表!$F$3:$F$1025,MATCH($E28,学年度总表!$E$3:$E$1025,0)))</f>
        <v>徐子淳</v>
      </c>
      <c r="G28" s="3">
        <f>IF(INDEX(学年度总表!$G$3:$G$1025,MATCH($E28,学年度总表!$E$3:$E$1025,0))="","",INDEX(学年度总表!$G$3:$G$1025,MATCH($E28,学年度总表!$E$3:$E$1025,0)))</f>
        <v>10</v>
      </c>
      <c r="H28" s="3">
        <f>IF(INDEX(学年度总表!$H$3:$H$1025,MATCH($E28,学年度总表!$E$3:$E$1025,0))="","",INDEX(学年度总表!$H$3:$H$1025,MATCH($E28,学年度总表!$E$3:$E$1025,0)))</f>
        <v>70.13</v>
      </c>
      <c r="I28" s="3">
        <f>IF(INDEX(学年度总表!$I$3:$I$1025,MATCH($E28,学年度总表!$E$3:$E$1025,0))="","",INDEX(学年度总表!$I$3:$I$1025,MATCH($E28,学年度总表!$E$3:$E$1025,0)))</f>
        <v>3</v>
      </c>
      <c r="J28" s="3">
        <f>IF(INDEX(学年度总表!$J$3:$J$1025,MATCH($E28,学年度总表!$E$3:$E$1025,0))="","",INDEX(学年度总表!$J$3:$J$1025,MATCH($E28,学年度总表!$E$3:$E$1025,0)))</f>
        <v>83.13</v>
      </c>
      <c r="K28" s="3">
        <f>IF(INDEX(学年度总表!$K$3:$K$1025,MATCH($E28,学年度总表!$E$3:$E$1025,0))="","",INDEX(学年度总表!$K$3:$K$1025,MATCH($E28,学年度总表!$E$3:$E$1025,0)))</f>
        <v>10</v>
      </c>
      <c r="L28" s="3">
        <f>IF(INDEX(学年度总表!$L$3:$L$1025,MATCH($E28,学年度总表!$E$3:$E$1025,0))="","",INDEX(学年度总表!$L$3:$L$1025,MATCH($E28,学年度总表!$E$3:$E$1025,0)))</f>
        <v>64.48</v>
      </c>
      <c r="M28" s="3">
        <f>IF(INDEX(学年度总表!$M$3:$M$1025,MATCH($E28,学年度总表!$E$3:$E$1025,0))="","",INDEX(学年度总表!$M$3:$M$1025,MATCH($E28,学年度总表!$E$3:$E$1025,0)))</f>
        <v>3.5</v>
      </c>
      <c r="N28" s="3">
        <f>IF(INDEX(学年度总表!$N$3:$N$1025,MATCH($E28,学年度总表!$E$3:$E$1025,0))="","",INDEX(学年度总表!$N$3:$N$1025,MATCH($E28,学年度总表!$E$3:$E$1025,0)))</f>
        <v>77.98</v>
      </c>
      <c r="O28" s="3">
        <f>IF(INDEX(学年度总表!$O$3:$O$1025,MATCH($E28,学年度总表!$E$3:$E$1025,0))="","",INDEX(学年度总表!$O$3:$O$1025,MATCH($E28,学年度总表!$E$3:$E$1025,0)))</f>
        <v>161.11000000000001</v>
      </c>
      <c r="P28" s="4" t="str">
        <f>IF(INDEX(学年度总表!$P$3:$P$1025,MATCH($E28,学年度总表!$E$3:$E$1025,0))="","",INDEX(学年度总表!$P$3:$P$1025,MATCH($E28,学年度总表!$E$3:$E$1025,0)))</f>
        <v>校三等</v>
      </c>
      <c r="Q28" s="5" t="str">
        <f>IF(INDEX(学年度总表!$Q$3:$Q$1025,MATCH($E28,学年度总表!$E$3:$E$1025,0))="","",INDEX(学年度总表!$Q$3:$Q$1025,MATCH($E28,学年度总表!$E$3:$E$1025,0)))</f>
        <v/>
      </c>
    </row>
    <row r="29" spans="1:17">
      <c r="A29" s="2">
        <f>IF(INDEX(学年度总表!$A$3:$A$1025,MATCH($E29,学年度总表!$E$3:$E$1025,0))="","",INDEX(学年度总表!$A$3:$A$1025,MATCH($E29,学年度总表!$E$3:$E$1025,0)))</f>
        <v>71</v>
      </c>
      <c r="B29" s="2">
        <f>IF(INDEX(学年度总表!$B$3:$B$1025,MATCH($E29,学年度总表!$E$3:$E$1025,0))="","",INDEX(学年度总表!$B$3:$B$1025,MATCH($E29,学年度总表!$E$3:$E$1025,0)))</f>
        <v>27</v>
      </c>
      <c r="C29" s="2" t="str">
        <f>IF(INDEX(学年度总表!$C$3:$C$1025,MATCH($E29,学年度总表!$E$3:$E$1025,0))="","",INDEX(学年度总表!$C$3:$C$1025,MATCH($E29,学年度总表!$E$3:$E$1025,0)))</f>
        <v>软工</v>
      </c>
      <c r="D29" s="2" t="str">
        <f>IF(INDEX(学年度总表!$D$3:$D$1025,MATCH($E29,学年度总表!$E$3:$E$1025,0))="","",INDEX(学年度总表!$D$3:$D$1025,MATCH($E29,学年度总表!$E$3:$E$1025,0)))</f>
        <v>软工8班</v>
      </c>
      <c r="E29" s="2" t="s">
        <v>190</v>
      </c>
      <c r="F29" s="2" t="str">
        <f>IF(INDEX(学年度总表!$F$3:$F$1025,MATCH($E29,学年度总表!$E$3:$E$1025,0))="","",INDEX(学年度总表!$F$3:$F$1025,MATCH($E29,学年度总表!$E$3:$E$1025,0)))</f>
        <v>李思辰</v>
      </c>
      <c r="G29" s="3">
        <f>IF(INDEX(学年度总表!$G$3:$G$1025,MATCH($E29,学年度总表!$E$3:$E$1025,0))="","",INDEX(学年度总表!$G$3:$G$1025,MATCH($E29,学年度总表!$E$3:$E$1025,0)))</f>
        <v>10</v>
      </c>
      <c r="H29" s="3">
        <f>IF(INDEX(学年度总表!$H$3:$H$1025,MATCH($E29,学年度总表!$E$3:$E$1025,0))="","",INDEX(学年度总表!$H$3:$H$1025,MATCH($E29,学年度总表!$E$3:$E$1025,0)))</f>
        <v>66.918367346938794</v>
      </c>
      <c r="I29" s="3">
        <f>IF(INDEX(学年度总表!$I$3:$I$1025,MATCH($E29,学年度总表!$E$3:$E$1025,0))="","",INDEX(学年度总表!$I$3:$I$1025,MATCH($E29,学年度总表!$E$3:$E$1025,0)))</f>
        <v>3.7</v>
      </c>
      <c r="J29" s="3">
        <f>IF(INDEX(学年度总表!$J$3:$J$1025,MATCH($E29,学年度总表!$E$3:$E$1025,0))="","",INDEX(学年度总表!$J$3:$J$1025,MATCH($E29,学年度总表!$E$3:$E$1025,0)))</f>
        <v>80.62</v>
      </c>
      <c r="K29" s="3">
        <f>IF(INDEX(学年度总表!$K$3:$K$1025,MATCH($E29,学年度总表!$E$3:$E$1025,0))="","",INDEX(学年度总表!$K$3:$K$1025,MATCH($E29,学年度总表!$E$3:$E$1025,0)))</f>
        <v>9.8000000000000007</v>
      </c>
      <c r="L29" s="3">
        <f>IF(INDEX(学年度总表!$L$3:$L$1025,MATCH($E29,学年度总表!$E$3:$E$1025,0))="","",INDEX(学年度总表!$L$3:$L$1025,MATCH($E29,学年度总表!$E$3:$E$1025,0)))</f>
        <v>65.64</v>
      </c>
      <c r="M29" s="3">
        <f>IF(INDEX(学年度总表!$M$3:$M$1025,MATCH($E29,学年度总表!$E$3:$E$1025,0))="","",INDEX(学年度总表!$M$3:$M$1025,MATCH($E29,学年度总表!$E$3:$E$1025,0)))</f>
        <v>4.7</v>
      </c>
      <c r="N29" s="3">
        <f>IF(INDEX(学年度总表!$N$3:$N$1025,MATCH($E29,学年度总表!$E$3:$E$1025,0))="","",INDEX(学年度总表!$N$3:$N$1025,MATCH($E29,学年度总表!$E$3:$E$1025,0)))</f>
        <v>80.14</v>
      </c>
      <c r="O29" s="3">
        <f>IF(INDEX(学年度总表!$O$3:$O$1025,MATCH($E29,学年度总表!$E$3:$E$1025,0))="","",INDEX(学年度总表!$O$3:$O$1025,MATCH($E29,学年度总表!$E$3:$E$1025,0)))</f>
        <v>160.76</v>
      </c>
      <c r="P29" s="4" t="str">
        <f>IF(INDEX(学年度总表!$P$3:$P$1025,MATCH($E29,学年度总表!$E$3:$E$1025,0))="","",INDEX(学年度总表!$P$3:$P$1025,MATCH($E29,学年度总表!$E$3:$E$1025,0)))</f>
        <v>校三等</v>
      </c>
      <c r="Q29" s="5" t="str">
        <f>IF(INDEX(学年度总表!$Q$3:$Q$1025,MATCH($E29,学年度总表!$E$3:$E$1025,0))="","",INDEX(学年度总表!$Q$3:$Q$1025,MATCH($E29,学年度总表!$E$3:$E$1025,0)))</f>
        <v/>
      </c>
    </row>
    <row r="30" spans="1:17">
      <c r="A30" s="2">
        <f>IF(INDEX(学年度总表!$A$3:$A$1025,MATCH($E30,学年度总表!$E$3:$E$1025,0))="","",INDEX(学年度总表!$A$3:$A$1025,MATCH($E30,学年度总表!$E$3:$E$1025,0)))</f>
        <v>72</v>
      </c>
      <c r="B30" s="2">
        <f>IF(INDEX(学年度总表!$B$3:$B$1025,MATCH($E30,学年度总表!$E$3:$E$1025,0))="","",INDEX(学年度总表!$B$3:$B$1025,MATCH($E30,学年度总表!$E$3:$E$1025,0)))</f>
        <v>28</v>
      </c>
      <c r="C30" s="2" t="str">
        <f>IF(INDEX(学年度总表!$C$3:$C$1025,MATCH($E30,学年度总表!$E$3:$E$1025,0))="","",INDEX(学年度总表!$C$3:$C$1025,MATCH($E30,学年度总表!$E$3:$E$1025,0)))</f>
        <v>软工</v>
      </c>
      <c r="D30" s="2" t="str">
        <f>IF(INDEX(学年度总表!$D$3:$D$1025,MATCH($E30,学年度总表!$E$3:$E$1025,0))="","",INDEX(学年度总表!$D$3:$D$1025,MATCH($E30,学年度总表!$E$3:$E$1025,0)))</f>
        <v>软工14班</v>
      </c>
      <c r="E30" s="2" t="s">
        <v>192</v>
      </c>
      <c r="F30" s="2" t="str">
        <f>IF(INDEX(学年度总表!$F$3:$F$1025,MATCH($E30,学年度总表!$E$3:$E$1025,0))="","",INDEX(学年度总表!$F$3:$F$1025,MATCH($E30,学年度总表!$E$3:$E$1025,0)))</f>
        <v>韩沛霖</v>
      </c>
      <c r="G30" s="3">
        <f>IF(INDEX(学年度总表!$G$3:$G$1025,MATCH($E30,学年度总表!$E$3:$E$1025,0))="","",INDEX(学年度总表!$G$3:$G$1025,MATCH($E30,学年度总表!$E$3:$E$1025,0)))</f>
        <v>11.3</v>
      </c>
      <c r="H30" s="3">
        <f>IF(INDEX(学年度总表!$H$3:$H$1025,MATCH($E30,学年度总表!$E$3:$E$1025,0))="","",INDEX(学年度总表!$H$3:$H$1025,MATCH($E30,学年度总表!$E$3:$E$1025,0)))</f>
        <v>63.06</v>
      </c>
      <c r="I30" s="3">
        <f>IF(INDEX(学年度总表!$I$3:$I$1025,MATCH($E30,学年度总表!$E$3:$E$1025,0))="","",INDEX(学年度总表!$I$3:$I$1025,MATCH($E30,学年度总表!$E$3:$E$1025,0)))</f>
        <v>5.4</v>
      </c>
      <c r="J30" s="3">
        <f>IF(INDEX(学年度总表!$J$3:$J$1025,MATCH($E30,学年度总表!$E$3:$E$1025,0))="","",INDEX(学年度总表!$J$3:$J$1025,MATCH($E30,学年度总表!$E$3:$E$1025,0)))</f>
        <v>79.760000000000005</v>
      </c>
      <c r="K30" s="3">
        <f>IF(INDEX(学年度总表!$K$3:$K$1025,MATCH($E30,学年度总表!$E$3:$E$1025,0))="","",INDEX(学年度总表!$K$3:$K$1025,MATCH($E30,学年度总表!$E$3:$E$1025,0)))</f>
        <v>9.8000000000000007</v>
      </c>
      <c r="L30" s="3">
        <f>IF(INDEX(学年度总表!$L$3:$L$1025,MATCH($E30,学年度总表!$E$3:$E$1025,0))="","",INDEX(学年度总表!$L$3:$L$1025,MATCH($E30,学年度总表!$E$3:$E$1025,0)))</f>
        <v>62.05</v>
      </c>
      <c r="M30" s="3">
        <f>IF(INDEX(学年度总表!$M$3:$M$1025,MATCH($E30,学年度总表!$E$3:$E$1025,0))="","",INDEX(学年度总表!$M$3:$M$1025,MATCH($E30,学年度总表!$E$3:$E$1025,0)))</f>
        <v>9</v>
      </c>
      <c r="N30" s="3">
        <f>IF(INDEX(学年度总表!$N$3:$N$1025,MATCH($E30,学年度总表!$E$3:$E$1025,0))="","",INDEX(学年度总表!$N$3:$N$1025,MATCH($E30,学年度总表!$E$3:$E$1025,0)))</f>
        <v>80.849999999999994</v>
      </c>
      <c r="O30" s="3">
        <f>IF(INDEX(学年度总表!$O$3:$O$1025,MATCH($E30,学年度总表!$E$3:$E$1025,0))="","",INDEX(学年度总表!$O$3:$O$1025,MATCH($E30,学年度总表!$E$3:$E$1025,0)))</f>
        <v>160.61000000000001</v>
      </c>
      <c r="P30" s="4" t="str">
        <f>IF(INDEX(学年度总表!$P$3:$P$1025,MATCH($E30,学年度总表!$E$3:$E$1025,0))="","",INDEX(学年度总表!$P$3:$P$1025,MATCH($E30,学年度总表!$E$3:$E$1025,0)))</f>
        <v>校三等、文体奖学金</v>
      </c>
      <c r="Q30" s="5" t="str">
        <f>IF(INDEX(学年度总表!$Q$3:$Q$1025,MATCH($E30,学年度总表!$E$3:$E$1025,0))="","",INDEX(学年度总表!$Q$3:$Q$1025,MATCH($E30,学年度总表!$E$3:$E$1025,0)))</f>
        <v/>
      </c>
    </row>
    <row r="31" spans="1:17" ht="30">
      <c r="A31" s="2">
        <f>IF(INDEX(学年度总表!$A$3:$A$1025,MATCH($E31,学年度总表!$E$3:$E$1025,0))="","",INDEX(学年度总表!$A$3:$A$1025,MATCH($E31,学年度总表!$E$3:$E$1025,0)))</f>
        <v>76</v>
      </c>
      <c r="B31" s="2">
        <f>IF(INDEX(学年度总表!$B$3:$B$1025,MATCH($E31,学年度总表!$E$3:$E$1025,0))="","",INDEX(学年度总表!$B$3:$B$1025,MATCH($E31,学年度总表!$E$3:$E$1025,0)))</f>
        <v>29</v>
      </c>
      <c r="C31" s="2" t="str">
        <f>IF(INDEX(学年度总表!$C$3:$C$1025,MATCH($E31,学年度总表!$E$3:$E$1025,0))="","",INDEX(学年度总表!$C$3:$C$1025,MATCH($E31,学年度总表!$E$3:$E$1025,0)))</f>
        <v>软工</v>
      </c>
      <c r="D31" s="2" t="str">
        <f>IF(INDEX(学年度总表!$D$3:$D$1025,MATCH($E31,学年度总表!$E$3:$E$1025,0))="","",INDEX(学年度总表!$D$3:$D$1025,MATCH($E31,学年度总表!$E$3:$E$1025,0)))</f>
        <v>软工7班</v>
      </c>
      <c r="E31" s="2" t="s">
        <v>201</v>
      </c>
      <c r="F31" s="2" t="str">
        <f>IF(INDEX(学年度总表!$F$3:$F$1025,MATCH($E31,学年度总表!$E$3:$E$1025,0))="","",INDEX(学年度总表!$F$3:$F$1025,MATCH($E31,学年度总表!$E$3:$E$1025,0)))</f>
        <v>周子奕</v>
      </c>
      <c r="G31" s="3">
        <f>IF(INDEX(学年度总表!$G$3:$G$1025,MATCH($E31,学年度总表!$E$3:$E$1025,0))="","",INDEX(学年度总表!$G$3:$G$1025,MATCH($E31,学年度总表!$E$3:$E$1025,0)))</f>
        <v>9.8000000000000007</v>
      </c>
      <c r="H31" s="3">
        <f>IF(INDEX(学年度总表!$H$3:$H$1025,MATCH($E31,学年度总表!$E$3:$E$1025,0))="","",INDEX(学年度总表!$H$3:$H$1025,MATCH($E31,学年度总表!$E$3:$E$1025,0)))</f>
        <v>66.06</v>
      </c>
      <c r="I31" s="3">
        <f>IF(INDEX(学年度总表!$I$3:$I$1025,MATCH($E31,学年度总表!$E$3:$E$1025,0))="","",INDEX(学年度总表!$I$3:$I$1025,MATCH($E31,学年度总表!$E$3:$E$1025,0)))</f>
        <v>4</v>
      </c>
      <c r="J31" s="3">
        <f>IF(INDEX(学年度总表!$J$3:$J$1025,MATCH($E31,学年度总表!$E$3:$E$1025,0))="","",INDEX(学年度总表!$J$3:$J$1025,MATCH($E31,学年度总表!$E$3:$E$1025,0)))</f>
        <v>79.86</v>
      </c>
      <c r="K31" s="3">
        <f>IF(INDEX(学年度总表!$K$3:$K$1025,MATCH($E31,学年度总表!$E$3:$E$1025,0))="","",INDEX(学年度总表!$K$3:$K$1025,MATCH($E31,学年度总表!$E$3:$E$1025,0)))</f>
        <v>11.8</v>
      </c>
      <c r="L31" s="3">
        <f>IF(INDEX(学年度总表!$L$3:$L$1025,MATCH($E31,学年度总表!$E$3:$E$1025,0))="","",INDEX(学年度总表!$L$3:$L$1025,MATCH($E31,学年度总表!$E$3:$E$1025,0)))</f>
        <v>64.45</v>
      </c>
      <c r="M31" s="3">
        <f>IF(INDEX(学年度总表!$M$3:$M$1025,MATCH($E31,学年度总表!$E$3:$E$1025,0))="","",INDEX(学年度总表!$M$3:$M$1025,MATCH($E31,学年度总表!$E$3:$E$1025,0)))</f>
        <v>4.2</v>
      </c>
      <c r="N31" s="3">
        <f>IF(INDEX(学年度总表!$N$3:$N$1025,MATCH($E31,学年度总表!$E$3:$E$1025,0))="","",INDEX(学年度总表!$N$3:$N$1025,MATCH($E31,学年度总表!$E$3:$E$1025,0)))</f>
        <v>80.45</v>
      </c>
      <c r="O31" s="3">
        <f>IF(INDEX(学年度总表!$O$3:$O$1025,MATCH($E31,学年度总表!$E$3:$E$1025,0))="","",INDEX(学年度总表!$O$3:$O$1025,MATCH($E31,学年度总表!$E$3:$E$1025,0)))</f>
        <v>160.31</v>
      </c>
      <c r="P31" s="4" t="str">
        <f>IF(INDEX(学年度总表!$P$3:$P$1025,MATCH($E31,学年度总表!$E$3:$E$1025,0))="","",INDEX(学年度总表!$P$3:$P$1025,MATCH($E31,学年度总表!$E$3:$E$1025,0)))</f>
        <v>校三等、优秀学生教官</v>
      </c>
      <c r="Q31" s="5" t="str">
        <f>IF(INDEX(学年度总表!$Q$3:$Q$1025,MATCH($E31,学年度总表!$E$3:$E$1025,0))="","",INDEX(学年度总表!$Q$3:$Q$1025,MATCH($E31,学年度总表!$E$3:$E$1025,0)))</f>
        <v/>
      </c>
    </row>
    <row r="32" spans="1:17">
      <c r="A32" s="2">
        <f>IF(INDEX(学年度总表!$A$3:$A$1025,MATCH($E32,学年度总表!$E$3:$E$1025,0))="","",INDEX(学年度总表!$A$3:$A$1025,MATCH($E32,学年度总表!$E$3:$E$1025,0)))</f>
        <v>78</v>
      </c>
      <c r="B32" s="2">
        <f>IF(INDEX(学年度总表!$B$3:$B$1025,MATCH($E32,学年度总表!$E$3:$E$1025,0))="","",INDEX(学年度总表!$B$3:$B$1025,MATCH($E32,学年度总表!$E$3:$E$1025,0)))</f>
        <v>30</v>
      </c>
      <c r="C32" s="2" t="str">
        <f>IF(INDEX(学年度总表!$C$3:$C$1025,MATCH($E32,学年度总表!$E$3:$E$1025,0))="","",INDEX(学年度总表!$C$3:$C$1025,MATCH($E32,学年度总表!$E$3:$E$1025,0)))</f>
        <v>软工</v>
      </c>
      <c r="D32" s="2" t="str">
        <f>IF(INDEX(学年度总表!$D$3:$D$1025,MATCH($E32,学年度总表!$E$3:$E$1025,0))="","",INDEX(学年度总表!$D$3:$D$1025,MATCH($E32,学年度总表!$E$3:$E$1025,0)))</f>
        <v>软工10班</v>
      </c>
      <c r="E32" s="2" t="s">
        <v>206</v>
      </c>
      <c r="F32" s="2" t="str">
        <f>IF(INDEX(学年度总表!$F$3:$F$1025,MATCH($E32,学年度总表!$E$3:$E$1025,0))="","",INDEX(学年度总表!$F$3:$F$1025,MATCH($E32,学年度总表!$E$3:$E$1025,0)))</f>
        <v>王梓桐</v>
      </c>
      <c r="G32" s="3">
        <f>IF(INDEX(学年度总表!$G$3:$G$1025,MATCH($E32,学年度总表!$E$3:$E$1025,0))="","",INDEX(学年度总表!$G$3:$G$1025,MATCH($E32,学年度总表!$E$3:$E$1025,0)))</f>
        <v>9.8000000000000007</v>
      </c>
      <c r="H32" s="3">
        <f>IF(INDEX(学年度总表!$H$3:$H$1025,MATCH($E32,学年度总表!$E$3:$E$1025,0))="","",INDEX(学年度总表!$H$3:$H$1025,MATCH($E32,学年度总表!$E$3:$E$1025,0)))</f>
        <v>68.59</v>
      </c>
      <c r="I32" s="3">
        <f>IF(INDEX(学年度总表!$I$3:$I$1025,MATCH($E32,学年度总表!$E$3:$E$1025,0))="","",INDEX(学年度总表!$I$3:$I$1025,MATCH($E32,学年度总表!$E$3:$E$1025,0)))</f>
        <v>3</v>
      </c>
      <c r="J32" s="3">
        <f>IF(INDEX(学年度总表!$J$3:$J$1025,MATCH($E32,学年度总表!$E$3:$E$1025,0))="","",INDEX(学年度总表!$J$3:$J$1025,MATCH($E32,学年度总表!$E$3:$E$1025,0)))</f>
        <v>81.39</v>
      </c>
      <c r="K32" s="3">
        <f>IF(INDEX(学年度总表!$K$3:$K$1025,MATCH($E32,学年度总表!$E$3:$E$1025,0))="","",INDEX(学年度总表!$K$3:$K$1025,MATCH($E32,学年度总表!$E$3:$E$1025,0)))</f>
        <v>9.8000000000000007</v>
      </c>
      <c r="L32" s="3">
        <f>IF(INDEX(学年度总表!$L$3:$L$1025,MATCH($E32,学年度总表!$E$3:$E$1025,0))="","",INDEX(学年度总表!$L$3:$L$1025,MATCH($E32,学年度总表!$E$3:$E$1025,0)))</f>
        <v>65.5</v>
      </c>
      <c r="M32" s="3">
        <f>IF(INDEX(学年度总表!$M$3:$M$1025,MATCH($E32,学年度总表!$E$3:$E$1025,0))="","",INDEX(学年度总表!$M$3:$M$1025,MATCH($E32,学年度总表!$E$3:$E$1025,0)))</f>
        <v>3.5</v>
      </c>
      <c r="N32" s="3">
        <f>IF(INDEX(学年度总表!$N$3:$N$1025,MATCH($E32,学年度总表!$E$3:$E$1025,0))="","",INDEX(学年度总表!$N$3:$N$1025,MATCH($E32,学年度总表!$E$3:$E$1025,0)))</f>
        <v>78.8</v>
      </c>
      <c r="O32" s="3">
        <f>IF(INDEX(学年度总表!$O$3:$O$1025,MATCH($E32,学年度总表!$E$3:$E$1025,0))="","",INDEX(学年度总表!$O$3:$O$1025,MATCH($E32,学年度总表!$E$3:$E$1025,0)))</f>
        <v>160.19</v>
      </c>
      <c r="P32" s="4" t="str">
        <f>IF(INDEX(学年度总表!$P$3:$P$1025,MATCH($E32,学年度总表!$E$3:$E$1025,0))="","",INDEX(学年度总表!$P$3:$P$1025,MATCH($E32,学年度总表!$E$3:$E$1025,0)))</f>
        <v>校三等</v>
      </c>
      <c r="Q32" s="5" t="str">
        <f>IF(INDEX(学年度总表!$Q$3:$Q$1025,MATCH($E32,学年度总表!$E$3:$E$1025,0))="","",INDEX(学年度总表!$Q$3:$Q$1025,MATCH($E32,学年度总表!$E$3:$E$1025,0)))</f>
        <v/>
      </c>
    </row>
    <row r="33" spans="1:17">
      <c r="A33" s="2">
        <f>IF(INDEX(学年度总表!$A$3:$A$1025,MATCH($E33,学年度总表!$E$3:$E$1025,0))="","",INDEX(学年度总表!$A$3:$A$1025,MATCH($E33,学年度总表!$E$3:$E$1025,0)))</f>
        <v>80</v>
      </c>
      <c r="B33" s="2">
        <f>IF(INDEX(学年度总表!$B$3:$B$1025,MATCH($E33,学年度总表!$E$3:$E$1025,0))="","",INDEX(学年度总表!$B$3:$B$1025,MATCH($E33,学年度总表!$E$3:$E$1025,0)))</f>
        <v>31</v>
      </c>
      <c r="C33" s="2" t="str">
        <f>IF(INDEX(学年度总表!$C$3:$C$1025,MATCH($E33,学年度总表!$E$3:$E$1025,0))="","",INDEX(学年度总表!$C$3:$C$1025,MATCH($E33,学年度总表!$E$3:$E$1025,0)))</f>
        <v>软工</v>
      </c>
      <c r="D33" s="2" t="str">
        <f>IF(INDEX(学年度总表!$D$3:$D$1025,MATCH($E33,学年度总表!$E$3:$E$1025,0))="","",INDEX(学年度总表!$D$3:$D$1025,MATCH($E33,学年度总表!$E$3:$E$1025,0)))</f>
        <v>软工6班</v>
      </c>
      <c r="E33" s="2" t="s">
        <v>210</v>
      </c>
      <c r="F33" s="2" t="str">
        <f>IF(INDEX(学年度总表!$F$3:$F$1025,MATCH($E33,学年度总表!$E$3:$E$1025,0))="","",INDEX(学年度总表!$F$3:$F$1025,MATCH($E33,学年度总表!$E$3:$E$1025,0)))</f>
        <v>李昱含</v>
      </c>
      <c r="G33" s="3">
        <f>IF(INDEX(学年度总表!$G$3:$G$1025,MATCH($E33,学年度总表!$E$3:$E$1025,0))="","",INDEX(学年度总表!$G$3:$G$1025,MATCH($E33,学年度总表!$E$3:$E$1025,0)))</f>
        <v>7.3</v>
      </c>
      <c r="H33" s="3">
        <f>IF(INDEX(学年度总表!$H$3:$H$1025,MATCH($E33,学年度总表!$E$3:$E$1025,0))="","",INDEX(学年度总表!$H$3:$H$1025,MATCH($E33,学年度总表!$E$3:$E$1025,0)))</f>
        <v>68.632653061224502</v>
      </c>
      <c r="I33" s="3">
        <f>IF(INDEX(学年度总表!$I$3:$I$1025,MATCH($E33,学年度总表!$E$3:$E$1025,0))="","",INDEX(学年度总表!$I$3:$I$1025,MATCH($E33,学年度总表!$E$3:$E$1025,0)))</f>
        <v>4.5</v>
      </c>
      <c r="J33" s="3">
        <f>IF(INDEX(学年度总表!$J$3:$J$1025,MATCH($E33,学年度总表!$E$3:$E$1025,0))="","",INDEX(学年度总表!$J$3:$J$1025,MATCH($E33,学年度总表!$E$3:$E$1025,0)))</f>
        <v>80.430000000000007</v>
      </c>
      <c r="K33" s="3">
        <f>IF(INDEX(学年度总表!$K$3:$K$1025,MATCH($E33,学年度总表!$E$3:$E$1025,0))="","",INDEX(学年度总表!$K$3:$K$1025,MATCH($E33,学年度总表!$E$3:$E$1025,0)))</f>
        <v>9.8000000000000007</v>
      </c>
      <c r="L33" s="3">
        <f>IF(INDEX(学年度总表!$L$3:$L$1025,MATCH($E33,学年度总表!$E$3:$E$1025,0))="","",INDEX(学年度总表!$L$3:$L$1025,MATCH($E33,学年度总表!$E$3:$E$1025,0)))</f>
        <v>66.069999999999993</v>
      </c>
      <c r="M33" s="3">
        <f>IF(INDEX(学年度总表!$M$3:$M$1025,MATCH($E33,学年度总表!$E$3:$E$1025,0))="","",INDEX(学年度总表!$M$3:$M$1025,MATCH($E33,学年度总表!$E$3:$E$1025,0)))</f>
        <v>3.8</v>
      </c>
      <c r="N33" s="3">
        <f>IF(INDEX(学年度总表!$N$3:$N$1025,MATCH($E33,学年度总表!$E$3:$E$1025,0))="","",INDEX(学年度总表!$N$3:$N$1025,MATCH($E33,学年度总表!$E$3:$E$1025,0)))</f>
        <v>79.67</v>
      </c>
      <c r="O33" s="3">
        <f>IF(INDEX(学年度总表!$O$3:$O$1025,MATCH($E33,学年度总表!$E$3:$E$1025,0))="","",INDEX(学年度总表!$O$3:$O$1025,MATCH($E33,学年度总表!$E$3:$E$1025,0)))</f>
        <v>160.1</v>
      </c>
      <c r="P33" s="4" t="str">
        <f>IF(INDEX(学年度总表!$P$3:$P$1025,MATCH($E33,学年度总表!$E$3:$E$1025,0))="","",INDEX(学年度总表!$P$3:$P$1025,MATCH($E33,学年度总表!$E$3:$E$1025,0)))</f>
        <v>校三等</v>
      </c>
      <c r="Q33" s="5" t="str">
        <f>IF(INDEX(学年度总表!$Q$3:$Q$1025,MATCH($E33,学年度总表!$E$3:$E$1025,0))="","",INDEX(学年度总表!$Q$3:$Q$1025,MATCH($E33,学年度总表!$E$3:$E$1025,0)))</f>
        <v/>
      </c>
    </row>
    <row r="34" spans="1:17">
      <c r="A34" s="2">
        <f>IF(INDEX(学年度总表!$A$3:$A$1025,MATCH($E34,学年度总表!$E$3:$E$1025,0))="","",INDEX(学年度总表!$A$3:$A$1025,MATCH($E34,学年度总表!$E$3:$E$1025,0)))</f>
        <v>82</v>
      </c>
      <c r="B34" s="2">
        <f>IF(INDEX(学年度总表!$B$3:$B$1025,MATCH($E34,学年度总表!$E$3:$E$1025,0))="","",INDEX(学年度总表!$B$3:$B$1025,MATCH($E34,学年度总表!$E$3:$E$1025,0)))</f>
        <v>32</v>
      </c>
      <c r="C34" s="2" t="str">
        <f>IF(INDEX(学年度总表!$C$3:$C$1025,MATCH($E34,学年度总表!$E$3:$E$1025,0))="","",INDEX(学年度总表!$C$3:$C$1025,MATCH($E34,学年度总表!$E$3:$E$1025,0)))</f>
        <v>软工</v>
      </c>
      <c r="D34" s="2" t="str">
        <f>IF(INDEX(学年度总表!$D$3:$D$1025,MATCH($E34,学年度总表!$E$3:$E$1025,0))="","",INDEX(学年度总表!$D$3:$D$1025,MATCH($E34,学年度总表!$E$3:$E$1025,0)))</f>
        <v>软工11班</v>
      </c>
      <c r="E34" s="2" t="s">
        <v>214</v>
      </c>
      <c r="F34" s="2" t="str">
        <f>IF(INDEX(学年度总表!$F$3:$F$1025,MATCH($E34,学年度总表!$E$3:$E$1025,0))="","",INDEX(学年度总表!$F$3:$F$1025,MATCH($E34,学年度总表!$E$3:$E$1025,0)))</f>
        <v>刘美彤</v>
      </c>
      <c r="G34" s="3">
        <f>IF(INDEX(学年度总表!$G$3:$G$1025,MATCH($E34,学年度总表!$E$3:$E$1025,0))="","",INDEX(学年度总表!$G$3:$G$1025,MATCH($E34,学年度总表!$E$3:$E$1025,0)))</f>
        <v>10</v>
      </c>
      <c r="H34" s="3">
        <f>IF(INDEX(学年度总表!$H$3:$H$1025,MATCH($E34,学年度总表!$E$3:$E$1025,0))="","",INDEX(学年度总表!$H$3:$H$1025,MATCH($E34,学年度总表!$E$3:$E$1025,0)))</f>
        <v>69</v>
      </c>
      <c r="I34" s="3">
        <f>IF(INDEX(学年度总表!$I$3:$I$1025,MATCH($E34,学年度总表!$E$3:$E$1025,0))="","",INDEX(学年度总表!$I$3:$I$1025,MATCH($E34,学年度总表!$E$3:$E$1025,0)))</f>
        <v>3</v>
      </c>
      <c r="J34" s="3">
        <f>IF(INDEX(学年度总表!$J$3:$J$1025,MATCH($E34,学年度总表!$E$3:$E$1025,0))="","",INDEX(学年度总表!$J$3:$J$1025,MATCH($E34,学年度总表!$E$3:$E$1025,0)))</f>
        <v>82</v>
      </c>
      <c r="K34" s="3">
        <f>IF(INDEX(学年度总表!$K$3:$K$1025,MATCH($E34,学年度总表!$E$3:$E$1025,0))="","",INDEX(学年度总表!$K$3:$K$1025,MATCH($E34,学年度总表!$E$3:$E$1025,0)))</f>
        <v>10</v>
      </c>
      <c r="L34" s="3">
        <f>IF(INDEX(学年度总表!$L$3:$L$1025,MATCH($E34,学年度总表!$E$3:$E$1025,0))="","",INDEX(学年度总表!$L$3:$L$1025,MATCH($E34,学年度总表!$E$3:$E$1025,0)))</f>
        <v>64.319999999999993</v>
      </c>
      <c r="M34" s="3">
        <f>IF(INDEX(学年度总表!$M$3:$M$1025,MATCH($E34,学年度总表!$E$3:$E$1025,0))="","",INDEX(学年度总表!$M$3:$M$1025,MATCH($E34,学年度总表!$E$3:$E$1025,0)))</f>
        <v>3</v>
      </c>
      <c r="N34" s="3">
        <f>IF(INDEX(学年度总表!$N$3:$N$1025,MATCH($E34,学年度总表!$E$3:$E$1025,0))="","",INDEX(学年度总表!$N$3:$N$1025,MATCH($E34,学年度总表!$E$3:$E$1025,0)))</f>
        <v>77.319999999999993</v>
      </c>
      <c r="O34" s="3">
        <f>IF(INDEX(学年度总表!$O$3:$O$1025,MATCH($E34,学年度总表!$E$3:$E$1025,0))="","",INDEX(学年度总表!$O$3:$O$1025,MATCH($E34,学年度总表!$E$3:$E$1025,0)))</f>
        <v>159.32</v>
      </c>
      <c r="P34" s="4" t="str">
        <f>IF(INDEX(学年度总表!$P$3:$P$1025,MATCH($E34,学年度总表!$E$3:$E$1025,0))="","",INDEX(学年度总表!$P$3:$P$1025,MATCH($E34,学年度总表!$E$3:$E$1025,0)))</f>
        <v>校三等</v>
      </c>
      <c r="Q34" s="5" t="str">
        <f>IF(INDEX(学年度总表!$Q$3:$Q$1025,MATCH($E34,学年度总表!$E$3:$E$1025,0))="","",INDEX(学年度总表!$Q$3:$Q$1025,MATCH($E34,学年度总表!$E$3:$E$1025,0)))</f>
        <v/>
      </c>
    </row>
    <row r="35" spans="1:17">
      <c r="A35" s="2">
        <f>IF(INDEX(学年度总表!$A$3:$A$1025,MATCH($E35,学年度总表!$E$3:$E$1025,0))="","",INDEX(学年度总表!$A$3:$A$1025,MATCH($E35,学年度总表!$E$3:$E$1025,0)))</f>
        <v>83</v>
      </c>
      <c r="B35" s="2">
        <f>IF(INDEX(学年度总表!$B$3:$B$1025,MATCH($E35,学年度总表!$E$3:$E$1025,0))="","",INDEX(学年度总表!$B$3:$B$1025,MATCH($E35,学年度总表!$E$3:$E$1025,0)))</f>
        <v>33</v>
      </c>
      <c r="C35" s="2" t="str">
        <f>IF(INDEX(学年度总表!$C$3:$C$1025,MATCH($E35,学年度总表!$E$3:$E$1025,0))="","",INDEX(学年度总表!$C$3:$C$1025,MATCH($E35,学年度总表!$E$3:$E$1025,0)))</f>
        <v>软工</v>
      </c>
      <c r="D35" s="2" t="str">
        <f>IF(INDEX(学年度总表!$D$3:$D$1025,MATCH($E35,学年度总表!$E$3:$E$1025,0))="","",INDEX(学年度总表!$D$3:$D$1025,MATCH($E35,学年度总表!$E$3:$E$1025,0)))</f>
        <v>软工6班</v>
      </c>
      <c r="E35" s="2" t="s">
        <v>216</v>
      </c>
      <c r="F35" s="2" t="str">
        <f>IF(INDEX(学年度总表!$F$3:$F$1025,MATCH($E35,学年度总表!$E$3:$E$1025,0))="","",INDEX(学年度总表!$F$3:$F$1025,MATCH($E35,学年度总表!$E$3:$E$1025,0)))</f>
        <v>刘可畅</v>
      </c>
      <c r="G35" s="3">
        <f>IF(INDEX(学年度总表!$G$3:$G$1025,MATCH($E35,学年度总表!$E$3:$E$1025,0))="","",INDEX(学年度总表!$G$3:$G$1025,MATCH($E35,学年度总表!$E$3:$E$1025,0)))</f>
        <v>10</v>
      </c>
      <c r="H35" s="3">
        <f>IF(INDEX(学年度总表!$H$3:$H$1025,MATCH($E35,学年度总表!$E$3:$E$1025,0))="","",INDEX(学年度总表!$H$3:$H$1025,MATCH($E35,学年度总表!$E$3:$E$1025,0)))</f>
        <v>66.233333333333306</v>
      </c>
      <c r="I35" s="3">
        <f>IF(INDEX(学年度总表!$I$3:$I$1025,MATCH($E35,学年度总表!$E$3:$E$1025,0))="","",INDEX(学年度总表!$I$3:$I$1025,MATCH($E35,学年度总表!$E$3:$E$1025,0)))</f>
        <v>5.9</v>
      </c>
      <c r="J35" s="3">
        <f>IF(INDEX(学年度总表!$J$3:$J$1025,MATCH($E35,学年度总表!$E$3:$E$1025,0))="","",INDEX(学年度总表!$J$3:$J$1025,MATCH($E35,学年度总表!$E$3:$E$1025,0)))</f>
        <v>82.13</v>
      </c>
      <c r="K35" s="3">
        <f>IF(INDEX(学年度总表!$K$3:$K$1025,MATCH($E35,学年度总表!$E$3:$E$1025,0))="","",INDEX(学年度总表!$K$3:$K$1025,MATCH($E35,学年度总表!$E$3:$E$1025,0)))</f>
        <v>9.6</v>
      </c>
      <c r="L35" s="3">
        <f>IF(INDEX(学年度总表!$L$3:$L$1025,MATCH($E35,学年度总表!$E$3:$E$1025,0))="","",INDEX(学年度总表!$L$3:$L$1025,MATCH($E35,学年度总表!$E$3:$E$1025,0)))</f>
        <v>60.65</v>
      </c>
      <c r="M35" s="3">
        <f>IF(INDEX(学年度总表!$M$3:$M$1025,MATCH($E35,学年度总表!$E$3:$E$1025,0))="","",INDEX(学年度总表!$M$3:$M$1025,MATCH($E35,学年度总表!$E$3:$E$1025,0)))</f>
        <v>6.9</v>
      </c>
      <c r="N35" s="3">
        <f>IF(INDEX(学年度总表!$N$3:$N$1025,MATCH($E35,学年度总表!$E$3:$E$1025,0))="","",INDEX(学年度总表!$N$3:$N$1025,MATCH($E35,学年度总表!$E$3:$E$1025,0)))</f>
        <v>77.150000000000006</v>
      </c>
      <c r="O35" s="3">
        <f>IF(INDEX(学年度总表!$O$3:$O$1025,MATCH($E35,学年度总表!$E$3:$E$1025,0))="","",INDEX(学年度总表!$O$3:$O$1025,MATCH($E35,学年度总表!$E$3:$E$1025,0)))</f>
        <v>159.28</v>
      </c>
      <c r="P35" s="4" t="str">
        <f>IF(INDEX(学年度总表!$P$3:$P$1025,MATCH($E35,学年度总表!$E$3:$E$1025,0))="","",INDEX(学年度总表!$P$3:$P$1025,MATCH($E35,学年度总表!$E$3:$E$1025,0)))</f>
        <v>校三等</v>
      </c>
      <c r="Q35" s="5" t="str">
        <f>IF(INDEX(学年度总表!$Q$3:$Q$1025,MATCH($E35,学年度总表!$E$3:$E$1025,0))="","",INDEX(学年度总表!$Q$3:$Q$1025,MATCH($E35,学年度总表!$E$3:$E$1025,0)))</f>
        <v/>
      </c>
    </row>
    <row r="36" spans="1:17">
      <c r="A36" s="2">
        <f>IF(INDEX(学年度总表!$A$3:$A$1025,MATCH($E36,学年度总表!$E$3:$E$1025,0))="","",INDEX(学年度总表!$A$3:$A$1025,MATCH($E36,学年度总表!$E$3:$E$1025,0)))</f>
        <v>87</v>
      </c>
      <c r="B36" s="2">
        <f>IF(INDEX(学年度总表!$B$3:$B$1025,MATCH($E36,学年度总表!$E$3:$E$1025,0))="","",INDEX(学年度总表!$B$3:$B$1025,MATCH($E36,学年度总表!$E$3:$E$1025,0)))</f>
        <v>34</v>
      </c>
      <c r="C36" s="2" t="str">
        <f>IF(INDEX(学年度总表!$C$3:$C$1025,MATCH($E36,学年度总表!$E$3:$E$1025,0))="","",INDEX(学年度总表!$C$3:$C$1025,MATCH($E36,学年度总表!$E$3:$E$1025,0)))</f>
        <v>软工</v>
      </c>
      <c r="D36" s="2" t="str">
        <f>IF(INDEX(学年度总表!$D$3:$D$1025,MATCH($E36,学年度总表!$E$3:$E$1025,0))="","",INDEX(学年度总表!$D$3:$D$1025,MATCH($E36,学年度总表!$E$3:$E$1025,0)))</f>
        <v>软工12班</v>
      </c>
      <c r="E36" s="2" t="s">
        <v>225</v>
      </c>
      <c r="F36" s="2" t="str">
        <f>IF(INDEX(学年度总表!$F$3:$F$1025,MATCH($E36,学年度总表!$E$3:$E$1025,0))="","",INDEX(学年度总表!$F$3:$F$1025,MATCH($E36,学年度总表!$E$3:$E$1025,0)))</f>
        <v>郑惠元</v>
      </c>
      <c r="G36" s="3">
        <f>IF(INDEX(学年度总表!$G$3:$G$1025,MATCH($E36,学年度总表!$E$3:$E$1025,0))="","",INDEX(学年度总表!$G$3:$G$1025,MATCH($E36,学年度总表!$E$3:$E$1025,0)))</f>
        <v>10</v>
      </c>
      <c r="H36" s="3">
        <f>IF(INDEX(学年度总表!$H$3:$H$1025,MATCH($E36,学年度总表!$E$3:$E$1025,0))="","",INDEX(学年度总表!$H$3:$H$1025,MATCH($E36,学年度总表!$E$3:$E$1025,0)))</f>
        <v>63.23</v>
      </c>
      <c r="I36" s="3">
        <f>IF(INDEX(学年度总表!$I$3:$I$1025,MATCH($E36,学年度总表!$E$3:$E$1025,0))="","",INDEX(学年度总表!$I$3:$I$1025,MATCH($E36,学年度总表!$E$3:$E$1025,0)))</f>
        <v>4.8</v>
      </c>
      <c r="J36" s="3">
        <f>IF(INDEX(学年度总表!$J$3:$J$1025,MATCH($E36,学年度总表!$E$3:$E$1025,0))="","",INDEX(学年度总表!$J$3:$J$1025,MATCH($E36,学年度总表!$E$3:$E$1025,0)))</f>
        <v>78.03</v>
      </c>
      <c r="K36" s="3">
        <f>IF(INDEX(学年度总表!$K$3:$K$1025,MATCH($E36,学年度总表!$E$3:$E$1025,0))="","",INDEX(学年度总表!$K$3:$K$1025,MATCH($E36,学年度总表!$E$3:$E$1025,0)))</f>
        <v>10</v>
      </c>
      <c r="L36" s="3">
        <f>IF(INDEX(学年度总表!$L$3:$L$1025,MATCH($E36,学年度总表!$E$3:$E$1025,0))="","",INDEX(学年度总表!$L$3:$L$1025,MATCH($E36,学年度总表!$E$3:$E$1025,0)))</f>
        <v>64.86</v>
      </c>
      <c r="M36" s="3">
        <f>IF(INDEX(学年度总表!$M$3:$M$1025,MATCH($E36,学年度总表!$E$3:$E$1025,0))="","",INDEX(学年度总表!$M$3:$M$1025,MATCH($E36,学年度总表!$E$3:$E$1025,0)))</f>
        <v>6.3</v>
      </c>
      <c r="N36" s="3">
        <f>IF(INDEX(学年度总表!$N$3:$N$1025,MATCH($E36,学年度总表!$E$3:$E$1025,0))="","",INDEX(学年度总表!$N$3:$N$1025,MATCH($E36,学年度总表!$E$3:$E$1025,0)))</f>
        <v>81.16</v>
      </c>
      <c r="O36" s="3">
        <f>IF(INDEX(学年度总表!$O$3:$O$1025,MATCH($E36,学年度总表!$E$3:$E$1025,0))="","",INDEX(学年度总表!$O$3:$O$1025,MATCH($E36,学年度总表!$E$3:$E$1025,0)))</f>
        <v>159.19</v>
      </c>
      <c r="P36" s="4" t="str">
        <f>IF(INDEX(学年度总表!$P$3:$P$1025,MATCH($E36,学年度总表!$E$3:$E$1025,0))="","",INDEX(学年度总表!$P$3:$P$1025,MATCH($E36,学年度总表!$E$3:$E$1025,0)))</f>
        <v>校三等</v>
      </c>
      <c r="Q36" s="5" t="str">
        <f>IF(INDEX(学年度总表!$Q$3:$Q$1025,MATCH($E36,学年度总表!$E$3:$E$1025,0))="","",INDEX(学年度总表!$Q$3:$Q$1025,MATCH($E36,学年度总表!$E$3:$E$1025,0)))</f>
        <v/>
      </c>
    </row>
    <row r="37" spans="1:17">
      <c r="A37" s="2">
        <f>IF(INDEX(学年度总表!$A$3:$A$1025,MATCH($E37,学年度总表!$E$3:$E$1025,0))="","",INDEX(学年度总表!$A$3:$A$1025,MATCH($E37,学年度总表!$E$3:$E$1025,0)))</f>
        <v>88</v>
      </c>
      <c r="B37" s="2">
        <f>IF(INDEX(学年度总表!$B$3:$B$1025,MATCH($E37,学年度总表!$E$3:$E$1025,0))="","",INDEX(学年度总表!$B$3:$B$1025,MATCH($E37,学年度总表!$E$3:$E$1025,0)))</f>
        <v>35</v>
      </c>
      <c r="C37" s="2" t="str">
        <f>IF(INDEX(学年度总表!$C$3:$C$1025,MATCH($E37,学年度总表!$E$3:$E$1025,0))="","",INDEX(学年度总表!$C$3:$C$1025,MATCH($E37,学年度总表!$E$3:$E$1025,0)))</f>
        <v>软工</v>
      </c>
      <c r="D37" s="2" t="str">
        <f>IF(INDEX(学年度总表!$D$3:$D$1025,MATCH($E37,学年度总表!$E$3:$E$1025,0))="","",INDEX(学年度总表!$D$3:$D$1025,MATCH($E37,学年度总表!$E$3:$E$1025,0)))</f>
        <v>软工12班</v>
      </c>
      <c r="E37" s="2" t="s">
        <v>227</v>
      </c>
      <c r="F37" s="2" t="str">
        <f>IF(INDEX(学年度总表!$F$3:$F$1025,MATCH($E37,学年度总表!$E$3:$E$1025,0))="","",INDEX(学年度总表!$F$3:$F$1025,MATCH($E37,学年度总表!$E$3:$E$1025,0)))</f>
        <v>张雨晨</v>
      </c>
      <c r="G37" s="3">
        <f>IF(INDEX(学年度总表!$G$3:$G$1025,MATCH($E37,学年度总表!$E$3:$E$1025,0))="","",INDEX(学年度总表!$G$3:$G$1025,MATCH($E37,学年度总表!$E$3:$E$1025,0)))</f>
        <v>9.8000000000000007</v>
      </c>
      <c r="H37" s="3">
        <f>IF(INDEX(学年度总表!$H$3:$H$1025,MATCH($E37,学年度总表!$E$3:$E$1025,0))="","",INDEX(学年度总表!$H$3:$H$1025,MATCH($E37,学年度总表!$E$3:$E$1025,0)))</f>
        <v>66.52</v>
      </c>
      <c r="I37" s="3">
        <f>IF(INDEX(学年度总表!$I$3:$I$1025,MATCH($E37,学年度总表!$E$3:$E$1025,0))="","",INDEX(学年度总表!$I$3:$I$1025,MATCH($E37,学年度总表!$E$3:$E$1025,0)))</f>
        <v>3.7</v>
      </c>
      <c r="J37" s="3">
        <f>IF(INDEX(学年度总表!$J$3:$J$1025,MATCH($E37,学年度总表!$E$3:$E$1025,0))="","",INDEX(学年度总表!$J$3:$J$1025,MATCH($E37,学年度总表!$E$3:$E$1025,0)))</f>
        <v>80.02</v>
      </c>
      <c r="K37" s="3">
        <f>IF(INDEX(学年度总表!$K$3:$K$1025,MATCH($E37,学年度总表!$E$3:$E$1025,0))="","",INDEX(学年度总表!$K$3:$K$1025,MATCH($E37,学年度总表!$E$3:$E$1025,0)))</f>
        <v>9.8000000000000007</v>
      </c>
      <c r="L37" s="3">
        <f>IF(INDEX(学年度总表!$L$3:$L$1025,MATCH($E37,学年度总表!$E$3:$E$1025,0))="","",INDEX(学年度总表!$L$3:$L$1025,MATCH($E37,学年度总表!$E$3:$E$1025,0)))</f>
        <v>65.05</v>
      </c>
      <c r="M37" s="3">
        <f>IF(INDEX(学年度总表!$M$3:$M$1025,MATCH($E37,学年度总表!$E$3:$E$1025,0))="","",INDEX(学年度总表!$M$3:$M$1025,MATCH($E37,学年度总表!$E$3:$E$1025,0)))</f>
        <v>4.2</v>
      </c>
      <c r="N37" s="3">
        <f>IF(INDEX(学年度总表!$N$3:$N$1025,MATCH($E37,学年度总表!$E$3:$E$1025,0))="","",INDEX(学年度总表!$N$3:$N$1025,MATCH($E37,学年度总表!$E$3:$E$1025,0)))</f>
        <v>79.05</v>
      </c>
      <c r="O37" s="3">
        <f>IF(INDEX(学年度总表!$O$3:$O$1025,MATCH($E37,学年度总表!$E$3:$E$1025,0))="","",INDEX(学年度总表!$O$3:$O$1025,MATCH($E37,学年度总表!$E$3:$E$1025,0)))</f>
        <v>159.07</v>
      </c>
      <c r="P37" s="4" t="str">
        <f>IF(INDEX(学年度总表!$P$3:$P$1025,MATCH($E37,学年度总表!$E$3:$E$1025,0))="","",INDEX(学年度总表!$P$3:$P$1025,MATCH($E37,学年度总表!$E$3:$E$1025,0)))</f>
        <v>校三等</v>
      </c>
      <c r="Q37" s="5" t="str">
        <f>IF(INDEX(学年度总表!$Q$3:$Q$1025,MATCH($E37,学年度总表!$E$3:$E$1025,0))="","",INDEX(学年度总表!$Q$3:$Q$1025,MATCH($E37,学年度总表!$E$3:$E$1025,0)))</f>
        <v/>
      </c>
    </row>
    <row r="38" spans="1:17">
      <c r="A38" s="2">
        <f>IF(INDEX(学年度总表!$A$3:$A$1025,MATCH($E38,学年度总表!$E$3:$E$1025,0))="","",INDEX(学年度总表!$A$3:$A$1025,MATCH($E38,学年度总表!$E$3:$E$1025,0)))</f>
        <v>89</v>
      </c>
      <c r="B38" s="2">
        <f>IF(INDEX(学年度总表!$B$3:$B$1025,MATCH($E38,学年度总表!$E$3:$E$1025,0))="","",INDEX(学年度总表!$B$3:$B$1025,MATCH($E38,学年度总表!$E$3:$E$1025,0)))</f>
        <v>36</v>
      </c>
      <c r="C38" s="2" t="str">
        <f>IF(INDEX(学年度总表!$C$3:$C$1025,MATCH($E38,学年度总表!$E$3:$E$1025,0))="","",INDEX(学年度总表!$C$3:$C$1025,MATCH($E38,学年度总表!$E$3:$E$1025,0)))</f>
        <v>软工</v>
      </c>
      <c r="D38" s="2" t="str">
        <f>IF(INDEX(学年度总表!$D$3:$D$1025,MATCH($E38,学年度总表!$E$3:$E$1025,0))="","",INDEX(学年度总表!$D$3:$D$1025,MATCH($E38,学年度总表!$E$3:$E$1025,0)))</f>
        <v>软工5班</v>
      </c>
      <c r="E38" s="2" t="s">
        <v>230</v>
      </c>
      <c r="F38" s="2" t="str">
        <f>IF(INDEX(学年度总表!$F$3:$F$1025,MATCH($E38,学年度总表!$E$3:$E$1025,0))="","",INDEX(学年度总表!$F$3:$F$1025,MATCH($E38,学年度总表!$E$3:$E$1025,0)))</f>
        <v>王奕婷</v>
      </c>
      <c r="G38" s="3">
        <f>IF(INDEX(学年度总表!$G$3:$G$1025,MATCH($E38,学年度总表!$E$3:$E$1025,0))="","",INDEX(学年度总表!$G$3:$G$1025,MATCH($E38,学年度总表!$E$3:$E$1025,0)))</f>
        <v>9.8000000000000007</v>
      </c>
      <c r="H38" s="3">
        <f>IF(INDEX(学年度总表!$H$3:$H$1025,MATCH($E38,学年度总表!$E$3:$E$1025,0))="","",INDEX(学年度总表!$H$3:$H$1025,MATCH($E38,学年度总表!$E$3:$E$1025,0)))</f>
        <v>64.58</v>
      </c>
      <c r="I38" s="3">
        <f>IF(INDEX(学年度总表!$I$3:$I$1025,MATCH($E38,学年度总表!$E$3:$E$1025,0))="","",INDEX(学年度总表!$I$3:$I$1025,MATCH($E38,学年度总表!$E$3:$E$1025,0)))</f>
        <v>3.2</v>
      </c>
      <c r="J38" s="3">
        <f>IF(INDEX(学年度总表!$J$3:$J$1025,MATCH($E38,学年度总表!$E$3:$E$1025,0))="","",INDEX(学年度总表!$J$3:$J$1025,MATCH($E38,学年度总表!$E$3:$E$1025,0)))</f>
        <v>77.58</v>
      </c>
      <c r="K38" s="3">
        <f>IF(INDEX(学年度总表!$K$3:$K$1025,MATCH($E38,学年度总表!$E$3:$E$1025,0))="","",INDEX(学年度总表!$K$3:$K$1025,MATCH($E38,学年度总表!$E$3:$E$1025,0)))</f>
        <v>9.8000000000000007</v>
      </c>
      <c r="L38" s="3">
        <f>IF(INDEX(学年度总表!$L$3:$L$1025,MATCH($E38,学年度总表!$E$3:$E$1025,0))="","",INDEX(学年度总表!$L$3:$L$1025,MATCH($E38,学年度总表!$E$3:$E$1025,0)))</f>
        <v>66.64</v>
      </c>
      <c r="M38" s="3">
        <f>IF(INDEX(学年度总表!$M$3:$M$1025,MATCH($E38,学年度总表!$E$3:$E$1025,0))="","",INDEX(学年度总表!$M$3:$M$1025,MATCH($E38,学年度总表!$E$3:$E$1025,0)))</f>
        <v>4.7</v>
      </c>
      <c r="N38" s="3">
        <f>IF(INDEX(学年度总表!$N$3:$N$1025,MATCH($E38,学年度总表!$E$3:$E$1025,0))="","",INDEX(学年度总表!$N$3:$N$1025,MATCH($E38,学年度总表!$E$3:$E$1025,0)))</f>
        <v>81.14</v>
      </c>
      <c r="O38" s="3">
        <f>IF(INDEX(学年度总表!$O$3:$O$1025,MATCH($E38,学年度总表!$E$3:$E$1025,0))="","",INDEX(学年度总表!$O$3:$O$1025,MATCH($E38,学年度总表!$E$3:$E$1025,0)))</f>
        <v>158.72</v>
      </c>
      <c r="P38" s="4" t="str">
        <f>IF(INDEX(学年度总表!$P$3:$P$1025,MATCH($E38,学年度总表!$E$3:$E$1025,0))="","",INDEX(学年度总表!$P$3:$P$1025,MATCH($E38,学年度总表!$E$3:$E$1025,0)))</f>
        <v>校三等</v>
      </c>
      <c r="Q38" s="5" t="str">
        <f>IF(INDEX(学年度总表!$Q$3:$Q$1025,MATCH($E38,学年度总表!$E$3:$E$1025,0))="","",INDEX(学年度总表!$Q$3:$Q$1025,MATCH($E38,学年度总表!$E$3:$E$1025,0)))</f>
        <v/>
      </c>
    </row>
    <row r="39" spans="1:17">
      <c r="A39" s="2">
        <f>IF(INDEX(学年度总表!$A$3:$A$1025,MATCH($E39,学年度总表!$E$3:$E$1025,0))="","",INDEX(学年度总表!$A$3:$A$1025,MATCH($E39,学年度总表!$E$3:$E$1025,0)))</f>
        <v>93</v>
      </c>
      <c r="B39" s="2">
        <f>IF(INDEX(学年度总表!$B$3:$B$1025,MATCH($E39,学年度总表!$E$3:$E$1025,0))="","",INDEX(学年度总表!$B$3:$B$1025,MATCH($E39,学年度总表!$E$3:$E$1025,0)))</f>
        <v>37</v>
      </c>
      <c r="C39" s="2" t="str">
        <f>IF(INDEX(学年度总表!$C$3:$C$1025,MATCH($E39,学年度总表!$E$3:$E$1025,0))="","",INDEX(学年度总表!$C$3:$C$1025,MATCH($E39,学年度总表!$E$3:$E$1025,0)))</f>
        <v>软工</v>
      </c>
      <c r="D39" s="2" t="str">
        <f>IF(INDEX(学年度总表!$D$3:$D$1025,MATCH($E39,学年度总表!$E$3:$E$1025,0))="","",INDEX(学年度总表!$D$3:$D$1025,MATCH($E39,学年度总表!$E$3:$E$1025,0)))</f>
        <v>软工13班</v>
      </c>
      <c r="E39" s="2" t="s">
        <v>239</v>
      </c>
      <c r="F39" s="2" t="str">
        <f>IF(INDEX(学年度总表!$F$3:$F$1025,MATCH($E39,学年度总表!$E$3:$E$1025,0))="","",INDEX(学年度总表!$F$3:$F$1025,MATCH($E39,学年度总表!$E$3:$E$1025,0)))</f>
        <v>范盈希</v>
      </c>
      <c r="G39" s="3">
        <f>IF(INDEX(学年度总表!$G$3:$G$1025,MATCH($E39,学年度总表!$E$3:$E$1025,0))="","",INDEX(学年度总表!$G$3:$G$1025,MATCH($E39,学年度总表!$E$3:$E$1025,0)))</f>
        <v>9.8000000000000007</v>
      </c>
      <c r="H39" s="3">
        <f>IF(INDEX(学年度总表!$H$3:$H$1025,MATCH($E39,学年度总表!$E$3:$E$1025,0))="","",INDEX(学年度总表!$H$3:$H$1025,MATCH($E39,学年度总表!$E$3:$E$1025,0)))</f>
        <v>65.010000000000005</v>
      </c>
      <c r="I39" s="3">
        <f>IF(INDEX(学年度总表!$I$3:$I$1025,MATCH($E39,学年度总表!$E$3:$E$1025,0))="","",INDEX(学年度总表!$I$3:$I$1025,MATCH($E39,学年度总表!$E$3:$E$1025,0)))</f>
        <v>5.7</v>
      </c>
      <c r="J39" s="3">
        <f>IF(INDEX(学年度总表!$J$3:$J$1025,MATCH($E39,学年度总表!$E$3:$E$1025,0))="","",INDEX(学年度总表!$J$3:$J$1025,MATCH($E39,学年度总表!$E$3:$E$1025,0)))</f>
        <v>80.510000000000005</v>
      </c>
      <c r="K39" s="3">
        <f>IF(INDEX(学年度总表!$K$3:$K$1025,MATCH($E39,学年度总表!$E$3:$E$1025,0))="","",INDEX(学年度总表!$K$3:$K$1025,MATCH($E39,学年度总表!$E$3:$E$1025,0)))</f>
        <v>9.8000000000000007</v>
      </c>
      <c r="L39" s="3">
        <f>IF(INDEX(学年度总表!$L$3:$L$1025,MATCH($E39,学年度总表!$E$3:$E$1025,0))="","",INDEX(学年度总表!$L$3:$L$1025,MATCH($E39,学年度总表!$E$3:$E$1025,0)))</f>
        <v>60.63</v>
      </c>
      <c r="M39" s="3">
        <f>IF(INDEX(学年度总表!$M$3:$M$1025,MATCH($E39,学年度总表!$E$3:$E$1025,0))="","",INDEX(学年度总表!$M$3:$M$1025,MATCH($E39,学年度总表!$E$3:$E$1025,0)))</f>
        <v>7.7</v>
      </c>
      <c r="N39" s="3">
        <f>IF(INDEX(学年度总表!$N$3:$N$1025,MATCH($E39,学年度总表!$E$3:$E$1025,0))="","",INDEX(学年度总表!$N$3:$N$1025,MATCH($E39,学年度总表!$E$3:$E$1025,0)))</f>
        <v>78.13</v>
      </c>
      <c r="O39" s="3">
        <f>IF(INDEX(学年度总表!$O$3:$O$1025,MATCH($E39,学年度总表!$E$3:$E$1025,0))="","",INDEX(学年度总表!$O$3:$O$1025,MATCH($E39,学年度总表!$E$3:$E$1025,0)))</f>
        <v>158.63999999999999</v>
      </c>
      <c r="P39" s="4" t="str">
        <f>IF(INDEX(学年度总表!$P$3:$P$1025,MATCH($E39,学年度总表!$E$3:$E$1025,0))="","",INDEX(学年度总表!$P$3:$P$1025,MATCH($E39,学年度总表!$E$3:$E$1025,0)))</f>
        <v>校三等</v>
      </c>
      <c r="Q39" s="5" t="str">
        <f>IF(INDEX(学年度总表!$Q$3:$Q$1025,MATCH($E39,学年度总表!$E$3:$E$1025,0))="","",INDEX(学年度总表!$Q$3:$Q$1025,MATCH($E39,学年度总表!$E$3:$E$1025,0)))</f>
        <v/>
      </c>
    </row>
    <row r="40" spans="1:17">
      <c r="A40" s="2">
        <f>IF(INDEX(学年度总表!$A$3:$A$1025,MATCH($E40,学年度总表!$E$3:$E$1025,0))="","",INDEX(学年度总表!$A$3:$A$1025,MATCH($E40,学年度总表!$E$3:$E$1025,0)))</f>
        <v>94</v>
      </c>
      <c r="B40" s="2">
        <f>IF(INDEX(学年度总表!$B$3:$B$1025,MATCH($E40,学年度总表!$E$3:$E$1025,0))="","",INDEX(学年度总表!$B$3:$B$1025,MATCH($E40,学年度总表!$E$3:$E$1025,0)))</f>
        <v>38</v>
      </c>
      <c r="C40" s="2" t="str">
        <f>IF(INDEX(学年度总表!$C$3:$C$1025,MATCH($E40,学年度总表!$E$3:$E$1025,0))="","",INDEX(学年度总表!$C$3:$C$1025,MATCH($E40,学年度总表!$E$3:$E$1025,0)))</f>
        <v>软工</v>
      </c>
      <c r="D40" s="2" t="str">
        <f>IF(INDEX(学年度总表!$D$3:$D$1025,MATCH($E40,学年度总表!$E$3:$E$1025,0))="","",INDEX(学年度总表!$D$3:$D$1025,MATCH($E40,学年度总表!$E$3:$E$1025,0)))</f>
        <v>软工11班</v>
      </c>
      <c r="E40" s="2" t="s">
        <v>241</v>
      </c>
      <c r="F40" s="2" t="str">
        <f>IF(INDEX(学年度总表!$F$3:$F$1025,MATCH($E40,学年度总表!$E$3:$E$1025,0))="","",INDEX(学年度总表!$F$3:$F$1025,MATCH($E40,学年度总表!$E$3:$E$1025,0)))</f>
        <v>张福嘉</v>
      </c>
      <c r="G40" s="3">
        <f>IF(INDEX(学年度总表!$G$3:$G$1025,MATCH($E40,学年度总表!$E$3:$E$1025,0))="","",INDEX(学年度总表!$G$3:$G$1025,MATCH($E40,学年度总表!$E$3:$E$1025,0)))</f>
        <v>9.8000000000000007</v>
      </c>
      <c r="H40" s="3">
        <f>IF(INDEX(学年度总表!$H$3:$H$1025,MATCH($E40,学年度总表!$E$3:$E$1025,0))="","",INDEX(学年度总表!$H$3:$H$1025,MATCH($E40,学年度总表!$E$3:$E$1025,0)))</f>
        <v>66.91</v>
      </c>
      <c r="I40" s="3">
        <f>IF(INDEX(学年度总表!$I$3:$I$1025,MATCH($E40,学年度总表!$E$3:$E$1025,0))="","",INDEX(学年度总表!$I$3:$I$1025,MATCH($E40,学年度总表!$E$3:$E$1025,0)))</f>
        <v>4.2</v>
      </c>
      <c r="J40" s="3">
        <f>IF(INDEX(学年度总表!$J$3:$J$1025,MATCH($E40,学年度总表!$E$3:$E$1025,0))="","",INDEX(学年度总表!$J$3:$J$1025,MATCH($E40,学年度总表!$E$3:$E$1025,0)))</f>
        <v>80.91</v>
      </c>
      <c r="K40" s="3">
        <f>IF(INDEX(学年度总表!$K$3:$K$1025,MATCH($E40,学年度总表!$E$3:$E$1025,0))="","",INDEX(学年度总表!$K$3:$K$1025,MATCH($E40,学年度总表!$E$3:$E$1025,0)))</f>
        <v>9.8000000000000007</v>
      </c>
      <c r="L40" s="3">
        <f>IF(INDEX(学年度总表!$L$3:$L$1025,MATCH($E40,学年度总表!$E$3:$E$1025,0))="","",INDEX(学年度总表!$L$3:$L$1025,MATCH($E40,学年度总表!$E$3:$E$1025,0)))</f>
        <v>63.38</v>
      </c>
      <c r="M40" s="3">
        <f>IF(INDEX(学年度总表!$M$3:$M$1025,MATCH($E40,学年度总表!$E$3:$E$1025,0))="","",INDEX(学年度总表!$M$3:$M$1025,MATCH($E40,学年度总表!$E$3:$E$1025,0)))</f>
        <v>4.5</v>
      </c>
      <c r="N40" s="3">
        <f>IF(INDEX(学年度总表!$N$3:$N$1025,MATCH($E40,学年度总表!$E$3:$E$1025,0))="","",INDEX(学年度总表!$N$3:$N$1025,MATCH($E40,学年度总表!$E$3:$E$1025,0)))</f>
        <v>77.680000000000007</v>
      </c>
      <c r="O40" s="3">
        <f>IF(INDEX(学年度总表!$O$3:$O$1025,MATCH($E40,学年度总表!$E$3:$E$1025,0))="","",INDEX(学年度总表!$O$3:$O$1025,MATCH($E40,学年度总表!$E$3:$E$1025,0)))</f>
        <v>158.59</v>
      </c>
      <c r="P40" s="4" t="str">
        <f>IF(INDEX(学年度总表!$P$3:$P$1025,MATCH($E40,学年度总表!$E$3:$E$1025,0))="","",INDEX(学年度总表!$P$3:$P$1025,MATCH($E40,学年度总表!$E$3:$E$1025,0)))</f>
        <v>校三等</v>
      </c>
      <c r="Q40" s="5" t="str">
        <f>IF(INDEX(学年度总表!$Q$3:$Q$1025,MATCH($E40,学年度总表!$E$3:$E$1025,0))="","",INDEX(学年度总表!$Q$3:$Q$1025,MATCH($E40,学年度总表!$E$3:$E$1025,0)))</f>
        <v/>
      </c>
    </row>
    <row r="41" spans="1:17">
      <c r="A41" s="2">
        <f>IF(INDEX(学年度总表!$A$3:$A$1025,MATCH($E41,学年度总表!$E$3:$E$1025,0))="","",INDEX(学年度总表!$A$3:$A$1025,MATCH($E41,学年度总表!$E$3:$E$1025,0)))</f>
        <v>95</v>
      </c>
      <c r="B41" s="2">
        <f>IF(INDEX(学年度总表!$B$3:$B$1025,MATCH($E41,学年度总表!$E$3:$E$1025,0))="","",INDEX(学年度总表!$B$3:$B$1025,MATCH($E41,学年度总表!$E$3:$E$1025,0)))</f>
        <v>39</v>
      </c>
      <c r="C41" s="2" t="str">
        <f>IF(INDEX(学年度总表!$C$3:$C$1025,MATCH($E41,学年度总表!$E$3:$E$1025,0))="","",INDEX(学年度总表!$C$3:$C$1025,MATCH($E41,学年度总表!$E$3:$E$1025,0)))</f>
        <v>软工</v>
      </c>
      <c r="D41" s="2" t="str">
        <f>IF(INDEX(学年度总表!$D$3:$D$1025,MATCH($E41,学年度总表!$E$3:$E$1025,0))="","",INDEX(学年度总表!$D$3:$D$1025,MATCH($E41,学年度总表!$E$3:$E$1025,0)))</f>
        <v>软工6班</v>
      </c>
      <c r="E41" s="2" t="s">
        <v>243</v>
      </c>
      <c r="F41" s="2" t="str">
        <f>IF(INDEX(学年度总表!$F$3:$F$1025,MATCH($E41,学年度总表!$E$3:$E$1025,0))="","",INDEX(学年度总表!$F$3:$F$1025,MATCH($E41,学年度总表!$E$3:$E$1025,0)))</f>
        <v>王楚睿</v>
      </c>
      <c r="G41" s="3">
        <f>IF(INDEX(学年度总表!$G$3:$G$1025,MATCH($E41,学年度总表!$E$3:$E$1025,0))="","",INDEX(学年度总表!$G$3:$G$1025,MATCH($E41,学年度总表!$E$3:$E$1025,0)))</f>
        <v>10.8</v>
      </c>
      <c r="H41" s="3">
        <f>IF(INDEX(学年度总表!$H$3:$H$1025,MATCH($E41,学年度总表!$E$3:$E$1025,0))="","",INDEX(学年度总表!$H$3:$H$1025,MATCH($E41,学年度总表!$E$3:$E$1025,0)))</f>
        <v>65.5</v>
      </c>
      <c r="I41" s="3">
        <f>IF(INDEX(学年度总表!$I$3:$I$1025,MATCH($E41,学年度总表!$E$3:$E$1025,0))="","",INDEX(学年度总表!$I$3:$I$1025,MATCH($E41,学年度总表!$E$3:$E$1025,0)))</f>
        <v>5.3</v>
      </c>
      <c r="J41" s="3">
        <f>IF(INDEX(学年度总表!$J$3:$J$1025,MATCH($E41,学年度总表!$E$3:$E$1025,0))="","",INDEX(学年度总表!$J$3:$J$1025,MATCH($E41,学年度总表!$E$3:$E$1025,0)))</f>
        <v>81.599999999999994</v>
      </c>
      <c r="K41" s="3">
        <f>IF(INDEX(学年度总表!$K$3:$K$1025,MATCH($E41,学年度总表!$E$3:$E$1025,0))="","",INDEX(学年度总表!$K$3:$K$1025,MATCH($E41,学年度总表!$E$3:$E$1025,0)))</f>
        <v>10</v>
      </c>
      <c r="L41" s="3">
        <f>IF(INDEX(学年度总表!$L$3:$L$1025,MATCH($E41,学年度总表!$E$3:$E$1025,0))="","",INDEX(学年度总表!$L$3:$L$1025,MATCH($E41,学年度总表!$E$3:$E$1025,0)))</f>
        <v>61.97</v>
      </c>
      <c r="M41" s="3">
        <f>IF(INDEX(学年度总表!$M$3:$M$1025,MATCH($E41,学年度总表!$E$3:$E$1025,0))="","",INDEX(学年度总表!$M$3:$M$1025,MATCH($E41,学年度总表!$E$3:$E$1025,0)))</f>
        <v>5</v>
      </c>
      <c r="N41" s="3">
        <f>IF(INDEX(学年度总表!$N$3:$N$1025,MATCH($E41,学年度总表!$E$3:$E$1025,0))="","",INDEX(学年度总表!$N$3:$N$1025,MATCH($E41,学年度总表!$E$3:$E$1025,0)))</f>
        <v>76.97</v>
      </c>
      <c r="O41" s="3">
        <f>IF(INDEX(学年度总表!$O$3:$O$1025,MATCH($E41,学年度总表!$E$3:$E$1025,0))="","",INDEX(学年度总表!$O$3:$O$1025,MATCH($E41,学年度总表!$E$3:$E$1025,0)))</f>
        <v>158.57</v>
      </c>
      <c r="P41" s="4" t="str">
        <f>IF(INDEX(学年度总表!$P$3:$P$1025,MATCH($E41,学年度总表!$E$3:$E$1025,0))="","",INDEX(学年度总表!$P$3:$P$1025,MATCH($E41,学年度总表!$E$3:$E$1025,0)))</f>
        <v>校三等</v>
      </c>
      <c r="Q41" s="5" t="str">
        <f>IF(INDEX(学年度总表!$Q$3:$Q$1025,MATCH($E41,学年度总表!$E$3:$E$1025,0))="","",INDEX(学年度总表!$Q$3:$Q$1025,MATCH($E41,学年度总表!$E$3:$E$1025,0)))</f>
        <v/>
      </c>
    </row>
    <row r="42" spans="1:17">
      <c r="A42" s="2">
        <f>IF(INDEX(学年度总表!$A$3:$A$1025,MATCH($E42,学年度总表!$E$3:$E$1025,0))="","",INDEX(学年度总表!$A$3:$A$1025,MATCH($E42,学年度总表!$E$3:$E$1025,0)))</f>
        <v>96</v>
      </c>
      <c r="B42" s="2">
        <f>IF(INDEX(学年度总表!$B$3:$B$1025,MATCH($E42,学年度总表!$E$3:$E$1025,0))="","",INDEX(学年度总表!$B$3:$B$1025,MATCH($E42,学年度总表!$E$3:$E$1025,0)))</f>
        <v>40</v>
      </c>
      <c r="C42" s="2" t="str">
        <f>IF(INDEX(学年度总表!$C$3:$C$1025,MATCH($E42,学年度总表!$E$3:$E$1025,0))="","",INDEX(学年度总表!$C$3:$C$1025,MATCH($E42,学年度总表!$E$3:$E$1025,0)))</f>
        <v>软工</v>
      </c>
      <c r="D42" s="2" t="str">
        <f>IF(INDEX(学年度总表!$D$3:$D$1025,MATCH($E42,学年度总表!$E$3:$E$1025,0))="","",INDEX(学年度总表!$D$3:$D$1025,MATCH($E42,学年度总表!$E$3:$E$1025,0)))</f>
        <v>软工11班</v>
      </c>
      <c r="E42" s="2" t="s">
        <v>245</v>
      </c>
      <c r="F42" s="2" t="str">
        <f>IF(INDEX(学年度总表!$F$3:$F$1025,MATCH($E42,学年度总表!$E$3:$E$1025,0))="","",INDEX(学年度总表!$F$3:$F$1025,MATCH($E42,学年度总表!$E$3:$E$1025,0)))</f>
        <v>张景钧</v>
      </c>
      <c r="G42" s="3">
        <f>IF(INDEX(学年度总表!$G$3:$G$1025,MATCH($E42,学年度总表!$E$3:$E$1025,0))="","",INDEX(学年度总表!$G$3:$G$1025,MATCH($E42,学年度总表!$E$3:$E$1025,0)))</f>
        <v>9.8000000000000007</v>
      </c>
      <c r="H42" s="3">
        <f>IF(INDEX(学年度总表!$H$3:$H$1025,MATCH($E42,学年度总表!$E$3:$E$1025,0))="","",INDEX(学年度总表!$H$3:$H$1025,MATCH($E42,学年度总表!$E$3:$E$1025,0)))</f>
        <v>68.209999999999994</v>
      </c>
      <c r="I42" s="3">
        <f>IF(INDEX(学年度总表!$I$3:$I$1025,MATCH($E42,学年度总表!$E$3:$E$1025,0))="","",INDEX(学年度总表!$I$3:$I$1025,MATCH($E42,学年度总表!$E$3:$E$1025,0)))</f>
        <v>3</v>
      </c>
      <c r="J42" s="3">
        <f>IF(INDEX(学年度总表!$J$3:$J$1025,MATCH($E42,学年度总表!$E$3:$E$1025,0))="","",INDEX(学年度总表!$J$3:$J$1025,MATCH($E42,学年度总表!$E$3:$E$1025,0)))</f>
        <v>81.010000000000005</v>
      </c>
      <c r="K42" s="3">
        <f>IF(INDEX(学年度总表!$K$3:$K$1025,MATCH($E42,学年度总表!$E$3:$E$1025,0))="","",INDEX(学年度总表!$K$3:$K$1025,MATCH($E42,学年度总表!$E$3:$E$1025,0)))</f>
        <v>9.8000000000000007</v>
      </c>
      <c r="L42" s="3">
        <f>IF(INDEX(学年度总表!$L$3:$L$1025,MATCH($E42,学年度总表!$E$3:$E$1025,0))="","",INDEX(学年度总表!$L$3:$L$1025,MATCH($E42,学年度总表!$E$3:$E$1025,0)))</f>
        <v>64.650000000000006</v>
      </c>
      <c r="M42" s="3">
        <f>IF(INDEX(学年度总表!$M$3:$M$1025,MATCH($E42,学年度总表!$E$3:$E$1025,0))="","",INDEX(学年度总表!$M$3:$M$1025,MATCH($E42,学年度总表!$E$3:$E$1025,0)))</f>
        <v>3</v>
      </c>
      <c r="N42" s="3">
        <f>IF(INDEX(学年度总表!$N$3:$N$1025,MATCH($E42,学年度总表!$E$3:$E$1025,0))="","",INDEX(学年度总表!$N$3:$N$1025,MATCH($E42,学年度总表!$E$3:$E$1025,0)))</f>
        <v>77.45</v>
      </c>
      <c r="O42" s="3">
        <f>IF(INDEX(学年度总表!$O$3:$O$1025,MATCH($E42,学年度总表!$E$3:$E$1025,0))="","",INDEX(学年度总表!$O$3:$O$1025,MATCH($E42,学年度总表!$E$3:$E$1025,0)))</f>
        <v>158.46</v>
      </c>
      <c r="P42" s="4" t="str">
        <f>IF(INDEX(学年度总表!$P$3:$P$1025,MATCH($E42,学年度总表!$E$3:$E$1025,0))="","",INDEX(学年度总表!$P$3:$P$1025,MATCH($E42,学年度总表!$E$3:$E$1025,0)))</f>
        <v>校三等</v>
      </c>
      <c r="Q42" s="5" t="str">
        <f>IF(INDEX(学年度总表!$Q$3:$Q$1025,MATCH($E42,学年度总表!$E$3:$E$1025,0))="","",INDEX(学年度总表!$Q$3:$Q$1025,MATCH($E42,学年度总表!$E$3:$E$1025,0)))</f>
        <v/>
      </c>
    </row>
    <row r="43" spans="1:17">
      <c r="A43" s="2">
        <f>IF(INDEX(学年度总表!$A$3:$A$1025,MATCH($E43,学年度总表!$E$3:$E$1025,0))="","",INDEX(学年度总表!$A$3:$A$1025,MATCH($E43,学年度总表!$E$3:$E$1025,0)))</f>
        <v>101</v>
      </c>
      <c r="B43" s="2">
        <f>IF(INDEX(学年度总表!$B$3:$B$1025,MATCH($E43,学年度总表!$E$3:$E$1025,0))="","",INDEX(学年度总表!$B$3:$B$1025,MATCH($E43,学年度总表!$E$3:$E$1025,0)))</f>
        <v>41</v>
      </c>
      <c r="C43" s="2" t="str">
        <f>IF(INDEX(学年度总表!$C$3:$C$1025,MATCH($E43,学年度总表!$E$3:$E$1025,0))="","",INDEX(学年度总表!$C$3:$C$1025,MATCH($E43,学年度总表!$E$3:$E$1025,0)))</f>
        <v>软工</v>
      </c>
      <c r="D43" s="2" t="str">
        <f>IF(INDEX(学年度总表!$D$3:$D$1025,MATCH($E43,学年度总表!$E$3:$E$1025,0))="","",INDEX(学年度总表!$D$3:$D$1025,MATCH($E43,学年度总表!$E$3:$E$1025,0)))</f>
        <v>软工7班</v>
      </c>
      <c r="E43" s="2" t="s">
        <v>255</v>
      </c>
      <c r="F43" s="2" t="str">
        <f>IF(INDEX(学年度总表!$F$3:$F$1025,MATCH($E43,学年度总表!$E$3:$E$1025,0))="","",INDEX(学年度总表!$F$3:$F$1025,MATCH($E43,学年度总表!$E$3:$E$1025,0)))</f>
        <v>程偌然</v>
      </c>
      <c r="G43" s="3">
        <f>IF(INDEX(学年度总表!$G$3:$G$1025,MATCH($E43,学年度总表!$E$3:$E$1025,0))="","",INDEX(学年度总表!$G$3:$G$1025,MATCH($E43,学年度总表!$E$3:$E$1025,0)))</f>
        <v>9.8000000000000007</v>
      </c>
      <c r="H43" s="3">
        <f>IF(INDEX(学年度总表!$H$3:$H$1025,MATCH($E43,学年度总表!$E$3:$E$1025,0))="","",INDEX(学年度总表!$H$3:$H$1025,MATCH($E43,学年度总表!$E$3:$E$1025,0)))</f>
        <v>67.02</v>
      </c>
      <c r="I43" s="3">
        <f>IF(INDEX(学年度总表!$I$3:$I$1025,MATCH($E43,学年度总表!$E$3:$E$1025,0))="","",INDEX(学年度总表!$I$3:$I$1025,MATCH($E43,学年度总表!$E$3:$E$1025,0)))</f>
        <v>4</v>
      </c>
      <c r="J43" s="3">
        <f>IF(INDEX(学年度总表!$J$3:$J$1025,MATCH($E43,学年度总表!$E$3:$E$1025,0))="","",INDEX(学年度总表!$J$3:$J$1025,MATCH($E43,学年度总表!$E$3:$E$1025,0)))</f>
        <v>80.819999999999993</v>
      </c>
      <c r="K43" s="3">
        <f>IF(INDEX(学年度总表!$K$3:$K$1025,MATCH($E43,学年度总表!$E$3:$E$1025,0))="","",INDEX(学年度总表!$K$3:$K$1025,MATCH($E43,学年度总表!$E$3:$E$1025,0)))</f>
        <v>9.8000000000000007</v>
      </c>
      <c r="L43" s="3">
        <f>IF(INDEX(学年度总表!$L$3:$L$1025,MATCH($E43,学年度总表!$E$3:$E$1025,0))="","",INDEX(学年度总表!$L$3:$L$1025,MATCH($E43,学年度总表!$E$3:$E$1025,0)))</f>
        <v>63.09</v>
      </c>
      <c r="M43" s="3">
        <f>IF(INDEX(学年度总表!$M$3:$M$1025,MATCH($E43,学年度总表!$E$3:$E$1025,0))="","",INDEX(学年度总表!$M$3:$M$1025,MATCH($E43,学年度总表!$E$3:$E$1025,0)))</f>
        <v>4</v>
      </c>
      <c r="N43" s="3">
        <f>IF(INDEX(学年度总表!$N$3:$N$1025,MATCH($E43,学年度总表!$E$3:$E$1025,0))="","",INDEX(学年度总表!$N$3:$N$1025,MATCH($E43,学年度总表!$E$3:$E$1025,0)))</f>
        <v>76.89</v>
      </c>
      <c r="O43" s="3">
        <f>IF(INDEX(学年度总表!$O$3:$O$1025,MATCH($E43,学年度总表!$E$3:$E$1025,0))="","",INDEX(学年度总表!$O$3:$O$1025,MATCH($E43,学年度总表!$E$3:$E$1025,0)))</f>
        <v>157.71</v>
      </c>
      <c r="P43" s="4" t="str">
        <f>IF(INDEX(学年度总表!$P$3:$P$1025,MATCH($E43,学年度总表!$E$3:$E$1025,0))="","",INDEX(学年度总表!$P$3:$P$1025,MATCH($E43,学年度总表!$E$3:$E$1025,0)))</f>
        <v>校三等</v>
      </c>
      <c r="Q43" s="5" t="str">
        <f>IF(INDEX(学年度总表!$Q$3:$Q$1025,MATCH($E43,学年度总表!$E$3:$E$1025,0))="","",INDEX(学年度总表!$Q$3:$Q$1025,MATCH($E43,学年度总表!$E$3:$E$1025,0)))</f>
        <v/>
      </c>
    </row>
    <row r="44" spans="1:17">
      <c r="A44" s="2">
        <f>IF(INDEX(学年度总表!$A$3:$A$1025,MATCH($E44,学年度总表!$E$3:$E$1025,0))="","",INDEX(学年度总表!$A$3:$A$1025,MATCH($E44,学年度总表!$E$3:$E$1025,0)))</f>
        <v>104</v>
      </c>
      <c r="B44" s="2">
        <f>IF(INDEX(学年度总表!$B$3:$B$1025,MATCH($E44,学年度总表!$E$3:$E$1025,0))="","",INDEX(学年度总表!$B$3:$B$1025,MATCH($E44,学年度总表!$E$3:$E$1025,0)))</f>
        <v>42</v>
      </c>
      <c r="C44" s="2" t="str">
        <f>IF(INDEX(学年度总表!$C$3:$C$1025,MATCH($E44,学年度总表!$E$3:$E$1025,0))="","",INDEX(学年度总表!$C$3:$C$1025,MATCH($E44,学年度总表!$E$3:$E$1025,0)))</f>
        <v>软工</v>
      </c>
      <c r="D44" s="2" t="str">
        <f>IF(INDEX(学年度总表!$D$3:$D$1025,MATCH($E44,学年度总表!$E$3:$E$1025,0))="","",INDEX(学年度总表!$D$3:$D$1025,MATCH($E44,学年度总表!$E$3:$E$1025,0)))</f>
        <v>软工12班</v>
      </c>
      <c r="E44" s="2" t="s">
        <v>262</v>
      </c>
      <c r="F44" s="2" t="str">
        <f>IF(INDEX(学年度总表!$F$3:$F$1025,MATCH($E44,学年度总表!$E$3:$E$1025,0))="","",INDEX(学年度总表!$F$3:$F$1025,MATCH($E44,学年度总表!$E$3:$E$1025,0)))</f>
        <v>辛佳芮</v>
      </c>
      <c r="G44" s="3">
        <f>IF(INDEX(学年度总表!$G$3:$G$1025,MATCH($E44,学年度总表!$E$3:$E$1025,0))="","",INDEX(学年度总表!$G$3:$G$1025,MATCH($E44,学年度总表!$E$3:$E$1025,0)))</f>
        <v>10.8</v>
      </c>
      <c r="H44" s="3">
        <f>IF(INDEX(学年度总表!$H$3:$H$1025,MATCH($E44,学年度总表!$E$3:$E$1025,0))="","",INDEX(学年度总表!$H$3:$H$1025,MATCH($E44,学年度总表!$E$3:$E$1025,0)))</f>
        <v>65.34</v>
      </c>
      <c r="I44" s="3">
        <f>IF(INDEX(学年度总表!$I$3:$I$1025,MATCH($E44,学年度总表!$E$3:$E$1025,0))="","",INDEX(学年度总表!$I$3:$I$1025,MATCH($E44,学年度总表!$E$3:$E$1025,0)))</f>
        <v>4.5</v>
      </c>
      <c r="J44" s="3">
        <f>IF(INDEX(学年度总表!$J$3:$J$1025,MATCH($E44,学年度总表!$E$3:$E$1025,0))="","",INDEX(学年度总表!$J$3:$J$1025,MATCH($E44,学年度总表!$E$3:$E$1025,0)))</f>
        <v>80.64</v>
      </c>
      <c r="K44" s="3">
        <f>IF(INDEX(学年度总表!$K$3:$K$1025,MATCH($E44,学年度总表!$E$3:$E$1025,0))="","",INDEX(学年度总表!$K$3:$K$1025,MATCH($E44,学年度总表!$E$3:$E$1025,0)))</f>
        <v>9.8000000000000007</v>
      </c>
      <c r="L44" s="3">
        <f>IF(INDEX(学年度总表!$L$3:$L$1025,MATCH($E44,学年度总表!$E$3:$E$1025,0))="","",INDEX(学年度总表!$L$3:$L$1025,MATCH($E44,学年度总表!$E$3:$E$1025,0)))</f>
        <v>61.23</v>
      </c>
      <c r="M44" s="3">
        <f>IF(INDEX(学年度总表!$M$3:$M$1025,MATCH($E44,学年度总表!$E$3:$E$1025,0))="","",INDEX(学年度总表!$M$3:$M$1025,MATCH($E44,学年度总表!$E$3:$E$1025,0)))</f>
        <v>5.9</v>
      </c>
      <c r="N44" s="3">
        <f>IF(INDEX(学年度总表!$N$3:$N$1025,MATCH($E44,学年度总表!$E$3:$E$1025,0))="","",INDEX(学年度总表!$N$3:$N$1025,MATCH($E44,学年度总表!$E$3:$E$1025,0)))</f>
        <v>76.930000000000007</v>
      </c>
      <c r="O44" s="3">
        <f>IF(INDEX(学年度总表!$O$3:$O$1025,MATCH($E44,学年度总表!$E$3:$E$1025,0))="","",INDEX(学年度总表!$O$3:$O$1025,MATCH($E44,学年度总表!$E$3:$E$1025,0)))</f>
        <v>157.57</v>
      </c>
      <c r="P44" s="4" t="str">
        <f>IF(INDEX(学年度总表!$P$3:$P$1025,MATCH($E44,学年度总表!$E$3:$E$1025,0))="","",INDEX(学年度总表!$P$3:$P$1025,MATCH($E44,学年度总表!$E$3:$E$1025,0)))</f>
        <v>校三等</v>
      </c>
      <c r="Q44" s="5" t="str">
        <f>IF(INDEX(学年度总表!$Q$3:$Q$1025,MATCH($E44,学年度总表!$E$3:$E$1025,0))="","",INDEX(学年度总表!$Q$3:$Q$1025,MATCH($E44,学年度总表!$E$3:$E$1025,0)))</f>
        <v/>
      </c>
    </row>
    <row r="45" spans="1:17">
      <c r="A45" s="2">
        <f>IF(INDEX(学年度总表!$A$3:$A$1025,MATCH($E45,学年度总表!$E$3:$E$1025,0))="","",INDEX(学年度总表!$A$3:$A$1025,MATCH($E45,学年度总表!$E$3:$E$1025,0)))</f>
        <v>105</v>
      </c>
      <c r="B45" s="2">
        <f>IF(INDEX(学年度总表!$B$3:$B$1025,MATCH($E45,学年度总表!$E$3:$E$1025,0))="","",INDEX(学年度总表!$B$3:$B$1025,MATCH($E45,学年度总表!$E$3:$E$1025,0)))</f>
        <v>43</v>
      </c>
      <c r="C45" s="2" t="str">
        <f>IF(INDEX(学年度总表!$C$3:$C$1025,MATCH($E45,学年度总表!$E$3:$E$1025,0))="","",INDEX(学年度总表!$C$3:$C$1025,MATCH($E45,学年度总表!$E$3:$E$1025,0)))</f>
        <v>软工</v>
      </c>
      <c r="D45" s="2" t="str">
        <f>IF(INDEX(学年度总表!$D$3:$D$1025,MATCH($E45,学年度总表!$E$3:$E$1025,0))="","",INDEX(学年度总表!$D$3:$D$1025,MATCH($E45,学年度总表!$E$3:$E$1025,0)))</f>
        <v>软工7班</v>
      </c>
      <c r="E45" s="2" t="s">
        <v>264</v>
      </c>
      <c r="F45" s="2" t="str">
        <f>IF(INDEX(学年度总表!$F$3:$F$1025,MATCH($E45,学年度总表!$E$3:$E$1025,0))="","",INDEX(学年度总表!$F$3:$F$1025,MATCH($E45,学年度总表!$E$3:$E$1025,0)))</f>
        <v>张宬博</v>
      </c>
      <c r="G45" s="3">
        <f>IF(INDEX(学年度总表!$G$3:$G$1025,MATCH($E45,学年度总表!$E$3:$E$1025,0))="","",INDEX(学年度总表!$G$3:$G$1025,MATCH($E45,学年度总表!$E$3:$E$1025,0)))</f>
        <v>10.8</v>
      </c>
      <c r="H45" s="3">
        <f>IF(INDEX(学年度总表!$H$3:$H$1025,MATCH($E45,学年度总表!$E$3:$E$1025,0))="","",INDEX(学年度总表!$H$3:$H$1025,MATCH($E45,学年度总表!$E$3:$E$1025,0)))</f>
        <v>68.67</v>
      </c>
      <c r="I45" s="3">
        <f>IF(INDEX(学年度总表!$I$3:$I$1025,MATCH($E45,学年度总表!$E$3:$E$1025,0))="","",INDEX(学年度总表!$I$3:$I$1025,MATCH($E45,学年度总表!$E$3:$E$1025,0)))</f>
        <v>4.4000000000000004</v>
      </c>
      <c r="J45" s="3">
        <f>IF(INDEX(学年度总表!$J$3:$J$1025,MATCH($E45,学年度总表!$E$3:$E$1025,0))="","",INDEX(学年度总表!$J$3:$J$1025,MATCH($E45,学年度总表!$E$3:$E$1025,0)))</f>
        <v>83.87</v>
      </c>
      <c r="K45" s="3">
        <f>IF(INDEX(学年度总表!$K$3:$K$1025,MATCH($E45,学年度总表!$E$3:$E$1025,0))="","",INDEX(学年度总表!$K$3:$K$1025,MATCH($E45,学年度总表!$E$3:$E$1025,0)))</f>
        <v>9.8000000000000007</v>
      </c>
      <c r="L45" s="3">
        <f>IF(INDEX(学年度总表!$L$3:$L$1025,MATCH($E45,学年度总表!$E$3:$E$1025,0))="","",INDEX(学年度总表!$L$3:$L$1025,MATCH($E45,学年度总表!$E$3:$E$1025,0)))</f>
        <v>58.99</v>
      </c>
      <c r="M45" s="3">
        <f>IF(INDEX(学年度总表!$M$3:$M$1025,MATCH($E45,学年度总表!$E$3:$E$1025,0))="","",INDEX(学年度总表!$M$3:$M$1025,MATCH($E45,学年度总表!$E$3:$E$1025,0)))</f>
        <v>4.9000000000000004</v>
      </c>
      <c r="N45" s="3">
        <f>IF(INDEX(学年度总表!$N$3:$N$1025,MATCH($E45,学年度总表!$E$3:$E$1025,0))="","",INDEX(学年度总表!$N$3:$N$1025,MATCH($E45,学年度总表!$E$3:$E$1025,0)))</f>
        <v>73.69</v>
      </c>
      <c r="O45" s="3">
        <f>IF(INDEX(学年度总表!$O$3:$O$1025,MATCH($E45,学年度总表!$E$3:$E$1025,0))="","",INDEX(学年度总表!$O$3:$O$1025,MATCH($E45,学年度总表!$E$3:$E$1025,0)))</f>
        <v>157.56</v>
      </c>
      <c r="P45" s="4" t="str">
        <f>IF(INDEX(学年度总表!$P$3:$P$1025,MATCH($E45,学年度总表!$E$3:$E$1025,0))="","",INDEX(学年度总表!$P$3:$P$1025,MATCH($E45,学年度总表!$E$3:$E$1025,0)))</f>
        <v>校三等</v>
      </c>
      <c r="Q45" s="5" t="str">
        <f>IF(INDEX(学年度总表!$Q$3:$Q$1025,MATCH($E45,学年度总表!$E$3:$E$1025,0))="","",INDEX(学年度总表!$Q$3:$Q$1025,MATCH($E45,学年度总表!$E$3:$E$1025,0)))</f>
        <v/>
      </c>
    </row>
    <row r="46" spans="1:17">
      <c r="A46" s="2">
        <f>IF(INDEX(学年度总表!$A$3:$A$1025,MATCH($E46,学年度总表!$E$3:$E$1025,0))="","",INDEX(学年度总表!$A$3:$A$1025,MATCH($E46,学年度总表!$E$3:$E$1025,0)))</f>
        <v>113</v>
      </c>
      <c r="B46" s="2">
        <f>IF(INDEX(学年度总表!$B$3:$B$1025,MATCH($E46,学年度总表!$E$3:$E$1025,0))="","",INDEX(学年度总表!$B$3:$B$1025,MATCH($E46,学年度总表!$E$3:$E$1025,0)))</f>
        <v>44</v>
      </c>
      <c r="C46" s="2" t="str">
        <f>IF(INDEX(学年度总表!$C$3:$C$1025,MATCH($E46,学年度总表!$E$3:$E$1025,0))="","",INDEX(学年度总表!$C$3:$C$1025,MATCH($E46,学年度总表!$E$3:$E$1025,0)))</f>
        <v>软工</v>
      </c>
      <c r="D46" s="2" t="str">
        <f>IF(INDEX(学年度总表!$D$3:$D$1025,MATCH($E46,学年度总表!$E$3:$E$1025,0))="","",INDEX(学年度总表!$D$3:$D$1025,MATCH($E46,学年度总表!$E$3:$E$1025,0)))</f>
        <v>软工9班</v>
      </c>
      <c r="E46" s="2" t="s">
        <v>281</v>
      </c>
      <c r="F46" s="2" t="str">
        <f>IF(INDEX(学年度总表!$F$3:$F$1025,MATCH($E46,学年度总表!$E$3:$E$1025,0))="","",INDEX(学年度总表!$F$3:$F$1025,MATCH($E46,学年度总表!$E$3:$E$1025,0)))</f>
        <v>杨蕙熙</v>
      </c>
      <c r="G46" s="3">
        <f>IF(INDEX(学年度总表!$G$3:$G$1025,MATCH($E46,学年度总表!$E$3:$E$1025,0))="","",INDEX(学年度总表!$G$3:$G$1025,MATCH($E46,学年度总表!$E$3:$E$1025,0)))</f>
        <v>9.8000000000000007</v>
      </c>
      <c r="H46" s="3">
        <f>IF(INDEX(学年度总表!$H$3:$H$1025,MATCH($E46,学年度总表!$E$3:$E$1025,0))="","",INDEX(学年度总表!$H$3:$H$1025,MATCH($E46,学年度总表!$E$3:$E$1025,0)))</f>
        <v>64.556603773584897</v>
      </c>
      <c r="I46" s="3">
        <f>IF(INDEX(学年度总表!$I$3:$I$1025,MATCH($E46,学年度总表!$E$3:$E$1025,0))="","",INDEX(学年度总表!$I$3:$I$1025,MATCH($E46,学年度总表!$E$3:$E$1025,0)))</f>
        <v>3.7</v>
      </c>
      <c r="J46" s="3">
        <f>IF(INDEX(学年度总表!$J$3:$J$1025,MATCH($E46,学年度总表!$E$3:$E$1025,0))="","",INDEX(学年度总表!$J$3:$J$1025,MATCH($E46,学年度总表!$E$3:$E$1025,0)))</f>
        <v>78.06</v>
      </c>
      <c r="K46" s="3">
        <f>IF(INDEX(学年度总表!$K$3:$K$1025,MATCH($E46,学年度总表!$E$3:$E$1025,0))="","",INDEX(学年度总表!$K$3:$K$1025,MATCH($E46,学年度总表!$E$3:$E$1025,0)))</f>
        <v>9.8000000000000007</v>
      </c>
      <c r="L46" s="3">
        <f>IF(INDEX(学年度总表!$L$3:$L$1025,MATCH($E46,学年度总表!$E$3:$E$1025,0))="","",INDEX(学年度总表!$L$3:$L$1025,MATCH($E46,学年度总表!$E$3:$E$1025,0)))</f>
        <v>65.64</v>
      </c>
      <c r="M46" s="3">
        <f>IF(INDEX(学年度总表!$M$3:$M$1025,MATCH($E46,学年度总表!$E$3:$E$1025,0))="","",INDEX(学年度总表!$M$3:$M$1025,MATCH($E46,学年度总表!$E$3:$E$1025,0)))</f>
        <v>3.5</v>
      </c>
      <c r="N46" s="3">
        <f>IF(INDEX(学年度总表!$N$3:$N$1025,MATCH($E46,学年度总表!$E$3:$E$1025,0))="","",INDEX(学年度总表!$N$3:$N$1025,MATCH($E46,学年度总表!$E$3:$E$1025,0)))</f>
        <v>78.94</v>
      </c>
      <c r="O46" s="3">
        <f>IF(INDEX(学年度总表!$O$3:$O$1025,MATCH($E46,学年度总表!$E$3:$E$1025,0))="","",INDEX(学年度总表!$O$3:$O$1025,MATCH($E46,学年度总表!$E$3:$E$1025,0)))</f>
        <v>157</v>
      </c>
      <c r="P46" s="4" t="str">
        <f>IF(INDEX(学年度总表!$P$3:$P$1025,MATCH($E46,学年度总表!$E$3:$E$1025,0))="","",INDEX(学年度总表!$P$3:$P$1025,MATCH($E46,学年度总表!$E$3:$E$1025,0)))</f>
        <v>校三等</v>
      </c>
      <c r="Q46" s="5" t="str">
        <f>IF(INDEX(学年度总表!$Q$3:$Q$1025,MATCH($E46,学年度总表!$E$3:$E$1025,0))="","",INDEX(学年度总表!$Q$3:$Q$1025,MATCH($E46,学年度总表!$E$3:$E$1025,0)))</f>
        <v/>
      </c>
    </row>
    <row r="47" spans="1:17">
      <c r="A47" s="2">
        <f>IF(INDEX(学年度总表!$A$3:$A$1025,MATCH($E47,学年度总表!$E$3:$E$1025,0))="","",INDEX(学年度总表!$A$3:$A$1025,MATCH($E47,学年度总表!$E$3:$E$1025,0)))</f>
        <v>115</v>
      </c>
      <c r="B47" s="2">
        <f>IF(INDEX(学年度总表!$B$3:$B$1025,MATCH($E47,学年度总表!$E$3:$E$1025,0))="","",INDEX(学年度总表!$B$3:$B$1025,MATCH($E47,学年度总表!$E$3:$E$1025,0)))</f>
        <v>45</v>
      </c>
      <c r="C47" s="2" t="str">
        <f>IF(INDEX(学年度总表!$C$3:$C$1025,MATCH($E47,学年度总表!$E$3:$E$1025,0))="","",INDEX(学年度总表!$C$3:$C$1025,MATCH($E47,学年度总表!$E$3:$E$1025,0)))</f>
        <v>软工</v>
      </c>
      <c r="D47" s="2" t="str">
        <f>IF(INDEX(学年度总表!$D$3:$D$1025,MATCH($E47,学年度总表!$E$3:$E$1025,0))="","",INDEX(学年度总表!$D$3:$D$1025,MATCH($E47,学年度总表!$E$3:$E$1025,0)))</f>
        <v>软工5班</v>
      </c>
      <c r="E47" s="2" t="s">
        <v>285</v>
      </c>
      <c r="F47" s="2" t="str">
        <f>IF(INDEX(学年度总表!$F$3:$F$1025,MATCH($E47,学年度总表!$E$3:$E$1025,0))="","",INDEX(学年度总表!$F$3:$F$1025,MATCH($E47,学年度总表!$E$3:$E$1025,0)))</f>
        <v>周歆越</v>
      </c>
      <c r="G47" s="3">
        <f>IF(INDEX(学年度总表!$G$3:$G$1025,MATCH($E47,学年度总表!$E$3:$E$1025,0))="","",INDEX(学年度总表!$G$3:$G$1025,MATCH($E47,学年度总表!$E$3:$E$1025,0)))</f>
        <v>10.5</v>
      </c>
      <c r="H47" s="3">
        <f>IF(INDEX(学年度总表!$H$3:$H$1025,MATCH($E47,学年度总表!$E$3:$E$1025,0))="","",INDEX(学年度总表!$H$3:$H$1025,MATCH($E47,学年度总表!$E$3:$E$1025,0)))</f>
        <v>59.29</v>
      </c>
      <c r="I47" s="3">
        <f>IF(INDEX(学年度总表!$I$3:$I$1025,MATCH($E47,学年度总表!$E$3:$E$1025,0))="","",INDEX(学年度总表!$I$3:$I$1025,MATCH($E47,学年度总表!$E$3:$E$1025,0)))</f>
        <v>4.5</v>
      </c>
      <c r="J47" s="3">
        <f>IF(INDEX(学年度总表!$J$3:$J$1025,MATCH($E47,学年度总表!$E$3:$E$1025,0))="","",INDEX(学年度总表!$J$3:$J$1025,MATCH($E47,学年度总表!$E$3:$E$1025,0)))</f>
        <v>74.290000000000006</v>
      </c>
      <c r="K47" s="3">
        <f>IF(INDEX(学年度总表!$K$3:$K$1025,MATCH($E47,学年度总表!$E$3:$E$1025,0))="","",INDEX(学年度总表!$K$3:$K$1025,MATCH($E47,学年度总表!$E$3:$E$1025,0)))</f>
        <v>11.5</v>
      </c>
      <c r="L47" s="3">
        <f>IF(INDEX(学年度总表!$L$3:$L$1025,MATCH($E47,学年度总表!$E$3:$E$1025,0))="","",INDEX(学年度总表!$L$3:$L$1025,MATCH($E47,学年度总表!$E$3:$E$1025,0)))</f>
        <v>64.740000000000009</v>
      </c>
      <c r="M47" s="3">
        <f>IF(INDEX(学年度总表!$M$3:$M$1025,MATCH($E47,学年度总表!$E$3:$E$1025,0))="","",INDEX(学年度总表!$M$3:$M$1025,MATCH($E47,学年度总表!$E$3:$E$1025,0)))</f>
        <v>6.4</v>
      </c>
      <c r="N47" s="3">
        <f>IF(INDEX(学年度总表!$N$3:$N$1025,MATCH($E47,学年度总表!$E$3:$E$1025,0))="","",INDEX(学年度总表!$N$3:$N$1025,MATCH($E47,学年度总表!$E$3:$E$1025,0)))</f>
        <v>82.64</v>
      </c>
      <c r="O47" s="3">
        <f>IF(INDEX(学年度总表!$O$3:$O$1025,MATCH($E47,学年度总表!$E$3:$E$1025,0))="","",INDEX(学年度总表!$O$3:$O$1025,MATCH($E47,学年度总表!$E$3:$E$1025,0)))</f>
        <v>156.93</v>
      </c>
      <c r="P47" s="4" t="str">
        <f>IF(INDEX(学年度总表!$P$3:$P$1025,MATCH($E47,学年度总表!$E$3:$E$1025,0))="","",INDEX(学年度总表!$P$3:$P$1025,MATCH($E47,学年度总表!$E$3:$E$1025,0)))</f>
        <v>校三等</v>
      </c>
      <c r="Q47" s="5" t="str">
        <f>IF(INDEX(学年度总表!$Q$3:$Q$1025,MATCH($E47,学年度总表!$E$3:$E$1025,0))="","",INDEX(学年度总表!$Q$3:$Q$1025,MATCH($E47,学年度总表!$E$3:$E$1025,0)))</f>
        <v/>
      </c>
    </row>
    <row r="48" spans="1:17">
      <c r="A48" s="2">
        <f>IF(INDEX(学年度总表!$A$3:$A$1025,MATCH($E48,学年度总表!$E$3:$E$1025,0))="","",INDEX(学年度总表!$A$3:$A$1025,MATCH($E48,学年度总表!$E$3:$E$1025,0)))</f>
        <v>117</v>
      </c>
      <c r="B48" s="2">
        <f>IF(INDEX(学年度总表!$B$3:$B$1025,MATCH($E48,学年度总表!$E$3:$E$1025,0))="","",INDEX(学年度总表!$B$3:$B$1025,MATCH($E48,学年度总表!$E$3:$E$1025,0)))</f>
        <v>46</v>
      </c>
      <c r="C48" s="2" t="str">
        <f>IF(INDEX(学年度总表!$C$3:$C$1025,MATCH($E48,学年度总表!$E$3:$E$1025,0))="","",INDEX(学年度总表!$C$3:$C$1025,MATCH($E48,学年度总表!$E$3:$E$1025,0)))</f>
        <v>软工</v>
      </c>
      <c r="D48" s="2" t="str">
        <f>IF(INDEX(学年度总表!$D$3:$D$1025,MATCH($E48,学年度总表!$E$3:$E$1025,0))="","",INDEX(学年度总表!$D$3:$D$1025,MATCH($E48,学年度总表!$E$3:$E$1025,0)))</f>
        <v>软工9班</v>
      </c>
      <c r="E48" s="2" t="s">
        <v>289</v>
      </c>
      <c r="F48" s="2" t="str">
        <f>IF(INDEX(学年度总表!$F$3:$F$1025,MATCH($E48,学年度总表!$E$3:$E$1025,0))="","",INDEX(学年度总表!$F$3:$F$1025,MATCH($E48,学年度总表!$E$3:$E$1025,0)))</f>
        <v>陈莹莹</v>
      </c>
      <c r="G48" s="3">
        <f>IF(INDEX(学年度总表!$G$3:$G$1025,MATCH($E48,学年度总表!$E$3:$E$1025,0))="","",INDEX(学年度总表!$G$3:$G$1025,MATCH($E48,学年度总表!$E$3:$E$1025,0)))</f>
        <v>10.5</v>
      </c>
      <c r="H48" s="3">
        <f>IF(INDEX(学年度总表!$H$3:$H$1025,MATCH($E48,学年度总表!$E$3:$E$1025,0))="","",INDEX(学年度总表!$H$3:$H$1025,MATCH($E48,学年度总表!$E$3:$E$1025,0)))</f>
        <v>65.613207547169793</v>
      </c>
      <c r="I48" s="3">
        <f>IF(INDEX(学年度总表!$I$3:$I$1025,MATCH($E48,学年度总表!$E$3:$E$1025,0))="","",INDEX(学年度总表!$I$3:$I$1025,MATCH($E48,学年度总表!$E$3:$E$1025,0)))</f>
        <v>3</v>
      </c>
      <c r="J48" s="3">
        <f>IF(INDEX(学年度总表!$J$3:$J$1025,MATCH($E48,学年度总表!$E$3:$E$1025,0))="","",INDEX(学年度总表!$J$3:$J$1025,MATCH($E48,学年度总表!$E$3:$E$1025,0)))</f>
        <v>79.11</v>
      </c>
      <c r="K48" s="3">
        <f>IF(INDEX(学年度总表!$K$3:$K$1025,MATCH($E48,学年度总表!$E$3:$E$1025,0))="","",INDEX(学年度总表!$K$3:$K$1025,MATCH($E48,学年度总表!$E$3:$E$1025,0)))</f>
        <v>10</v>
      </c>
      <c r="L48" s="3">
        <f>IF(INDEX(学年度总表!$L$3:$L$1025,MATCH($E48,学年度总表!$E$3:$E$1025,0))="","",INDEX(学年度总表!$L$3:$L$1025,MATCH($E48,学年度总表!$E$3:$E$1025,0)))</f>
        <v>64.19</v>
      </c>
      <c r="M48" s="3">
        <f>IF(INDEX(学年度总表!$M$3:$M$1025,MATCH($E48,学年度总表!$E$3:$E$1025,0))="","",INDEX(学年度总表!$M$3:$M$1025,MATCH($E48,学年度总表!$E$3:$E$1025,0)))</f>
        <v>3.5</v>
      </c>
      <c r="N48" s="3">
        <f>IF(INDEX(学年度总表!$N$3:$N$1025,MATCH($E48,学年度总表!$E$3:$E$1025,0))="","",INDEX(学年度总表!$N$3:$N$1025,MATCH($E48,学年度总表!$E$3:$E$1025,0)))</f>
        <v>77.69</v>
      </c>
      <c r="O48" s="3">
        <f>IF(INDEX(学年度总表!$O$3:$O$1025,MATCH($E48,学年度总表!$E$3:$E$1025,0))="","",INDEX(学年度总表!$O$3:$O$1025,MATCH($E48,学年度总表!$E$3:$E$1025,0)))</f>
        <v>156.80000000000001</v>
      </c>
      <c r="P48" s="2" t="str">
        <f>IF(INDEX(学年度总表!$P$3:$P$1025,MATCH($E48,学年度总表!$E$3:$E$1025,0))="","",INDEX(学年度总表!$P$3:$P$1025,MATCH($E48,学年度总表!$E$3:$E$1025,0)))</f>
        <v/>
      </c>
      <c r="Q48" s="5" t="str">
        <f>IF(INDEX(学年度总表!$Q$3:$Q$1025,MATCH($E48,学年度总表!$E$3:$E$1025,0))="","",INDEX(学年度总表!$Q$3:$Q$1025,MATCH($E48,学年度总表!$E$3:$E$1025,0)))</f>
        <v/>
      </c>
    </row>
    <row r="49" spans="1:17">
      <c r="A49" s="2">
        <f>IF(INDEX(学年度总表!$A$3:$A$1025,MATCH($E49,学年度总表!$E$3:$E$1025,0))="","",INDEX(学年度总表!$A$3:$A$1025,MATCH($E49,学年度总表!$E$3:$E$1025,0)))</f>
        <v>118</v>
      </c>
      <c r="B49" s="2">
        <f>IF(INDEX(学年度总表!$B$3:$B$1025,MATCH($E49,学年度总表!$E$3:$E$1025,0))="","",INDEX(学年度总表!$B$3:$B$1025,MATCH($E49,学年度总表!$E$3:$E$1025,0)))</f>
        <v>47</v>
      </c>
      <c r="C49" s="2" t="str">
        <f>IF(INDEX(学年度总表!$C$3:$C$1025,MATCH($E49,学年度总表!$E$3:$E$1025,0))="","",INDEX(学年度总表!$C$3:$C$1025,MATCH($E49,学年度总表!$E$3:$E$1025,0)))</f>
        <v>软工</v>
      </c>
      <c r="D49" s="2" t="str">
        <f>IF(INDEX(学年度总表!$D$3:$D$1025,MATCH($E49,学年度总表!$E$3:$E$1025,0))="","",INDEX(学年度总表!$D$3:$D$1025,MATCH($E49,学年度总表!$E$3:$E$1025,0)))</f>
        <v>软工14班</v>
      </c>
      <c r="E49" s="2" t="s">
        <v>291</v>
      </c>
      <c r="F49" s="2" t="str">
        <f>IF(INDEX(学年度总表!$F$3:$F$1025,MATCH($E49,学年度总表!$E$3:$E$1025,0))="","",INDEX(学年度总表!$F$3:$F$1025,MATCH($E49,学年度总表!$E$3:$E$1025,0)))</f>
        <v>陈昱陶</v>
      </c>
      <c r="G49" s="3">
        <f>IF(INDEX(学年度总表!$G$3:$G$1025,MATCH($E49,学年度总表!$E$3:$E$1025,0))="","",INDEX(学年度总表!$G$3:$G$1025,MATCH($E49,学年度总表!$E$3:$E$1025,0)))</f>
        <v>9.8000000000000007</v>
      </c>
      <c r="H49" s="3">
        <f>IF(INDEX(学年度总表!$H$3:$H$1025,MATCH($E49,学年度总表!$E$3:$E$1025,0))="","",INDEX(学年度总表!$H$3:$H$1025,MATCH($E49,学年度总表!$E$3:$E$1025,0)))</f>
        <v>64.05</v>
      </c>
      <c r="I49" s="3">
        <f>IF(INDEX(学年度总表!$I$3:$I$1025,MATCH($E49,学年度总表!$E$3:$E$1025,0))="","",INDEX(学年度总表!$I$3:$I$1025,MATCH($E49,学年度总表!$E$3:$E$1025,0)))</f>
        <v>4.0999999999999996</v>
      </c>
      <c r="J49" s="3">
        <f>IF(INDEX(学年度总表!$J$3:$J$1025,MATCH($E49,学年度总表!$E$3:$E$1025,0))="","",INDEX(学年度总表!$J$3:$J$1025,MATCH($E49,学年度总表!$E$3:$E$1025,0)))</f>
        <v>77.95</v>
      </c>
      <c r="K49" s="3">
        <f>IF(INDEX(学年度总表!$K$3:$K$1025,MATCH($E49,学年度总表!$E$3:$E$1025,0))="","",INDEX(学年度总表!$K$3:$K$1025,MATCH($E49,学年度总表!$E$3:$E$1025,0)))</f>
        <v>9.8000000000000007</v>
      </c>
      <c r="L49" s="3">
        <f>IF(INDEX(学年度总表!$L$3:$L$1025,MATCH($E49,学年度总表!$E$3:$E$1025,0))="","",INDEX(学年度总表!$L$3:$L$1025,MATCH($E49,学年度总表!$E$3:$E$1025,0)))</f>
        <v>64.45</v>
      </c>
      <c r="M49" s="3">
        <f>IF(INDEX(学年度总表!$M$3:$M$1025,MATCH($E49,学年度总表!$E$3:$E$1025,0))="","",INDEX(学年度总表!$M$3:$M$1025,MATCH($E49,学年度总表!$E$3:$E$1025,0)))</f>
        <v>4.4000000000000004</v>
      </c>
      <c r="N49" s="3">
        <f>IF(INDEX(学年度总表!$N$3:$N$1025,MATCH($E49,学年度总表!$E$3:$E$1025,0))="","",INDEX(学年度总表!$N$3:$N$1025,MATCH($E49,学年度总表!$E$3:$E$1025,0)))</f>
        <v>78.650000000000006</v>
      </c>
      <c r="O49" s="3">
        <f>IF(INDEX(学年度总表!$O$3:$O$1025,MATCH($E49,学年度总表!$E$3:$E$1025,0))="","",INDEX(学年度总表!$O$3:$O$1025,MATCH($E49,学年度总表!$E$3:$E$1025,0)))</f>
        <v>156.6</v>
      </c>
      <c r="P49" s="4" t="str">
        <f>IF(INDEX(学年度总表!$P$3:$P$1025,MATCH($E49,学年度总表!$E$3:$E$1025,0))="","",INDEX(学年度总表!$P$3:$P$1025,MATCH($E49,学年度总表!$E$3:$E$1025,0)))</f>
        <v>校三等</v>
      </c>
      <c r="Q49" s="5" t="str">
        <f>IF(INDEX(学年度总表!$Q$3:$Q$1025,MATCH($E49,学年度总表!$E$3:$E$1025,0))="","",INDEX(学年度总表!$Q$3:$Q$1025,MATCH($E49,学年度总表!$E$3:$E$1025,0)))</f>
        <v/>
      </c>
    </row>
    <row r="50" spans="1:17">
      <c r="A50" s="2">
        <f>IF(INDEX(学年度总表!$A$3:$A$1025,MATCH($E50,学年度总表!$E$3:$E$1025,0))="","",INDEX(学年度总表!$A$3:$A$1025,MATCH($E50,学年度总表!$E$3:$E$1025,0)))</f>
        <v>119</v>
      </c>
      <c r="B50" s="2">
        <f>IF(INDEX(学年度总表!$B$3:$B$1025,MATCH($E50,学年度总表!$E$3:$E$1025,0))="","",INDEX(学年度总表!$B$3:$B$1025,MATCH($E50,学年度总表!$E$3:$E$1025,0)))</f>
        <v>48</v>
      </c>
      <c r="C50" s="2" t="str">
        <f>IF(INDEX(学年度总表!$C$3:$C$1025,MATCH($E50,学年度总表!$E$3:$E$1025,0))="","",INDEX(学年度总表!$C$3:$C$1025,MATCH($E50,学年度总表!$E$3:$E$1025,0)))</f>
        <v>软工</v>
      </c>
      <c r="D50" s="2" t="str">
        <f>IF(INDEX(学年度总表!$D$3:$D$1025,MATCH($E50,学年度总表!$E$3:$E$1025,0))="","",INDEX(学年度总表!$D$3:$D$1025,MATCH($E50,学年度总表!$E$3:$E$1025,0)))</f>
        <v>软工5班</v>
      </c>
      <c r="E50" s="2" t="s">
        <v>293</v>
      </c>
      <c r="F50" s="2" t="str">
        <f>IF(INDEX(学年度总表!$F$3:$F$1025,MATCH($E50,学年度总表!$E$3:$E$1025,0))="","",INDEX(学年度总表!$F$3:$F$1025,MATCH($E50,学年度总表!$E$3:$E$1025,0)))</f>
        <v>刘诗博</v>
      </c>
      <c r="G50" s="3">
        <f>IF(INDEX(学年度总表!$G$3:$G$1025,MATCH($E50,学年度总表!$E$3:$E$1025,0))="","",INDEX(学年度总表!$G$3:$G$1025,MATCH($E50,学年度总表!$E$3:$E$1025,0)))</f>
        <v>9.8000000000000007</v>
      </c>
      <c r="H50" s="3">
        <f>IF(INDEX(学年度总表!$H$3:$H$1025,MATCH($E50,学年度总表!$E$3:$E$1025,0))="","",INDEX(学年度总表!$H$3:$H$1025,MATCH($E50,学年度总表!$E$3:$E$1025,0)))</f>
        <v>64.36</v>
      </c>
      <c r="I50" s="3">
        <f>IF(INDEX(学年度总表!$I$3:$I$1025,MATCH($E50,学年度总表!$E$3:$E$1025,0))="","",INDEX(学年度总表!$I$3:$I$1025,MATCH($E50,学年度总表!$E$3:$E$1025,0)))</f>
        <v>3.9</v>
      </c>
      <c r="J50" s="3">
        <f>IF(INDEX(学年度总表!$J$3:$J$1025,MATCH($E50,学年度总表!$E$3:$E$1025,0))="","",INDEX(学年度总表!$J$3:$J$1025,MATCH($E50,学年度总表!$E$3:$E$1025,0)))</f>
        <v>78.06</v>
      </c>
      <c r="K50" s="3">
        <f>IF(INDEX(学年度总表!$K$3:$K$1025,MATCH($E50,学年度总表!$E$3:$E$1025,0))="","",INDEX(学年度总表!$K$3:$K$1025,MATCH($E50,学年度总表!$E$3:$E$1025,0)))</f>
        <v>9.8000000000000007</v>
      </c>
      <c r="L50" s="3">
        <f>IF(INDEX(学年度总表!$L$3:$L$1025,MATCH($E50,学年度总表!$E$3:$E$1025,0))="","",INDEX(学年度总表!$L$3:$L$1025,MATCH($E50,学年度总表!$E$3:$E$1025,0)))</f>
        <v>63.85</v>
      </c>
      <c r="M50" s="3">
        <f>IF(INDEX(学年度总表!$M$3:$M$1025,MATCH($E50,学年度总表!$E$3:$E$1025,0))="","",INDEX(学年度总表!$M$3:$M$1025,MATCH($E50,学年度总表!$E$3:$E$1025,0)))</f>
        <v>4.8</v>
      </c>
      <c r="N50" s="3">
        <f>IF(INDEX(学年度总表!$N$3:$N$1025,MATCH($E50,学年度总表!$E$3:$E$1025,0))="","",INDEX(学年度总表!$N$3:$N$1025,MATCH($E50,学年度总表!$E$3:$E$1025,0)))</f>
        <v>78.45</v>
      </c>
      <c r="O50" s="3">
        <f>IF(INDEX(学年度总表!$O$3:$O$1025,MATCH($E50,学年度总表!$E$3:$E$1025,0))="","",INDEX(学年度总表!$O$3:$O$1025,MATCH($E50,学年度总表!$E$3:$E$1025,0)))</f>
        <v>156.51</v>
      </c>
      <c r="P50" s="4" t="str">
        <f>IF(INDEX(学年度总表!$P$3:$P$1025,MATCH($E50,学年度总表!$E$3:$E$1025,0))="","",INDEX(学年度总表!$P$3:$P$1025,MATCH($E50,学年度总表!$E$3:$E$1025,0)))</f>
        <v>校三等</v>
      </c>
      <c r="Q50" s="5" t="str">
        <f>IF(INDEX(学年度总表!$Q$3:$Q$1025,MATCH($E50,学年度总表!$E$3:$E$1025,0))="","",INDEX(学年度总表!$Q$3:$Q$1025,MATCH($E50,学年度总表!$E$3:$E$1025,0)))</f>
        <v/>
      </c>
    </row>
    <row r="51" spans="1:17">
      <c r="A51" s="2">
        <f>IF(INDEX(学年度总表!$A$3:$A$1025,MATCH($E51,学年度总表!$E$3:$E$1025,0))="","",INDEX(学年度总表!$A$3:$A$1025,MATCH($E51,学年度总表!$E$3:$E$1025,0)))</f>
        <v>121</v>
      </c>
      <c r="B51" s="2">
        <f>IF(INDEX(学年度总表!$B$3:$B$1025,MATCH($E51,学年度总表!$E$3:$E$1025,0))="","",INDEX(学年度总表!$B$3:$B$1025,MATCH($E51,学年度总表!$E$3:$E$1025,0)))</f>
        <v>49</v>
      </c>
      <c r="C51" s="2" t="str">
        <f>IF(INDEX(学年度总表!$C$3:$C$1025,MATCH($E51,学年度总表!$E$3:$E$1025,0))="","",INDEX(学年度总表!$C$3:$C$1025,MATCH($E51,学年度总表!$E$3:$E$1025,0)))</f>
        <v>软工</v>
      </c>
      <c r="D51" s="2" t="str">
        <f>IF(INDEX(学年度总表!$D$3:$D$1025,MATCH($E51,学年度总表!$E$3:$E$1025,0))="","",INDEX(学年度总表!$D$3:$D$1025,MATCH($E51,学年度总表!$E$3:$E$1025,0)))</f>
        <v>软工8班</v>
      </c>
      <c r="E51" s="2" t="s">
        <v>297</v>
      </c>
      <c r="F51" s="2" t="str">
        <f>IF(INDEX(学年度总表!$F$3:$F$1025,MATCH($E51,学年度总表!$E$3:$E$1025,0))="","",INDEX(学年度总表!$F$3:$F$1025,MATCH($E51,学年度总表!$E$3:$E$1025,0)))</f>
        <v>徐子翔</v>
      </c>
      <c r="G51" s="3">
        <f>IF(INDEX(学年度总表!$G$3:$G$1025,MATCH($E51,学年度总表!$E$3:$E$1025,0))="","",INDEX(学年度总表!$G$3:$G$1025,MATCH($E51,学年度总表!$E$3:$E$1025,0)))</f>
        <v>11</v>
      </c>
      <c r="H51" s="3">
        <f>IF(INDEX(学年度总表!$H$3:$H$1025,MATCH($E51,学年度总表!$E$3:$E$1025,0))="","",INDEX(学年度总表!$H$3:$H$1025,MATCH($E51,学年度总表!$E$3:$E$1025,0)))</f>
        <v>64.289473684210506</v>
      </c>
      <c r="I51" s="3">
        <f>IF(INDEX(学年度总表!$I$3:$I$1025,MATCH($E51,学年度总表!$E$3:$E$1025,0))="","",INDEX(学年度总表!$I$3:$I$1025,MATCH($E51,学年度总表!$E$3:$E$1025,0)))</f>
        <v>4.5</v>
      </c>
      <c r="J51" s="3">
        <f>IF(INDEX(学年度总表!$J$3:$J$1025,MATCH($E51,学年度总表!$E$3:$E$1025,0))="","",INDEX(学年度总表!$J$3:$J$1025,MATCH($E51,学年度总表!$E$3:$E$1025,0)))</f>
        <v>79.790000000000006</v>
      </c>
      <c r="K51" s="3">
        <f>IF(INDEX(学年度总表!$K$3:$K$1025,MATCH($E51,学年度总表!$E$3:$E$1025,0))="","",INDEX(学年度总表!$K$3:$K$1025,MATCH($E51,学年度总表!$E$3:$E$1025,0)))</f>
        <v>11</v>
      </c>
      <c r="L51" s="3">
        <f>IF(INDEX(学年度总表!$L$3:$L$1025,MATCH($E51,学年度总表!$E$3:$E$1025,0))="","",INDEX(学年度总表!$L$3:$L$1025,MATCH($E51,学年度总表!$E$3:$E$1025,0)))</f>
        <v>59.7</v>
      </c>
      <c r="M51" s="3">
        <f>IF(INDEX(学年度总表!$M$3:$M$1025,MATCH($E51,学年度总表!$E$3:$E$1025,0))="","",INDEX(学年度总表!$M$3:$M$1025,MATCH($E51,学年度总表!$E$3:$E$1025,0)))</f>
        <v>5.9</v>
      </c>
      <c r="N51" s="3">
        <f>IF(INDEX(学年度总表!$N$3:$N$1025,MATCH($E51,学年度总表!$E$3:$E$1025,0))="","",INDEX(学年度总表!$N$3:$N$1025,MATCH($E51,学年度总表!$E$3:$E$1025,0)))</f>
        <v>76.599999999999994</v>
      </c>
      <c r="O51" s="3">
        <f>IF(INDEX(学年度总表!$O$3:$O$1025,MATCH($E51,学年度总表!$E$3:$E$1025,0))="","",INDEX(学年度总表!$O$3:$O$1025,MATCH($E51,学年度总表!$E$3:$E$1025,0)))</f>
        <v>156.38999999999999</v>
      </c>
      <c r="P51" s="2" t="str">
        <f>IF(INDEX(学年度总表!$P$3:$P$1025,MATCH($E51,学年度总表!$E$3:$E$1025,0))="","",INDEX(学年度总表!$P$3:$P$1025,MATCH($E51,学年度总表!$E$3:$E$1025,0)))</f>
        <v/>
      </c>
      <c r="Q51" s="5" t="str">
        <f>IF(INDEX(学年度总表!$Q$3:$Q$1025,MATCH($E51,学年度总表!$E$3:$E$1025,0))="","",INDEX(学年度总表!$Q$3:$Q$1025,MATCH($E51,学年度总表!$E$3:$E$1025,0)))</f>
        <v/>
      </c>
    </row>
    <row r="52" spans="1:17">
      <c r="A52" s="2">
        <f>IF(INDEX(学年度总表!$A$3:$A$1025,MATCH($E52,学年度总表!$E$3:$E$1025,0))="","",INDEX(学年度总表!$A$3:$A$1025,MATCH($E52,学年度总表!$E$3:$E$1025,0)))</f>
        <v>125</v>
      </c>
      <c r="B52" s="2">
        <f>IF(INDEX(学年度总表!$B$3:$B$1025,MATCH($E52,学年度总表!$E$3:$E$1025,0))="","",INDEX(学年度总表!$B$3:$B$1025,MATCH($E52,学年度总表!$E$3:$E$1025,0)))</f>
        <v>50</v>
      </c>
      <c r="C52" s="2" t="str">
        <f>IF(INDEX(学年度总表!$C$3:$C$1025,MATCH($E52,学年度总表!$E$3:$E$1025,0))="","",INDEX(学年度总表!$C$3:$C$1025,MATCH($E52,学年度总表!$E$3:$E$1025,0)))</f>
        <v>软工</v>
      </c>
      <c r="D52" s="2" t="str">
        <f>IF(INDEX(学年度总表!$D$3:$D$1025,MATCH($E52,学年度总表!$E$3:$E$1025,0))="","",INDEX(学年度总表!$D$3:$D$1025,MATCH($E52,学年度总表!$E$3:$E$1025,0)))</f>
        <v>软工14班</v>
      </c>
      <c r="E52" s="2" t="s">
        <v>305</v>
      </c>
      <c r="F52" s="2" t="str">
        <f>IF(INDEX(学年度总表!$F$3:$F$1025,MATCH($E52,学年度总表!$E$3:$E$1025,0))="","",INDEX(学年度总表!$F$3:$F$1025,MATCH($E52,学年度总表!$E$3:$E$1025,0)))</f>
        <v>王一茗</v>
      </c>
      <c r="G52" s="3">
        <f>IF(INDEX(学年度总表!$G$3:$G$1025,MATCH($E52,学年度总表!$E$3:$E$1025,0))="","",INDEX(学年度总表!$G$3:$G$1025,MATCH($E52,学年度总表!$E$3:$E$1025,0)))</f>
        <v>9.8000000000000007</v>
      </c>
      <c r="H52" s="3">
        <f>IF(INDEX(学年度总表!$H$3:$H$1025,MATCH($E52,学年度总表!$E$3:$E$1025,0))="","",INDEX(学年度总表!$H$3:$H$1025,MATCH($E52,学年度总表!$E$3:$E$1025,0)))</f>
        <v>64.459999999999994</v>
      </c>
      <c r="I52" s="3">
        <f>IF(INDEX(学年度总表!$I$3:$I$1025,MATCH($E52,学年度总表!$E$3:$E$1025,0))="","",INDEX(学年度总表!$I$3:$I$1025,MATCH($E52,学年度总表!$E$3:$E$1025,0)))</f>
        <v>3</v>
      </c>
      <c r="J52" s="3">
        <f>IF(INDEX(学年度总表!$J$3:$J$1025,MATCH($E52,学年度总表!$E$3:$E$1025,0))="","",INDEX(学年度总表!$J$3:$J$1025,MATCH($E52,学年度总表!$E$3:$E$1025,0)))</f>
        <v>77.260000000000005</v>
      </c>
      <c r="K52" s="3">
        <f>IF(INDEX(学年度总表!$K$3:$K$1025,MATCH($E52,学年度总表!$E$3:$E$1025,0))="","",INDEX(学年度总表!$K$3:$K$1025,MATCH($E52,学年度总表!$E$3:$E$1025,0)))</f>
        <v>9.8000000000000007</v>
      </c>
      <c r="L52" s="3">
        <f>IF(INDEX(学年度总表!$L$3:$L$1025,MATCH($E52,学年度总表!$E$3:$E$1025,0))="","",INDEX(学年度总表!$L$3:$L$1025,MATCH($E52,学年度总表!$E$3:$E$1025,0)))</f>
        <v>65.709999999999994</v>
      </c>
      <c r="M52" s="3">
        <f>IF(INDEX(学年度总表!$M$3:$M$1025,MATCH($E52,学年度总表!$E$3:$E$1025,0))="","",INDEX(学年度总表!$M$3:$M$1025,MATCH($E52,学年度总表!$E$3:$E$1025,0)))</f>
        <v>3.5</v>
      </c>
      <c r="N52" s="3">
        <f>IF(INDEX(学年度总表!$N$3:$N$1025,MATCH($E52,学年度总表!$E$3:$E$1025,0))="","",INDEX(学年度总表!$N$3:$N$1025,MATCH($E52,学年度总表!$E$3:$E$1025,0)))</f>
        <v>79.010000000000005</v>
      </c>
      <c r="O52" s="3">
        <f>IF(INDEX(学年度总表!$O$3:$O$1025,MATCH($E52,学年度总表!$E$3:$E$1025,0))="","",INDEX(学年度总表!$O$3:$O$1025,MATCH($E52,学年度总表!$E$3:$E$1025,0)))</f>
        <v>156.27000000000001</v>
      </c>
      <c r="P52" s="4" t="str">
        <f>IF(INDEX(学年度总表!$P$3:$P$1025,MATCH($E52,学年度总表!$E$3:$E$1025,0))="","",INDEX(学年度总表!$P$3:$P$1025,MATCH($E52,学年度总表!$E$3:$E$1025,0)))</f>
        <v>校三等</v>
      </c>
      <c r="Q52" s="5" t="str">
        <f>IF(INDEX(学年度总表!$Q$3:$Q$1025,MATCH($E52,学年度总表!$E$3:$E$1025,0))="","",INDEX(学年度总表!$Q$3:$Q$1025,MATCH($E52,学年度总表!$E$3:$E$1025,0)))</f>
        <v/>
      </c>
    </row>
    <row r="53" spans="1:17">
      <c r="A53" s="2">
        <f>IF(INDEX(学年度总表!$A$3:$A$1025,MATCH($E53,学年度总表!$E$3:$E$1025,0))="","",INDEX(学年度总表!$A$3:$A$1025,MATCH($E53,学年度总表!$E$3:$E$1025,0)))</f>
        <v>130</v>
      </c>
      <c r="B53" s="2">
        <f>IF(INDEX(学年度总表!$B$3:$B$1025,MATCH($E53,学年度总表!$E$3:$E$1025,0))="","",INDEX(学年度总表!$B$3:$B$1025,MATCH($E53,学年度总表!$E$3:$E$1025,0)))</f>
        <v>51</v>
      </c>
      <c r="C53" s="2" t="str">
        <f>IF(INDEX(学年度总表!$C$3:$C$1025,MATCH($E53,学年度总表!$E$3:$E$1025,0))="","",INDEX(学年度总表!$C$3:$C$1025,MATCH($E53,学年度总表!$E$3:$E$1025,0)))</f>
        <v>软工</v>
      </c>
      <c r="D53" s="2" t="str">
        <f>IF(INDEX(学年度总表!$D$3:$D$1025,MATCH($E53,学年度总表!$E$3:$E$1025,0))="","",INDEX(学年度总表!$D$3:$D$1025,MATCH($E53,学年度总表!$E$3:$E$1025,0)))</f>
        <v>软工10班</v>
      </c>
      <c r="E53" s="2" t="s">
        <v>315</v>
      </c>
      <c r="F53" s="2" t="str">
        <f>IF(INDEX(学年度总表!$F$3:$F$1025,MATCH($E53,学年度总表!$E$3:$E$1025,0))="","",INDEX(学年度总表!$F$3:$F$1025,MATCH($E53,学年度总表!$E$3:$E$1025,0)))</f>
        <v>唐嘉骏</v>
      </c>
      <c r="G53" s="3">
        <f>IF(INDEX(学年度总表!$G$3:$G$1025,MATCH($E53,学年度总表!$E$3:$E$1025,0))="","",INDEX(学年度总表!$G$3:$G$1025,MATCH($E53,学年度总表!$E$3:$E$1025,0)))</f>
        <v>10</v>
      </c>
      <c r="H53" s="3">
        <f>IF(INDEX(学年度总表!$H$3:$H$1025,MATCH($E53,学年度总表!$E$3:$E$1025,0))="","",INDEX(学年度总表!$H$3:$H$1025,MATCH($E53,学年度总表!$E$3:$E$1025,0)))</f>
        <v>65.81</v>
      </c>
      <c r="I53" s="3">
        <f>IF(INDEX(学年度总表!$I$3:$I$1025,MATCH($E53,学年度总表!$E$3:$E$1025,0))="","",INDEX(学年度总表!$I$3:$I$1025,MATCH($E53,学年度总表!$E$3:$E$1025,0)))</f>
        <v>5.2</v>
      </c>
      <c r="J53" s="3">
        <f>IF(INDEX(学年度总表!$J$3:$J$1025,MATCH($E53,学年度总表!$E$3:$E$1025,0))="","",INDEX(学年度总表!$J$3:$J$1025,MATCH($E53,学年度总表!$E$3:$E$1025,0)))</f>
        <v>81.010000000000005</v>
      </c>
      <c r="K53" s="3">
        <f>IF(INDEX(学年度总表!$K$3:$K$1025,MATCH($E53,学年度总表!$E$3:$E$1025,0))="","",INDEX(学年度总表!$K$3:$K$1025,MATCH($E53,学年度总表!$E$3:$E$1025,0)))</f>
        <v>10</v>
      </c>
      <c r="L53" s="3">
        <f>IF(INDEX(学年度总表!$L$3:$L$1025,MATCH($E53,学年度总表!$E$3:$E$1025,0))="","",INDEX(学年度总表!$L$3:$L$1025,MATCH($E53,学年度总表!$E$3:$E$1025,0)))</f>
        <v>58.75</v>
      </c>
      <c r="M53" s="3">
        <f>IF(INDEX(学年度总表!$M$3:$M$1025,MATCH($E53,学年度总表!$E$3:$E$1025,0))="","",INDEX(学年度总表!$M$3:$M$1025,MATCH($E53,学年度总表!$E$3:$E$1025,0)))</f>
        <v>6.3</v>
      </c>
      <c r="N53" s="3">
        <f>IF(INDEX(学年度总表!$N$3:$N$1025,MATCH($E53,学年度总表!$E$3:$E$1025,0))="","",INDEX(学年度总表!$N$3:$N$1025,MATCH($E53,学年度总表!$E$3:$E$1025,0)))</f>
        <v>75.05</v>
      </c>
      <c r="O53" s="3">
        <f>IF(INDEX(学年度总表!$O$3:$O$1025,MATCH($E53,学年度总表!$E$3:$E$1025,0))="","",INDEX(学年度总表!$O$3:$O$1025,MATCH($E53,学年度总表!$E$3:$E$1025,0)))</f>
        <v>156.06</v>
      </c>
      <c r="P53" s="4" t="str">
        <f>IF(INDEX(学年度总表!$P$3:$P$1025,MATCH($E53,学年度总表!$E$3:$E$1025,0))="","",INDEX(学年度总表!$P$3:$P$1025,MATCH($E53,学年度总表!$E$3:$E$1025,0)))</f>
        <v>校三等</v>
      </c>
      <c r="Q53" s="5" t="str">
        <f>IF(INDEX(学年度总表!$Q$3:$Q$1025,MATCH($E53,学年度总表!$E$3:$E$1025,0))="","",INDEX(学年度总表!$Q$3:$Q$1025,MATCH($E53,学年度总表!$E$3:$E$1025,0)))</f>
        <v/>
      </c>
    </row>
    <row r="54" spans="1:17">
      <c r="A54" s="2">
        <f>IF(INDEX(学年度总表!$A$3:$A$1025,MATCH($E54,学年度总表!$E$3:$E$1025,0))="","",INDEX(学年度总表!$A$3:$A$1025,MATCH($E54,学年度总表!$E$3:$E$1025,0)))</f>
        <v>131</v>
      </c>
      <c r="B54" s="2">
        <f>IF(INDEX(学年度总表!$B$3:$B$1025,MATCH($E54,学年度总表!$E$3:$E$1025,0))="","",INDEX(学年度总表!$B$3:$B$1025,MATCH($E54,学年度总表!$E$3:$E$1025,0)))</f>
        <v>52</v>
      </c>
      <c r="C54" s="2" t="str">
        <f>IF(INDEX(学年度总表!$C$3:$C$1025,MATCH($E54,学年度总表!$E$3:$E$1025,0))="","",INDEX(学年度总表!$C$3:$C$1025,MATCH($E54,学年度总表!$E$3:$E$1025,0)))</f>
        <v>软工</v>
      </c>
      <c r="D54" s="2" t="str">
        <f>IF(INDEX(学年度总表!$D$3:$D$1025,MATCH($E54,学年度总表!$E$3:$E$1025,0))="","",INDEX(学年度总表!$D$3:$D$1025,MATCH($E54,学年度总表!$E$3:$E$1025,0)))</f>
        <v>软工5班</v>
      </c>
      <c r="E54" s="2" t="s">
        <v>317</v>
      </c>
      <c r="F54" s="2" t="str">
        <f>IF(INDEX(学年度总表!$F$3:$F$1025,MATCH($E54,学年度总表!$E$3:$E$1025,0))="","",INDEX(学年度总表!$F$3:$F$1025,MATCH($E54,学年度总表!$E$3:$E$1025,0)))</f>
        <v>苏含</v>
      </c>
      <c r="G54" s="3">
        <f>IF(INDEX(学年度总表!$G$3:$G$1025,MATCH($E54,学年度总表!$E$3:$E$1025,0))="","",INDEX(学年度总表!$G$3:$G$1025,MATCH($E54,学年度总表!$E$3:$E$1025,0)))</f>
        <v>9.8000000000000007</v>
      </c>
      <c r="H54" s="3">
        <f>IF(INDEX(学年度总表!$H$3:$H$1025,MATCH($E54,学年度总表!$E$3:$E$1025,0))="","",INDEX(学年度总表!$H$3:$H$1025,MATCH($E54,学年度总表!$E$3:$E$1025,0)))</f>
        <v>66.39</v>
      </c>
      <c r="I54" s="3">
        <f>IF(INDEX(学年度总表!$I$3:$I$1025,MATCH($E54,学年度总表!$E$3:$E$1025,0))="","",INDEX(学年度总表!$I$3:$I$1025,MATCH($E54,学年度总表!$E$3:$E$1025,0)))</f>
        <v>3.5</v>
      </c>
      <c r="J54" s="3">
        <f>IF(INDEX(学年度总表!$J$3:$J$1025,MATCH($E54,学年度总表!$E$3:$E$1025,0))="","",INDEX(学年度总表!$J$3:$J$1025,MATCH($E54,学年度总表!$E$3:$E$1025,0)))</f>
        <v>79.69</v>
      </c>
      <c r="K54" s="3">
        <f>IF(INDEX(学年度总表!$K$3:$K$1025,MATCH($E54,学年度总表!$E$3:$E$1025,0))="","",INDEX(学年度总表!$K$3:$K$1025,MATCH($E54,学年度总表!$E$3:$E$1025,0)))</f>
        <v>9.8000000000000007</v>
      </c>
      <c r="L54" s="3">
        <f>IF(INDEX(学年度总表!$L$3:$L$1025,MATCH($E54,学年度总表!$E$3:$E$1025,0))="","",INDEX(学年度总表!$L$3:$L$1025,MATCH($E54,学年度总表!$E$3:$E$1025,0)))</f>
        <v>62.2</v>
      </c>
      <c r="M54" s="3">
        <f>IF(INDEX(学年度总表!$M$3:$M$1025,MATCH($E54,学年度总表!$E$3:$E$1025,0))="","",INDEX(学年度总表!$M$3:$M$1025,MATCH($E54,学年度总表!$E$3:$E$1025,0)))</f>
        <v>4.3</v>
      </c>
      <c r="N54" s="3">
        <f>IF(INDEX(学年度总表!$N$3:$N$1025,MATCH($E54,学年度总表!$E$3:$E$1025,0))="","",INDEX(学年度总表!$N$3:$N$1025,MATCH($E54,学年度总表!$E$3:$E$1025,0)))</f>
        <v>76.3</v>
      </c>
      <c r="O54" s="3">
        <f>IF(INDEX(学年度总表!$O$3:$O$1025,MATCH($E54,学年度总表!$E$3:$E$1025,0))="","",INDEX(学年度总表!$O$3:$O$1025,MATCH($E54,学年度总表!$E$3:$E$1025,0)))</f>
        <v>155.99</v>
      </c>
      <c r="P54" s="4" t="str">
        <f>IF(INDEX(学年度总表!$P$3:$P$1025,MATCH($E54,学年度总表!$E$3:$E$1025,0))="","",INDEX(学年度总表!$P$3:$P$1025,MATCH($E54,学年度总表!$E$3:$E$1025,0)))</f>
        <v>校三等</v>
      </c>
      <c r="Q54" s="5" t="str">
        <f>IF(INDEX(学年度总表!$Q$3:$Q$1025,MATCH($E54,学年度总表!$E$3:$E$1025,0))="","",INDEX(学年度总表!$Q$3:$Q$1025,MATCH($E54,学年度总表!$E$3:$E$1025,0)))</f>
        <v/>
      </c>
    </row>
    <row r="55" spans="1:17">
      <c r="A55" s="2">
        <f>IF(INDEX(学年度总表!$A$3:$A$1025,MATCH($E55,学年度总表!$E$3:$E$1025,0))="","",INDEX(学年度总表!$A$3:$A$1025,MATCH($E55,学年度总表!$E$3:$E$1025,0)))</f>
        <v>132</v>
      </c>
      <c r="B55" s="2">
        <f>IF(INDEX(学年度总表!$B$3:$B$1025,MATCH($E55,学年度总表!$E$3:$E$1025,0))="","",INDEX(学年度总表!$B$3:$B$1025,MATCH($E55,学年度总表!$E$3:$E$1025,0)))</f>
        <v>53</v>
      </c>
      <c r="C55" s="2" t="str">
        <f>IF(INDEX(学年度总表!$C$3:$C$1025,MATCH($E55,学年度总表!$E$3:$E$1025,0))="","",INDEX(学年度总表!$C$3:$C$1025,MATCH($E55,学年度总表!$E$3:$E$1025,0)))</f>
        <v>软工</v>
      </c>
      <c r="D55" s="2" t="str">
        <f>IF(INDEX(学年度总表!$D$3:$D$1025,MATCH($E55,学年度总表!$E$3:$E$1025,0))="","",INDEX(学年度总表!$D$3:$D$1025,MATCH($E55,学年度总表!$E$3:$E$1025,0)))</f>
        <v>软工13班</v>
      </c>
      <c r="E55" s="2" t="s">
        <v>319</v>
      </c>
      <c r="F55" s="2" t="str">
        <f>IF(INDEX(学年度总表!$F$3:$F$1025,MATCH($E55,学年度总表!$E$3:$E$1025,0))="","",INDEX(学年度总表!$F$3:$F$1025,MATCH($E55,学年度总表!$E$3:$E$1025,0)))</f>
        <v>张惠茜</v>
      </c>
      <c r="G55" s="3">
        <f>IF(INDEX(学年度总表!$G$3:$G$1025,MATCH($E55,学年度总表!$E$3:$E$1025,0))="","",INDEX(学年度总表!$G$3:$G$1025,MATCH($E55,学年度总表!$E$3:$E$1025,0)))</f>
        <v>10.3</v>
      </c>
      <c r="H55" s="3">
        <f>IF(INDEX(学年度总表!$H$3:$H$1025,MATCH($E55,学年度总表!$E$3:$E$1025,0))="","",INDEX(学年度总表!$H$3:$H$1025,MATCH($E55,学年度总表!$E$3:$E$1025,0)))</f>
        <v>65.67</v>
      </c>
      <c r="I55" s="3">
        <f>IF(INDEX(学年度总表!$I$3:$I$1025,MATCH($E55,学年度总表!$E$3:$E$1025,0))="","",INDEX(学年度总表!$I$3:$I$1025,MATCH($E55,学年度总表!$E$3:$E$1025,0)))</f>
        <v>3</v>
      </c>
      <c r="J55" s="3">
        <f>IF(INDEX(学年度总表!$J$3:$J$1025,MATCH($E55,学年度总表!$E$3:$E$1025,0))="","",INDEX(学年度总表!$J$3:$J$1025,MATCH($E55,学年度总表!$E$3:$E$1025,0)))</f>
        <v>78.97</v>
      </c>
      <c r="K55" s="3">
        <f>IF(INDEX(学年度总表!$K$3:$K$1025,MATCH($E55,学年度总表!$E$3:$E$1025,0))="","",INDEX(学年度总表!$K$3:$K$1025,MATCH($E55,学年度总表!$E$3:$E$1025,0)))</f>
        <v>9.8000000000000007</v>
      </c>
      <c r="L55" s="3">
        <f>IF(INDEX(学年度总表!$L$3:$L$1025,MATCH($E55,学年度总表!$E$3:$E$1025,0))="","",INDEX(学年度总表!$L$3:$L$1025,MATCH($E55,学年度总表!$E$3:$E$1025,0)))</f>
        <v>62.43</v>
      </c>
      <c r="M55" s="3">
        <f>IF(INDEX(学年度总表!$M$3:$M$1025,MATCH($E55,学年度总表!$E$3:$E$1025,0))="","",INDEX(学年度总表!$M$3:$M$1025,MATCH($E55,学年度总表!$E$3:$E$1025,0)))</f>
        <v>4.7</v>
      </c>
      <c r="N55" s="3">
        <f>IF(INDEX(学年度总表!$N$3:$N$1025,MATCH($E55,学年度总表!$E$3:$E$1025,0))="","",INDEX(学年度总表!$N$3:$N$1025,MATCH($E55,学年度总表!$E$3:$E$1025,0)))</f>
        <v>76.930000000000007</v>
      </c>
      <c r="O55" s="3">
        <f>IF(INDEX(学年度总表!$O$3:$O$1025,MATCH($E55,学年度总表!$E$3:$E$1025,0))="","",INDEX(学年度总表!$O$3:$O$1025,MATCH($E55,学年度总表!$E$3:$E$1025,0)))</f>
        <v>155.9</v>
      </c>
      <c r="P55" s="4" t="str">
        <f>IF(INDEX(学年度总表!$P$3:$P$1025,MATCH($E55,学年度总表!$E$3:$E$1025,0))="","",INDEX(学年度总表!$P$3:$P$1025,MATCH($E55,学年度总表!$E$3:$E$1025,0)))</f>
        <v>校三等</v>
      </c>
      <c r="Q55" s="5" t="str">
        <f>IF(INDEX(学年度总表!$Q$3:$Q$1025,MATCH($E55,学年度总表!$E$3:$E$1025,0))="","",INDEX(学年度总表!$Q$3:$Q$1025,MATCH($E55,学年度总表!$E$3:$E$1025,0)))</f>
        <v/>
      </c>
    </row>
    <row r="56" spans="1:17">
      <c r="A56" s="2">
        <f>IF(INDEX(学年度总表!$A$3:$A$1025,MATCH($E56,学年度总表!$E$3:$E$1025,0))="","",INDEX(学年度总表!$A$3:$A$1025,MATCH($E56,学年度总表!$E$3:$E$1025,0)))</f>
        <v>133</v>
      </c>
      <c r="B56" s="2">
        <f>IF(INDEX(学年度总表!$B$3:$B$1025,MATCH($E56,学年度总表!$E$3:$E$1025,0))="","",INDEX(学年度总表!$B$3:$B$1025,MATCH($E56,学年度总表!$E$3:$E$1025,0)))</f>
        <v>54</v>
      </c>
      <c r="C56" s="2" t="str">
        <f>IF(INDEX(学年度总表!$C$3:$C$1025,MATCH($E56,学年度总表!$E$3:$E$1025,0))="","",INDEX(学年度总表!$C$3:$C$1025,MATCH($E56,学年度总表!$E$3:$E$1025,0)))</f>
        <v>软工</v>
      </c>
      <c r="D56" s="2" t="str">
        <f>IF(INDEX(学年度总表!$D$3:$D$1025,MATCH($E56,学年度总表!$E$3:$E$1025,0))="","",INDEX(学年度总表!$D$3:$D$1025,MATCH($E56,学年度总表!$E$3:$E$1025,0)))</f>
        <v>软工12班</v>
      </c>
      <c r="E56" s="2" t="s">
        <v>321</v>
      </c>
      <c r="F56" s="2" t="str">
        <f>IF(INDEX(学年度总表!$F$3:$F$1025,MATCH($E56,学年度总表!$E$3:$E$1025,0))="","",INDEX(学年度总表!$F$3:$F$1025,MATCH($E56,学年度总表!$E$3:$E$1025,0)))</f>
        <v>郭佳垚</v>
      </c>
      <c r="G56" s="3">
        <f>IF(INDEX(学年度总表!$G$3:$G$1025,MATCH($E56,学年度总表!$E$3:$E$1025,0))="","",INDEX(学年度总表!$G$3:$G$1025,MATCH($E56,学年度总表!$E$3:$E$1025,0)))</f>
        <v>13.3</v>
      </c>
      <c r="H56" s="3">
        <f>IF(INDEX(学年度总表!$H$3:$H$1025,MATCH($E56,学年度总表!$E$3:$E$1025,0))="","",INDEX(学年度总表!$H$3:$H$1025,MATCH($E56,学年度总表!$E$3:$E$1025,0)))</f>
        <v>55.37</v>
      </c>
      <c r="I56" s="3">
        <f>IF(INDEX(学年度总表!$I$3:$I$1025,MATCH($E56,学年度总表!$E$3:$E$1025,0))="","",INDEX(学年度总表!$I$3:$I$1025,MATCH($E56,学年度总表!$E$3:$E$1025,0)))</f>
        <v>7.65</v>
      </c>
      <c r="J56" s="3">
        <f>IF(INDEX(学年度总表!$J$3:$J$1025,MATCH($E56,学年度总表!$E$3:$E$1025,0))="","",INDEX(学年度总表!$J$3:$J$1025,MATCH($E56,学年度总表!$E$3:$E$1025,0)))</f>
        <v>76.319999999999993</v>
      </c>
      <c r="K56" s="3">
        <f>IF(INDEX(学年度总表!$K$3:$K$1025,MATCH($E56,学年度总表!$E$3:$E$1025,0))="","",INDEX(学年度总表!$K$3:$K$1025,MATCH($E56,学年度总表!$E$3:$E$1025,0)))</f>
        <v>12.8</v>
      </c>
      <c r="L56" s="3">
        <f>IF(INDEX(学年度总表!$L$3:$L$1025,MATCH($E56,学年度总表!$E$3:$E$1025,0))="","",INDEX(学年度总表!$L$3:$L$1025,MATCH($E56,学年度总表!$E$3:$E$1025,0)))</f>
        <v>57.69</v>
      </c>
      <c r="M56" s="3">
        <f>IF(INDEX(学年度总表!$M$3:$M$1025,MATCH($E56,学年度总表!$E$3:$E$1025,0))="","",INDEX(学年度总表!$M$3:$M$1025,MATCH($E56,学年度总表!$E$3:$E$1025,0)))</f>
        <v>9</v>
      </c>
      <c r="N56" s="3">
        <f>IF(INDEX(学年度总表!$N$3:$N$1025,MATCH($E56,学年度总表!$E$3:$E$1025,0))="","",INDEX(学年度总表!$N$3:$N$1025,MATCH($E56,学年度总表!$E$3:$E$1025,0)))</f>
        <v>79.489999999999995</v>
      </c>
      <c r="O56" s="3">
        <f>IF(INDEX(学年度总表!$O$3:$O$1025,MATCH($E56,学年度总表!$E$3:$E$1025,0))="","",INDEX(学年度总表!$O$3:$O$1025,MATCH($E56,学年度总表!$E$3:$E$1025,0)))</f>
        <v>155.81</v>
      </c>
      <c r="P56" s="4" t="str">
        <f>IF(INDEX(学年度总表!$P$3:$P$1025,MATCH($E56,学年度总表!$E$3:$E$1025,0))="","",INDEX(学年度总表!$P$3:$P$1025,MATCH($E56,学年度总表!$E$3:$E$1025,0)))</f>
        <v>校三等</v>
      </c>
      <c r="Q56" s="5" t="str">
        <f>IF(INDEX(学年度总表!$Q$3:$Q$1025,MATCH($E56,学年度总表!$E$3:$E$1025,0))="","",INDEX(学年度总表!$Q$3:$Q$1025,MATCH($E56,学年度总表!$E$3:$E$1025,0)))</f>
        <v/>
      </c>
    </row>
    <row r="57" spans="1:17">
      <c r="A57" s="2">
        <f>IF(INDEX(学年度总表!$A$3:$A$1025,MATCH($E57,学年度总表!$E$3:$E$1025,0))="","",INDEX(学年度总表!$A$3:$A$1025,MATCH($E57,学年度总表!$E$3:$E$1025,0)))</f>
        <v>135</v>
      </c>
      <c r="B57" s="2">
        <f>IF(INDEX(学年度总表!$B$3:$B$1025,MATCH($E57,学年度总表!$E$3:$E$1025,0))="","",INDEX(学年度总表!$B$3:$B$1025,MATCH($E57,学年度总表!$E$3:$E$1025,0)))</f>
        <v>55</v>
      </c>
      <c r="C57" s="2" t="str">
        <f>IF(INDEX(学年度总表!$C$3:$C$1025,MATCH($E57,学年度总表!$E$3:$E$1025,0))="","",INDEX(学年度总表!$C$3:$C$1025,MATCH($E57,学年度总表!$E$3:$E$1025,0)))</f>
        <v>软工</v>
      </c>
      <c r="D57" s="2" t="str">
        <f>IF(INDEX(学年度总表!$D$3:$D$1025,MATCH($E57,学年度总表!$E$3:$E$1025,0))="","",INDEX(学年度总表!$D$3:$D$1025,MATCH($E57,学年度总表!$E$3:$E$1025,0)))</f>
        <v>软工12班</v>
      </c>
      <c r="E57" s="2" t="s">
        <v>325</v>
      </c>
      <c r="F57" s="2" t="str">
        <f>IF(INDEX(学年度总表!$F$3:$F$1025,MATCH($E57,学年度总表!$E$3:$E$1025,0))="","",INDEX(学年度总表!$F$3:$F$1025,MATCH($E57,学年度总表!$E$3:$E$1025,0)))</f>
        <v>李文淏</v>
      </c>
      <c r="G57" s="3">
        <f>IF(INDEX(学年度总表!$G$3:$G$1025,MATCH($E57,学年度总表!$E$3:$E$1025,0))="","",INDEX(学年度总表!$G$3:$G$1025,MATCH($E57,学年度总表!$E$3:$E$1025,0)))</f>
        <v>9.8000000000000007</v>
      </c>
      <c r="H57" s="3">
        <f>IF(INDEX(学年度总表!$H$3:$H$1025,MATCH($E57,学年度总表!$E$3:$E$1025,0))="","",INDEX(学年度总表!$H$3:$H$1025,MATCH($E57,学年度总表!$E$3:$E$1025,0)))</f>
        <v>62.12</v>
      </c>
      <c r="I57" s="3">
        <f>IF(INDEX(学年度总表!$I$3:$I$1025,MATCH($E57,学年度总表!$E$3:$E$1025,0))="","",INDEX(学年度总表!$I$3:$I$1025,MATCH($E57,学年度总表!$E$3:$E$1025,0)))</f>
        <v>5.6</v>
      </c>
      <c r="J57" s="3">
        <f>IF(INDEX(学年度总表!$J$3:$J$1025,MATCH($E57,学年度总表!$E$3:$E$1025,0))="","",INDEX(学年度总表!$J$3:$J$1025,MATCH($E57,学年度总表!$E$3:$E$1025,0)))</f>
        <v>77.52</v>
      </c>
      <c r="K57" s="3">
        <f>IF(INDEX(学年度总表!$K$3:$K$1025,MATCH($E57,学年度总表!$E$3:$E$1025,0))="","",INDEX(学年度总表!$K$3:$K$1025,MATCH($E57,学年度总表!$E$3:$E$1025,0)))</f>
        <v>9.8000000000000007</v>
      </c>
      <c r="L57" s="3">
        <f>IF(INDEX(学年度总表!$L$3:$L$1025,MATCH($E57,学年度总表!$E$3:$E$1025,0))="","",INDEX(学年度总表!$L$3:$L$1025,MATCH($E57,学年度总表!$E$3:$E$1025,0)))</f>
        <v>60.59</v>
      </c>
      <c r="M57" s="3">
        <f>IF(INDEX(学年度总表!$M$3:$M$1025,MATCH($E57,学年度总表!$E$3:$E$1025,0))="","",INDEX(学年度总表!$M$3:$M$1025,MATCH($E57,学年度总表!$E$3:$E$1025,0)))</f>
        <v>7.7</v>
      </c>
      <c r="N57" s="3">
        <f>IF(INDEX(学年度总表!$N$3:$N$1025,MATCH($E57,学年度总表!$E$3:$E$1025,0))="","",INDEX(学年度总表!$N$3:$N$1025,MATCH($E57,学年度总表!$E$3:$E$1025,0)))</f>
        <v>78.09</v>
      </c>
      <c r="O57" s="3">
        <f>IF(INDEX(学年度总表!$O$3:$O$1025,MATCH($E57,学年度总表!$E$3:$E$1025,0))="","",INDEX(学年度总表!$O$3:$O$1025,MATCH($E57,学年度总表!$E$3:$E$1025,0)))</f>
        <v>155.61000000000001</v>
      </c>
      <c r="P57" s="4" t="str">
        <f>IF(INDEX(学年度总表!$P$3:$P$1025,MATCH($E57,学年度总表!$E$3:$E$1025,0))="","",INDEX(学年度总表!$P$3:$P$1025,MATCH($E57,学年度总表!$E$3:$E$1025,0)))</f>
        <v>校三等</v>
      </c>
      <c r="Q57" s="5" t="str">
        <f>IF(INDEX(学年度总表!$Q$3:$Q$1025,MATCH($E57,学年度总表!$E$3:$E$1025,0))="","",INDEX(学年度总表!$Q$3:$Q$1025,MATCH($E57,学年度总表!$E$3:$E$1025,0)))</f>
        <v/>
      </c>
    </row>
    <row r="58" spans="1:17">
      <c r="A58" s="2">
        <f>IF(INDEX(学年度总表!$A$3:$A$1025,MATCH($E58,学年度总表!$E$3:$E$1025,0))="","",INDEX(学年度总表!$A$3:$A$1025,MATCH($E58,学年度总表!$E$3:$E$1025,0)))</f>
        <v>139</v>
      </c>
      <c r="B58" s="2">
        <f>IF(INDEX(学年度总表!$B$3:$B$1025,MATCH($E58,学年度总表!$E$3:$E$1025,0))="","",INDEX(学年度总表!$B$3:$B$1025,MATCH($E58,学年度总表!$E$3:$E$1025,0)))</f>
        <v>56</v>
      </c>
      <c r="C58" s="2" t="str">
        <f>IF(INDEX(学年度总表!$C$3:$C$1025,MATCH($E58,学年度总表!$E$3:$E$1025,0))="","",INDEX(学年度总表!$C$3:$C$1025,MATCH($E58,学年度总表!$E$3:$E$1025,0)))</f>
        <v>软工</v>
      </c>
      <c r="D58" s="2" t="str">
        <f>IF(INDEX(学年度总表!$D$3:$D$1025,MATCH($E58,学年度总表!$E$3:$E$1025,0))="","",INDEX(学年度总表!$D$3:$D$1025,MATCH($E58,学年度总表!$E$3:$E$1025,0)))</f>
        <v>软工10班</v>
      </c>
      <c r="E58" s="2" t="s">
        <v>333</v>
      </c>
      <c r="F58" s="2" t="str">
        <f>IF(INDEX(学年度总表!$F$3:$F$1025,MATCH($E58,学年度总表!$E$3:$E$1025,0))="","",INDEX(学年度总表!$F$3:$F$1025,MATCH($E58,学年度总表!$E$3:$E$1025,0)))</f>
        <v>段若唅</v>
      </c>
      <c r="G58" s="3">
        <f>IF(INDEX(学年度总表!$G$3:$G$1025,MATCH($E58,学年度总表!$E$3:$E$1025,0))="","",INDEX(学年度总表!$G$3:$G$1025,MATCH($E58,学年度总表!$E$3:$E$1025,0)))</f>
        <v>11.3</v>
      </c>
      <c r="H58" s="3">
        <f>IF(INDEX(学年度总表!$H$3:$H$1025,MATCH($E58,学年度总表!$E$3:$E$1025,0))="","",INDEX(学年度总表!$H$3:$H$1025,MATCH($E58,学年度总表!$E$3:$E$1025,0)))</f>
        <v>61.4</v>
      </c>
      <c r="I58" s="3">
        <f>IF(INDEX(学年度总表!$I$3:$I$1025,MATCH($E58,学年度总表!$E$3:$E$1025,0))="","",INDEX(学年度总表!$I$3:$I$1025,MATCH($E58,学年度总表!$E$3:$E$1025,0)))</f>
        <v>5.4</v>
      </c>
      <c r="J58" s="3">
        <f>IF(INDEX(学年度总表!$J$3:$J$1025,MATCH($E58,学年度总表!$E$3:$E$1025,0))="","",INDEX(学年度总表!$J$3:$J$1025,MATCH($E58,学年度总表!$E$3:$E$1025,0)))</f>
        <v>78.099999999999994</v>
      </c>
      <c r="K58" s="3">
        <f>IF(INDEX(学年度总表!$K$3:$K$1025,MATCH($E58,学年度总表!$E$3:$E$1025,0))="","",INDEX(学年度总表!$K$3:$K$1025,MATCH($E58,学年度总表!$E$3:$E$1025,0)))</f>
        <v>9.8000000000000007</v>
      </c>
      <c r="L58" s="3">
        <f>IF(INDEX(学年度总表!$L$3:$L$1025,MATCH($E58,学年度总表!$E$3:$E$1025,0))="","",INDEX(学年度总表!$L$3:$L$1025,MATCH($E58,学年度总表!$E$3:$E$1025,0)))</f>
        <v>60.19</v>
      </c>
      <c r="M58" s="3">
        <f>IF(INDEX(学年度总表!$M$3:$M$1025,MATCH($E58,学年度总表!$E$3:$E$1025,0))="","",INDEX(学年度总表!$M$3:$M$1025,MATCH($E58,学年度总表!$E$3:$E$1025,0)))</f>
        <v>7.3</v>
      </c>
      <c r="N58" s="3">
        <f>IF(INDEX(学年度总表!$N$3:$N$1025,MATCH($E58,学年度总表!$E$3:$E$1025,0))="","",INDEX(学年度总表!$N$3:$N$1025,MATCH($E58,学年度总表!$E$3:$E$1025,0)))</f>
        <v>77.290000000000006</v>
      </c>
      <c r="O58" s="3">
        <f>IF(INDEX(学年度总表!$O$3:$O$1025,MATCH($E58,学年度总表!$E$3:$E$1025,0))="","",INDEX(学年度总表!$O$3:$O$1025,MATCH($E58,学年度总表!$E$3:$E$1025,0)))</f>
        <v>155.38999999999999</v>
      </c>
      <c r="P58" s="4" t="str">
        <f>IF(INDEX(学年度总表!$P$3:$P$1025,MATCH($E58,学年度总表!$E$3:$E$1025,0))="","",INDEX(学年度总表!$P$3:$P$1025,MATCH($E58,学年度总表!$E$3:$E$1025,0)))</f>
        <v>校三等</v>
      </c>
      <c r="Q58" s="5" t="str">
        <f>IF(INDEX(学年度总表!$Q$3:$Q$1025,MATCH($E58,学年度总表!$E$3:$E$1025,0))="","",INDEX(学年度总表!$Q$3:$Q$1025,MATCH($E58,学年度总表!$E$3:$E$1025,0)))</f>
        <v/>
      </c>
    </row>
    <row r="59" spans="1:17">
      <c r="A59" s="2">
        <f>IF(INDEX(学年度总表!$A$3:$A$1025,MATCH($E59,学年度总表!$E$3:$E$1025,0))="","",INDEX(学年度总表!$A$3:$A$1025,MATCH($E59,学年度总表!$E$3:$E$1025,0)))</f>
        <v>141</v>
      </c>
      <c r="B59" s="2">
        <f>IF(INDEX(学年度总表!$B$3:$B$1025,MATCH($E59,学年度总表!$E$3:$E$1025,0))="","",INDEX(学年度总表!$B$3:$B$1025,MATCH($E59,学年度总表!$E$3:$E$1025,0)))</f>
        <v>57</v>
      </c>
      <c r="C59" s="2" t="str">
        <f>IF(INDEX(学年度总表!$C$3:$C$1025,MATCH($E59,学年度总表!$E$3:$E$1025,0))="","",INDEX(学年度总表!$C$3:$C$1025,MATCH($E59,学年度总表!$E$3:$E$1025,0)))</f>
        <v>软工</v>
      </c>
      <c r="D59" s="2" t="str">
        <f>IF(INDEX(学年度总表!$D$3:$D$1025,MATCH($E59,学年度总表!$E$3:$E$1025,0))="","",INDEX(学年度总表!$D$3:$D$1025,MATCH($E59,学年度总表!$E$3:$E$1025,0)))</f>
        <v>软工7班</v>
      </c>
      <c r="E59" s="2" t="s">
        <v>337</v>
      </c>
      <c r="F59" s="2" t="str">
        <f>IF(INDEX(学年度总表!$F$3:$F$1025,MATCH($E59,学年度总表!$E$3:$E$1025,0))="","",INDEX(学年度总表!$F$3:$F$1025,MATCH($E59,学年度总表!$E$3:$E$1025,0)))</f>
        <v>贾滢暄</v>
      </c>
      <c r="G59" s="3">
        <f>IF(INDEX(学年度总表!$G$3:$G$1025,MATCH($E59,学年度总表!$E$3:$E$1025,0))="","",INDEX(学年度总表!$G$3:$G$1025,MATCH($E59,学年度总表!$E$3:$E$1025,0)))</f>
        <v>10</v>
      </c>
      <c r="H59" s="3">
        <f>IF(INDEX(学年度总表!$H$3:$H$1025,MATCH($E59,学年度总表!$E$3:$E$1025,0))="","",INDEX(学年度总表!$H$3:$H$1025,MATCH($E59,学年度总表!$E$3:$E$1025,0)))</f>
        <v>65.040000000000006</v>
      </c>
      <c r="I59" s="3">
        <f>IF(INDEX(学年度总表!$I$3:$I$1025,MATCH($E59,学年度总表!$E$3:$E$1025,0))="","",INDEX(学年度总表!$I$3:$I$1025,MATCH($E59,学年度总表!$E$3:$E$1025,0)))</f>
        <v>3.4</v>
      </c>
      <c r="J59" s="3">
        <f>IF(INDEX(学年度总表!$J$3:$J$1025,MATCH($E59,学年度总表!$E$3:$E$1025,0))="","",INDEX(学年度总表!$J$3:$J$1025,MATCH($E59,学年度总表!$E$3:$E$1025,0)))</f>
        <v>78.44</v>
      </c>
      <c r="K59" s="3">
        <f>IF(INDEX(学年度总表!$K$3:$K$1025,MATCH($E59,学年度总表!$E$3:$E$1025,0))="","",INDEX(学年度总表!$K$3:$K$1025,MATCH($E59,学年度总表!$E$3:$E$1025,0)))</f>
        <v>10</v>
      </c>
      <c r="L59" s="3">
        <f>IF(INDEX(学年度总表!$L$3:$L$1025,MATCH($E59,学年度总表!$E$3:$E$1025,0))="","",INDEX(学年度总表!$L$3:$L$1025,MATCH($E59,学年度总表!$E$3:$E$1025,0)))</f>
        <v>62.39</v>
      </c>
      <c r="M59" s="3">
        <f>IF(INDEX(学年度总表!$M$3:$M$1025,MATCH($E59,学年度总表!$E$3:$E$1025,0))="","",INDEX(学年度总表!$M$3:$M$1025,MATCH($E59,学年度总表!$E$3:$E$1025,0)))</f>
        <v>4.5</v>
      </c>
      <c r="N59" s="3">
        <f>IF(INDEX(学年度总表!$N$3:$N$1025,MATCH($E59,学年度总表!$E$3:$E$1025,0))="","",INDEX(学年度总表!$N$3:$N$1025,MATCH($E59,学年度总表!$E$3:$E$1025,0)))</f>
        <v>76.89</v>
      </c>
      <c r="O59" s="3">
        <f>IF(INDEX(学年度总表!$O$3:$O$1025,MATCH($E59,学年度总表!$E$3:$E$1025,0))="","",INDEX(学年度总表!$O$3:$O$1025,MATCH($E59,学年度总表!$E$3:$E$1025,0)))</f>
        <v>155.33000000000001</v>
      </c>
      <c r="P59" s="4" t="str">
        <f>IF(INDEX(学年度总表!$P$3:$P$1025,MATCH($E59,学年度总表!$E$3:$E$1025,0))="","",INDEX(学年度总表!$P$3:$P$1025,MATCH($E59,学年度总表!$E$3:$E$1025,0)))</f>
        <v>校三等</v>
      </c>
      <c r="Q59" s="5" t="str">
        <f>IF(INDEX(学年度总表!$Q$3:$Q$1025,MATCH($E59,学年度总表!$E$3:$E$1025,0))="","",INDEX(学年度总表!$Q$3:$Q$1025,MATCH($E59,学年度总表!$E$3:$E$1025,0)))</f>
        <v/>
      </c>
    </row>
    <row r="60" spans="1:17">
      <c r="A60" s="2">
        <f>IF(INDEX(学年度总表!$A$3:$A$1025,MATCH($E60,学年度总表!$E$3:$E$1025,0))="","",INDEX(学年度总表!$A$3:$A$1025,MATCH($E60,学年度总表!$E$3:$E$1025,0)))</f>
        <v>143</v>
      </c>
      <c r="B60" s="2">
        <f>IF(INDEX(学年度总表!$B$3:$B$1025,MATCH($E60,学年度总表!$E$3:$E$1025,0))="","",INDEX(学年度总表!$B$3:$B$1025,MATCH($E60,学年度总表!$E$3:$E$1025,0)))</f>
        <v>58</v>
      </c>
      <c r="C60" s="2" t="str">
        <f>IF(INDEX(学年度总表!$C$3:$C$1025,MATCH($E60,学年度总表!$E$3:$E$1025,0))="","",INDEX(学年度总表!$C$3:$C$1025,MATCH($E60,学年度总表!$E$3:$E$1025,0)))</f>
        <v>软工</v>
      </c>
      <c r="D60" s="2" t="str">
        <f>IF(INDEX(学年度总表!$D$3:$D$1025,MATCH($E60,学年度总表!$E$3:$E$1025,0))="","",INDEX(学年度总表!$D$3:$D$1025,MATCH($E60,学年度总表!$E$3:$E$1025,0)))</f>
        <v>软工11班</v>
      </c>
      <c r="E60" s="2" t="s">
        <v>341</v>
      </c>
      <c r="F60" s="2" t="str">
        <f>IF(INDEX(学年度总表!$F$3:$F$1025,MATCH($E60,学年度总表!$E$3:$E$1025,0))="","",INDEX(学年度总表!$F$3:$F$1025,MATCH($E60,学年度总表!$E$3:$E$1025,0)))</f>
        <v>韩剑</v>
      </c>
      <c r="G60" s="3">
        <f>IF(INDEX(学年度总表!$G$3:$G$1025,MATCH($E60,学年度总表!$E$3:$E$1025,0))="","",INDEX(学年度总表!$G$3:$G$1025,MATCH($E60,学年度总表!$E$3:$E$1025,0)))</f>
        <v>9.8000000000000007</v>
      </c>
      <c r="H60" s="3">
        <f>IF(INDEX(学年度总表!$H$3:$H$1025,MATCH($E60,学年度总表!$E$3:$E$1025,0))="","",INDEX(学年度总表!$H$3:$H$1025,MATCH($E60,学年度总表!$E$3:$E$1025,0)))</f>
        <v>68.510000000000005</v>
      </c>
      <c r="I60" s="3">
        <f>IF(INDEX(学年度总表!$I$3:$I$1025,MATCH($E60,学年度总表!$E$3:$E$1025,0))="","",INDEX(学年度总表!$I$3:$I$1025,MATCH($E60,学年度总表!$E$3:$E$1025,0)))</f>
        <v>3</v>
      </c>
      <c r="J60" s="3">
        <f>IF(INDEX(学年度总表!$J$3:$J$1025,MATCH($E60,学年度总表!$E$3:$E$1025,0))="","",INDEX(学年度总表!$J$3:$J$1025,MATCH($E60,学年度总表!$E$3:$E$1025,0)))</f>
        <v>81.31</v>
      </c>
      <c r="K60" s="3">
        <f>IF(INDEX(学年度总表!$K$3:$K$1025,MATCH($E60,学年度总表!$E$3:$E$1025,0))="","",INDEX(学年度总表!$K$3:$K$1025,MATCH($E60,学年度总表!$E$3:$E$1025,0)))</f>
        <v>9</v>
      </c>
      <c r="L60" s="3">
        <f>IF(INDEX(学年度总表!$L$3:$L$1025,MATCH($E60,学年度总表!$E$3:$E$1025,0))="","",INDEX(学年度总表!$L$3:$L$1025,MATCH($E60,学年度总表!$E$3:$E$1025,0)))</f>
        <v>61.92</v>
      </c>
      <c r="M60" s="3">
        <f>IF(INDEX(学年度总表!$M$3:$M$1025,MATCH($E60,学年度总表!$E$3:$E$1025,0))="","",INDEX(学年度总表!$M$3:$M$1025,MATCH($E60,学年度总表!$E$3:$E$1025,0)))</f>
        <v>3</v>
      </c>
      <c r="N60" s="3">
        <f>IF(INDEX(学年度总表!$N$3:$N$1025,MATCH($E60,学年度总表!$E$3:$E$1025,0))="","",INDEX(学年度总表!$N$3:$N$1025,MATCH($E60,学年度总表!$E$3:$E$1025,0)))</f>
        <v>73.92</v>
      </c>
      <c r="O60" s="3">
        <f>IF(INDEX(学年度总表!$O$3:$O$1025,MATCH($E60,学年度总表!$E$3:$E$1025,0))="","",INDEX(学年度总表!$O$3:$O$1025,MATCH($E60,学年度总表!$E$3:$E$1025,0)))</f>
        <v>155.22999999999999</v>
      </c>
      <c r="P60" s="4" t="str">
        <f>IF(INDEX(学年度总表!$P$3:$P$1025,MATCH($E60,学年度总表!$E$3:$E$1025,0))="","",INDEX(学年度总表!$P$3:$P$1025,MATCH($E60,学年度总表!$E$3:$E$1025,0)))</f>
        <v>校三等</v>
      </c>
      <c r="Q60" s="5" t="str">
        <f>IF(INDEX(学年度总表!$Q$3:$Q$1025,MATCH($E60,学年度总表!$E$3:$E$1025,0))="","",INDEX(学年度总表!$Q$3:$Q$1025,MATCH($E60,学年度总表!$E$3:$E$1025,0)))</f>
        <v/>
      </c>
    </row>
    <row r="61" spans="1:17">
      <c r="A61" s="2">
        <f>IF(INDEX(学年度总表!$A$3:$A$1025,MATCH($E61,学年度总表!$E$3:$E$1025,0))="","",INDEX(学年度总表!$A$3:$A$1025,MATCH($E61,学年度总表!$E$3:$E$1025,0)))</f>
        <v>150</v>
      </c>
      <c r="B61" s="2">
        <f>IF(INDEX(学年度总表!$B$3:$B$1025,MATCH($E61,学年度总表!$E$3:$E$1025,0))="","",INDEX(学年度总表!$B$3:$B$1025,MATCH($E61,学年度总表!$E$3:$E$1025,0)))</f>
        <v>59</v>
      </c>
      <c r="C61" s="2" t="str">
        <f>IF(INDEX(学年度总表!$C$3:$C$1025,MATCH($E61,学年度总表!$E$3:$E$1025,0))="","",INDEX(学年度总表!$C$3:$C$1025,MATCH($E61,学年度总表!$E$3:$E$1025,0)))</f>
        <v>软工</v>
      </c>
      <c r="D61" s="2" t="str">
        <f>IF(INDEX(学年度总表!$D$3:$D$1025,MATCH($E61,学年度总表!$E$3:$E$1025,0))="","",INDEX(学年度总表!$D$3:$D$1025,MATCH($E61,学年度总表!$E$3:$E$1025,0)))</f>
        <v>软工14班</v>
      </c>
      <c r="E61" s="2" t="s">
        <v>356</v>
      </c>
      <c r="F61" s="2" t="str">
        <f>IF(INDEX(学年度总表!$F$3:$F$1025,MATCH($E61,学年度总表!$E$3:$E$1025,0))="","",INDEX(学年度总表!$F$3:$F$1025,MATCH($E61,学年度总表!$E$3:$E$1025,0)))</f>
        <v>刘敬妤</v>
      </c>
      <c r="G61" s="3">
        <f>IF(INDEX(学年度总表!$G$3:$G$1025,MATCH($E61,学年度总表!$E$3:$E$1025,0))="","",INDEX(学年度总表!$G$3:$G$1025,MATCH($E61,学年度总表!$E$3:$E$1025,0)))</f>
        <v>10.3</v>
      </c>
      <c r="H61" s="3">
        <f>IF(INDEX(学年度总表!$H$3:$H$1025,MATCH($E61,学年度总表!$E$3:$E$1025,0))="","",INDEX(学年度总表!$H$3:$H$1025,MATCH($E61,学年度总表!$E$3:$E$1025,0)))</f>
        <v>61.04</v>
      </c>
      <c r="I61" s="3">
        <f>IF(INDEX(学年度总表!$I$3:$I$1025,MATCH($E61,学年度总表!$E$3:$E$1025,0))="","",INDEX(学年度总表!$I$3:$I$1025,MATCH($E61,学年度总表!$E$3:$E$1025,0)))</f>
        <v>5.15</v>
      </c>
      <c r="J61" s="3">
        <f>IF(INDEX(学年度总表!$J$3:$J$1025,MATCH($E61,学年度总表!$E$3:$E$1025,0))="","",INDEX(学年度总表!$J$3:$J$1025,MATCH($E61,学年度总表!$E$3:$E$1025,0)))</f>
        <v>76.489999999999995</v>
      </c>
      <c r="K61" s="3">
        <f>IF(INDEX(学年度总表!$K$3:$K$1025,MATCH($E61,学年度总表!$E$3:$E$1025,0))="","",INDEX(学年度总表!$K$3:$K$1025,MATCH($E61,学年度总表!$E$3:$E$1025,0)))</f>
        <v>9.8000000000000007</v>
      </c>
      <c r="L61" s="3">
        <f>IF(INDEX(学年度总表!$L$3:$L$1025,MATCH($E61,学年度总表!$E$3:$E$1025,0))="","",INDEX(学年度总表!$L$3:$L$1025,MATCH($E61,学年度总表!$E$3:$E$1025,0)))</f>
        <v>60.73</v>
      </c>
      <c r="M61" s="3">
        <f>IF(INDEX(学年度总表!$M$3:$M$1025,MATCH($E61,学年度总表!$E$3:$E$1025,0))="","",INDEX(学年度总表!$M$3:$M$1025,MATCH($E61,学年度总表!$E$3:$E$1025,0)))</f>
        <v>8</v>
      </c>
      <c r="N61" s="3">
        <f>IF(INDEX(学年度总表!$N$3:$N$1025,MATCH($E61,学年度总表!$E$3:$E$1025,0))="","",INDEX(学年度总表!$N$3:$N$1025,MATCH($E61,学年度总表!$E$3:$E$1025,0)))</f>
        <v>78.53</v>
      </c>
      <c r="O61" s="3">
        <f>IF(INDEX(学年度总表!$O$3:$O$1025,MATCH($E61,学年度总表!$E$3:$E$1025,0))="","",INDEX(学年度总表!$O$3:$O$1025,MATCH($E61,学年度总表!$E$3:$E$1025,0)))</f>
        <v>155.02000000000001</v>
      </c>
      <c r="P61" s="4" t="str">
        <f>IF(INDEX(学年度总表!$P$3:$P$1025,MATCH($E61,学年度总表!$E$3:$E$1025,0))="","",INDEX(学年度总表!$P$3:$P$1025,MATCH($E61,学年度总表!$E$3:$E$1025,0)))</f>
        <v>校三等</v>
      </c>
      <c r="Q61" s="5" t="str">
        <f>IF(INDEX(学年度总表!$Q$3:$Q$1025,MATCH($E61,学年度总表!$E$3:$E$1025,0))="","",INDEX(学年度总表!$Q$3:$Q$1025,MATCH($E61,学年度总表!$E$3:$E$1025,0)))</f>
        <v/>
      </c>
    </row>
    <row r="62" spans="1:17">
      <c r="A62" s="2">
        <f>IF(INDEX(学年度总表!$A$3:$A$1025,MATCH($E62,学年度总表!$E$3:$E$1025,0))="","",INDEX(学年度总表!$A$3:$A$1025,MATCH($E62,学年度总表!$E$3:$E$1025,0)))</f>
        <v>152</v>
      </c>
      <c r="B62" s="2">
        <f>IF(INDEX(学年度总表!$B$3:$B$1025,MATCH($E62,学年度总表!$E$3:$E$1025,0))="","",INDEX(学年度总表!$B$3:$B$1025,MATCH($E62,学年度总表!$E$3:$E$1025,0)))</f>
        <v>60</v>
      </c>
      <c r="C62" s="2" t="str">
        <f>IF(INDEX(学年度总表!$C$3:$C$1025,MATCH($E62,学年度总表!$E$3:$E$1025,0))="","",INDEX(学年度总表!$C$3:$C$1025,MATCH($E62,学年度总表!$E$3:$E$1025,0)))</f>
        <v>软工</v>
      </c>
      <c r="D62" s="2" t="str">
        <f>IF(INDEX(学年度总表!$D$3:$D$1025,MATCH($E62,学年度总表!$E$3:$E$1025,0))="","",INDEX(学年度总表!$D$3:$D$1025,MATCH($E62,学年度总表!$E$3:$E$1025,0)))</f>
        <v>软工6班</v>
      </c>
      <c r="E62" s="2" t="s">
        <v>360</v>
      </c>
      <c r="F62" s="2" t="str">
        <f>IF(INDEX(学年度总表!$F$3:$F$1025,MATCH($E62,学年度总表!$E$3:$E$1025,0))="","",INDEX(学年度总表!$F$3:$F$1025,MATCH($E62,学年度总表!$E$3:$E$1025,0)))</f>
        <v>佟欣禹</v>
      </c>
      <c r="G62" s="3">
        <f>IF(INDEX(学年度总表!$G$3:$G$1025,MATCH($E62,学年度总表!$E$3:$E$1025,0))="","",INDEX(学年度总表!$G$3:$G$1025,MATCH($E62,学年度总表!$E$3:$E$1025,0)))</f>
        <v>9.8000000000000007</v>
      </c>
      <c r="H62" s="3">
        <f>IF(INDEX(学年度总表!$H$3:$H$1025,MATCH($E62,学年度总表!$E$3:$E$1025,0))="","",INDEX(学年度总表!$H$3:$H$1025,MATCH($E62,学年度总表!$E$3:$E$1025,0)))</f>
        <v>65.816326530612201</v>
      </c>
      <c r="I62" s="3">
        <f>IF(INDEX(学年度总表!$I$3:$I$1025,MATCH($E62,学年度总表!$E$3:$E$1025,0))="","",INDEX(学年度总表!$I$3:$I$1025,MATCH($E62,学年度总表!$E$3:$E$1025,0)))</f>
        <v>3.4</v>
      </c>
      <c r="J62" s="3">
        <f>IF(INDEX(学年度总表!$J$3:$J$1025,MATCH($E62,学年度总表!$E$3:$E$1025,0))="","",INDEX(学年度总表!$J$3:$J$1025,MATCH($E62,学年度总表!$E$3:$E$1025,0)))</f>
        <v>79.02</v>
      </c>
      <c r="K62" s="3">
        <f>IF(INDEX(学年度总表!$K$3:$K$1025,MATCH($E62,学年度总表!$E$3:$E$1025,0))="","",INDEX(学年度总表!$K$3:$K$1025,MATCH($E62,学年度总表!$E$3:$E$1025,0)))</f>
        <v>9.8000000000000007</v>
      </c>
      <c r="L62" s="3">
        <f>IF(INDEX(学年度总表!$L$3:$L$1025,MATCH($E62,学年度总表!$E$3:$E$1025,0))="","",INDEX(学年度总表!$L$3:$L$1025,MATCH($E62,学年度总表!$E$3:$E$1025,0)))</f>
        <v>62.14</v>
      </c>
      <c r="M62" s="3">
        <f>IF(INDEX(学年度总表!$M$3:$M$1025,MATCH($E62,学年度总表!$E$3:$E$1025,0))="","",INDEX(学年度总表!$M$3:$M$1025,MATCH($E62,学年度总表!$E$3:$E$1025,0)))</f>
        <v>3.9</v>
      </c>
      <c r="N62" s="3">
        <f>IF(INDEX(学年度总表!$N$3:$N$1025,MATCH($E62,学年度总表!$E$3:$E$1025,0))="","",INDEX(学年度总表!$N$3:$N$1025,MATCH($E62,学年度总表!$E$3:$E$1025,0)))</f>
        <v>75.84</v>
      </c>
      <c r="O62" s="3">
        <f>IF(INDEX(学年度总表!$O$3:$O$1025,MATCH($E62,学年度总表!$E$3:$E$1025,0))="","",INDEX(学年度总表!$O$3:$O$1025,MATCH($E62,学年度总表!$E$3:$E$1025,0)))</f>
        <v>154.86000000000001</v>
      </c>
      <c r="P62" s="2" t="str">
        <f>IF(INDEX(学年度总表!$P$3:$P$1025,MATCH($E62,学年度总表!$E$3:$E$1025,0))="","",INDEX(学年度总表!$P$3:$P$1025,MATCH($E62,学年度总表!$E$3:$E$1025,0)))</f>
        <v/>
      </c>
      <c r="Q62" s="5" t="str">
        <f>IF(INDEX(学年度总表!$Q$3:$Q$1025,MATCH($E62,学年度总表!$E$3:$E$1025,0))="","",INDEX(学年度总表!$Q$3:$Q$1025,MATCH($E62,学年度总表!$E$3:$E$1025,0)))</f>
        <v/>
      </c>
    </row>
    <row r="63" spans="1:17">
      <c r="A63" s="2">
        <f>IF(INDEX(学年度总表!$A$3:$A$1025,MATCH($E63,学年度总表!$E$3:$E$1025,0))="","",INDEX(学年度总表!$A$3:$A$1025,MATCH($E63,学年度总表!$E$3:$E$1025,0)))</f>
        <v>153</v>
      </c>
      <c r="B63" s="2">
        <f>IF(INDEX(学年度总表!$B$3:$B$1025,MATCH($E63,学年度总表!$E$3:$E$1025,0))="","",INDEX(学年度总表!$B$3:$B$1025,MATCH($E63,学年度总表!$E$3:$E$1025,0)))</f>
        <v>61</v>
      </c>
      <c r="C63" s="2" t="str">
        <f>IF(INDEX(学年度总表!$C$3:$C$1025,MATCH($E63,学年度总表!$E$3:$E$1025,0))="","",INDEX(学年度总表!$C$3:$C$1025,MATCH($E63,学年度总表!$E$3:$E$1025,0)))</f>
        <v>软工</v>
      </c>
      <c r="D63" s="2" t="str">
        <f>IF(INDEX(学年度总表!$D$3:$D$1025,MATCH($E63,学年度总表!$E$3:$E$1025,0))="","",INDEX(学年度总表!$D$3:$D$1025,MATCH($E63,学年度总表!$E$3:$E$1025,0)))</f>
        <v>软工7班</v>
      </c>
      <c r="E63" s="2" t="s">
        <v>362</v>
      </c>
      <c r="F63" s="2" t="str">
        <f>IF(INDEX(学年度总表!$F$3:$F$1025,MATCH($E63,学年度总表!$E$3:$E$1025,0))="","",INDEX(学年度总表!$F$3:$F$1025,MATCH($E63,学年度总表!$E$3:$E$1025,0)))</f>
        <v>隋心雨</v>
      </c>
      <c r="G63" s="3">
        <f>IF(INDEX(学年度总表!$G$3:$G$1025,MATCH($E63,学年度总表!$E$3:$E$1025,0))="","",INDEX(学年度总表!$G$3:$G$1025,MATCH($E63,学年度总表!$E$3:$E$1025,0)))</f>
        <v>9.4</v>
      </c>
      <c r="H63" s="3">
        <f>IF(INDEX(学年度总表!$H$3:$H$1025,MATCH($E63,学年度总表!$E$3:$E$1025,0))="","",INDEX(学年度总表!$H$3:$H$1025,MATCH($E63,学年度总表!$E$3:$E$1025,0)))</f>
        <v>67.42</v>
      </c>
      <c r="I63" s="3">
        <f>IF(INDEX(学年度总表!$I$3:$I$1025,MATCH($E63,学年度总表!$E$3:$E$1025,0))="","",INDEX(学年度总表!$I$3:$I$1025,MATCH($E63,学年度总表!$E$3:$E$1025,0)))</f>
        <v>3</v>
      </c>
      <c r="J63" s="3">
        <f>IF(INDEX(学年度总表!$J$3:$J$1025,MATCH($E63,学年度总表!$E$3:$E$1025,0))="","",INDEX(学年度总表!$J$3:$J$1025,MATCH($E63,学年度总表!$E$3:$E$1025,0)))</f>
        <v>79.819999999999993</v>
      </c>
      <c r="K63" s="3">
        <f>IF(INDEX(学年度总表!$K$3:$K$1025,MATCH($E63,学年度总表!$E$3:$E$1025,0))="","",INDEX(学年度总表!$K$3:$K$1025,MATCH($E63,学年度总表!$E$3:$E$1025,0)))</f>
        <v>7.3000000000000007</v>
      </c>
      <c r="L63" s="3">
        <f>IF(INDEX(学年度总表!$L$3:$L$1025,MATCH($E63,学年度总表!$E$3:$E$1025,0))="","",INDEX(学年度总表!$L$3:$L$1025,MATCH($E63,学年度总表!$E$3:$E$1025,0)))</f>
        <v>64.69</v>
      </c>
      <c r="M63" s="3">
        <f>IF(INDEX(学年度总表!$M$3:$M$1025,MATCH($E63,学年度总表!$E$3:$E$1025,0))="","",INDEX(学年度总表!$M$3:$M$1025,MATCH($E63,学年度总表!$E$3:$E$1025,0)))</f>
        <v>3</v>
      </c>
      <c r="N63" s="3">
        <f>IF(INDEX(学年度总表!$N$3:$N$1025,MATCH($E63,学年度总表!$E$3:$E$1025,0))="","",INDEX(学年度总表!$N$3:$N$1025,MATCH($E63,学年度总表!$E$3:$E$1025,0)))</f>
        <v>74.989999999999995</v>
      </c>
      <c r="O63" s="3">
        <f>IF(INDEX(学年度总表!$O$3:$O$1025,MATCH($E63,学年度总表!$E$3:$E$1025,0))="","",INDEX(学年度总表!$O$3:$O$1025,MATCH($E63,学年度总表!$E$3:$E$1025,0)))</f>
        <v>154.81</v>
      </c>
      <c r="P63" s="2" t="str">
        <f>IF(INDEX(学年度总表!$P$3:$P$1025,MATCH($E63,学年度总表!$E$3:$E$1025,0))="","",INDEX(学年度总表!$P$3:$P$1025,MATCH($E63,学年度总表!$E$3:$E$1025,0)))</f>
        <v/>
      </c>
      <c r="Q63" s="5" t="str">
        <f>IF(INDEX(学年度总表!$Q$3:$Q$1025,MATCH($E63,学年度总表!$E$3:$E$1025,0))="","",INDEX(学年度总表!$Q$3:$Q$1025,MATCH($E63,学年度总表!$E$3:$E$1025,0)))</f>
        <v/>
      </c>
    </row>
    <row r="64" spans="1:17">
      <c r="A64" s="2">
        <f>IF(INDEX(学年度总表!$A$3:$A$1025,MATCH($E64,学年度总表!$E$3:$E$1025,0))="","",INDEX(学年度总表!$A$3:$A$1025,MATCH($E64,学年度总表!$E$3:$E$1025,0)))</f>
        <v>154</v>
      </c>
      <c r="B64" s="2">
        <f>IF(INDEX(学年度总表!$B$3:$B$1025,MATCH($E64,学年度总表!$E$3:$E$1025,0))="","",INDEX(学年度总表!$B$3:$B$1025,MATCH($E64,学年度总表!$E$3:$E$1025,0)))</f>
        <v>62</v>
      </c>
      <c r="C64" s="2" t="str">
        <f>IF(INDEX(学年度总表!$C$3:$C$1025,MATCH($E64,学年度总表!$E$3:$E$1025,0))="","",INDEX(学年度总表!$C$3:$C$1025,MATCH($E64,学年度总表!$E$3:$E$1025,0)))</f>
        <v>软工</v>
      </c>
      <c r="D64" s="2" t="str">
        <f>IF(INDEX(学年度总表!$D$3:$D$1025,MATCH($E64,学年度总表!$E$3:$E$1025,0))="","",INDEX(学年度总表!$D$3:$D$1025,MATCH($E64,学年度总表!$E$3:$E$1025,0)))</f>
        <v>软工7班</v>
      </c>
      <c r="E64" s="2" t="s">
        <v>364</v>
      </c>
      <c r="F64" s="2" t="str">
        <f>IF(INDEX(学年度总表!$F$3:$F$1025,MATCH($E64,学年度总表!$E$3:$E$1025,0))="","",INDEX(学年度总表!$F$3:$F$1025,MATCH($E64,学年度总表!$E$3:$E$1025,0)))</f>
        <v>王艺憬</v>
      </c>
      <c r="G64" s="3">
        <f>IF(INDEX(学年度总表!$G$3:$G$1025,MATCH($E64,学年度总表!$E$3:$E$1025,0))="","",INDEX(学年度总表!$G$3:$G$1025,MATCH($E64,学年度总表!$E$3:$E$1025,0)))</f>
        <v>9.8000000000000007</v>
      </c>
      <c r="H64" s="3">
        <f>IF(INDEX(学年度总表!$H$3:$H$1025,MATCH($E64,学年度总表!$E$3:$E$1025,0))="","",INDEX(学年度总表!$H$3:$H$1025,MATCH($E64,学年度总表!$E$3:$E$1025,0)))</f>
        <v>66.39</v>
      </c>
      <c r="I64" s="3">
        <f>IF(INDEX(学年度总表!$I$3:$I$1025,MATCH($E64,学年度总表!$E$3:$E$1025,0))="","",INDEX(学年度总表!$I$3:$I$1025,MATCH($E64,学年度总表!$E$3:$E$1025,0)))</f>
        <v>3</v>
      </c>
      <c r="J64" s="3">
        <f>IF(INDEX(学年度总表!$J$3:$J$1025,MATCH($E64,学年度总表!$E$3:$E$1025,0))="","",INDEX(学年度总表!$J$3:$J$1025,MATCH($E64,学年度总表!$E$3:$E$1025,0)))</f>
        <v>79.19</v>
      </c>
      <c r="K64" s="3">
        <f>IF(INDEX(学年度总表!$K$3:$K$1025,MATCH($E64,学年度总表!$E$3:$E$1025,0))="","",INDEX(学年度总表!$K$3:$K$1025,MATCH($E64,学年度总表!$E$3:$E$1025,0)))</f>
        <v>9.8000000000000007</v>
      </c>
      <c r="L64" s="3">
        <f>IF(INDEX(学年度总表!$L$3:$L$1025,MATCH($E64,学年度总表!$E$3:$E$1025,0))="","",INDEX(学年度总表!$L$3:$L$1025,MATCH($E64,学年度总表!$E$3:$E$1025,0)))</f>
        <v>61.78</v>
      </c>
      <c r="M64" s="3">
        <f>IF(INDEX(学年度总表!$M$3:$M$1025,MATCH($E64,学年度总表!$E$3:$E$1025,0))="","",INDEX(学年度总表!$M$3:$M$1025,MATCH($E64,学年度总表!$E$3:$E$1025,0)))</f>
        <v>4</v>
      </c>
      <c r="N64" s="3">
        <f>IF(INDEX(学年度总表!$N$3:$N$1025,MATCH($E64,学年度总表!$E$3:$E$1025,0))="","",INDEX(学年度总表!$N$3:$N$1025,MATCH($E64,学年度总表!$E$3:$E$1025,0)))</f>
        <v>75.58</v>
      </c>
      <c r="O64" s="3">
        <f>IF(INDEX(学年度总表!$O$3:$O$1025,MATCH($E64,学年度总表!$E$3:$E$1025,0))="","",INDEX(学年度总表!$O$3:$O$1025,MATCH($E64,学年度总表!$E$3:$E$1025,0)))</f>
        <v>154.77000000000001</v>
      </c>
      <c r="P64" s="2" t="str">
        <f>IF(INDEX(学年度总表!$P$3:$P$1025,MATCH($E64,学年度总表!$E$3:$E$1025,0))="","",INDEX(学年度总表!$P$3:$P$1025,MATCH($E64,学年度总表!$E$3:$E$1025,0)))</f>
        <v/>
      </c>
      <c r="Q64" s="5" t="str">
        <f>IF(INDEX(学年度总表!$Q$3:$Q$1025,MATCH($E64,学年度总表!$E$3:$E$1025,0))="","",INDEX(学年度总表!$Q$3:$Q$1025,MATCH($E64,学年度总表!$E$3:$E$1025,0)))</f>
        <v/>
      </c>
    </row>
    <row r="65" spans="1:17">
      <c r="A65" s="2">
        <f>IF(INDEX(学年度总表!$A$3:$A$1025,MATCH($E65,学年度总表!$E$3:$E$1025,0))="","",INDEX(学年度总表!$A$3:$A$1025,MATCH($E65,学年度总表!$E$3:$E$1025,0)))</f>
        <v>155</v>
      </c>
      <c r="B65" s="2">
        <f>IF(INDEX(学年度总表!$B$3:$B$1025,MATCH($E65,学年度总表!$E$3:$E$1025,0))="","",INDEX(学年度总表!$B$3:$B$1025,MATCH($E65,学年度总表!$E$3:$E$1025,0)))</f>
        <v>63</v>
      </c>
      <c r="C65" s="2" t="str">
        <f>IF(INDEX(学年度总表!$C$3:$C$1025,MATCH($E65,学年度总表!$E$3:$E$1025,0))="","",INDEX(学年度总表!$C$3:$C$1025,MATCH($E65,学年度总表!$E$3:$E$1025,0)))</f>
        <v>软工</v>
      </c>
      <c r="D65" s="2" t="str">
        <f>IF(INDEX(学年度总表!$D$3:$D$1025,MATCH($E65,学年度总表!$E$3:$E$1025,0))="","",INDEX(学年度总表!$D$3:$D$1025,MATCH($E65,学年度总表!$E$3:$E$1025,0)))</f>
        <v>软工14班</v>
      </c>
      <c r="E65" s="2" t="s">
        <v>366</v>
      </c>
      <c r="F65" s="2" t="str">
        <f>IF(INDEX(学年度总表!$F$3:$F$1025,MATCH($E65,学年度总表!$E$3:$E$1025,0))="","",INDEX(学年度总表!$F$3:$F$1025,MATCH($E65,学年度总表!$E$3:$E$1025,0)))</f>
        <v>韩温心</v>
      </c>
      <c r="G65" s="3">
        <f>IF(INDEX(学年度总表!$G$3:$G$1025,MATCH($E65,学年度总表!$E$3:$E$1025,0))="","",INDEX(学年度总表!$G$3:$G$1025,MATCH($E65,学年度总表!$E$3:$E$1025,0)))</f>
        <v>10.8</v>
      </c>
      <c r="H65" s="3">
        <f>IF(INDEX(学年度总表!$H$3:$H$1025,MATCH($E65,学年度总表!$E$3:$E$1025,0))="","",INDEX(学年度总表!$H$3:$H$1025,MATCH($E65,学年度总表!$E$3:$E$1025,0)))</f>
        <v>58.78</v>
      </c>
      <c r="I65" s="3">
        <f>IF(INDEX(学年度总表!$I$3:$I$1025,MATCH($E65,学年度总表!$E$3:$E$1025,0))="","",INDEX(学年度总表!$I$3:$I$1025,MATCH($E65,学年度总表!$E$3:$E$1025,0)))</f>
        <v>5.4</v>
      </c>
      <c r="J65" s="3">
        <f>IF(INDEX(学年度总表!$J$3:$J$1025,MATCH($E65,学年度总表!$E$3:$E$1025,0))="","",INDEX(学年度总表!$J$3:$J$1025,MATCH($E65,学年度总表!$E$3:$E$1025,0)))</f>
        <v>74.98</v>
      </c>
      <c r="K65" s="3">
        <f>IF(INDEX(学年度总表!$K$3:$K$1025,MATCH($E65,学年度总表!$E$3:$E$1025,0))="","",INDEX(学年度总表!$K$3:$K$1025,MATCH($E65,学年度总表!$E$3:$E$1025,0)))</f>
        <v>9.8000000000000007</v>
      </c>
      <c r="L65" s="3">
        <f>IF(INDEX(学年度总表!$L$3:$L$1025,MATCH($E65,学年度总表!$E$3:$E$1025,0))="","",INDEX(学年度总表!$L$3:$L$1025,MATCH($E65,学年度总表!$E$3:$E$1025,0)))</f>
        <v>61.87</v>
      </c>
      <c r="M65" s="3">
        <f>IF(INDEX(学年度总表!$M$3:$M$1025,MATCH($E65,学年度总表!$E$3:$E$1025,0))="","",INDEX(学年度总表!$M$3:$M$1025,MATCH($E65,学年度总表!$E$3:$E$1025,0)))</f>
        <v>8</v>
      </c>
      <c r="N65" s="3">
        <f>IF(INDEX(学年度总表!$N$3:$N$1025,MATCH($E65,学年度总表!$E$3:$E$1025,0))="","",INDEX(学年度总表!$N$3:$N$1025,MATCH($E65,学年度总表!$E$3:$E$1025,0)))</f>
        <v>79.67</v>
      </c>
      <c r="O65" s="3">
        <f>IF(INDEX(学年度总表!$O$3:$O$1025,MATCH($E65,学年度总表!$E$3:$E$1025,0))="","",INDEX(学年度总表!$O$3:$O$1025,MATCH($E65,学年度总表!$E$3:$E$1025,0)))</f>
        <v>154.65</v>
      </c>
      <c r="P65" s="2" t="str">
        <f>IF(INDEX(学年度总表!$P$3:$P$1025,MATCH($E65,学年度总表!$E$3:$E$1025,0))="","",INDEX(学年度总表!$P$3:$P$1025,MATCH($E65,学年度总表!$E$3:$E$1025,0)))</f>
        <v/>
      </c>
      <c r="Q65" s="5" t="str">
        <f>IF(INDEX(学年度总表!$Q$3:$Q$1025,MATCH($E65,学年度总表!$E$3:$E$1025,0))="","",INDEX(学年度总表!$Q$3:$Q$1025,MATCH($E65,学年度总表!$E$3:$E$1025,0)))</f>
        <v/>
      </c>
    </row>
    <row r="66" spans="1:17">
      <c r="A66" s="2">
        <f>IF(INDEX(学年度总表!$A$3:$A$1025,MATCH($E66,学年度总表!$E$3:$E$1025,0))="","",INDEX(学年度总表!$A$3:$A$1025,MATCH($E66,学年度总表!$E$3:$E$1025,0)))</f>
        <v>161</v>
      </c>
      <c r="B66" s="2">
        <f>IF(INDEX(学年度总表!$B$3:$B$1025,MATCH($E66,学年度总表!$E$3:$E$1025,0))="","",INDEX(学年度总表!$B$3:$B$1025,MATCH($E66,学年度总表!$E$3:$E$1025,0)))</f>
        <v>64</v>
      </c>
      <c r="C66" s="2" t="str">
        <f>IF(INDEX(学年度总表!$C$3:$C$1025,MATCH($E66,学年度总表!$E$3:$E$1025,0))="","",INDEX(学年度总表!$C$3:$C$1025,MATCH($E66,学年度总表!$E$3:$E$1025,0)))</f>
        <v>软工</v>
      </c>
      <c r="D66" s="2" t="str">
        <f>IF(INDEX(学年度总表!$D$3:$D$1025,MATCH($E66,学年度总表!$E$3:$E$1025,0))="","",INDEX(学年度总表!$D$3:$D$1025,MATCH($E66,学年度总表!$E$3:$E$1025,0)))</f>
        <v>软工7班</v>
      </c>
      <c r="E66" s="2" t="s">
        <v>378</v>
      </c>
      <c r="F66" s="2" t="str">
        <f>IF(INDEX(学年度总表!$F$3:$F$1025,MATCH($E66,学年度总表!$E$3:$E$1025,0))="","",INDEX(学年度总表!$F$3:$F$1025,MATCH($E66,学年度总表!$E$3:$E$1025,0)))</f>
        <v>王悦新</v>
      </c>
      <c r="G66" s="3">
        <f>IF(INDEX(学年度总表!$G$3:$G$1025,MATCH($E66,学年度总表!$E$3:$E$1025,0))="","",INDEX(学年度总表!$G$3:$G$1025,MATCH($E66,学年度总表!$E$3:$E$1025,0)))</f>
        <v>10</v>
      </c>
      <c r="H66" s="3">
        <f>IF(INDEX(学年度总表!$H$3:$H$1025,MATCH($E66,学年度总表!$E$3:$E$1025,0))="","",INDEX(学年度总表!$H$3:$H$1025,MATCH($E66,学年度总表!$E$3:$E$1025,0)))</f>
        <v>63.16</v>
      </c>
      <c r="I66" s="3">
        <f>IF(INDEX(学年度总表!$I$3:$I$1025,MATCH($E66,学年度总表!$E$3:$E$1025,0))="","",INDEX(学年度总表!$I$3:$I$1025,MATCH($E66,学年度总表!$E$3:$E$1025,0)))</f>
        <v>3</v>
      </c>
      <c r="J66" s="3">
        <f>IF(INDEX(学年度总表!$J$3:$J$1025,MATCH($E66,学年度总表!$E$3:$E$1025,0))="","",INDEX(学年度总表!$J$3:$J$1025,MATCH($E66,学年度总表!$E$3:$E$1025,0)))</f>
        <v>76.16</v>
      </c>
      <c r="K66" s="3">
        <f>IF(INDEX(学年度总表!$K$3:$K$1025,MATCH($E66,学年度总表!$E$3:$E$1025,0))="","",INDEX(学年度总表!$K$3:$K$1025,MATCH($E66,学年度总表!$E$3:$E$1025,0)))</f>
        <v>10</v>
      </c>
      <c r="L66" s="3">
        <f>IF(INDEX(学年度总表!$L$3:$L$1025,MATCH($E66,学年度总表!$E$3:$E$1025,0))="","",INDEX(学年度总表!$L$3:$L$1025,MATCH($E66,学年度总表!$E$3:$E$1025,0)))</f>
        <v>64.23</v>
      </c>
      <c r="M66" s="3">
        <f>IF(INDEX(学年度总表!$M$3:$M$1025,MATCH($E66,学年度总表!$E$3:$E$1025,0))="","",INDEX(学年度总表!$M$3:$M$1025,MATCH($E66,学年度总表!$E$3:$E$1025,0)))</f>
        <v>4</v>
      </c>
      <c r="N66" s="3">
        <f>IF(INDEX(学年度总表!$N$3:$N$1025,MATCH($E66,学年度总表!$E$3:$E$1025,0))="","",INDEX(学年度总表!$N$3:$N$1025,MATCH($E66,学年度总表!$E$3:$E$1025,0)))</f>
        <v>78.23</v>
      </c>
      <c r="O66" s="3">
        <f>IF(INDEX(学年度总表!$O$3:$O$1025,MATCH($E66,学年度总表!$E$3:$E$1025,0))="","",INDEX(学年度总表!$O$3:$O$1025,MATCH($E66,学年度总表!$E$3:$E$1025,0)))</f>
        <v>154.38999999999999</v>
      </c>
      <c r="P66" s="4" t="str">
        <f>IF(INDEX(学年度总表!$P$3:$P$1025,MATCH($E66,学年度总表!$E$3:$E$1025,0))="","",INDEX(学年度总表!$P$3:$P$1025,MATCH($E66,学年度总表!$E$3:$E$1025,0)))</f>
        <v>国励</v>
      </c>
      <c r="Q66" s="5" t="str">
        <f>IF(INDEX(学年度总表!$Q$3:$Q$1025,MATCH($E66,学年度总表!$E$3:$E$1025,0))="","",INDEX(学年度总表!$Q$3:$Q$1025,MATCH($E66,学年度总表!$E$3:$E$1025,0)))</f>
        <v/>
      </c>
    </row>
    <row r="67" spans="1:17">
      <c r="A67" s="2">
        <f>IF(INDEX(学年度总表!$A$3:$A$1025,MATCH($E67,学年度总表!$E$3:$E$1025,0))="","",INDEX(学年度总表!$A$3:$A$1025,MATCH($E67,学年度总表!$E$3:$E$1025,0)))</f>
        <v>163</v>
      </c>
      <c r="B67" s="2">
        <f>IF(INDEX(学年度总表!$B$3:$B$1025,MATCH($E67,学年度总表!$E$3:$E$1025,0))="","",INDEX(学年度总表!$B$3:$B$1025,MATCH($E67,学年度总表!$E$3:$E$1025,0)))</f>
        <v>65</v>
      </c>
      <c r="C67" s="2" t="str">
        <f>IF(INDEX(学年度总表!$C$3:$C$1025,MATCH($E67,学年度总表!$E$3:$E$1025,0))="","",INDEX(学年度总表!$C$3:$C$1025,MATCH($E67,学年度总表!$E$3:$E$1025,0)))</f>
        <v>软工</v>
      </c>
      <c r="D67" s="2" t="str">
        <f>IF(INDEX(学年度总表!$D$3:$D$1025,MATCH($E67,学年度总表!$E$3:$E$1025,0))="","",INDEX(学年度总表!$D$3:$D$1025,MATCH($E67,学年度总表!$E$3:$E$1025,0)))</f>
        <v>软工13班</v>
      </c>
      <c r="E67" s="2" t="s">
        <v>382</v>
      </c>
      <c r="F67" s="2" t="str">
        <f>IF(INDEX(学年度总表!$F$3:$F$1025,MATCH($E67,学年度总表!$E$3:$E$1025,0))="","",INDEX(学年度总表!$F$3:$F$1025,MATCH($E67,学年度总表!$E$3:$E$1025,0)))</f>
        <v>丁姝彤</v>
      </c>
      <c r="G67" s="3">
        <f>IF(INDEX(学年度总表!$G$3:$G$1025,MATCH($E67,学年度总表!$E$3:$E$1025,0))="","",INDEX(学年度总表!$G$3:$G$1025,MATCH($E67,学年度总表!$E$3:$E$1025,0)))</f>
        <v>10</v>
      </c>
      <c r="H67" s="3">
        <f>IF(INDEX(学年度总表!$H$3:$H$1025,MATCH($E67,学年度总表!$E$3:$E$1025,0))="","",INDEX(学年度总表!$H$3:$H$1025,MATCH($E67,学年度总表!$E$3:$E$1025,0)))</f>
        <v>63.11</v>
      </c>
      <c r="I67" s="3">
        <f>IF(INDEX(学年度总表!$I$3:$I$1025,MATCH($E67,学年度总表!$E$3:$E$1025,0))="","",INDEX(学年度总表!$I$3:$I$1025,MATCH($E67,学年度总表!$E$3:$E$1025,0)))</f>
        <v>5.5</v>
      </c>
      <c r="J67" s="3">
        <f>IF(INDEX(学年度总表!$J$3:$J$1025,MATCH($E67,学年度总表!$E$3:$E$1025,0))="","",INDEX(学年度总表!$J$3:$J$1025,MATCH($E67,学年度总表!$E$3:$E$1025,0)))</f>
        <v>78.61</v>
      </c>
      <c r="K67" s="3">
        <f>IF(INDEX(学年度总表!$K$3:$K$1025,MATCH($E67,学年度总表!$E$3:$E$1025,0))="","",INDEX(学年度总表!$K$3:$K$1025,MATCH($E67,学年度总表!$E$3:$E$1025,0)))</f>
        <v>11</v>
      </c>
      <c r="L67" s="3">
        <f>IF(INDEX(学年度总表!$L$3:$L$1025,MATCH($E67,学年度总表!$E$3:$E$1025,0))="","",INDEX(学年度总表!$L$3:$L$1025,MATCH($E67,学年度总表!$E$3:$E$1025,0)))</f>
        <v>56.77</v>
      </c>
      <c r="M67" s="3">
        <f>IF(INDEX(学年度总表!$M$3:$M$1025,MATCH($E67,学年度总表!$E$3:$E$1025,0))="","",INDEX(学年度总表!$M$3:$M$1025,MATCH($E67,学年度总表!$E$3:$E$1025,0)))</f>
        <v>7.95</v>
      </c>
      <c r="N67" s="3">
        <f>IF(INDEX(学年度总表!$N$3:$N$1025,MATCH($E67,学年度总表!$E$3:$E$1025,0))="","",INDEX(学年度总表!$N$3:$N$1025,MATCH($E67,学年度总表!$E$3:$E$1025,0)))</f>
        <v>75.72</v>
      </c>
      <c r="O67" s="3">
        <f>IF(INDEX(学年度总表!$O$3:$O$1025,MATCH($E67,学年度总表!$E$3:$E$1025,0))="","",INDEX(学年度总表!$O$3:$O$1025,MATCH($E67,学年度总表!$E$3:$E$1025,0)))</f>
        <v>154.33000000000001</v>
      </c>
      <c r="P67" s="2" t="str">
        <f>IF(INDEX(学年度总表!$P$3:$P$1025,MATCH($E67,学年度总表!$E$3:$E$1025,0))="","",INDEX(学年度总表!$P$3:$P$1025,MATCH($E67,学年度总表!$E$3:$E$1025,0)))</f>
        <v/>
      </c>
      <c r="Q67" s="5" t="str">
        <f>IF(INDEX(学年度总表!$Q$3:$Q$1025,MATCH($E67,学年度总表!$E$3:$E$1025,0))="","",INDEX(学年度总表!$Q$3:$Q$1025,MATCH($E67,学年度总表!$E$3:$E$1025,0)))</f>
        <v/>
      </c>
    </row>
    <row r="68" spans="1:17">
      <c r="A68" s="2">
        <f>IF(INDEX(学年度总表!$A$3:$A$1025,MATCH($E68,学年度总表!$E$3:$E$1025,0))="","",INDEX(学年度总表!$A$3:$A$1025,MATCH($E68,学年度总表!$E$3:$E$1025,0)))</f>
        <v>168</v>
      </c>
      <c r="B68" s="2">
        <f>IF(INDEX(学年度总表!$B$3:$B$1025,MATCH($E68,学年度总表!$E$3:$E$1025,0))="","",INDEX(学年度总表!$B$3:$B$1025,MATCH($E68,学年度总表!$E$3:$E$1025,0)))</f>
        <v>66</v>
      </c>
      <c r="C68" s="2" t="str">
        <f>IF(INDEX(学年度总表!$C$3:$C$1025,MATCH($E68,学年度总表!$E$3:$E$1025,0))="","",INDEX(学年度总表!$C$3:$C$1025,MATCH($E68,学年度总表!$E$3:$E$1025,0)))</f>
        <v>软工</v>
      </c>
      <c r="D68" s="2" t="str">
        <f>IF(INDEX(学年度总表!$D$3:$D$1025,MATCH($E68,学年度总表!$E$3:$E$1025,0))="","",INDEX(学年度总表!$D$3:$D$1025,MATCH($E68,学年度总表!$E$3:$E$1025,0)))</f>
        <v>软工10班</v>
      </c>
      <c r="E68" s="2" t="s">
        <v>393</v>
      </c>
      <c r="F68" s="2" t="str">
        <f>IF(INDEX(学年度总表!$F$3:$F$1025,MATCH($E68,学年度总表!$E$3:$E$1025,0))="","",INDEX(学年度总表!$F$3:$F$1025,MATCH($E68,学年度总表!$E$3:$E$1025,0)))</f>
        <v>付子圆</v>
      </c>
      <c r="G68" s="3">
        <f>IF(INDEX(学年度总表!$G$3:$G$1025,MATCH($E68,学年度总表!$E$3:$E$1025,0))="","",INDEX(学年度总表!$G$3:$G$1025,MATCH($E68,学年度总表!$E$3:$E$1025,0)))</f>
        <v>10.5</v>
      </c>
      <c r="H68" s="3">
        <f>IF(INDEX(学年度总表!$H$3:$H$1025,MATCH($E68,学年度总表!$E$3:$E$1025,0))="","",INDEX(学年度总表!$H$3:$H$1025,MATCH($E68,学年度总表!$E$3:$E$1025,0)))</f>
        <v>64.650000000000006</v>
      </c>
      <c r="I68" s="3">
        <f>IF(INDEX(学年度总表!$I$3:$I$1025,MATCH($E68,学年度总表!$E$3:$E$1025,0))="","",INDEX(学年度总表!$I$3:$I$1025,MATCH($E68,学年度总表!$E$3:$E$1025,0)))</f>
        <v>3</v>
      </c>
      <c r="J68" s="3">
        <f>IF(INDEX(学年度总表!$J$3:$J$1025,MATCH($E68,学年度总表!$E$3:$E$1025,0))="","",INDEX(学年度总表!$J$3:$J$1025,MATCH($E68,学年度总表!$E$3:$E$1025,0)))</f>
        <v>78.150000000000006</v>
      </c>
      <c r="K68" s="3">
        <f>IF(INDEX(学年度总表!$K$3:$K$1025,MATCH($E68,学年度总表!$E$3:$E$1025,0))="","",INDEX(学年度总表!$K$3:$K$1025,MATCH($E68,学年度总表!$E$3:$E$1025,0)))</f>
        <v>10</v>
      </c>
      <c r="L68" s="3">
        <f>IF(INDEX(学年度总表!$L$3:$L$1025,MATCH($E68,学年度总表!$E$3:$E$1025,0))="","",INDEX(学年度总表!$L$3:$L$1025,MATCH($E68,学年度总表!$E$3:$E$1025,0)))</f>
        <v>62.47</v>
      </c>
      <c r="M68" s="3">
        <f>IF(INDEX(学年度总表!$M$3:$M$1025,MATCH($E68,学年度总表!$E$3:$E$1025,0))="","",INDEX(学年度总表!$M$3:$M$1025,MATCH($E68,学年度总表!$E$3:$E$1025,0)))</f>
        <v>3.5</v>
      </c>
      <c r="N68" s="3">
        <f>IF(INDEX(学年度总表!$N$3:$N$1025,MATCH($E68,学年度总表!$E$3:$E$1025,0))="","",INDEX(学年度总表!$N$3:$N$1025,MATCH($E68,学年度总表!$E$3:$E$1025,0)))</f>
        <v>75.97</v>
      </c>
      <c r="O68" s="3">
        <f>IF(INDEX(学年度总表!$O$3:$O$1025,MATCH($E68,学年度总表!$E$3:$E$1025,0))="","",INDEX(学年度总表!$O$3:$O$1025,MATCH($E68,学年度总表!$E$3:$E$1025,0)))</f>
        <v>154.12</v>
      </c>
      <c r="P68" s="2" t="str">
        <f>IF(INDEX(学年度总表!$P$3:$P$1025,MATCH($E68,学年度总表!$E$3:$E$1025,0))="","",INDEX(学年度总表!$P$3:$P$1025,MATCH($E68,学年度总表!$E$3:$E$1025,0)))</f>
        <v/>
      </c>
      <c r="Q68" s="5" t="str">
        <f>IF(INDEX(学年度总表!$Q$3:$Q$1025,MATCH($E68,学年度总表!$E$3:$E$1025,0))="","",INDEX(学年度总表!$Q$3:$Q$1025,MATCH($E68,学年度总表!$E$3:$E$1025,0)))</f>
        <v/>
      </c>
    </row>
    <row r="69" spans="1:17">
      <c r="A69" s="2">
        <f>IF(INDEX(学年度总表!$A$3:$A$1025,MATCH($E69,学年度总表!$E$3:$E$1025,0))="","",INDEX(学年度总表!$A$3:$A$1025,MATCH($E69,学年度总表!$E$3:$E$1025,0)))</f>
        <v>170</v>
      </c>
      <c r="B69" s="2">
        <f>IF(INDEX(学年度总表!$B$3:$B$1025,MATCH($E69,学年度总表!$E$3:$E$1025,0))="","",INDEX(学年度总表!$B$3:$B$1025,MATCH($E69,学年度总表!$E$3:$E$1025,0)))</f>
        <v>67</v>
      </c>
      <c r="C69" s="2" t="str">
        <f>IF(INDEX(学年度总表!$C$3:$C$1025,MATCH($E69,学年度总表!$E$3:$E$1025,0))="","",INDEX(学年度总表!$C$3:$C$1025,MATCH($E69,学年度总表!$E$3:$E$1025,0)))</f>
        <v>软工</v>
      </c>
      <c r="D69" s="2" t="str">
        <f>IF(INDEX(学年度总表!$D$3:$D$1025,MATCH($E69,学年度总表!$E$3:$E$1025,0))="","",INDEX(学年度总表!$D$3:$D$1025,MATCH($E69,学年度总表!$E$3:$E$1025,0)))</f>
        <v>软工11班</v>
      </c>
      <c r="E69" s="2" t="s">
        <v>397</v>
      </c>
      <c r="F69" s="2" t="str">
        <f>IF(INDEX(学年度总表!$F$3:$F$1025,MATCH($E69,学年度总表!$E$3:$E$1025,0))="","",INDEX(学年度总表!$F$3:$F$1025,MATCH($E69,学年度总表!$E$3:$E$1025,0)))</f>
        <v>李佳瑶</v>
      </c>
      <c r="G69" s="3">
        <f>IF(INDEX(学年度总表!$G$3:$G$1025,MATCH($E69,学年度总表!$E$3:$E$1025,0))="","",INDEX(学年度总表!$G$3:$G$1025,MATCH($E69,学年度总表!$E$3:$E$1025,0)))</f>
        <v>10.3</v>
      </c>
      <c r="H69" s="3">
        <f>IF(INDEX(学年度总表!$H$3:$H$1025,MATCH($E69,学年度总表!$E$3:$E$1025,0))="","",INDEX(学年度总表!$H$3:$H$1025,MATCH($E69,学年度总表!$E$3:$E$1025,0)))</f>
        <v>65.09</v>
      </c>
      <c r="I69" s="3">
        <f>IF(INDEX(学年度总表!$I$3:$I$1025,MATCH($E69,学年度总表!$E$3:$E$1025,0))="","",INDEX(学年度总表!$I$3:$I$1025,MATCH($E69,学年度总表!$E$3:$E$1025,0)))</f>
        <v>3</v>
      </c>
      <c r="J69" s="3">
        <f>IF(INDEX(学年度总表!$J$3:$J$1025,MATCH($E69,学年度总表!$E$3:$E$1025,0))="","",INDEX(学年度总表!$J$3:$J$1025,MATCH($E69,学年度总表!$E$3:$E$1025,0)))</f>
        <v>78.39</v>
      </c>
      <c r="K69" s="3">
        <f>IF(INDEX(学年度总表!$K$3:$K$1025,MATCH($E69,学年度总表!$E$3:$E$1025,0))="","",INDEX(学年度总表!$K$3:$K$1025,MATCH($E69,学年度总表!$E$3:$E$1025,0)))</f>
        <v>9.8000000000000007</v>
      </c>
      <c r="L69" s="3">
        <f>IF(INDEX(学年度总表!$L$3:$L$1025,MATCH($E69,学年度总表!$E$3:$E$1025,0))="","",INDEX(学年度总表!$L$3:$L$1025,MATCH($E69,学年度总表!$E$3:$E$1025,0)))</f>
        <v>62.92</v>
      </c>
      <c r="M69" s="3">
        <f>IF(INDEX(学年度总表!$M$3:$M$1025,MATCH($E69,学年度总表!$E$3:$E$1025,0))="","",INDEX(学年度总表!$M$3:$M$1025,MATCH($E69,学年度总表!$E$3:$E$1025,0)))</f>
        <v>3</v>
      </c>
      <c r="N69" s="3">
        <f>IF(INDEX(学年度总表!$N$3:$N$1025,MATCH($E69,学年度总表!$E$3:$E$1025,0))="","",INDEX(学年度总表!$N$3:$N$1025,MATCH($E69,学年度总表!$E$3:$E$1025,0)))</f>
        <v>75.72</v>
      </c>
      <c r="O69" s="3">
        <f>IF(INDEX(学年度总表!$O$3:$O$1025,MATCH($E69,学年度总表!$E$3:$E$1025,0))="","",INDEX(学年度总表!$O$3:$O$1025,MATCH($E69,学年度总表!$E$3:$E$1025,0)))</f>
        <v>154.11000000000001</v>
      </c>
      <c r="P69" s="2" t="str">
        <f>IF(INDEX(学年度总表!$P$3:$P$1025,MATCH($E69,学年度总表!$E$3:$E$1025,0))="","",INDEX(学年度总表!$P$3:$P$1025,MATCH($E69,学年度总表!$E$3:$E$1025,0)))</f>
        <v/>
      </c>
      <c r="Q69" s="5" t="str">
        <f>IF(INDEX(学年度总表!$Q$3:$Q$1025,MATCH($E69,学年度总表!$E$3:$E$1025,0))="","",INDEX(学年度总表!$Q$3:$Q$1025,MATCH($E69,学年度总表!$E$3:$E$1025,0)))</f>
        <v/>
      </c>
    </row>
    <row r="70" spans="1:17">
      <c r="A70" s="2">
        <f>IF(INDEX(学年度总表!$A$3:$A$1025,MATCH($E70,学年度总表!$E$3:$E$1025,0))="","",INDEX(学年度总表!$A$3:$A$1025,MATCH($E70,学年度总表!$E$3:$E$1025,0)))</f>
        <v>176</v>
      </c>
      <c r="B70" s="2">
        <f>IF(INDEX(学年度总表!$B$3:$B$1025,MATCH($E70,学年度总表!$E$3:$E$1025,0))="","",INDEX(学年度总表!$B$3:$B$1025,MATCH($E70,学年度总表!$E$3:$E$1025,0)))</f>
        <v>68</v>
      </c>
      <c r="C70" s="2" t="str">
        <f>IF(INDEX(学年度总表!$C$3:$C$1025,MATCH($E70,学年度总表!$E$3:$E$1025,0))="","",INDEX(学年度总表!$C$3:$C$1025,MATCH($E70,学年度总表!$E$3:$E$1025,0)))</f>
        <v>软工</v>
      </c>
      <c r="D70" s="2" t="str">
        <f>IF(INDEX(学年度总表!$D$3:$D$1025,MATCH($E70,学年度总表!$E$3:$E$1025,0))="","",INDEX(学年度总表!$D$3:$D$1025,MATCH($E70,学年度总表!$E$3:$E$1025,0)))</f>
        <v>软工6班</v>
      </c>
      <c r="E70" s="2" t="s">
        <v>409</v>
      </c>
      <c r="F70" s="2" t="str">
        <f>IF(INDEX(学年度总表!$F$3:$F$1025,MATCH($E70,学年度总表!$E$3:$E$1025,0))="","",INDEX(学年度总表!$F$3:$F$1025,MATCH($E70,学年度总表!$E$3:$E$1025,0)))</f>
        <v>赵梓卉</v>
      </c>
      <c r="G70" s="3">
        <f>IF(INDEX(学年度总表!$G$3:$G$1025,MATCH($E70,学年度总表!$E$3:$E$1025,0))="","",INDEX(学年度总表!$G$3:$G$1025,MATCH($E70,学年度总表!$E$3:$E$1025,0)))</f>
        <v>10.3</v>
      </c>
      <c r="H70" s="3">
        <f>IF(INDEX(学年度总表!$H$3:$H$1025,MATCH($E70,学年度总表!$E$3:$E$1025,0))="","",INDEX(学年度总表!$H$3:$H$1025,MATCH($E70,学年度总表!$E$3:$E$1025,0)))</f>
        <v>65.066666666666706</v>
      </c>
      <c r="I70" s="3">
        <f>IF(INDEX(学年度总表!$I$3:$I$1025,MATCH($E70,学年度总表!$E$3:$E$1025,0))="","",INDEX(学年度总表!$I$3:$I$1025,MATCH($E70,学年度总表!$E$3:$E$1025,0)))</f>
        <v>4.2</v>
      </c>
      <c r="J70" s="3">
        <f>IF(INDEX(学年度总表!$J$3:$J$1025,MATCH($E70,学年度总表!$E$3:$E$1025,0))="","",INDEX(学年度总表!$J$3:$J$1025,MATCH($E70,学年度总表!$E$3:$E$1025,0)))</f>
        <v>79.569999999999993</v>
      </c>
      <c r="K70" s="3">
        <f>IF(INDEX(学年度总表!$K$3:$K$1025,MATCH($E70,学年度总表!$E$3:$E$1025,0))="","",INDEX(学年度总表!$K$3:$K$1025,MATCH($E70,学年度总表!$E$3:$E$1025,0)))</f>
        <v>9.8000000000000007</v>
      </c>
      <c r="L70" s="3">
        <f>IF(INDEX(学年度总表!$L$3:$L$1025,MATCH($E70,学年度总表!$E$3:$E$1025,0))="","",INDEX(学年度总表!$L$3:$L$1025,MATCH($E70,学年度总表!$E$3:$E$1025,0)))</f>
        <v>59.89</v>
      </c>
      <c r="M70" s="3">
        <f>IF(INDEX(学年度总表!$M$3:$M$1025,MATCH($E70,学年度总表!$E$3:$E$1025,0))="","",INDEX(学年度总表!$M$3:$M$1025,MATCH($E70,学年度总表!$E$3:$E$1025,0)))</f>
        <v>4.4000000000000004</v>
      </c>
      <c r="N70" s="3">
        <f>IF(INDEX(学年度总表!$N$3:$N$1025,MATCH($E70,学年度总表!$E$3:$E$1025,0))="","",INDEX(学年度总表!$N$3:$N$1025,MATCH($E70,学年度总表!$E$3:$E$1025,0)))</f>
        <v>74.09</v>
      </c>
      <c r="O70" s="3">
        <f>IF(INDEX(学年度总表!$O$3:$O$1025,MATCH($E70,学年度总表!$E$3:$E$1025,0))="","",INDEX(学年度总表!$O$3:$O$1025,MATCH($E70,学年度总表!$E$3:$E$1025,0)))</f>
        <v>153.66</v>
      </c>
      <c r="P70" s="2" t="str">
        <f>IF(INDEX(学年度总表!$P$3:$P$1025,MATCH($E70,学年度总表!$E$3:$E$1025,0))="","",INDEX(学年度总表!$P$3:$P$1025,MATCH($E70,学年度总表!$E$3:$E$1025,0)))</f>
        <v/>
      </c>
      <c r="Q70" s="5" t="str">
        <f>IF(INDEX(学年度总表!$Q$3:$Q$1025,MATCH($E70,学年度总表!$E$3:$E$1025,0))="","",INDEX(学年度总表!$Q$3:$Q$1025,MATCH($E70,学年度总表!$E$3:$E$1025,0)))</f>
        <v/>
      </c>
    </row>
    <row r="71" spans="1:17">
      <c r="A71" s="2">
        <f>IF(INDEX(学年度总表!$A$3:$A$1025,MATCH($E71,学年度总表!$E$3:$E$1025,0))="","",INDEX(学年度总表!$A$3:$A$1025,MATCH($E71,学年度总表!$E$3:$E$1025,0)))</f>
        <v>177</v>
      </c>
      <c r="B71" s="2">
        <f>IF(INDEX(学年度总表!$B$3:$B$1025,MATCH($E71,学年度总表!$E$3:$E$1025,0))="","",INDEX(学年度总表!$B$3:$B$1025,MATCH($E71,学年度总表!$E$3:$E$1025,0)))</f>
        <v>69</v>
      </c>
      <c r="C71" s="2" t="str">
        <f>IF(INDEX(学年度总表!$C$3:$C$1025,MATCH($E71,学年度总表!$E$3:$E$1025,0))="","",INDEX(学年度总表!$C$3:$C$1025,MATCH($E71,学年度总表!$E$3:$E$1025,0)))</f>
        <v>软工</v>
      </c>
      <c r="D71" s="2" t="str">
        <f>IF(INDEX(学年度总表!$D$3:$D$1025,MATCH($E71,学年度总表!$E$3:$E$1025,0))="","",INDEX(学年度总表!$D$3:$D$1025,MATCH($E71,学年度总表!$E$3:$E$1025,0)))</f>
        <v>软工7班</v>
      </c>
      <c r="E71" s="2" t="s">
        <v>411</v>
      </c>
      <c r="F71" s="2" t="str">
        <f>IF(INDEX(学年度总表!$F$3:$F$1025,MATCH($E71,学年度总表!$E$3:$E$1025,0))="","",INDEX(学年度总表!$F$3:$F$1025,MATCH($E71,学年度总表!$E$3:$E$1025,0)))</f>
        <v>于欣竹</v>
      </c>
      <c r="G71" s="3">
        <f>IF(INDEX(学年度总表!$G$3:$G$1025,MATCH($E71,学年度总表!$E$3:$E$1025,0))="","",INDEX(学年度总表!$G$3:$G$1025,MATCH($E71,学年度总表!$E$3:$E$1025,0)))</f>
        <v>9.8000000000000007</v>
      </c>
      <c r="H71" s="3">
        <f>IF(INDEX(学年度总表!$H$3:$H$1025,MATCH($E71,学年度总表!$E$3:$E$1025,0))="","",INDEX(学年度总表!$H$3:$H$1025,MATCH($E71,学年度总表!$E$3:$E$1025,0)))</f>
        <v>61.98</v>
      </c>
      <c r="I71" s="3">
        <f>IF(INDEX(学年度总表!$I$3:$I$1025,MATCH($E71,学年度总表!$E$3:$E$1025,0))="","",INDEX(学年度总表!$I$3:$I$1025,MATCH($E71,学年度总表!$E$3:$E$1025,0)))</f>
        <v>4.2</v>
      </c>
      <c r="J71" s="3">
        <f>IF(INDEX(学年度总表!$J$3:$J$1025,MATCH($E71,学年度总表!$E$3:$E$1025,0))="","",INDEX(学年度总表!$J$3:$J$1025,MATCH($E71,学年度总表!$E$3:$E$1025,0)))</f>
        <v>75.98</v>
      </c>
      <c r="K71" s="3">
        <f>IF(INDEX(学年度总表!$K$3:$K$1025,MATCH($E71,学年度总表!$E$3:$E$1025,0))="","",INDEX(学年度总表!$K$3:$K$1025,MATCH($E71,学年度总表!$E$3:$E$1025,0)))</f>
        <v>11.3</v>
      </c>
      <c r="L71" s="3">
        <f>IF(INDEX(学年度总表!$L$3:$L$1025,MATCH($E71,学年度总表!$E$3:$E$1025,0))="","",INDEX(学年度总表!$L$3:$L$1025,MATCH($E71,学年度总表!$E$3:$E$1025,0)))</f>
        <v>60.81</v>
      </c>
      <c r="M71" s="3">
        <f>IF(INDEX(学年度总表!$M$3:$M$1025,MATCH($E71,学年度总表!$E$3:$E$1025,0))="","",INDEX(学年度总表!$M$3:$M$1025,MATCH($E71,学年度总表!$E$3:$E$1025,0)))</f>
        <v>5.5</v>
      </c>
      <c r="N71" s="3">
        <f>IF(INDEX(学年度总表!$N$3:$N$1025,MATCH($E71,学年度总表!$E$3:$E$1025,0))="","",INDEX(学年度总表!$N$3:$N$1025,MATCH($E71,学年度总表!$E$3:$E$1025,0)))</f>
        <v>77.61</v>
      </c>
      <c r="O71" s="3">
        <f>IF(INDEX(学年度总表!$O$3:$O$1025,MATCH($E71,学年度总表!$E$3:$E$1025,0))="","",INDEX(学年度总表!$O$3:$O$1025,MATCH($E71,学年度总表!$E$3:$E$1025,0)))</f>
        <v>153.59</v>
      </c>
      <c r="P71" s="2" t="str">
        <f>IF(INDEX(学年度总表!$P$3:$P$1025,MATCH($E71,学年度总表!$E$3:$E$1025,0))="","",INDEX(学年度总表!$P$3:$P$1025,MATCH($E71,学年度总表!$E$3:$E$1025,0)))</f>
        <v/>
      </c>
      <c r="Q71" s="5" t="str">
        <f>IF(INDEX(学年度总表!$Q$3:$Q$1025,MATCH($E71,学年度总表!$E$3:$E$1025,0))="","",INDEX(学年度总表!$Q$3:$Q$1025,MATCH($E71,学年度总表!$E$3:$E$1025,0)))</f>
        <v/>
      </c>
    </row>
    <row r="72" spans="1:17">
      <c r="A72" s="2">
        <f>IF(INDEX(学年度总表!$A$3:$A$1025,MATCH($E72,学年度总表!$E$3:$E$1025,0))="","",INDEX(学年度总表!$A$3:$A$1025,MATCH($E72,学年度总表!$E$3:$E$1025,0)))</f>
        <v>180</v>
      </c>
      <c r="B72" s="2">
        <f>IF(INDEX(学年度总表!$B$3:$B$1025,MATCH($E72,学年度总表!$E$3:$E$1025,0))="","",INDEX(学年度总表!$B$3:$B$1025,MATCH($E72,学年度总表!$E$3:$E$1025,0)))</f>
        <v>70</v>
      </c>
      <c r="C72" s="2" t="str">
        <f>IF(INDEX(学年度总表!$C$3:$C$1025,MATCH($E72,学年度总表!$E$3:$E$1025,0))="","",INDEX(学年度总表!$C$3:$C$1025,MATCH($E72,学年度总表!$E$3:$E$1025,0)))</f>
        <v>软工</v>
      </c>
      <c r="D72" s="2" t="str">
        <f>IF(INDEX(学年度总表!$D$3:$D$1025,MATCH($E72,学年度总表!$E$3:$E$1025,0))="","",INDEX(学年度总表!$D$3:$D$1025,MATCH($E72,学年度总表!$E$3:$E$1025,0)))</f>
        <v>软工8班</v>
      </c>
      <c r="E72" s="2" t="s">
        <v>417</v>
      </c>
      <c r="F72" s="2" t="str">
        <f>IF(INDEX(学年度总表!$F$3:$F$1025,MATCH($E72,学年度总表!$E$3:$E$1025,0))="","",INDEX(学年度总表!$F$3:$F$1025,MATCH($E72,学年度总表!$E$3:$E$1025,0)))</f>
        <v>刘津睿</v>
      </c>
      <c r="G72" s="3">
        <f>IF(INDEX(学年度总表!$G$3:$G$1025,MATCH($E72,学年度总表!$E$3:$E$1025,0))="","",INDEX(学年度总表!$G$3:$G$1025,MATCH($E72,学年度总表!$E$3:$E$1025,0)))</f>
        <v>10.8</v>
      </c>
      <c r="H72" s="3">
        <f>IF(INDEX(学年度总表!$H$3:$H$1025,MATCH($E72,学年度总表!$E$3:$E$1025,0))="","",INDEX(学年度总表!$H$3:$H$1025,MATCH($E72,学年度总表!$E$3:$E$1025,0)))</f>
        <v>63.091836734693899</v>
      </c>
      <c r="I72" s="3">
        <f>IF(INDEX(学年度总表!$I$3:$I$1025,MATCH($E72,学年度总表!$E$3:$E$1025,0))="","",INDEX(学年度总表!$I$3:$I$1025,MATCH($E72,学年度总表!$E$3:$E$1025,0)))</f>
        <v>3</v>
      </c>
      <c r="J72" s="3">
        <f>IF(INDEX(学年度总表!$J$3:$J$1025,MATCH($E72,学年度总表!$E$3:$E$1025,0))="","",INDEX(学年度总表!$J$3:$J$1025,MATCH($E72,学年度总表!$E$3:$E$1025,0)))</f>
        <v>76.89</v>
      </c>
      <c r="K72" s="3">
        <f>IF(INDEX(学年度总表!$K$3:$K$1025,MATCH($E72,学年度总表!$E$3:$E$1025,0))="","",INDEX(学年度总表!$K$3:$K$1025,MATCH($E72,学年度总表!$E$3:$E$1025,0)))</f>
        <v>9.8000000000000007</v>
      </c>
      <c r="L72" s="3">
        <f>IF(INDEX(学年度总表!$L$3:$L$1025,MATCH($E72,学年度总表!$E$3:$E$1025,0))="","",INDEX(学年度总表!$L$3:$L$1025,MATCH($E72,学年度总表!$E$3:$E$1025,0)))</f>
        <v>62.52</v>
      </c>
      <c r="M72" s="3">
        <f>IF(INDEX(学年度总表!$M$3:$M$1025,MATCH($E72,学年度总表!$E$3:$E$1025,0))="","",INDEX(学年度总表!$M$3:$M$1025,MATCH($E72,学年度总表!$E$3:$E$1025,0)))</f>
        <v>4.0999999999999996</v>
      </c>
      <c r="N72" s="3">
        <f>IF(INDEX(学年度总表!$N$3:$N$1025,MATCH($E72,学年度总表!$E$3:$E$1025,0))="","",INDEX(学年度总表!$N$3:$N$1025,MATCH($E72,学年度总表!$E$3:$E$1025,0)))</f>
        <v>76.42</v>
      </c>
      <c r="O72" s="3">
        <f>IF(INDEX(学年度总表!$O$3:$O$1025,MATCH($E72,学年度总表!$E$3:$E$1025,0))="","",INDEX(学年度总表!$O$3:$O$1025,MATCH($E72,学年度总表!$E$3:$E$1025,0)))</f>
        <v>153.31</v>
      </c>
      <c r="P72" s="2" t="str">
        <f>IF(INDEX(学年度总表!$P$3:$P$1025,MATCH($E72,学年度总表!$E$3:$E$1025,0))="","",INDEX(学年度总表!$P$3:$P$1025,MATCH($E72,学年度总表!$E$3:$E$1025,0)))</f>
        <v/>
      </c>
      <c r="Q72" s="5" t="str">
        <f>IF(INDEX(学年度总表!$Q$3:$Q$1025,MATCH($E72,学年度总表!$E$3:$E$1025,0))="","",INDEX(学年度总表!$Q$3:$Q$1025,MATCH($E72,学年度总表!$E$3:$E$1025,0)))</f>
        <v/>
      </c>
    </row>
    <row r="73" spans="1:17">
      <c r="A73" s="2">
        <f>IF(INDEX(学年度总表!$A$3:$A$1025,MATCH($E73,学年度总表!$E$3:$E$1025,0))="","",INDEX(学年度总表!$A$3:$A$1025,MATCH($E73,学年度总表!$E$3:$E$1025,0)))</f>
        <v>184</v>
      </c>
      <c r="B73" s="2">
        <f>IF(INDEX(学年度总表!$B$3:$B$1025,MATCH($E73,学年度总表!$E$3:$E$1025,0))="","",INDEX(学年度总表!$B$3:$B$1025,MATCH($E73,学年度总表!$E$3:$E$1025,0)))</f>
        <v>71</v>
      </c>
      <c r="C73" s="2" t="str">
        <f>IF(INDEX(学年度总表!$C$3:$C$1025,MATCH($E73,学年度总表!$E$3:$E$1025,0))="","",INDEX(学年度总表!$C$3:$C$1025,MATCH($E73,学年度总表!$E$3:$E$1025,0)))</f>
        <v>软工</v>
      </c>
      <c r="D73" s="2" t="str">
        <f>IF(INDEX(学年度总表!$D$3:$D$1025,MATCH($E73,学年度总表!$E$3:$E$1025,0))="","",INDEX(学年度总表!$D$3:$D$1025,MATCH($E73,学年度总表!$E$3:$E$1025,0)))</f>
        <v>软工14班</v>
      </c>
      <c r="E73" s="2" t="s">
        <v>426</v>
      </c>
      <c r="F73" s="2" t="str">
        <f>IF(INDEX(学年度总表!$F$3:$F$1025,MATCH($E73,学年度总表!$E$3:$E$1025,0))="","",INDEX(学年度总表!$F$3:$F$1025,MATCH($E73,学年度总表!$E$3:$E$1025,0)))</f>
        <v>张一涵</v>
      </c>
      <c r="G73" s="3">
        <f>IF(INDEX(学年度总表!$G$3:$G$1025,MATCH($E73,学年度总表!$E$3:$E$1025,0))="","",INDEX(学年度总表!$G$3:$G$1025,MATCH($E73,学年度总表!$E$3:$E$1025,0)))</f>
        <v>10.3</v>
      </c>
      <c r="H73" s="3">
        <f>IF(INDEX(学年度总表!$H$3:$H$1025,MATCH($E73,学年度总表!$E$3:$E$1025,0))="","",INDEX(学年度总表!$H$3:$H$1025,MATCH($E73,学年度总表!$E$3:$E$1025,0)))</f>
        <v>64.98</v>
      </c>
      <c r="I73" s="3">
        <f>IF(INDEX(学年度总表!$I$3:$I$1025,MATCH($E73,学年度总表!$E$3:$E$1025,0))="","",INDEX(学年度总表!$I$3:$I$1025,MATCH($E73,学年度总表!$E$3:$E$1025,0)))</f>
        <v>4.7</v>
      </c>
      <c r="J73" s="3">
        <f>IF(INDEX(学年度总表!$J$3:$J$1025,MATCH($E73,学年度总表!$E$3:$E$1025,0))="","",INDEX(学年度总表!$J$3:$J$1025,MATCH($E73,学年度总表!$E$3:$E$1025,0)))</f>
        <v>79.98</v>
      </c>
      <c r="K73" s="3">
        <f>IF(INDEX(学年度总表!$K$3:$K$1025,MATCH($E73,学年度总表!$E$3:$E$1025,0))="","",INDEX(学年度总表!$K$3:$K$1025,MATCH($E73,学年度总表!$E$3:$E$1025,0)))</f>
        <v>9.8000000000000007</v>
      </c>
      <c r="L73" s="3">
        <f>IF(INDEX(学年度总表!$L$3:$L$1025,MATCH($E73,学年度总表!$E$3:$E$1025,0))="","",INDEX(学年度总表!$L$3:$L$1025,MATCH($E73,学年度总表!$E$3:$E$1025,0)))</f>
        <v>58.7</v>
      </c>
      <c r="M73" s="3">
        <f>IF(INDEX(学年度总表!$M$3:$M$1025,MATCH($E73,学年度总表!$E$3:$E$1025,0))="","",INDEX(学年度总表!$M$3:$M$1025,MATCH($E73,学年度总表!$E$3:$E$1025,0)))</f>
        <v>4.7</v>
      </c>
      <c r="N73" s="3">
        <f>IF(INDEX(学年度总表!$N$3:$N$1025,MATCH($E73,学年度总表!$E$3:$E$1025,0))="","",INDEX(学年度总表!$N$3:$N$1025,MATCH($E73,学年度总表!$E$3:$E$1025,0)))</f>
        <v>73.2</v>
      </c>
      <c r="O73" s="3">
        <f>IF(INDEX(学年度总表!$O$3:$O$1025,MATCH($E73,学年度总表!$E$3:$E$1025,0))="","",INDEX(学年度总表!$O$3:$O$1025,MATCH($E73,学年度总表!$E$3:$E$1025,0)))</f>
        <v>153.18</v>
      </c>
      <c r="P73" s="2" t="str">
        <f>IF(INDEX(学年度总表!$P$3:$P$1025,MATCH($E73,学年度总表!$E$3:$E$1025,0))="","",INDEX(学年度总表!$P$3:$P$1025,MATCH($E73,学年度总表!$E$3:$E$1025,0)))</f>
        <v/>
      </c>
      <c r="Q73" s="5" t="str">
        <f>IF(INDEX(学年度总表!$Q$3:$Q$1025,MATCH($E73,学年度总表!$E$3:$E$1025,0))="","",INDEX(学年度总表!$Q$3:$Q$1025,MATCH($E73,学年度总表!$E$3:$E$1025,0)))</f>
        <v/>
      </c>
    </row>
    <row r="74" spans="1:17">
      <c r="A74" s="2">
        <f>IF(INDEX(学年度总表!$A$3:$A$1025,MATCH($E74,学年度总表!$E$3:$E$1025,0))="","",INDEX(学年度总表!$A$3:$A$1025,MATCH($E74,学年度总表!$E$3:$E$1025,0)))</f>
        <v>185</v>
      </c>
      <c r="B74" s="2">
        <f>IF(INDEX(学年度总表!$B$3:$B$1025,MATCH($E74,学年度总表!$E$3:$E$1025,0))="","",INDEX(学年度总表!$B$3:$B$1025,MATCH($E74,学年度总表!$E$3:$E$1025,0)))</f>
        <v>72</v>
      </c>
      <c r="C74" s="2" t="str">
        <f>IF(INDEX(学年度总表!$C$3:$C$1025,MATCH($E74,学年度总表!$E$3:$E$1025,0))="","",INDEX(学年度总表!$C$3:$C$1025,MATCH($E74,学年度总表!$E$3:$E$1025,0)))</f>
        <v>软工</v>
      </c>
      <c r="D74" s="2" t="str">
        <f>IF(INDEX(学年度总表!$D$3:$D$1025,MATCH($E74,学年度总表!$E$3:$E$1025,0))="","",INDEX(学年度总表!$D$3:$D$1025,MATCH($E74,学年度总表!$E$3:$E$1025,0)))</f>
        <v>软工10班</v>
      </c>
      <c r="E74" s="2" t="s">
        <v>428</v>
      </c>
      <c r="F74" s="2" t="str">
        <f>IF(INDEX(学年度总表!$F$3:$F$1025,MATCH($E74,学年度总表!$E$3:$E$1025,0))="","",INDEX(学年度总表!$F$3:$F$1025,MATCH($E74,学年度总表!$E$3:$E$1025,0)))</f>
        <v>杨绮涵</v>
      </c>
      <c r="G74" s="3">
        <f>IF(INDEX(学年度总表!$G$3:$G$1025,MATCH($E74,学年度总表!$E$3:$E$1025,0))="","",INDEX(学年度总表!$G$3:$G$1025,MATCH($E74,学年度总表!$E$3:$E$1025,0)))</f>
        <v>9.8000000000000007</v>
      </c>
      <c r="H74" s="3">
        <f>IF(INDEX(学年度总表!$H$3:$H$1025,MATCH($E74,学年度总表!$E$3:$E$1025,0))="","",INDEX(学年度总表!$H$3:$H$1025,MATCH($E74,学年度总表!$E$3:$E$1025,0)))</f>
        <v>63.64</v>
      </c>
      <c r="I74" s="3">
        <f>IF(INDEX(学年度总表!$I$3:$I$1025,MATCH($E74,学年度总表!$E$3:$E$1025,0))="","",INDEX(学年度总表!$I$3:$I$1025,MATCH($E74,学年度总表!$E$3:$E$1025,0)))</f>
        <v>4.7</v>
      </c>
      <c r="J74" s="3">
        <f>IF(INDEX(学年度总表!$J$3:$J$1025,MATCH($E74,学年度总表!$E$3:$E$1025,0))="","",INDEX(学年度总表!$J$3:$J$1025,MATCH($E74,学年度总表!$E$3:$E$1025,0)))</f>
        <v>78.14</v>
      </c>
      <c r="K74" s="3">
        <f>IF(INDEX(学年度总表!$K$3:$K$1025,MATCH($E74,学年度总表!$E$3:$E$1025,0))="","",INDEX(学年度总表!$K$3:$K$1025,MATCH($E74,学年度总表!$E$3:$E$1025,0)))</f>
        <v>9.8000000000000007</v>
      </c>
      <c r="L74" s="3">
        <f>IF(INDEX(学年度总表!$L$3:$L$1025,MATCH($E74,学年度总表!$E$3:$E$1025,0))="","",INDEX(学年度总表!$L$3:$L$1025,MATCH($E74,学年度总表!$E$3:$E$1025,0)))</f>
        <v>59.53</v>
      </c>
      <c r="M74" s="3">
        <f>IF(INDEX(学年度总表!$M$3:$M$1025,MATCH($E74,学年度总表!$E$3:$E$1025,0))="","",INDEX(学年度总表!$M$3:$M$1025,MATCH($E74,学年度总表!$E$3:$E$1025,0)))</f>
        <v>5.7</v>
      </c>
      <c r="N74" s="3">
        <f>IF(INDEX(学年度总表!$N$3:$N$1025,MATCH($E74,学年度总表!$E$3:$E$1025,0))="","",INDEX(学年度总表!$N$3:$N$1025,MATCH($E74,学年度总表!$E$3:$E$1025,0)))</f>
        <v>75.03</v>
      </c>
      <c r="O74" s="3">
        <f>IF(INDEX(学年度总表!$O$3:$O$1025,MATCH($E74,学年度总表!$E$3:$E$1025,0))="","",INDEX(学年度总表!$O$3:$O$1025,MATCH($E74,学年度总表!$E$3:$E$1025,0)))</f>
        <v>153.16999999999999</v>
      </c>
      <c r="P74" s="2" t="str">
        <f>IF(INDEX(学年度总表!$P$3:$P$1025,MATCH($E74,学年度总表!$E$3:$E$1025,0))="","",INDEX(学年度总表!$P$3:$P$1025,MATCH($E74,学年度总表!$E$3:$E$1025,0)))</f>
        <v/>
      </c>
      <c r="Q74" s="5" t="str">
        <f>IF(INDEX(学年度总表!$Q$3:$Q$1025,MATCH($E74,学年度总表!$E$3:$E$1025,0))="","",INDEX(学年度总表!$Q$3:$Q$1025,MATCH($E74,学年度总表!$E$3:$E$1025,0)))</f>
        <v/>
      </c>
    </row>
    <row r="75" spans="1:17">
      <c r="A75" s="2">
        <f>IF(INDEX(学年度总表!$A$3:$A$1025,MATCH($E75,学年度总表!$E$3:$E$1025,0))="","",INDEX(学年度总表!$A$3:$A$1025,MATCH($E75,学年度总表!$E$3:$E$1025,0)))</f>
        <v>193</v>
      </c>
      <c r="B75" s="2">
        <f>IF(INDEX(学年度总表!$B$3:$B$1025,MATCH($E75,学年度总表!$E$3:$E$1025,0))="","",INDEX(学年度总表!$B$3:$B$1025,MATCH($E75,学年度总表!$E$3:$E$1025,0)))</f>
        <v>73</v>
      </c>
      <c r="C75" s="2" t="str">
        <f>IF(INDEX(学年度总表!$C$3:$C$1025,MATCH($E75,学年度总表!$E$3:$E$1025,0))="","",INDEX(学年度总表!$C$3:$C$1025,MATCH($E75,学年度总表!$E$3:$E$1025,0)))</f>
        <v>软工</v>
      </c>
      <c r="D75" s="2" t="str">
        <f>IF(INDEX(学年度总表!$D$3:$D$1025,MATCH($E75,学年度总表!$E$3:$E$1025,0))="","",INDEX(学年度总表!$D$3:$D$1025,MATCH($E75,学年度总表!$E$3:$E$1025,0)))</f>
        <v>软工5班</v>
      </c>
      <c r="E75" s="2" t="s">
        <v>445</v>
      </c>
      <c r="F75" s="2" t="str">
        <f>IF(INDEX(学年度总表!$F$3:$F$1025,MATCH($E75,学年度总表!$E$3:$E$1025,0))="","",INDEX(学年度总表!$F$3:$F$1025,MATCH($E75,学年度总表!$E$3:$E$1025,0)))</f>
        <v>韩昱泽</v>
      </c>
      <c r="G75" s="3">
        <f>IF(INDEX(学年度总表!$G$3:$G$1025,MATCH($E75,学年度总表!$E$3:$E$1025,0))="","",INDEX(学年度总表!$G$3:$G$1025,MATCH($E75,学年度总表!$E$3:$E$1025,0)))</f>
        <v>12</v>
      </c>
      <c r="H75" s="3">
        <f>IF(INDEX(学年度总表!$H$3:$H$1025,MATCH($E75,学年度总表!$E$3:$E$1025,0))="","",INDEX(学年度总表!$H$3:$H$1025,MATCH($E75,学年度总表!$E$3:$E$1025,0)))</f>
        <v>62.35</v>
      </c>
      <c r="I75" s="3">
        <f>IF(INDEX(学年度总表!$I$3:$I$1025,MATCH($E75,学年度总表!$E$3:$E$1025,0))="","",INDEX(学年度总表!$I$3:$I$1025,MATCH($E75,学年度总表!$E$3:$E$1025,0)))</f>
        <v>5.2</v>
      </c>
      <c r="J75" s="3">
        <f>IF(INDEX(学年度总表!$J$3:$J$1025,MATCH($E75,学年度总表!$E$3:$E$1025,0))="","",INDEX(学年度总表!$J$3:$J$1025,MATCH($E75,学年度总表!$E$3:$E$1025,0)))</f>
        <v>79.55</v>
      </c>
      <c r="K75" s="3">
        <f>IF(INDEX(学年度总表!$K$3:$K$1025,MATCH($E75,学年度总表!$E$3:$E$1025,0))="","",INDEX(学年度总表!$K$3:$K$1025,MATCH($E75,学年度总表!$E$3:$E$1025,0)))</f>
        <v>9.8000000000000007</v>
      </c>
      <c r="L75" s="3">
        <f>IF(INDEX(学年度总表!$L$3:$L$1025,MATCH($E75,学年度总表!$E$3:$E$1025,0))="","",INDEX(学年度总表!$L$3:$L$1025,MATCH($E75,学年度总表!$E$3:$E$1025,0)))</f>
        <v>56.6</v>
      </c>
      <c r="M75" s="3">
        <f>IF(INDEX(学年度总表!$M$3:$M$1025,MATCH($E75,学年度总表!$E$3:$E$1025,0))="","",INDEX(学年度总表!$M$3:$M$1025,MATCH($E75,学年度总表!$E$3:$E$1025,0)))</f>
        <v>6.6</v>
      </c>
      <c r="N75" s="3">
        <f>IF(INDEX(学年度总表!$N$3:$N$1025,MATCH($E75,学年度总表!$E$3:$E$1025,0))="","",INDEX(学年度总表!$N$3:$N$1025,MATCH($E75,学年度总表!$E$3:$E$1025,0)))</f>
        <v>73</v>
      </c>
      <c r="O75" s="3">
        <f>IF(INDEX(学年度总表!$O$3:$O$1025,MATCH($E75,学年度总表!$E$3:$E$1025,0))="","",INDEX(学年度总表!$O$3:$O$1025,MATCH($E75,学年度总表!$E$3:$E$1025,0)))</f>
        <v>152.55000000000001</v>
      </c>
      <c r="P75" s="2" t="str">
        <f>IF(INDEX(学年度总表!$P$3:$P$1025,MATCH($E75,学年度总表!$E$3:$E$1025,0))="","",INDEX(学年度总表!$P$3:$P$1025,MATCH($E75,学年度总表!$E$3:$E$1025,0)))</f>
        <v/>
      </c>
      <c r="Q75" s="5" t="str">
        <f>IF(INDEX(学年度总表!$Q$3:$Q$1025,MATCH($E75,学年度总表!$E$3:$E$1025,0))="","",INDEX(学年度总表!$Q$3:$Q$1025,MATCH($E75,学年度总表!$E$3:$E$1025,0)))</f>
        <v/>
      </c>
    </row>
    <row r="76" spans="1:17">
      <c r="A76" s="2">
        <f>IF(INDEX(学年度总表!$A$3:$A$1025,MATCH($E76,学年度总表!$E$3:$E$1025,0))="","",INDEX(学年度总表!$A$3:$A$1025,MATCH($E76,学年度总表!$E$3:$E$1025,0)))</f>
        <v>194</v>
      </c>
      <c r="B76" s="2">
        <f>IF(INDEX(学年度总表!$B$3:$B$1025,MATCH($E76,学年度总表!$E$3:$E$1025,0))="","",INDEX(学年度总表!$B$3:$B$1025,MATCH($E76,学年度总表!$E$3:$E$1025,0)))</f>
        <v>74</v>
      </c>
      <c r="C76" s="2" t="str">
        <f>IF(INDEX(学年度总表!$C$3:$C$1025,MATCH($E76,学年度总表!$E$3:$E$1025,0))="","",INDEX(学年度总表!$C$3:$C$1025,MATCH($E76,学年度总表!$E$3:$E$1025,0)))</f>
        <v>软工</v>
      </c>
      <c r="D76" s="2" t="str">
        <f>IF(INDEX(学年度总表!$D$3:$D$1025,MATCH($E76,学年度总表!$E$3:$E$1025,0))="","",INDEX(学年度总表!$D$3:$D$1025,MATCH($E76,学年度总表!$E$3:$E$1025,0)))</f>
        <v>软工6班</v>
      </c>
      <c r="E76" s="2" t="s">
        <v>447</v>
      </c>
      <c r="F76" s="2" t="str">
        <f>IF(INDEX(学年度总表!$F$3:$F$1025,MATCH($E76,学年度总表!$E$3:$E$1025,0))="","",INDEX(学年度总表!$F$3:$F$1025,MATCH($E76,学年度总表!$E$3:$E$1025,0)))</f>
        <v>吴朕博</v>
      </c>
      <c r="G76" s="3">
        <f>IF(INDEX(学年度总表!$G$3:$G$1025,MATCH($E76,学年度总表!$E$3:$E$1025,0))="","",INDEX(学年度总表!$G$3:$G$1025,MATCH($E76,学年度总表!$E$3:$E$1025,0)))</f>
        <v>11.6</v>
      </c>
      <c r="H76" s="3">
        <f>IF(INDEX(学年度总表!$H$3:$H$1025,MATCH($E76,学年度总表!$E$3:$E$1025,0))="","",INDEX(学年度总表!$H$3:$H$1025,MATCH($E76,学年度总表!$E$3:$E$1025,0)))</f>
        <v>57.816326530612201</v>
      </c>
      <c r="I76" s="3">
        <f>IF(INDEX(学年度总表!$I$3:$I$1025,MATCH($E76,学年度总表!$E$3:$E$1025,0))="","",INDEX(学年度总表!$I$3:$I$1025,MATCH($E76,学年度总表!$E$3:$E$1025,0)))</f>
        <v>5.9</v>
      </c>
      <c r="J76" s="3">
        <f>IF(INDEX(学年度总表!$J$3:$J$1025,MATCH($E76,学年度总表!$E$3:$E$1025,0))="","",INDEX(学年度总表!$J$3:$J$1025,MATCH($E76,学年度总表!$E$3:$E$1025,0)))</f>
        <v>75.319999999999993</v>
      </c>
      <c r="K76" s="3">
        <f>IF(INDEX(学年度总表!$K$3:$K$1025,MATCH($E76,学年度总表!$E$3:$E$1025,0))="","",INDEX(学年度总表!$K$3:$K$1025,MATCH($E76,学年度总表!$E$3:$E$1025,0)))</f>
        <v>9.8000000000000007</v>
      </c>
      <c r="L76" s="3">
        <f>IF(INDEX(学年度总表!$L$3:$L$1025,MATCH($E76,学年度总表!$E$3:$E$1025,0))="","",INDEX(学年度总表!$L$3:$L$1025,MATCH($E76,学年度总表!$E$3:$E$1025,0)))</f>
        <v>60.35</v>
      </c>
      <c r="M76" s="3">
        <f>IF(INDEX(学年度总表!$M$3:$M$1025,MATCH($E76,学年度总表!$E$3:$E$1025,0))="","",INDEX(学年度总表!$M$3:$M$1025,MATCH($E76,学年度总表!$E$3:$E$1025,0)))</f>
        <v>7</v>
      </c>
      <c r="N76" s="3">
        <f>IF(INDEX(学年度总表!$N$3:$N$1025,MATCH($E76,学年度总表!$E$3:$E$1025,0))="","",INDEX(学年度总表!$N$3:$N$1025,MATCH($E76,学年度总表!$E$3:$E$1025,0)))</f>
        <v>77.150000000000006</v>
      </c>
      <c r="O76" s="3">
        <f>IF(INDEX(学年度总表!$O$3:$O$1025,MATCH($E76,学年度总表!$E$3:$E$1025,0))="","",INDEX(学年度总表!$O$3:$O$1025,MATCH($E76,学年度总表!$E$3:$E$1025,0)))</f>
        <v>152.47</v>
      </c>
      <c r="P76" s="2" t="str">
        <f>IF(INDEX(学年度总表!$P$3:$P$1025,MATCH($E76,学年度总表!$E$3:$E$1025,0))="","",INDEX(学年度总表!$P$3:$P$1025,MATCH($E76,学年度总表!$E$3:$E$1025,0)))</f>
        <v/>
      </c>
      <c r="Q76" s="5" t="str">
        <f>IF(INDEX(学年度总表!$Q$3:$Q$1025,MATCH($E76,学年度总表!$E$3:$E$1025,0))="","",INDEX(学年度总表!$Q$3:$Q$1025,MATCH($E76,学年度总表!$E$3:$E$1025,0)))</f>
        <v/>
      </c>
    </row>
    <row r="77" spans="1:17">
      <c r="A77" s="2">
        <f>IF(INDEX(学年度总表!$A$3:$A$1025,MATCH($E77,学年度总表!$E$3:$E$1025,0))="","",INDEX(学年度总表!$A$3:$A$1025,MATCH($E77,学年度总表!$E$3:$E$1025,0)))</f>
        <v>197</v>
      </c>
      <c r="B77" s="2">
        <f>IF(INDEX(学年度总表!$B$3:$B$1025,MATCH($E77,学年度总表!$E$3:$E$1025,0))="","",INDEX(学年度总表!$B$3:$B$1025,MATCH($E77,学年度总表!$E$3:$E$1025,0)))</f>
        <v>75</v>
      </c>
      <c r="C77" s="2" t="str">
        <f>IF(INDEX(学年度总表!$C$3:$C$1025,MATCH($E77,学年度总表!$E$3:$E$1025,0))="","",INDEX(学年度总表!$C$3:$C$1025,MATCH($E77,学年度总表!$E$3:$E$1025,0)))</f>
        <v>软工</v>
      </c>
      <c r="D77" s="2" t="str">
        <f>IF(INDEX(学年度总表!$D$3:$D$1025,MATCH($E77,学年度总表!$E$3:$E$1025,0))="","",INDEX(学年度总表!$D$3:$D$1025,MATCH($E77,学年度总表!$E$3:$E$1025,0)))</f>
        <v>软工14班</v>
      </c>
      <c r="E77" s="2" t="s">
        <v>453</v>
      </c>
      <c r="F77" s="2" t="str">
        <f>IF(INDEX(学年度总表!$F$3:$F$1025,MATCH($E77,学年度总表!$E$3:$E$1025,0))="","",INDEX(学年度总表!$F$3:$F$1025,MATCH($E77,学年度总表!$E$3:$E$1025,0)))</f>
        <v>尹俊仪</v>
      </c>
      <c r="G77" s="3">
        <f>IF(INDEX(学年度总表!$G$3:$G$1025,MATCH($E77,学年度总表!$E$3:$E$1025,0))="","",INDEX(学年度总表!$G$3:$G$1025,MATCH($E77,学年度总表!$E$3:$E$1025,0)))</f>
        <v>10</v>
      </c>
      <c r="H77" s="3">
        <f>IF(INDEX(学年度总表!$H$3:$H$1025,MATCH($E77,学年度总表!$E$3:$E$1025,0))="","",INDEX(学年度总表!$H$3:$H$1025,MATCH($E77,学年度总表!$E$3:$E$1025,0)))</f>
        <v>63.05</v>
      </c>
      <c r="I77" s="3">
        <f>IF(INDEX(学年度总表!$I$3:$I$1025,MATCH($E77,学年度总表!$E$3:$E$1025,0))="","",INDEX(学年度总表!$I$3:$I$1025,MATCH($E77,学年度总表!$E$3:$E$1025,0)))</f>
        <v>3.2</v>
      </c>
      <c r="J77" s="3">
        <f>IF(INDEX(学年度总表!$J$3:$J$1025,MATCH($E77,学年度总表!$E$3:$E$1025,0))="","",INDEX(学年度总表!$J$3:$J$1025,MATCH($E77,学年度总表!$E$3:$E$1025,0)))</f>
        <v>76.25</v>
      </c>
      <c r="K77" s="3">
        <f>IF(INDEX(学年度总表!$K$3:$K$1025,MATCH($E77,学年度总表!$E$3:$E$1025,0))="","",INDEX(学年度总表!$K$3:$K$1025,MATCH($E77,学年度总表!$E$3:$E$1025,0)))</f>
        <v>10</v>
      </c>
      <c r="L77" s="3">
        <f>IF(INDEX(学年度总表!$L$3:$L$1025,MATCH($E77,学年度总表!$E$3:$E$1025,0))="","",INDEX(学年度总表!$L$3:$L$1025,MATCH($E77,学年度总表!$E$3:$E$1025,0)))</f>
        <v>62.48</v>
      </c>
      <c r="M77" s="3">
        <f>IF(INDEX(学年度总表!$M$3:$M$1025,MATCH($E77,学年度总表!$E$3:$E$1025,0))="","",INDEX(学年度总表!$M$3:$M$1025,MATCH($E77,学年度总表!$E$3:$E$1025,0)))</f>
        <v>3.5</v>
      </c>
      <c r="N77" s="3">
        <f>IF(INDEX(学年度总表!$N$3:$N$1025,MATCH($E77,学年度总表!$E$3:$E$1025,0))="","",INDEX(学年度总表!$N$3:$N$1025,MATCH($E77,学年度总表!$E$3:$E$1025,0)))</f>
        <v>75.98</v>
      </c>
      <c r="O77" s="3">
        <f>IF(INDEX(学年度总表!$O$3:$O$1025,MATCH($E77,学年度总表!$E$3:$E$1025,0))="","",INDEX(学年度总表!$O$3:$O$1025,MATCH($E77,学年度总表!$E$3:$E$1025,0)))</f>
        <v>152.22999999999999</v>
      </c>
      <c r="P77" s="2" t="str">
        <f>IF(INDEX(学年度总表!$P$3:$P$1025,MATCH($E77,学年度总表!$E$3:$E$1025,0))="","",INDEX(学年度总表!$P$3:$P$1025,MATCH($E77,学年度总表!$E$3:$E$1025,0)))</f>
        <v/>
      </c>
      <c r="Q77" s="5" t="str">
        <f>IF(INDEX(学年度总表!$Q$3:$Q$1025,MATCH($E77,学年度总表!$E$3:$E$1025,0))="","",INDEX(学年度总表!$Q$3:$Q$1025,MATCH($E77,学年度总表!$E$3:$E$1025,0)))</f>
        <v/>
      </c>
    </row>
    <row r="78" spans="1:17">
      <c r="A78" s="2">
        <f>IF(INDEX(学年度总表!$A$3:$A$1025,MATCH($E78,学年度总表!$E$3:$E$1025,0))="","",INDEX(学年度总表!$A$3:$A$1025,MATCH($E78,学年度总表!$E$3:$E$1025,0)))</f>
        <v>199</v>
      </c>
      <c r="B78" s="2">
        <f>IF(INDEX(学年度总表!$B$3:$B$1025,MATCH($E78,学年度总表!$E$3:$E$1025,0))="","",INDEX(学年度总表!$B$3:$B$1025,MATCH($E78,学年度总表!$E$3:$E$1025,0)))</f>
        <v>76</v>
      </c>
      <c r="C78" s="2" t="str">
        <f>IF(INDEX(学年度总表!$C$3:$C$1025,MATCH($E78,学年度总表!$E$3:$E$1025,0))="","",INDEX(学年度总表!$C$3:$C$1025,MATCH($E78,学年度总表!$E$3:$E$1025,0)))</f>
        <v>软工</v>
      </c>
      <c r="D78" s="2" t="str">
        <f>IF(INDEX(学年度总表!$D$3:$D$1025,MATCH($E78,学年度总表!$E$3:$E$1025,0))="","",INDEX(学年度总表!$D$3:$D$1025,MATCH($E78,学年度总表!$E$3:$E$1025,0)))</f>
        <v>软工5班</v>
      </c>
      <c r="E78" s="2" t="s">
        <v>457</v>
      </c>
      <c r="F78" s="2" t="str">
        <f>IF(INDEX(学年度总表!$F$3:$F$1025,MATCH($E78,学年度总表!$E$3:$E$1025,0))="","",INDEX(学年度总表!$F$3:$F$1025,MATCH($E78,学年度总表!$E$3:$E$1025,0)))</f>
        <v>潘永琦</v>
      </c>
      <c r="G78" s="3">
        <f>IF(INDEX(学年度总表!$G$3:$G$1025,MATCH($E78,学年度总表!$E$3:$E$1025,0))="","",INDEX(学年度总表!$G$3:$G$1025,MATCH($E78,学年度总表!$E$3:$E$1025,0)))</f>
        <v>9.8000000000000007</v>
      </c>
      <c r="H78" s="3">
        <f>IF(INDEX(学年度总表!$H$3:$H$1025,MATCH($E78,学年度总表!$E$3:$E$1025,0))="","",INDEX(学年度总表!$H$3:$H$1025,MATCH($E78,学年度总表!$E$3:$E$1025,0)))</f>
        <v>59.47</v>
      </c>
      <c r="I78" s="3">
        <f>IF(INDEX(学年度总表!$I$3:$I$1025,MATCH($E78,学年度总表!$E$3:$E$1025,0))="","",INDEX(学年度总表!$I$3:$I$1025,MATCH($E78,学年度总表!$E$3:$E$1025,0)))</f>
        <v>3.85</v>
      </c>
      <c r="J78" s="3">
        <f>IF(INDEX(学年度总表!$J$3:$J$1025,MATCH($E78,学年度总表!$E$3:$E$1025,0))="","",INDEX(学年度总表!$J$3:$J$1025,MATCH($E78,学年度总表!$E$3:$E$1025,0)))</f>
        <v>73.12</v>
      </c>
      <c r="K78" s="3">
        <f>IF(INDEX(学年度总表!$K$3:$K$1025,MATCH($E78,学年度总表!$E$3:$E$1025,0))="","",INDEX(学年度总表!$K$3:$K$1025,MATCH($E78,学年度总表!$E$3:$E$1025,0)))</f>
        <v>11.3</v>
      </c>
      <c r="L78" s="3">
        <f>IF(INDEX(学年度总表!$L$3:$L$1025,MATCH($E78,学年度总表!$E$3:$E$1025,0))="","",INDEX(学年度总表!$L$3:$L$1025,MATCH($E78,学年度总表!$E$3:$E$1025,0)))</f>
        <v>61.82</v>
      </c>
      <c r="M78" s="3">
        <f>IF(INDEX(学年度总表!$M$3:$M$1025,MATCH($E78,学年度总表!$E$3:$E$1025,0))="","",INDEX(学年度总表!$M$3:$M$1025,MATCH($E78,学年度总表!$E$3:$E$1025,0)))</f>
        <v>5.8</v>
      </c>
      <c r="N78" s="3">
        <f>IF(INDEX(学年度总表!$N$3:$N$1025,MATCH($E78,学年度总表!$E$3:$E$1025,0))="","",INDEX(学年度总表!$N$3:$N$1025,MATCH($E78,学年度总表!$E$3:$E$1025,0)))</f>
        <v>78.92</v>
      </c>
      <c r="O78" s="3">
        <f>IF(INDEX(学年度总表!$O$3:$O$1025,MATCH($E78,学年度总表!$E$3:$E$1025,0))="","",INDEX(学年度总表!$O$3:$O$1025,MATCH($E78,学年度总表!$E$3:$E$1025,0)))</f>
        <v>152.04</v>
      </c>
      <c r="P78" s="2" t="str">
        <f>IF(INDEX(学年度总表!$P$3:$P$1025,MATCH($E78,学年度总表!$E$3:$E$1025,0))="","",INDEX(学年度总表!$P$3:$P$1025,MATCH($E78,学年度总表!$E$3:$E$1025,0)))</f>
        <v/>
      </c>
      <c r="Q78" s="5" t="str">
        <f>IF(INDEX(学年度总表!$Q$3:$Q$1025,MATCH($E78,学年度总表!$E$3:$E$1025,0))="","",INDEX(学年度总表!$Q$3:$Q$1025,MATCH($E78,学年度总表!$E$3:$E$1025,0)))</f>
        <v/>
      </c>
    </row>
    <row r="79" spans="1:17">
      <c r="A79" s="2">
        <f>IF(INDEX(学年度总表!$A$3:$A$1025,MATCH($E79,学年度总表!$E$3:$E$1025,0))="","",INDEX(学年度总表!$A$3:$A$1025,MATCH($E79,学年度总表!$E$3:$E$1025,0)))</f>
        <v>201</v>
      </c>
      <c r="B79" s="2">
        <f>IF(INDEX(学年度总表!$B$3:$B$1025,MATCH($E79,学年度总表!$E$3:$E$1025,0))="","",INDEX(学年度总表!$B$3:$B$1025,MATCH($E79,学年度总表!$E$3:$E$1025,0)))</f>
        <v>77</v>
      </c>
      <c r="C79" s="2" t="str">
        <f>IF(INDEX(学年度总表!$C$3:$C$1025,MATCH($E79,学年度总表!$E$3:$E$1025,0))="","",INDEX(学年度总表!$C$3:$C$1025,MATCH($E79,学年度总表!$E$3:$E$1025,0)))</f>
        <v>软工</v>
      </c>
      <c r="D79" s="2" t="str">
        <f>IF(INDEX(学年度总表!$D$3:$D$1025,MATCH($E79,学年度总表!$E$3:$E$1025,0))="","",INDEX(学年度总表!$D$3:$D$1025,MATCH($E79,学年度总表!$E$3:$E$1025,0)))</f>
        <v>软工6班</v>
      </c>
      <c r="E79" s="2" t="s">
        <v>461</v>
      </c>
      <c r="F79" s="2" t="str">
        <f>IF(INDEX(学年度总表!$F$3:$F$1025,MATCH($E79,学年度总表!$E$3:$E$1025,0))="","",INDEX(学年度总表!$F$3:$F$1025,MATCH($E79,学年度总表!$E$3:$E$1025,0)))</f>
        <v>张皓然</v>
      </c>
      <c r="G79" s="3">
        <f>IF(INDEX(学年度总表!$G$3:$G$1025,MATCH($E79,学年度总表!$E$3:$E$1025,0))="","",INDEX(学年度总表!$G$3:$G$1025,MATCH($E79,学年度总表!$E$3:$E$1025,0)))</f>
        <v>10</v>
      </c>
      <c r="H79" s="3">
        <f>IF(INDEX(学年度总表!$H$3:$H$1025,MATCH($E79,学年度总表!$E$3:$E$1025,0))="","",INDEX(学年度总表!$H$3:$H$1025,MATCH($E79,学年度总表!$E$3:$E$1025,0)))</f>
        <v>59.051020408163303</v>
      </c>
      <c r="I79" s="3">
        <f>IF(INDEX(学年度总表!$I$3:$I$1025,MATCH($E79,学年度总表!$E$3:$E$1025,0))="","",INDEX(学年度总表!$I$3:$I$1025,MATCH($E79,学年度总表!$E$3:$E$1025,0)))</f>
        <v>4.8</v>
      </c>
      <c r="J79" s="3">
        <f>IF(INDEX(学年度总表!$J$3:$J$1025,MATCH($E79,学年度总表!$E$3:$E$1025,0))="","",INDEX(学年度总表!$J$3:$J$1025,MATCH($E79,学年度总表!$E$3:$E$1025,0)))</f>
        <v>73.849999999999994</v>
      </c>
      <c r="K79" s="3">
        <f>IF(INDEX(学年度总表!$K$3:$K$1025,MATCH($E79,学年度总表!$E$3:$E$1025,0))="","",INDEX(学年度总表!$K$3:$K$1025,MATCH($E79,学年度总表!$E$3:$E$1025,0)))</f>
        <v>9.8000000000000007</v>
      </c>
      <c r="L79" s="3">
        <f>IF(INDEX(学年度总表!$L$3:$L$1025,MATCH($E79,学年度总表!$E$3:$E$1025,0))="","",INDEX(学年度总表!$L$3:$L$1025,MATCH($E79,学年度总表!$E$3:$E$1025,0)))</f>
        <v>60.7</v>
      </c>
      <c r="M79" s="3">
        <f>IF(INDEX(学年度总表!$M$3:$M$1025,MATCH($E79,学年度总表!$E$3:$E$1025,0))="","",INDEX(学年度总表!$M$3:$M$1025,MATCH($E79,学年度总表!$E$3:$E$1025,0)))</f>
        <v>7.65</v>
      </c>
      <c r="N79" s="3">
        <f>IF(INDEX(学年度总表!$N$3:$N$1025,MATCH($E79,学年度总表!$E$3:$E$1025,0))="","",INDEX(学年度总表!$N$3:$N$1025,MATCH($E79,学年度总表!$E$3:$E$1025,0)))</f>
        <v>78.150000000000006</v>
      </c>
      <c r="O79" s="3">
        <f>IF(INDEX(学年度总表!$O$3:$O$1025,MATCH($E79,学年度总表!$E$3:$E$1025,0))="","",INDEX(学年度总表!$O$3:$O$1025,MATCH($E79,学年度总表!$E$3:$E$1025,0)))</f>
        <v>152</v>
      </c>
      <c r="P79" s="2" t="str">
        <f>IF(INDEX(学年度总表!$P$3:$P$1025,MATCH($E79,学年度总表!$E$3:$E$1025,0))="","",INDEX(学年度总表!$P$3:$P$1025,MATCH($E79,学年度总表!$E$3:$E$1025,0)))</f>
        <v/>
      </c>
      <c r="Q79" s="5" t="str">
        <f>IF(INDEX(学年度总表!$Q$3:$Q$1025,MATCH($E79,学年度总表!$E$3:$E$1025,0))="","",INDEX(学年度总表!$Q$3:$Q$1025,MATCH($E79,学年度总表!$E$3:$E$1025,0)))</f>
        <v/>
      </c>
    </row>
    <row r="80" spans="1:17">
      <c r="A80" s="2">
        <f>IF(INDEX(学年度总表!$A$3:$A$1025,MATCH($E80,学年度总表!$E$3:$E$1025,0))="","",INDEX(学年度总表!$A$3:$A$1025,MATCH($E80,学年度总表!$E$3:$E$1025,0)))</f>
        <v>204</v>
      </c>
      <c r="B80" s="2">
        <f>IF(INDEX(学年度总表!$B$3:$B$1025,MATCH($E80,学年度总表!$E$3:$E$1025,0))="","",INDEX(学年度总表!$B$3:$B$1025,MATCH($E80,学年度总表!$E$3:$E$1025,0)))</f>
        <v>78</v>
      </c>
      <c r="C80" s="2" t="str">
        <f>IF(INDEX(学年度总表!$C$3:$C$1025,MATCH($E80,学年度总表!$E$3:$E$1025,0))="","",INDEX(学年度总表!$C$3:$C$1025,MATCH($E80,学年度总表!$E$3:$E$1025,0)))</f>
        <v>软工</v>
      </c>
      <c r="D80" s="2" t="str">
        <f>IF(INDEX(学年度总表!$D$3:$D$1025,MATCH($E80,学年度总表!$E$3:$E$1025,0))="","",INDEX(学年度总表!$D$3:$D$1025,MATCH($E80,学年度总表!$E$3:$E$1025,0)))</f>
        <v>软工13班</v>
      </c>
      <c r="E80" s="2" t="s">
        <v>467</v>
      </c>
      <c r="F80" s="2" t="str">
        <f>IF(INDEX(学年度总表!$F$3:$F$1025,MATCH($E80,学年度总表!$E$3:$E$1025,0))="","",INDEX(学年度总表!$F$3:$F$1025,MATCH($E80,学年度总表!$E$3:$E$1025,0)))</f>
        <v>滕奕晗</v>
      </c>
      <c r="G80" s="3">
        <f>IF(INDEX(学年度总表!$G$3:$G$1025,MATCH($E80,学年度总表!$E$3:$E$1025,0))="","",INDEX(学年度总表!$G$3:$G$1025,MATCH($E80,学年度总表!$E$3:$E$1025,0)))</f>
        <v>9.8000000000000007</v>
      </c>
      <c r="H80" s="3">
        <f>IF(INDEX(学年度总表!$H$3:$H$1025,MATCH($E80,学年度总表!$E$3:$E$1025,0))="","",INDEX(学年度总表!$H$3:$H$1025,MATCH($E80,学年度总表!$E$3:$E$1025,0)))</f>
        <v>64.650000000000006</v>
      </c>
      <c r="I80" s="3">
        <f>IF(INDEX(学年度总表!$I$3:$I$1025,MATCH($E80,学年度总表!$E$3:$E$1025,0))="","",INDEX(学年度总表!$I$3:$I$1025,MATCH($E80,学年度总表!$E$3:$E$1025,0)))</f>
        <v>4</v>
      </c>
      <c r="J80" s="3">
        <f>IF(INDEX(学年度总表!$J$3:$J$1025,MATCH($E80,学年度总表!$E$3:$E$1025,0))="","",INDEX(学年度总表!$J$3:$J$1025,MATCH($E80,学年度总表!$E$3:$E$1025,0)))</f>
        <v>78.45</v>
      </c>
      <c r="K80" s="3">
        <f>IF(INDEX(学年度总表!$K$3:$K$1025,MATCH($E80,学年度总表!$E$3:$E$1025,0))="","",INDEX(学年度总表!$K$3:$K$1025,MATCH($E80,学年度总表!$E$3:$E$1025,0)))</f>
        <v>9.8000000000000007</v>
      </c>
      <c r="L80" s="3">
        <f>IF(INDEX(学年度总表!$L$3:$L$1025,MATCH($E80,学年度总表!$E$3:$E$1025,0))="","",INDEX(学年度总表!$L$3:$L$1025,MATCH($E80,学年度总表!$E$3:$E$1025,0)))</f>
        <v>59.09</v>
      </c>
      <c r="M80" s="3">
        <f>IF(INDEX(学年度总表!$M$3:$M$1025,MATCH($E80,学年度总表!$E$3:$E$1025,0))="","",INDEX(学年度总表!$M$3:$M$1025,MATCH($E80,学年度总表!$E$3:$E$1025,0)))</f>
        <v>4.5</v>
      </c>
      <c r="N80" s="3">
        <f>IF(INDEX(学年度总表!$N$3:$N$1025,MATCH($E80,学年度总表!$E$3:$E$1025,0))="","",INDEX(学年度总表!$N$3:$N$1025,MATCH($E80,学年度总表!$E$3:$E$1025,0)))</f>
        <v>73.39</v>
      </c>
      <c r="O80" s="3">
        <f>IF(INDEX(学年度总表!$O$3:$O$1025,MATCH($E80,学年度总表!$E$3:$E$1025,0))="","",INDEX(学年度总表!$O$3:$O$1025,MATCH($E80,学年度总表!$E$3:$E$1025,0)))</f>
        <v>151.84</v>
      </c>
      <c r="P80" s="2" t="str">
        <f>IF(INDEX(学年度总表!$P$3:$P$1025,MATCH($E80,学年度总表!$E$3:$E$1025,0))="","",INDEX(学年度总表!$P$3:$P$1025,MATCH($E80,学年度总表!$E$3:$E$1025,0)))</f>
        <v/>
      </c>
      <c r="Q80" s="5" t="str">
        <f>IF(INDEX(学年度总表!$Q$3:$Q$1025,MATCH($E80,学年度总表!$E$3:$E$1025,0))="","",INDEX(学年度总表!$Q$3:$Q$1025,MATCH($E80,学年度总表!$E$3:$E$1025,0)))</f>
        <v/>
      </c>
    </row>
    <row r="81" spans="1:17">
      <c r="A81" s="2">
        <f>IF(INDEX(学年度总表!$A$3:$A$1025,MATCH($E81,学年度总表!$E$3:$E$1025,0))="","",INDEX(学年度总表!$A$3:$A$1025,MATCH($E81,学年度总表!$E$3:$E$1025,0)))</f>
        <v>205</v>
      </c>
      <c r="B81" s="2">
        <f>IF(INDEX(学年度总表!$B$3:$B$1025,MATCH($E81,学年度总表!$E$3:$E$1025,0))="","",INDEX(学年度总表!$B$3:$B$1025,MATCH($E81,学年度总表!$E$3:$E$1025,0)))</f>
        <v>79</v>
      </c>
      <c r="C81" s="2" t="str">
        <f>IF(INDEX(学年度总表!$C$3:$C$1025,MATCH($E81,学年度总表!$E$3:$E$1025,0))="","",INDEX(学年度总表!$C$3:$C$1025,MATCH($E81,学年度总表!$E$3:$E$1025,0)))</f>
        <v>软工</v>
      </c>
      <c r="D81" s="2" t="str">
        <f>IF(INDEX(学年度总表!$D$3:$D$1025,MATCH($E81,学年度总表!$E$3:$E$1025,0))="","",INDEX(学年度总表!$D$3:$D$1025,MATCH($E81,学年度总表!$E$3:$E$1025,0)))</f>
        <v>软工12班</v>
      </c>
      <c r="E81" s="2" t="s">
        <v>469</v>
      </c>
      <c r="F81" s="2" t="str">
        <f>IF(INDEX(学年度总表!$F$3:$F$1025,MATCH($E81,学年度总表!$E$3:$E$1025,0))="","",INDEX(学年度总表!$F$3:$F$1025,MATCH($E81,学年度总表!$E$3:$E$1025,0)))</f>
        <v>齐若辰</v>
      </c>
      <c r="G81" s="3">
        <f>IF(INDEX(学年度总表!$G$3:$G$1025,MATCH($E81,学年度总表!$E$3:$E$1025,0))="","",INDEX(学年度总表!$G$3:$G$1025,MATCH($E81,学年度总表!$E$3:$E$1025,0)))</f>
        <v>9.8000000000000007</v>
      </c>
      <c r="H81" s="3">
        <f>IF(INDEX(学年度总表!$H$3:$H$1025,MATCH($E81,学年度总表!$E$3:$E$1025,0))="","",INDEX(学年度总表!$H$3:$H$1025,MATCH($E81,学年度总表!$E$3:$E$1025,0)))</f>
        <v>61.81</v>
      </c>
      <c r="I81" s="3">
        <f>IF(INDEX(学年度总表!$I$3:$I$1025,MATCH($E81,学年度总表!$E$3:$E$1025,0))="","",INDEX(学年度总表!$I$3:$I$1025,MATCH($E81,学年度总表!$E$3:$E$1025,0)))</f>
        <v>3</v>
      </c>
      <c r="J81" s="3">
        <f>IF(INDEX(学年度总表!$J$3:$J$1025,MATCH($E81,学年度总表!$E$3:$E$1025,0))="","",INDEX(学年度总表!$J$3:$J$1025,MATCH($E81,学年度总表!$E$3:$E$1025,0)))</f>
        <v>74.61</v>
      </c>
      <c r="K81" s="3">
        <f>IF(INDEX(学年度总表!$K$3:$K$1025,MATCH($E81,学年度总表!$E$3:$E$1025,0))="","",INDEX(学年度总表!$K$3:$K$1025,MATCH($E81,学年度总表!$E$3:$E$1025,0)))</f>
        <v>11.3</v>
      </c>
      <c r="L81" s="3">
        <f>IF(INDEX(学年度总表!$L$3:$L$1025,MATCH($E81,学年度总表!$E$3:$E$1025,0))="","",INDEX(学年度总表!$L$3:$L$1025,MATCH($E81,学年度总表!$E$3:$E$1025,0)))</f>
        <v>62.41</v>
      </c>
      <c r="M81" s="3">
        <f>IF(INDEX(学年度总表!$M$3:$M$1025,MATCH($E81,学年度总表!$E$3:$E$1025,0))="","",INDEX(学年度总表!$M$3:$M$1025,MATCH($E81,学年度总表!$E$3:$E$1025,0)))</f>
        <v>3.5</v>
      </c>
      <c r="N81" s="3">
        <f>IF(INDEX(学年度总表!$N$3:$N$1025,MATCH($E81,学年度总表!$E$3:$E$1025,0))="","",INDEX(学年度总表!$N$3:$N$1025,MATCH($E81,学年度总表!$E$3:$E$1025,0)))</f>
        <v>77.209999999999994</v>
      </c>
      <c r="O81" s="3">
        <f>IF(INDEX(学年度总表!$O$3:$O$1025,MATCH($E81,学年度总表!$E$3:$E$1025,0))="","",INDEX(学年度总表!$O$3:$O$1025,MATCH($E81,学年度总表!$E$3:$E$1025,0)))</f>
        <v>151.82</v>
      </c>
      <c r="P81" s="2" t="str">
        <f>IF(INDEX(学年度总表!$P$3:$P$1025,MATCH($E81,学年度总表!$E$3:$E$1025,0))="","",INDEX(学年度总表!$P$3:$P$1025,MATCH($E81,学年度总表!$E$3:$E$1025,0)))</f>
        <v/>
      </c>
      <c r="Q81" s="5" t="str">
        <f>IF(INDEX(学年度总表!$Q$3:$Q$1025,MATCH($E81,学年度总表!$E$3:$E$1025,0))="","",INDEX(学年度总表!$Q$3:$Q$1025,MATCH($E81,学年度总表!$E$3:$E$1025,0)))</f>
        <v/>
      </c>
    </row>
    <row r="82" spans="1:17">
      <c r="A82" s="2">
        <f>IF(INDEX(学年度总表!$A$3:$A$1025,MATCH($E82,学年度总表!$E$3:$E$1025,0))="","",INDEX(学年度总表!$A$3:$A$1025,MATCH($E82,学年度总表!$E$3:$E$1025,0)))</f>
        <v>207</v>
      </c>
      <c r="B82" s="2">
        <f>IF(INDEX(学年度总表!$B$3:$B$1025,MATCH($E82,学年度总表!$E$3:$E$1025,0))="","",INDEX(学年度总表!$B$3:$B$1025,MATCH($E82,学年度总表!$E$3:$E$1025,0)))</f>
        <v>80</v>
      </c>
      <c r="C82" s="2" t="str">
        <f>IF(INDEX(学年度总表!$C$3:$C$1025,MATCH($E82,学年度总表!$E$3:$E$1025,0))="","",INDEX(学年度总表!$C$3:$C$1025,MATCH($E82,学年度总表!$E$3:$E$1025,0)))</f>
        <v>软工</v>
      </c>
      <c r="D82" s="2" t="str">
        <f>IF(INDEX(学年度总表!$D$3:$D$1025,MATCH($E82,学年度总表!$E$3:$E$1025,0))="","",INDEX(学年度总表!$D$3:$D$1025,MATCH($E82,学年度总表!$E$3:$E$1025,0)))</f>
        <v>软工9班</v>
      </c>
      <c r="E82" s="2" t="s">
        <v>473</v>
      </c>
      <c r="F82" s="2" t="str">
        <f>IF(INDEX(学年度总表!$F$3:$F$1025,MATCH($E82,学年度总表!$E$3:$E$1025,0))="","",INDEX(学年度总表!$F$3:$F$1025,MATCH($E82,学年度总表!$E$3:$E$1025,0)))</f>
        <v>尚家亿</v>
      </c>
      <c r="G82" s="3">
        <f>IF(INDEX(学年度总表!$G$3:$G$1025,MATCH($E82,学年度总表!$E$3:$E$1025,0))="","",INDEX(学年度总表!$G$3:$G$1025,MATCH($E82,学年度总表!$E$3:$E$1025,0)))</f>
        <v>10.8</v>
      </c>
      <c r="H82" s="3">
        <f>IF(INDEX(学年度总表!$H$3:$H$1025,MATCH($E82,学年度总表!$E$3:$E$1025,0))="","",INDEX(学年度总表!$H$3:$H$1025,MATCH($E82,学年度总表!$E$3:$E$1025,0)))</f>
        <v>64.744897959183703</v>
      </c>
      <c r="I82" s="3">
        <f>IF(INDEX(学年度总表!$I$3:$I$1025,MATCH($E82,学年度总表!$E$3:$E$1025,0))="","",INDEX(学年度总表!$I$3:$I$1025,MATCH($E82,学年度总表!$E$3:$E$1025,0)))</f>
        <v>3</v>
      </c>
      <c r="J82" s="3">
        <f>IF(INDEX(学年度总表!$J$3:$J$1025,MATCH($E82,学年度总表!$E$3:$E$1025,0))="","",INDEX(学年度总表!$J$3:$J$1025,MATCH($E82,学年度总表!$E$3:$E$1025,0)))</f>
        <v>78.540000000000006</v>
      </c>
      <c r="K82" s="3">
        <f>IF(INDEX(学年度总表!$K$3:$K$1025,MATCH($E82,学年度总表!$E$3:$E$1025,0))="","",INDEX(学年度总表!$K$3:$K$1025,MATCH($E82,学年度总表!$E$3:$E$1025,0)))</f>
        <v>9.8000000000000007</v>
      </c>
      <c r="L82" s="3">
        <f>IF(INDEX(学年度总表!$L$3:$L$1025,MATCH($E82,学年度总表!$E$3:$E$1025,0))="","",INDEX(学年度总表!$L$3:$L$1025,MATCH($E82,学年度总表!$E$3:$E$1025,0)))</f>
        <v>59.58</v>
      </c>
      <c r="M82" s="3">
        <f>IF(INDEX(学年度总表!$M$3:$M$1025,MATCH($E82,学年度总表!$E$3:$E$1025,0))="","",INDEX(学年度总表!$M$3:$M$1025,MATCH($E82,学年度总表!$E$3:$E$1025,0)))</f>
        <v>3.7</v>
      </c>
      <c r="N82" s="3">
        <f>IF(INDEX(学年度总表!$N$3:$N$1025,MATCH($E82,学年度总表!$E$3:$E$1025,0))="","",INDEX(学年度总表!$N$3:$N$1025,MATCH($E82,学年度总表!$E$3:$E$1025,0)))</f>
        <v>73.08</v>
      </c>
      <c r="O82" s="3">
        <f>IF(INDEX(学年度总表!$O$3:$O$1025,MATCH($E82,学年度总表!$E$3:$E$1025,0))="","",INDEX(学年度总表!$O$3:$O$1025,MATCH($E82,学年度总表!$E$3:$E$1025,0)))</f>
        <v>151.62</v>
      </c>
      <c r="P82" s="2" t="str">
        <f>IF(INDEX(学年度总表!$P$3:$P$1025,MATCH($E82,学年度总表!$E$3:$E$1025,0))="","",INDEX(学年度总表!$P$3:$P$1025,MATCH($E82,学年度总表!$E$3:$E$1025,0)))</f>
        <v/>
      </c>
      <c r="Q82" s="5" t="str">
        <f>IF(INDEX(学年度总表!$Q$3:$Q$1025,MATCH($E82,学年度总表!$E$3:$E$1025,0))="","",INDEX(学年度总表!$Q$3:$Q$1025,MATCH($E82,学年度总表!$E$3:$E$1025,0)))</f>
        <v/>
      </c>
    </row>
    <row r="83" spans="1:17">
      <c r="A83" s="2">
        <f>IF(INDEX(学年度总表!$A$3:$A$1025,MATCH($E83,学年度总表!$E$3:$E$1025,0))="","",INDEX(学年度总表!$A$3:$A$1025,MATCH($E83,学年度总表!$E$3:$E$1025,0)))</f>
        <v>209</v>
      </c>
      <c r="B83" s="2">
        <f>IF(INDEX(学年度总表!$B$3:$B$1025,MATCH($E83,学年度总表!$E$3:$E$1025,0))="","",INDEX(学年度总表!$B$3:$B$1025,MATCH($E83,学年度总表!$E$3:$E$1025,0)))</f>
        <v>81</v>
      </c>
      <c r="C83" s="2" t="str">
        <f>IF(INDEX(学年度总表!$C$3:$C$1025,MATCH($E83,学年度总表!$E$3:$E$1025,0))="","",INDEX(学年度总表!$C$3:$C$1025,MATCH($E83,学年度总表!$E$3:$E$1025,0)))</f>
        <v>软工</v>
      </c>
      <c r="D83" s="2" t="str">
        <f>IF(INDEX(学年度总表!$D$3:$D$1025,MATCH($E83,学年度总表!$E$3:$E$1025,0))="","",INDEX(学年度总表!$D$3:$D$1025,MATCH($E83,学年度总表!$E$3:$E$1025,0)))</f>
        <v>软工11班</v>
      </c>
      <c r="E83" s="2" t="s">
        <v>477</v>
      </c>
      <c r="F83" s="2" t="str">
        <f>IF(INDEX(学年度总表!$F$3:$F$1025,MATCH($E83,学年度总表!$E$3:$E$1025,0))="","",INDEX(学年度总表!$F$3:$F$1025,MATCH($E83,学年度总表!$E$3:$E$1025,0)))</f>
        <v>王颖</v>
      </c>
      <c r="G83" s="3">
        <f>IF(INDEX(学年度总表!$G$3:$G$1025,MATCH($E83,学年度总表!$E$3:$E$1025,0))="","",INDEX(学年度总表!$G$3:$G$1025,MATCH($E83,学年度总表!$E$3:$E$1025,0)))</f>
        <v>9.8000000000000007</v>
      </c>
      <c r="H83" s="3">
        <f>IF(INDEX(学年度总表!$H$3:$H$1025,MATCH($E83,学年度总表!$E$3:$E$1025,0))="","",INDEX(学年度总表!$H$3:$H$1025,MATCH($E83,学年度总表!$E$3:$E$1025,0)))</f>
        <v>63.34</v>
      </c>
      <c r="I83" s="3">
        <f>IF(INDEX(学年度总表!$I$3:$I$1025,MATCH($E83,学年度总表!$E$3:$E$1025,0))="","",INDEX(学年度总表!$I$3:$I$1025,MATCH($E83,学年度总表!$E$3:$E$1025,0)))</f>
        <v>3</v>
      </c>
      <c r="J83" s="3">
        <f>IF(INDEX(学年度总表!$J$3:$J$1025,MATCH($E83,学年度总表!$E$3:$E$1025,0))="","",INDEX(学年度总表!$J$3:$J$1025,MATCH($E83,学年度总表!$E$3:$E$1025,0)))</f>
        <v>76.14</v>
      </c>
      <c r="K83" s="3">
        <f>IF(INDEX(学年度总表!$K$3:$K$1025,MATCH($E83,学年度总表!$E$3:$E$1025,0))="","",INDEX(学年度总表!$K$3:$K$1025,MATCH($E83,学年度总表!$E$3:$E$1025,0)))</f>
        <v>9.8000000000000007</v>
      </c>
      <c r="L83" s="3">
        <f>IF(INDEX(学年度总表!$L$3:$L$1025,MATCH($E83,学年度总表!$E$3:$E$1025,0))="","",INDEX(学年度总表!$L$3:$L$1025,MATCH($E83,学年度总表!$E$3:$E$1025,0)))</f>
        <v>62.49</v>
      </c>
      <c r="M83" s="3">
        <f>IF(INDEX(学年度总表!$M$3:$M$1025,MATCH($E83,学年度总表!$E$3:$E$1025,0))="","",INDEX(学年度总表!$M$3:$M$1025,MATCH($E83,学年度总表!$E$3:$E$1025,0)))</f>
        <v>3</v>
      </c>
      <c r="N83" s="3">
        <f>IF(INDEX(学年度总表!$N$3:$N$1025,MATCH($E83,学年度总表!$E$3:$E$1025,0))="","",INDEX(学年度总表!$N$3:$N$1025,MATCH($E83,学年度总表!$E$3:$E$1025,0)))</f>
        <v>75.290000000000006</v>
      </c>
      <c r="O83" s="3">
        <f>IF(INDEX(学年度总表!$O$3:$O$1025,MATCH($E83,学年度总表!$E$3:$E$1025,0))="","",INDEX(学年度总表!$O$3:$O$1025,MATCH($E83,学年度总表!$E$3:$E$1025,0)))</f>
        <v>151.43</v>
      </c>
      <c r="P83" s="2" t="str">
        <f>IF(INDEX(学年度总表!$P$3:$P$1025,MATCH($E83,学年度总表!$E$3:$E$1025,0))="","",INDEX(学年度总表!$P$3:$P$1025,MATCH($E83,学年度总表!$E$3:$E$1025,0)))</f>
        <v/>
      </c>
      <c r="Q83" s="5" t="str">
        <f>IF(INDEX(学年度总表!$Q$3:$Q$1025,MATCH($E83,学年度总表!$E$3:$E$1025,0))="","",INDEX(学年度总表!$Q$3:$Q$1025,MATCH($E83,学年度总表!$E$3:$E$1025,0)))</f>
        <v/>
      </c>
    </row>
    <row r="84" spans="1:17">
      <c r="A84" s="2">
        <f>IF(INDEX(学年度总表!$A$3:$A$1025,MATCH($E84,学年度总表!$E$3:$E$1025,0))="","",INDEX(学年度总表!$A$3:$A$1025,MATCH($E84,学年度总表!$E$3:$E$1025,0)))</f>
        <v>210</v>
      </c>
      <c r="B84" s="2">
        <f>IF(INDEX(学年度总表!$B$3:$B$1025,MATCH($E84,学年度总表!$E$3:$E$1025,0))="","",INDEX(学年度总表!$B$3:$B$1025,MATCH($E84,学年度总表!$E$3:$E$1025,0)))</f>
        <v>82</v>
      </c>
      <c r="C84" s="2" t="str">
        <f>IF(INDEX(学年度总表!$C$3:$C$1025,MATCH($E84,学年度总表!$E$3:$E$1025,0))="","",INDEX(学年度总表!$C$3:$C$1025,MATCH($E84,学年度总表!$E$3:$E$1025,0)))</f>
        <v>软工</v>
      </c>
      <c r="D84" s="2" t="str">
        <f>IF(INDEX(学年度总表!$D$3:$D$1025,MATCH($E84,学年度总表!$E$3:$E$1025,0))="","",INDEX(学年度总表!$D$3:$D$1025,MATCH($E84,学年度总表!$E$3:$E$1025,0)))</f>
        <v>软工9班</v>
      </c>
      <c r="E84" s="2" t="s">
        <v>479</v>
      </c>
      <c r="F84" s="2" t="str">
        <f>IF(INDEX(学年度总表!$F$3:$F$1025,MATCH($E84,学年度总表!$E$3:$E$1025,0))="","",INDEX(学年度总表!$F$3:$F$1025,MATCH($E84,学年度总表!$E$3:$E$1025,0)))</f>
        <v>韩幸哲</v>
      </c>
      <c r="G84" s="3">
        <f>IF(INDEX(学年度总表!$G$3:$G$1025,MATCH($E84,学年度总表!$E$3:$E$1025,0))="","",INDEX(学年度总表!$G$3:$G$1025,MATCH($E84,学年度总表!$E$3:$E$1025,0)))</f>
        <v>9.8000000000000007</v>
      </c>
      <c r="H84" s="3">
        <f>IF(INDEX(学年度总表!$H$3:$H$1025,MATCH($E84,学年度总表!$E$3:$E$1025,0))="","",INDEX(学年度总表!$H$3:$H$1025,MATCH($E84,学年度总表!$E$3:$E$1025,0)))</f>
        <v>65.989795918367307</v>
      </c>
      <c r="I84" s="3">
        <f>IF(INDEX(学年度总表!$I$3:$I$1025,MATCH($E84,学年度总表!$E$3:$E$1025,0))="","",INDEX(学年度总表!$I$3:$I$1025,MATCH($E84,学年度总表!$E$3:$E$1025,0)))</f>
        <v>3.6</v>
      </c>
      <c r="J84" s="3">
        <f>IF(INDEX(学年度总表!$J$3:$J$1025,MATCH($E84,学年度总表!$E$3:$E$1025,0))="","",INDEX(学年度总表!$J$3:$J$1025,MATCH($E84,学年度总表!$E$3:$E$1025,0)))</f>
        <v>79.39</v>
      </c>
      <c r="K84" s="3">
        <f>IF(INDEX(学年度总表!$K$3:$K$1025,MATCH($E84,学年度总表!$E$3:$E$1025,0))="","",INDEX(学年度总表!$K$3:$K$1025,MATCH($E84,学年度总表!$E$3:$E$1025,0)))</f>
        <v>9.8000000000000007</v>
      </c>
      <c r="L84" s="3">
        <f>IF(INDEX(学年度总表!$L$3:$L$1025,MATCH($E84,学年度总表!$E$3:$E$1025,0))="","",INDEX(学年度总表!$L$3:$L$1025,MATCH($E84,学年度总表!$E$3:$E$1025,0)))</f>
        <v>58.31</v>
      </c>
      <c r="M84" s="3">
        <f>IF(INDEX(学年度总表!$M$3:$M$1025,MATCH($E84,学年度总表!$E$3:$E$1025,0))="","",INDEX(学年度总表!$M$3:$M$1025,MATCH($E84,学年度总表!$E$3:$E$1025,0)))</f>
        <v>3.9</v>
      </c>
      <c r="N84" s="3">
        <f>IF(INDEX(学年度总表!$N$3:$N$1025,MATCH($E84,学年度总表!$E$3:$E$1025,0))="","",INDEX(学年度总表!$N$3:$N$1025,MATCH($E84,学年度总表!$E$3:$E$1025,0)))</f>
        <v>72.010000000000005</v>
      </c>
      <c r="O84" s="3">
        <f>IF(INDEX(学年度总表!$O$3:$O$1025,MATCH($E84,学年度总表!$E$3:$E$1025,0))="","",INDEX(学年度总表!$O$3:$O$1025,MATCH($E84,学年度总表!$E$3:$E$1025,0)))</f>
        <v>151.4</v>
      </c>
      <c r="P84" s="2" t="str">
        <f>IF(INDEX(学年度总表!$P$3:$P$1025,MATCH($E84,学年度总表!$E$3:$E$1025,0))="","",INDEX(学年度总表!$P$3:$P$1025,MATCH($E84,学年度总表!$E$3:$E$1025,0)))</f>
        <v/>
      </c>
      <c r="Q84" s="5" t="str">
        <f>IF(INDEX(学年度总表!$Q$3:$Q$1025,MATCH($E84,学年度总表!$E$3:$E$1025,0))="","",INDEX(学年度总表!$Q$3:$Q$1025,MATCH($E84,学年度总表!$E$3:$E$1025,0)))</f>
        <v/>
      </c>
    </row>
    <row r="85" spans="1:17">
      <c r="A85" s="2">
        <f>IF(INDEX(学年度总表!$A$3:$A$1025,MATCH($E85,学年度总表!$E$3:$E$1025,0))="","",INDEX(学年度总表!$A$3:$A$1025,MATCH($E85,学年度总表!$E$3:$E$1025,0)))</f>
        <v>219</v>
      </c>
      <c r="B85" s="2">
        <f>IF(INDEX(学年度总表!$B$3:$B$1025,MATCH($E85,学年度总表!$E$3:$E$1025,0))="","",INDEX(学年度总表!$B$3:$B$1025,MATCH($E85,学年度总表!$E$3:$E$1025,0)))</f>
        <v>83</v>
      </c>
      <c r="C85" s="2" t="str">
        <f>IF(INDEX(学年度总表!$C$3:$C$1025,MATCH($E85,学年度总表!$E$3:$E$1025,0))="","",INDEX(学年度总表!$C$3:$C$1025,MATCH($E85,学年度总表!$E$3:$E$1025,0)))</f>
        <v>软工</v>
      </c>
      <c r="D85" s="2" t="str">
        <f>IF(INDEX(学年度总表!$D$3:$D$1025,MATCH($E85,学年度总表!$E$3:$E$1025,0))="","",INDEX(学年度总表!$D$3:$D$1025,MATCH($E85,学年度总表!$E$3:$E$1025,0)))</f>
        <v>软工9班</v>
      </c>
      <c r="E85" s="2" t="s">
        <v>497</v>
      </c>
      <c r="F85" s="2" t="str">
        <f>IF(INDEX(学年度总表!$F$3:$F$1025,MATCH($E85,学年度总表!$E$3:$E$1025,0))="","",INDEX(学年度总表!$F$3:$F$1025,MATCH($E85,学年度总表!$E$3:$E$1025,0)))</f>
        <v>李思阳</v>
      </c>
      <c r="G85" s="3">
        <f>IF(INDEX(学年度总表!$G$3:$G$1025,MATCH($E85,学年度总表!$E$3:$E$1025,0))="","",INDEX(学年度总表!$G$3:$G$1025,MATCH($E85,学年度总表!$E$3:$E$1025,0)))</f>
        <v>10.8</v>
      </c>
      <c r="H85" s="3">
        <f>IF(INDEX(学年度总表!$H$3:$H$1025,MATCH($E85,学年度总表!$E$3:$E$1025,0))="","",INDEX(学年度总表!$H$3:$H$1025,MATCH($E85,学年度总表!$E$3:$E$1025,0)))</f>
        <v>57.8867924528302</v>
      </c>
      <c r="I85" s="3">
        <f>IF(INDEX(学年度总表!$I$3:$I$1025,MATCH($E85,学年度总表!$E$3:$E$1025,0))="","",INDEX(学年度总表!$I$3:$I$1025,MATCH($E85,学年度总表!$E$3:$E$1025,0)))</f>
        <v>5.9</v>
      </c>
      <c r="J85" s="3">
        <f>IF(INDEX(学年度总表!$J$3:$J$1025,MATCH($E85,学年度总表!$E$3:$E$1025,0))="","",INDEX(学年度总表!$J$3:$J$1025,MATCH($E85,学年度总表!$E$3:$E$1025,0)))</f>
        <v>74.59</v>
      </c>
      <c r="K85" s="3">
        <f>IF(INDEX(学年度总表!$K$3:$K$1025,MATCH($E85,学年度总表!$E$3:$E$1025,0))="","",INDEX(学年度总表!$K$3:$K$1025,MATCH($E85,学年度总表!$E$3:$E$1025,0)))</f>
        <v>10.8</v>
      </c>
      <c r="L85" s="3">
        <f>IF(INDEX(学年度总表!$L$3:$L$1025,MATCH($E85,学年度总表!$E$3:$E$1025,0))="","",INDEX(学年度总表!$L$3:$L$1025,MATCH($E85,学年度总表!$E$3:$E$1025,0)))</f>
        <v>59.82</v>
      </c>
      <c r="M85" s="3">
        <f>IF(INDEX(学年度总表!$M$3:$M$1025,MATCH($E85,学年度总表!$E$3:$E$1025,0))="","",INDEX(学年度总表!$M$3:$M$1025,MATCH($E85,学年度总表!$E$3:$E$1025,0)))</f>
        <v>5.8</v>
      </c>
      <c r="N85" s="3">
        <f>IF(INDEX(学年度总表!$N$3:$N$1025,MATCH($E85,学年度总表!$E$3:$E$1025,0))="","",INDEX(学年度总表!$N$3:$N$1025,MATCH($E85,学年度总表!$E$3:$E$1025,0)))</f>
        <v>76.42</v>
      </c>
      <c r="O85" s="3">
        <f>IF(INDEX(学年度总表!$O$3:$O$1025,MATCH($E85,学年度总表!$E$3:$E$1025,0))="","",INDEX(学年度总表!$O$3:$O$1025,MATCH($E85,学年度总表!$E$3:$E$1025,0)))</f>
        <v>151.01</v>
      </c>
      <c r="P85" s="2" t="str">
        <f>IF(INDEX(学年度总表!$P$3:$P$1025,MATCH($E85,学年度总表!$E$3:$E$1025,0))="","",INDEX(学年度总表!$P$3:$P$1025,MATCH($E85,学年度总表!$E$3:$E$1025,0)))</f>
        <v/>
      </c>
      <c r="Q85" s="5" t="str">
        <f>IF(INDEX(学年度总表!$Q$3:$Q$1025,MATCH($E85,学年度总表!$E$3:$E$1025,0))="","",INDEX(学年度总表!$Q$3:$Q$1025,MATCH($E85,学年度总表!$E$3:$E$1025,0)))</f>
        <v/>
      </c>
    </row>
    <row r="86" spans="1:17">
      <c r="A86" s="2">
        <f>IF(INDEX(学年度总表!$A$3:$A$1025,MATCH($E86,学年度总表!$E$3:$E$1025,0))="","",INDEX(学年度总表!$A$3:$A$1025,MATCH($E86,学年度总表!$E$3:$E$1025,0)))</f>
        <v>221</v>
      </c>
      <c r="B86" s="2">
        <f>IF(INDEX(学年度总表!$B$3:$B$1025,MATCH($E86,学年度总表!$E$3:$E$1025,0))="","",INDEX(学年度总表!$B$3:$B$1025,MATCH($E86,学年度总表!$E$3:$E$1025,0)))</f>
        <v>84</v>
      </c>
      <c r="C86" s="2" t="str">
        <f>IF(INDEX(学年度总表!$C$3:$C$1025,MATCH($E86,学年度总表!$E$3:$E$1025,0))="","",INDEX(学年度总表!$C$3:$C$1025,MATCH($E86,学年度总表!$E$3:$E$1025,0)))</f>
        <v>软工</v>
      </c>
      <c r="D86" s="2" t="str">
        <f>IF(INDEX(学年度总表!$D$3:$D$1025,MATCH($E86,学年度总表!$E$3:$E$1025,0))="","",INDEX(学年度总表!$D$3:$D$1025,MATCH($E86,学年度总表!$E$3:$E$1025,0)))</f>
        <v>软工9班</v>
      </c>
      <c r="E86" s="2" t="s">
        <v>501</v>
      </c>
      <c r="F86" s="2" t="str">
        <f>IF(INDEX(学年度总表!$F$3:$F$1025,MATCH($E86,学年度总表!$E$3:$E$1025,0))="","",INDEX(学年度总表!$F$3:$F$1025,MATCH($E86,学年度总表!$E$3:$E$1025,0)))</f>
        <v>狄子君</v>
      </c>
      <c r="G86" s="3">
        <f>IF(INDEX(学年度总表!$G$3:$G$1025,MATCH($E86,学年度总表!$E$3:$E$1025,0))="","",INDEX(学年度总表!$G$3:$G$1025,MATCH($E86,学年度总表!$E$3:$E$1025,0)))</f>
        <v>10</v>
      </c>
      <c r="H86" s="3">
        <f>IF(INDEX(学年度总表!$H$3:$H$1025,MATCH($E86,学年度总表!$E$3:$E$1025,0))="","",INDEX(学年度总表!$H$3:$H$1025,MATCH($E86,学年度总表!$E$3:$E$1025,0)))</f>
        <v>60.6020408163265</v>
      </c>
      <c r="I86" s="3">
        <f>IF(INDEX(学年度总表!$I$3:$I$1025,MATCH($E86,学年度总表!$E$3:$E$1025,0))="","",INDEX(学年度总表!$I$3:$I$1025,MATCH($E86,学年度总表!$E$3:$E$1025,0)))</f>
        <v>4</v>
      </c>
      <c r="J86" s="3">
        <f>IF(INDEX(学年度总表!$J$3:$J$1025,MATCH($E86,学年度总表!$E$3:$E$1025,0))="","",INDEX(学年度总表!$J$3:$J$1025,MATCH($E86,学年度总表!$E$3:$E$1025,0)))</f>
        <v>74.599999999999994</v>
      </c>
      <c r="K86" s="3">
        <f>IF(INDEX(学年度总表!$K$3:$K$1025,MATCH($E86,学年度总表!$E$3:$E$1025,0))="","",INDEX(学年度总表!$K$3:$K$1025,MATCH($E86,学年度总表!$E$3:$E$1025,0)))</f>
        <v>11</v>
      </c>
      <c r="L86" s="3">
        <f>IF(INDEX(学年度总表!$L$3:$L$1025,MATCH($E86,学年度总表!$E$3:$E$1025,0))="","",INDEX(学年度总表!$L$3:$L$1025,MATCH($E86,学年度总表!$E$3:$E$1025,0)))</f>
        <v>60.12</v>
      </c>
      <c r="M86" s="3">
        <f>IF(INDEX(学年度总表!$M$3:$M$1025,MATCH($E86,学年度总表!$E$3:$E$1025,0))="","",INDEX(学年度总表!$M$3:$M$1025,MATCH($E86,学年度总表!$E$3:$E$1025,0)))</f>
        <v>5.2</v>
      </c>
      <c r="N86" s="3">
        <f>IF(INDEX(学年度总表!$N$3:$N$1025,MATCH($E86,学年度总表!$E$3:$E$1025,0))="","",INDEX(学年度总表!$N$3:$N$1025,MATCH($E86,学年度总表!$E$3:$E$1025,0)))</f>
        <v>76.319999999999993</v>
      </c>
      <c r="O86" s="3">
        <f>IF(INDEX(学年度总表!$O$3:$O$1025,MATCH($E86,学年度总表!$E$3:$E$1025,0))="","",INDEX(学年度总表!$O$3:$O$1025,MATCH($E86,学年度总表!$E$3:$E$1025,0)))</f>
        <v>150.91999999999999</v>
      </c>
      <c r="P86" s="2" t="str">
        <f>IF(INDEX(学年度总表!$P$3:$P$1025,MATCH($E86,学年度总表!$E$3:$E$1025,0))="","",INDEX(学年度总表!$P$3:$P$1025,MATCH($E86,学年度总表!$E$3:$E$1025,0)))</f>
        <v/>
      </c>
      <c r="Q86" s="5" t="str">
        <f>IF(INDEX(学年度总表!$Q$3:$Q$1025,MATCH($E86,学年度总表!$E$3:$E$1025,0))="","",INDEX(学年度总表!$Q$3:$Q$1025,MATCH($E86,学年度总表!$E$3:$E$1025,0)))</f>
        <v/>
      </c>
    </row>
    <row r="87" spans="1:17">
      <c r="A87" s="2">
        <f>IF(INDEX(学年度总表!$A$3:$A$1025,MATCH($E87,学年度总表!$E$3:$E$1025,0))="","",INDEX(学年度总表!$A$3:$A$1025,MATCH($E87,学年度总表!$E$3:$E$1025,0)))</f>
        <v>226</v>
      </c>
      <c r="B87" s="2">
        <f>IF(INDEX(学年度总表!$B$3:$B$1025,MATCH($E87,学年度总表!$E$3:$E$1025,0))="","",INDEX(学年度总表!$B$3:$B$1025,MATCH($E87,学年度总表!$E$3:$E$1025,0)))</f>
        <v>85</v>
      </c>
      <c r="C87" s="2" t="str">
        <f>IF(INDEX(学年度总表!$C$3:$C$1025,MATCH($E87,学年度总表!$E$3:$E$1025,0))="","",INDEX(学年度总表!$C$3:$C$1025,MATCH($E87,学年度总表!$E$3:$E$1025,0)))</f>
        <v>软工</v>
      </c>
      <c r="D87" s="2" t="str">
        <f>IF(INDEX(学年度总表!$D$3:$D$1025,MATCH($E87,学年度总表!$E$3:$E$1025,0))="","",INDEX(学年度总表!$D$3:$D$1025,MATCH($E87,学年度总表!$E$3:$E$1025,0)))</f>
        <v>软工8班</v>
      </c>
      <c r="E87" s="2" t="s">
        <v>511</v>
      </c>
      <c r="F87" s="2" t="str">
        <f>IF(INDEX(学年度总表!$F$3:$F$1025,MATCH($E87,学年度总表!$E$3:$E$1025,0))="","",INDEX(学年度总表!$F$3:$F$1025,MATCH($E87,学年度总表!$E$3:$E$1025,0)))</f>
        <v>高赫阳</v>
      </c>
      <c r="G87" s="3">
        <f>IF(INDEX(学年度总表!$G$3:$G$1025,MATCH($E87,学年度总表!$E$3:$E$1025,0))="","",INDEX(学年度总表!$G$3:$G$1025,MATCH($E87,学年度总表!$E$3:$E$1025,0)))</f>
        <v>9</v>
      </c>
      <c r="H87" s="3">
        <f>IF(INDEX(学年度总表!$H$3:$H$1025,MATCH($E87,学年度总表!$E$3:$E$1025,0))="","",INDEX(学年度总表!$H$3:$H$1025,MATCH($E87,学年度总表!$E$3:$E$1025,0)))</f>
        <v>66.478723404255305</v>
      </c>
      <c r="I87" s="3">
        <f>IF(INDEX(学年度总表!$I$3:$I$1025,MATCH($E87,学年度总表!$E$3:$E$1025,0))="","",INDEX(学年度总表!$I$3:$I$1025,MATCH($E87,学年度总表!$E$3:$E$1025,0)))</f>
        <v>3</v>
      </c>
      <c r="J87" s="3">
        <f>IF(INDEX(学年度总表!$J$3:$J$1025,MATCH($E87,学年度总表!$E$3:$E$1025,0))="","",INDEX(学年度总表!$J$3:$J$1025,MATCH($E87,学年度总表!$E$3:$E$1025,0)))</f>
        <v>78.48</v>
      </c>
      <c r="K87" s="3">
        <f>IF(INDEX(学年度总表!$K$3:$K$1025,MATCH($E87,学年度总表!$E$3:$E$1025,0))="","",INDEX(学年度总表!$K$3:$K$1025,MATCH($E87,学年度总表!$E$3:$E$1025,0)))</f>
        <v>7.3000000000000007</v>
      </c>
      <c r="L87" s="3">
        <f>IF(INDEX(学年度总表!$L$3:$L$1025,MATCH($E87,学年度总表!$E$3:$E$1025,0))="","",INDEX(学年度总表!$L$3:$L$1025,MATCH($E87,学年度总表!$E$3:$E$1025,0)))</f>
        <v>61.13</v>
      </c>
      <c r="M87" s="3">
        <f>IF(INDEX(学年度总表!$M$3:$M$1025,MATCH($E87,学年度总表!$E$3:$E$1025,0))="","",INDEX(学年度总表!$M$3:$M$1025,MATCH($E87,学年度总表!$E$3:$E$1025,0)))</f>
        <v>3.9</v>
      </c>
      <c r="N87" s="3">
        <f>IF(INDEX(学年度总表!$N$3:$N$1025,MATCH($E87,学年度总表!$E$3:$E$1025,0))="","",INDEX(学年度总表!$N$3:$N$1025,MATCH($E87,学年度总表!$E$3:$E$1025,0)))</f>
        <v>72.33</v>
      </c>
      <c r="O87" s="3">
        <f>IF(INDEX(学年度总表!$O$3:$O$1025,MATCH($E87,学年度总表!$E$3:$E$1025,0))="","",INDEX(学年度总表!$O$3:$O$1025,MATCH($E87,学年度总表!$E$3:$E$1025,0)))</f>
        <v>150.81</v>
      </c>
      <c r="P87" s="2" t="str">
        <f>IF(INDEX(学年度总表!$P$3:$P$1025,MATCH($E87,学年度总表!$E$3:$E$1025,0))="","",INDEX(学年度总表!$P$3:$P$1025,MATCH($E87,学年度总表!$E$3:$E$1025,0)))</f>
        <v/>
      </c>
      <c r="Q87" s="5" t="str">
        <f>IF(INDEX(学年度总表!$Q$3:$Q$1025,MATCH($E87,学年度总表!$E$3:$E$1025,0))="","",INDEX(学年度总表!$Q$3:$Q$1025,MATCH($E87,学年度总表!$E$3:$E$1025,0)))</f>
        <v/>
      </c>
    </row>
    <row r="88" spans="1:17">
      <c r="A88" s="2">
        <f>IF(INDEX(学年度总表!$A$3:$A$1025,MATCH($E88,学年度总表!$E$3:$E$1025,0))="","",INDEX(学年度总表!$A$3:$A$1025,MATCH($E88,学年度总表!$E$3:$E$1025,0)))</f>
        <v>228</v>
      </c>
      <c r="B88" s="2">
        <f>IF(INDEX(学年度总表!$B$3:$B$1025,MATCH($E88,学年度总表!$E$3:$E$1025,0))="","",INDEX(学年度总表!$B$3:$B$1025,MATCH($E88,学年度总表!$E$3:$E$1025,0)))</f>
        <v>86</v>
      </c>
      <c r="C88" s="2" t="str">
        <f>IF(INDEX(学年度总表!$C$3:$C$1025,MATCH($E88,学年度总表!$E$3:$E$1025,0))="","",INDEX(学年度总表!$C$3:$C$1025,MATCH($E88,学年度总表!$E$3:$E$1025,0)))</f>
        <v>软工</v>
      </c>
      <c r="D88" s="2" t="str">
        <f>IF(INDEX(学年度总表!$D$3:$D$1025,MATCH($E88,学年度总表!$E$3:$E$1025,0))="","",INDEX(学年度总表!$D$3:$D$1025,MATCH($E88,学年度总表!$E$3:$E$1025,0)))</f>
        <v>软工9班</v>
      </c>
      <c r="E88" s="2" t="s">
        <v>515</v>
      </c>
      <c r="F88" s="2" t="str">
        <f>IF(INDEX(学年度总表!$F$3:$F$1025,MATCH($E88,学年度总表!$E$3:$E$1025,0))="","",INDEX(学年度总表!$F$3:$F$1025,MATCH($E88,学年度总表!$E$3:$E$1025,0)))</f>
        <v>徐溢含</v>
      </c>
      <c r="G88" s="3">
        <f>IF(INDEX(学年度总表!$G$3:$G$1025,MATCH($E88,学年度总表!$E$3:$E$1025,0))="","",INDEX(学年度总表!$G$3:$G$1025,MATCH($E88,学年度总表!$E$3:$E$1025,0)))</f>
        <v>11.8</v>
      </c>
      <c r="H88" s="3">
        <f>IF(INDEX(学年度总表!$H$3:$H$1025,MATCH($E88,学年度总表!$E$3:$E$1025,0))="","",INDEX(学年度总表!$H$3:$H$1025,MATCH($E88,学年度总表!$E$3:$E$1025,0)))</f>
        <v>65.816326530612201</v>
      </c>
      <c r="I88" s="3">
        <f>IF(INDEX(学年度总表!$I$3:$I$1025,MATCH($E88,学年度总表!$E$3:$E$1025,0))="","",INDEX(学年度总表!$I$3:$I$1025,MATCH($E88,学年度总表!$E$3:$E$1025,0)))</f>
        <v>3</v>
      </c>
      <c r="J88" s="3">
        <f>IF(INDEX(学年度总表!$J$3:$J$1025,MATCH($E88,学年度总表!$E$3:$E$1025,0))="","",INDEX(学年度总表!$J$3:$J$1025,MATCH($E88,学年度总表!$E$3:$E$1025,0)))</f>
        <v>80.62</v>
      </c>
      <c r="K88" s="3">
        <f>IF(INDEX(学年度总表!$K$3:$K$1025,MATCH($E88,学年度总表!$E$3:$E$1025,0))="","",INDEX(学年度总表!$K$3:$K$1025,MATCH($E88,学年度总表!$E$3:$E$1025,0)))</f>
        <v>7.3000000000000007</v>
      </c>
      <c r="L88" s="3">
        <f>IF(INDEX(学年度总表!$L$3:$L$1025,MATCH($E88,学年度总表!$E$3:$E$1025,0))="","",INDEX(学年度总表!$L$3:$L$1025,MATCH($E88,学年度总表!$E$3:$E$1025,0)))</f>
        <v>59.29</v>
      </c>
      <c r="M88" s="3">
        <f>IF(INDEX(学年度总表!$M$3:$M$1025,MATCH($E88,学年度总表!$E$3:$E$1025,0))="","",INDEX(学年度总表!$M$3:$M$1025,MATCH($E88,学年度总表!$E$3:$E$1025,0)))</f>
        <v>3.5</v>
      </c>
      <c r="N88" s="3">
        <f>IF(INDEX(学年度总表!$N$3:$N$1025,MATCH($E88,学年度总表!$E$3:$E$1025,0))="","",INDEX(学年度总表!$N$3:$N$1025,MATCH($E88,学年度总表!$E$3:$E$1025,0)))</f>
        <v>70.09</v>
      </c>
      <c r="O88" s="3">
        <f>IF(INDEX(学年度总表!$O$3:$O$1025,MATCH($E88,学年度总表!$E$3:$E$1025,0))="","",INDEX(学年度总表!$O$3:$O$1025,MATCH($E88,学年度总表!$E$3:$E$1025,0)))</f>
        <v>150.71</v>
      </c>
      <c r="P88" s="2" t="str">
        <f>IF(INDEX(学年度总表!$P$3:$P$1025,MATCH($E88,学年度总表!$E$3:$E$1025,0))="","",INDEX(学年度总表!$P$3:$P$1025,MATCH($E88,学年度总表!$E$3:$E$1025,0)))</f>
        <v/>
      </c>
      <c r="Q88" s="5" t="str">
        <f>IF(INDEX(学年度总表!$Q$3:$Q$1025,MATCH($E88,学年度总表!$E$3:$E$1025,0))="","",INDEX(学年度总表!$Q$3:$Q$1025,MATCH($E88,学年度总表!$E$3:$E$1025,0)))</f>
        <v/>
      </c>
    </row>
    <row r="89" spans="1:17">
      <c r="A89" s="2">
        <f>IF(INDEX(学年度总表!$A$3:$A$1025,MATCH($E89,学年度总表!$E$3:$E$1025,0))="","",INDEX(学年度总表!$A$3:$A$1025,MATCH($E89,学年度总表!$E$3:$E$1025,0)))</f>
        <v>230</v>
      </c>
      <c r="B89" s="2">
        <f>IF(INDEX(学年度总表!$B$3:$B$1025,MATCH($E89,学年度总表!$E$3:$E$1025,0))="","",INDEX(学年度总表!$B$3:$B$1025,MATCH($E89,学年度总表!$E$3:$E$1025,0)))</f>
        <v>87</v>
      </c>
      <c r="C89" s="2" t="str">
        <f>IF(INDEX(学年度总表!$C$3:$C$1025,MATCH($E89,学年度总表!$E$3:$E$1025,0))="","",INDEX(学年度总表!$C$3:$C$1025,MATCH($E89,学年度总表!$E$3:$E$1025,0)))</f>
        <v>软工</v>
      </c>
      <c r="D89" s="2" t="str">
        <f>IF(INDEX(学年度总表!$D$3:$D$1025,MATCH($E89,学年度总表!$E$3:$E$1025,0))="","",INDEX(学年度总表!$D$3:$D$1025,MATCH($E89,学年度总表!$E$3:$E$1025,0)))</f>
        <v>软工12班</v>
      </c>
      <c r="E89" s="2" t="s">
        <v>519</v>
      </c>
      <c r="F89" s="2" t="str">
        <f>IF(INDEX(学年度总表!$F$3:$F$1025,MATCH($E89,学年度总表!$E$3:$E$1025,0))="","",INDEX(学年度总表!$F$3:$F$1025,MATCH($E89,学年度总表!$E$3:$E$1025,0)))</f>
        <v>董津阳</v>
      </c>
      <c r="G89" s="3">
        <f>IF(INDEX(学年度总表!$G$3:$G$1025,MATCH($E89,学年度总表!$E$3:$E$1025,0))="","",INDEX(学年度总表!$G$3:$G$1025,MATCH($E89,学年度总表!$E$3:$E$1025,0)))</f>
        <v>9.8000000000000007</v>
      </c>
      <c r="H89" s="3">
        <f>IF(INDEX(学年度总表!$H$3:$H$1025,MATCH($E89,学年度总表!$E$3:$E$1025,0))="","",INDEX(学年度总表!$H$3:$H$1025,MATCH($E89,学年度总表!$E$3:$E$1025,0)))</f>
        <v>63.2</v>
      </c>
      <c r="I89" s="3">
        <f>IF(INDEX(学年度总表!$I$3:$I$1025,MATCH($E89,学年度总表!$E$3:$E$1025,0))="","",INDEX(学年度总表!$I$3:$I$1025,MATCH($E89,学年度总表!$E$3:$E$1025,0)))</f>
        <v>3.2</v>
      </c>
      <c r="J89" s="3">
        <f>IF(INDEX(学年度总表!$J$3:$J$1025,MATCH($E89,学年度总表!$E$3:$E$1025,0))="","",INDEX(学年度总表!$J$3:$J$1025,MATCH($E89,学年度总表!$E$3:$E$1025,0)))</f>
        <v>76.2</v>
      </c>
      <c r="K89" s="3">
        <f>IF(INDEX(学年度总表!$K$3:$K$1025,MATCH($E89,学年度总表!$E$3:$E$1025,0))="","",INDEX(学年度总表!$K$3:$K$1025,MATCH($E89,学年度总表!$E$3:$E$1025,0)))</f>
        <v>9.8000000000000007</v>
      </c>
      <c r="L89" s="3">
        <f>IF(INDEX(学年度总表!$L$3:$L$1025,MATCH($E89,学年度总表!$E$3:$E$1025,0))="","",INDEX(学年度总表!$L$3:$L$1025,MATCH($E89,学年度总表!$E$3:$E$1025,0)))</f>
        <v>61.11</v>
      </c>
      <c r="M89" s="3">
        <f>IF(INDEX(学年度总表!$M$3:$M$1025,MATCH($E89,学年度总表!$E$3:$E$1025,0))="","",INDEX(学年度总表!$M$3:$M$1025,MATCH($E89,学年度总表!$E$3:$E$1025,0)))</f>
        <v>3.5</v>
      </c>
      <c r="N89" s="3">
        <f>IF(INDEX(学年度总表!$N$3:$N$1025,MATCH($E89,学年度总表!$E$3:$E$1025,0))="","",INDEX(学年度总表!$N$3:$N$1025,MATCH($E89,学年度总表!$E$3:$E$1025,0)))</f>
        <v>74.41</v>
      </c>
      <c r="O89" s="3">
        <f>IF(INDEX(学年度总表!$O$3:$O$1025,MATCH($E89,学年度总表!$E$3:$E$1025,0))="","",INDEX(学年度总表!$O$3:$O$1025,MATCH($E89,学年度总表!$E$3:$E$1025,0)))</f>
        <v>150.61000000000001</v>
      </c>
      <c r="P89" s="2" t="str">
        <f>IF(INDEX(学年度总表!$P$3:$P$1025,MATCH($E89,学年度总表!$E$3:$E$1025,0))="","",INDEX(学年度总表!$P$3:$P$1025,MATCH($E89,学年度总表!$E$3:$E$1025,0)))</f>
        <v/>
      </c>
      <c r="Q89" s="5" t="str">
        <f>IF(INDEX(学年度总表!$Q$3:$Q$1025,MATCH($E89,学年度总表!$E$3:$E$1025,0))="","",INDEX(学年度总表!$Q$3:$Q$1025,MATCH($E89,学年度总表!$E$3:$E$1025,0)))</f>
        <v/>
      </c>
    </row>
    <row r="90" spans="1:17">
      <c r="A90" s="2">
        <f>IF(INDEX(学年度总表!$A$3:$A$1025,MATCH($E90,学年度总表!$E$3:$E$1025,0))="","",INDEX(学年度总表!$A$3:$A$1025,MATCH($E90,学年度总表!$E$3:$E$1025,0)))</f>
        <v>232</v>
      </c>
      <c r="B90" s="2">
        <f>IF(INDEX(学年度总表!$B$3:$B$1025,MATCH($E90,学年度总表!$E$3:$E$1025,0))="","",INDEX(学年度总表!$B$3:$B$1025,MATCH($E90,学年度总表!$E$3:$E$1025,0)))</f>
        <v>88</v>
      </c>
      <c r="C90" s="2" t="str">
        <f>IF(INDEX(学年度总表!$C$3:$C$1025,MATCH($E90,学年度总表!$E$3:$E$1025,0))="","",INDEX(学年度总表!$C$3:$C$1025,MATCH($E90,学年度总表!$E$3:$E$1025,0)))</f>
        <v>软工</v>
      </c>
      <c r="D90" s="2" t="str">
        <f>IF(INDEX(学年度总表!$D$3:$D$1025,MATCH($E90,学年度总表!$E$3:$E$1025,0))="","",INDEX(学年度总表!$D$3:$D$1025,MATCH($E90,学年度总表!$E$3:$E$1025,0)))</f>
        <v>软工12班</v>
      </c>
      <c r="E90" s="2" t="s">
        <v>523</v>
      </c>
      <c r="F90" s="2" t="str">
        <f>IF(INDEX(学年度总表!$F$3:$F$1025,MATCH($E90,学年度总表!$E$3:$E$1025,0))="","",INDEX(学年度总表!$F$3:$F$1025,MATCH($E90,学年度总表!$E$3:$E$1025,0)))</f>
        <v>任司晨</v>
      </c>
      <c r="G90" s="3">
        <f>IF(INDEX(学年度总表!$G$3:$G$1025,MATCH($E90,学年度总表!$E$3:$E$1025,0))="","",INDEX(学年度总表!$G$3:$G$1025,MATCH($E90,学年度总表!$E$3:$E$1025,0)))</f>
        <v>10.3</v>
      </c>
      <c r="H90" s="3">
        <f>IF(INDEX(学年度总表!$H$3:$H$1025,MATCH($E90,学年度总表!$E$3:$E$1025,0))="","",INDEX(学年度总表!$H$3:$H$1025,MATCH($E90,学年度总表!$E$3:$E$1025,0)))</f>
        <v>65.2</v>
      </c>
      <c r="I90" s="3">
        <f>IF(INDEX(学年度总表!$I$3:$I$1025,MATCH($E90,学年度总表!$E$3:$E$1025,0))="","",INDEX(学年度总表!$I$3:$I$1025,MATCH($E90,学年度总表!$E$3:$E$1025,0)))</f>
        <v>3.2</v>
      </c>
      <c r="J90" s="3">
        <f>IF(INDEX(学年度总表!$J$3:$J$1025,MATCH($E90,学年度总表!$E$3:$E$1025,0))="","",INDEX(学年度总表!$J$3:$J$1025,MATCH($E90,学年度总表!$E$3:$E$1025,0)))</f>
        <v>78.7</v>
      </c>
      <c r="K90" s="3">
        <f>IF(INDEX(学年度总表!$K$3:$K$1025,MATCH($E90,学年度总表!$E$3:$E$1025,0))="","",INDEX(学年度总表!$K$3:$K$1025,MATCH($E90,学年度总表!$E$3:$E$1025,0)))</f>
        <v>9.8000000000000007</v>
      </c>
      <c r="L90" s="3">
        <f>IF(INDEX(学年度总表!$L$3:$L$1025,MATCH($E90,学年度总表!$E$3:$E$1025,0))="","",INDEX(学年度总表!$L$3:$L$1025,MATCH($E90,学年度总表!$E$3:$E$1025,0)))</f>
        <v>57.22</v>
      </c>
      <c r="M90" s="3">
        <f>IF(INDEX(学年度总表!$M$3:$M$1025,MATCH($E90,学年度总表!$E$3:$E$1025,0))="","",INDEX(学年度总表!$M$3:$M$1025,MATCH($E90,学年度总表!$E$3:$E$1025,0)))</f>
        <v>4.8</v>
      </c>
      <c r="N90" s="3">
        <f>IF(INDEX(学年度总表!$N$3:$N$1025,MATCH($E90,学年度总表!$E$3:$E$1025,0))="","",INDEX(学年度总表!$N$3:$N$1025,MATCH($E90,学年度总表!$E$3:$E$1025,0)))</f>
        <v>71.819999999999993</v>
      </c>
      <c r="O90" s="3">
        <f>IF(INDEX(学年度总表!$O$3:$O$1025,MATCH($E90,学年度总表!$E$3:$E$1025,0))="","",INDEX(学年度总表!$O$3:$O$1025,MATCH($E90,学年度总表!$E$3:$E$1025,0)))</f>
        <v>150.52000000000001</v>
      </c>
      <c r="P90" s="2" t="str">
        <f>IF(INDEX(学年度总表!$P$3:$P$1025,MATCH($E90,学年度总表!$E$3:$E$1025,0))="","",INDEX(学年度总表!$P$3:$P$1025,MATCH($E90,学年度总表!$E$3:$E$1025,0)))</f>
        <v/>
      </c>
      <c r="Q90" s="5" t="str">
        <f>IF(INDEX(学年度总表!$Q$3:$Q$1025,MATCH($E90,学年度总表!$E$3:$E$1025,0))="","",INDEX(学年度总表!$Q$3:$Q$1025,MATCH($E90,学年度总表!$E$3:$E$1025,0)))</f>
        <v/>
      </c>
    </row>
    <row r="91" spans="1:17">
      <c r="A91" s="2">
        <f>IF(INDEX(学年度总表!$A$3:$A$1025,MATCH($E91,学年度总表!$E$3:$E$1025,0))="","",INDEX(学年度总表!$A$3:$A$1025,MATCH($E91,学年度总表!$E$3:$E$1025,0)))</f>
        <v>234</v>
      </c>
      <c r="B91" s="2">
        <f>IF(INDEX(学年度总表!$B$3:$B$1025,MATCH($E91,学年度总表!$E$3:$E$1025,0))="","",INDEX(学年度总表!$B$3:$B$1025,MATCH($E91,学年度总表!$E$3:$E$1025,0)))</f>
        <v>89</v>
      </c>
      <c r="C91" s="2" t="str">
        <f>IF(INDEX(学年度总表!$C$3:$C$1025,MATCH($E91,学年度总表!$E$3:$E$1025,0))="","",INDEX(学年度总表!$C$3:$C$1025,MATCH($E91,学年度总表!$E$3:$E$1025,0)))</f>
        <v>软工</v>
      </c>
      <c r="D91" s="2" t="str">
        <f>IF(INDEX(学年度总表!$D$3:$D$1025,MATCH($E91,学年度总表!$E$3:$E$1025,0))="","",INDEX(学年度总表!$D$3:$D$1025,MATCH($E91,学年度总表!$E$3:$E$1025,0)))</f>
        <v>软工8班</v>
      </c>
      <c r="E91" s="2" t="s">
        <v>527</v>
      </c>
      <c r="F91" s="2" t="str">
        <f>IF(INDEX(学年度总表!$F$3:$F$1025,MATCH($E91,学年度总表!$E$3:$E$1025,0))="","",INDEX(学年度总表!$F$3:$F$1025,MATCH($E91,学年度总表!$E$3:$E$1025,0)))</f>
        <v>李心蕊</v>
      </c>
      <c r="G91" s="3">
        <f>IF(INDEX(学年度总表!$G$3:$G$1025,MATCH($E91,学年度总表!$E$3:$E$1025,0))="","",INDEX(学年度总表!$G$3:$G$1025,MATCH($E91,学年度总表!$E$3:$E$1025,0)))</f>
        <v>10.6</v>
      </c>
      <c r="H91" s="3">
        <f>IF(INDEX(学年度总表!$H$3:$H$1025,MATCH($E91,学年度总表!$E$3:$E$1025,0))="","",INDEX(学年度总表!$H$3:$H$1025,MATCH($E91,学年度总表!$E$3:$E$1025,0)))</f>
        <v>60.244897959183703</v>
      </c>
      <c r="I91" s="3">
        <f>IF(INDEX(学年度总表!$I$3:$I$1025,MATCH($E91,学年度总表!$E$3:$E$1025,0))="","",INDEX(学年度总表!$I$3:$I$1025,MATCH($E91,学年度总表!$E$3:$E$1025,0)))</f>
        <v>4.5999999999999996</v>
      </c>
      <c r="J91" s="3">
        <f>IF(INDEX(学年度总表!$J$3:$J$1025,MATCH($E91,学年度总表!$E$3:$E$1025,0))="","",INDEX(学年度总表!$J$3:$J$1025,MATCH($E91,学年度总表!$E$3:$E$1025,0)))</f>
        <v>75.44</v>
      </c>
      <c r="K91" s="3">
        <f>IF(INDEX(学年度总表!$K$3:$K$1025,MATCH($E91,学年度总表!$E$3:$E$1025,0))="","",INDEX(学年度总表!$K$3:$K$1025,MATCH($E91,学年度总表!$E$3:$E$1025,0)))</f>
        <v>9.8000000000000007</v>
      </c>
      <c r="L91" s="3">
        <f>IF(INDEX(学年度总表!$L$3:$L$1025,MATCH($E91,学年度总表!$E$3:$E$1025,0))="","",INDEX(学年度总表!$L$3:$L$1025,MATCH($E91,学年度总表!$E$3:$E$1025,0)))</f>
        <v>59.55</v>
      </c>
      <c r="M91" s="3">
        <f>IF(INDEX(学年度总表!$M$3:$M$1025,MATCH($E91,学年度总表!$E$3:$E$1025,0))="","",INDEX(学年度总表!$M$3:$M$1025,MATCH($E91,学年度总表!$E$3:$E$1025,0)))</f>
        <v>5.6</v>
      </c>
      <c r="N91" s="3">
        <f>IF(INDEX(学年度总表!$N$3:$N$1025,MATCH($E91,学年度总表!$E$3:$E$1025,0))="","",INDEX(学年度总表!$N$3:$N$1025,MATCH($E91,学年度总表!$E$3:$E$1025,0)))</f>
        <v>74.95</v>
      </c>
      <c r="O91" s="3">
        <f>IF(INDEX(学年度总表!$O$3:$O$1025,MATCH($E91,学年度总表!$E$3:$E$1025,0))="","",INDEX(学年度总表!$O$3:$O$1025,MATCH($E91,学年度总表!$E$3:$E$1025,0)))</f>
        <v>150.38999999999999</v>
      </c>
      <c r="P91" s="2" t="str">
        <f>IF(INDEX(学年度总表!$P$3:$P$1025,MATCH($E91,学年度总表!$E$3:$E$1025,0))="","",INDEX(学年度总表!$P$3:$P$1025,MATCH($E91,学年度总表!$E$3:$E$1025,0)))</f>
        <v/>
      </c>
      <c r="Q91" s="5" t="str">
        <f>IF(INDEX(学年度总表!$Q$3:$Q$1025,MATCH($E91,学年度总表!$E$3:$E$1025,0))="","",INDEX(学年度总表!$Q$3:$Q$1025,MATCH($E91,学年度总表!$E$3:$E$1025,0)))</f>
        <v/>
      </c>
    </row>
    <row r="92" spans="1:17">
      <c r="A92" s="2">
        <f>IF(INDEX(学年度总表!$A$3:$A$1025,MATCH($E92,学年度总表!$E$3:$E$1025,0))="","",INDEX(学年度总表!$A$3:$A$1025,MATCH($E92,学年度总表!$E$3:$E$1025,0)))</f>
        <v>235</v>
      </c>
      <c r="B92" s="2">
        <f>IF(INDEX(学年度总表!$B$3:$B$1025,MATCH($E92,学年度总表!$E$3:$E$1025,0))="","",INDEX(学年度总表!$B$3:$B$1025,MATCH($E92,学年度总表!$E$3:$E$1025,0)))</f>
        <v>90</v>
      </c>
      <c r="C92" s="2" t="str">
        <f>IF(INDEX(学年度总表!$C$3:$C$1025,MATCH($E92,学年度总表!$E$3:$E$1025,0))="","",INDEX(学年度总表!$C$3:$C$1025,MATCH($E92,学年度总表!$E$3:$E$1025,0)))</f>
        <v>软工</v>
      </c>
      <c r="D92" s="2" t="str">
        <f>IF(INDEX(学年度总表!$D$3:$D$1025,MATCH($E92,学年度总表!$E$3:$E$1025,0))="","",INDEX(学年度总表!$D$3:$D$1025,MATCH($E92,学年度总表!$E$3:$E$1025,0)))</f>
        <v>软工6班</v>
      </c>
      <c r="E92" s="2" t="s">
        <v>529</v>
      </c>
      <c r="F92" s="2" t="str">
        <f>IF(INDEX(学年度总表!$F$3:$F$1025,MATCH($E92,学年度总表!$E$3:$E$1025,0))="","",INDEX(学年度总表!$F$3:$F$1025,MATCH($E92,学年度总表!$E$3:$E$1025,0)))</f>
        <v>董子博</v>
      </c>
      <c r="G92" s="3">
        <f>IF(INDEX(学年度总表!$G$3:$G$1025,MATCH($E92,学年度总表!$E$3:$E$1025,0))="","",INDEX(学年度总表!$G$3:$G$1025,MATCH($E92,学年度总表!$E$3:$E$1025,0)))</f>
        <v>11.8</v>
      </c>
      <c r="H92" s="3">
        <f>IF(INDEX(学年度总表!$H$3:$H$1025,MATCH($E92,学年度总表!$E$3:$E$1025,0))="","",INDEX(学年度总表!$H$3:$H$1025,MATCH($E92,学年度总表!$E$3:$E$1025,0)))</f>
        <v>60.133333333333297</v>
      </c>
      <c r="I92" s="3">
        <f>IF(INDEX(学年度总表!$I$3:$I$1025,MATCH($E92,学年度总表!$E$3:$E$1025,0))="","",INDEX(学年度总表!$I$3:$I$1025,MATCH($E92,学年度总表!$E$3:$E$1025,0)))</f>
        <v>5.5</v>
      </c>
      <c r="J92" s="3">
        <f>IF(INDEX(学年度总表!$J$3:$J$1025,MATCH($E92,学年度总表!$E$3:$E$1025,0))="","",INDEX(学年度总表!$J$3:$J$1025,MATCH($E92,学年度总表!$E$3:$E$1025,0)))</f>
        <v>77.430000000000007</v>
      </c>
      <c r="K92" s="3">
        <f>IF(INDEX(学年度总表!$K$3:$K$1025,MATCH($E92,学年度总表!$E$3:$E$1025,0))="","",INDEX(学年度总表!$K$3:$K$1025,MATCH($E92,学年度总表!$E$3:$E$1025,0)))</f>
        <v>11.3</v>
      </c>
      <c r="L92" s="3">
        <f>IF(INDEX(学年度总表!$L$3:$L$1025,MATCH($E92,学年度总表!$E$3:$E$1025,0))="","",INDEX(学年度总表!$L$3:$L$1025,MATCH($E92,学年度总表!$E$3:$E$1025,0)))</f>
        <v>57.15</v>
      </c>
      <c r="M92" s="3">
        <f>IF(INDEX(学年度总表!$M$3:$M$1025,MATCH($E92,学年度总表!$E$3:$E$1025,0))="","",INDEX(学年度总表!$M$3:$M$1025,MATCH($E92,学年度总表!$E$3:$E$1025,0)))</f>
        <v>4.5</v>
      </c>
      <c r="N92" s="3">
        <f>IF(INDEX(学年度总表!$N$3:$N$1025,MATCH($E92,学年度总表!$E$3:$E$1025,0))="","",INDEX(学年度总表!$N$3:$N$1025,MATCH($E92,学年度总表!$E$3:$E$1025,0)))</f>
        <v>72.95</v>
      </c>
      <c r="O92" s="3">
        <f>IF(INDEX(学年度总表!$O$3:$O$1025,MATCH($E92,学年度总表!$E$3:$E$1025,0))="","",INDEX(学年度总表!$O$3:$O$1025,MATCH($E92,学年度总表!$E$3:$E$1025,0)))</f>
        <v>150.38</v>
      </c>
      <c r="P92" s="2" t="str">
        <f>IF(INDEX(学年度总表!$P$3:$P$1025,MATCH($E92,学年度总表!$E$3:$E$1025,0))="","",INDEX(学年度总表!$P$3:$P$1025,MATCH($E92,学年度总表!$E$3:$E$1025,0)))</f>
        <v/>
      </c>
      <c r="Q92" s="5" t="str">
        <f>IF(INDEX(学年度总表!$Q$3:$Q$1025,MATCH($E92,学年度总表!$E$3:$E$1025,0))="","",INDEX(学年度总表!$Q$3:$Q$1025,MATCH($E92,学年度总表!$E$3:$E$1025,0)))</f>
        <v/>
      </c>
    </row>
    <row r="93" spans="1:17">
      <c r="A93" s="2">
        <f>IF(INDEX(学年度总表!$A$3:$A$1025,MATCH($E93,学年度总表!$E$3:$E$1025,0))="","",INDEX(学年度总表!$A$3:$A$1025,MATCH($E93,学年度总表!$E$3:$E$1025,0)))</f>
        <v>235</v>
      </c>
      <c r="B93" s="2">
        <f>IF(INDEX(学年度总表!$B$3:$B$1025,MATCH($E93,学年度总表!$E$3:$E$1025,0))="","",INDEX(学年度总表!$B$3:$B$1025,MATCH($E93,学年度总表!$E$3:$E$1025,0)))</f>
        <v>90</v>
      </c>
      <c r="C93" s="2" t="str">
        <f>IF(INDEX(学年度总表!$C$3:$C$1025,MATCH($E93,学年度总表!$E$3:$E$1025,0))="","",INDEX(学年度总表!$C$3:$C$1025,MATCH($E93,学年度总表!$E$3:$E$1025,0)))</f>
        <v>软工</v>
      </c>
      <c r="D93" s="2" t="str">
        <f>IF(INDEX(学年度总表!$D$3:$D$1025,MATCH($E93,学年度总表!$E$3:$E$1025,0))="","",INDEX(学年度总表!$D$3:$D$1025,MATCH($E93,学年度总表!$E$3:$E$1025,0)))</f>
        <v>软工11班</v>
      </c>
      <c r="E93" s="2" t="s">
        <v>531</v>
      </c>
      <c r="F93" s="2" t="str">
        <f>IF(INDEX(学年度总表!$F$3:$F$1025,MATCH($E93,学年度总表!$E$3:$E$1025,0))="","",INDEX(学年度总表!$F$3:$F$1025,MATCH($E93,学年度总表!$E$3:$E$1025,0)))</f>
        <v>王珺瑶</v>
      </c>
      <c r="G93" s="3">
        <f>IF(INDEX(学年度总表!$G$3:$G$1025,MATCH($E93,学年度总表!$E$3:$E$1025,0))="","",INDEX(学年度总表!$G$3:$G$1025,MATCH($E93,学年度总表!$E$3:$E$1025,0)))</f>
        <v>9.8000000000000007</v>
      </c>
      <c r="H93" s="3">
        <f>IF(INDEX(学年度总表!$H$3:$H$1025,MATCH($E93,学年度总表!$E$3:$E$1025,0))="","",INDEX(学年度总表!$H$3:$H$1025,MATCH($E93,学年度总表!$E$3:$E$1025,0)))</f>
        <v>61.88</v>
      </c>
      <c r="I93" s="3">
        <f>IF(INDEX(学年度总表!$I$3:$I$1025,MATCH($E93,学年度总表!$E$3:$E$1025,0))="","",INDEX(学年度总表!$I$3:$I$1025,MATCH($E93,学年度总表!$E$3:$E$1025,0)))</f>
        <v>3.2</v>
      </c>
      <c r="J93" s="3">
        <f>IF(INDEX(学年度总表!$J$3:$J$1025,MATCH($E93,学年度总表!$E$3:$E$1025,0))="","",INDEX(学年度总表!$J$3:$J$1025,MATCH($E93,学年度总表!$E$3:$E$1025,0)))</f>
        <v>74.88</v>
      </c>
      <c r="K93" s="3">
        <f>IF(INDEX(学年度总表!$K$3:$K$1025,MATCH($E93,学年度总表!$E$3:$E$1025,0))="","",INDEX(学年度总表!$K$3:$K$1025,MATCH($E93,学年度总表!$E$3:$E$1025,0)))</f>
        <v>9.8000000000000007</v>
      </c>
      <c r="L93" s="3">
        <f>IF(INDEX(学年度总表!$L$3:$L$1025,MATCH($E93,学年度总表!$E$3:$E$1025,0))="","",INDEX(学年度总表!$L$3:$L$1025,MATCH($E93,学年度总表!$E$3:$E$1025,0)))</f>
        <v>61.9</v>
      </c>
      <c r="M93" s="3">
        <f>IF(INDEX(学年度总表!$M$3:$M$1025,MATCH($E93,学年度总表!$E$3:$E$1025,0))="","",INDEX(学年度总表!$M$3:$M$1025,MATCH($E93,学年度总表!$E$3:$E$1025,0)))</f>
        <v>3.8</v>
      </c>
      <c r="N93" s="3">
        <f>IF(INDEX(学年度总表!$N$3:$N$1025,MATCH($E93,学年度总表!$E$3:$E$1025,0))="","",INDEX(学年度总表!$N$3:$N$1025,MATCH($E93,学年度总表!$E$3:$E$1025,0)))</f>
        <v>75.5</v>
      </c>
      <c r="O93" s="3">
        <f>IF(INDEX(学年度总表!$O$3:$O$1025,MATCH($E93,学年度总表!$E$3:$E$1025,0))="","",INDEX(学年度总表!$O$3:$O$1025,MATCH($E93,学年度总表!$E$3:$E$1025,0)))</f>
        <v>150.38</v>
      </c>
      <c r="P93" s="2" t="str">
        <f>IF(INDEX(学年度总表!$P$3:$P$1025,MATCH($E93,学年度总表!$E$3:$E$1025,0))="","",INDEX(学年度总表!$P$3:$P$1025,MATCH($E93,学年度总表!$E$3:$E$1025,0)))</f>
        <v/>
      </c>
      <c r="Q93" s="5" t="str">
        <f>IF(INDEX(学年度总表!$Q$3:$Q$1025,MATCH($E93,学年度总表!$E$3:$E$1025,0))="","",INDEX(学年度总表!$Q$3:$Q$1025,MATCH($E93,学年度总表!$E$3:$E$1025,0)))</f>
        <v/>
      </c>
    </row>
    <row r="94" spans="1:17">
      <c r="A94" s="2">
        <f>IF(INDEX(学年度总表!$A$3:$A$1025,MATCH($E94,学年度总表!$E$3:$E$1025,0))="","",INDEX(学年度总表!$A$3:$A$1025,MATCH($E94,学年度总表!$E$3:$E$1025,0)))</f>
        <v>240</v>
      </c>
      <c r="B94" s="2">
        <f>IF(INDEX(学年度总表!$B$3:$B$1025,MATCH($E94,学年度总表!$E$3:$E$1025,0))="","",INDEX(学年度总表!$B$3:$B$1025,MATCH($E94,学年度总表!$E$3:$E$1025,0)))</f>
        <v>92</v>
      </c>
      <c r="C94" s="2" t="str">
        <f>IF(INDEX(学年度总表!$C$3:$C$1025,MATCH($E94,学年度总表!$E$3:$E$1025,0))="","",INDEX(学年度总表!$C$3:$C$1025,MATCH($E94,学年度总表!$E$3:$E$1025,0)))</f>
        <v>软工</v>
      </c>
      <c r="D94" s="2" t="str">
        <f>IF(INDEX(学年度总表!$D$3:$D$1025,MATCH($E94,学年度总表!$E$3:$E$1025,0))="","",INDEX(学年度总表!$D$3:$D$1025,MATCH($E94,学年度总表!$E$3:$E$1025,0)))</f>
        <v>软工7班</v>
      </c>
      <c r="E94" s="2" t="s">
        <v>539</v>
      </c>
      <c r="F94" s="2" t="str">
        <f>IF(INDEX(学年度总表!$F$3:$F$1025,MATCH($E94,学年度总表!$E$3:$E$1025,0))="","",INDEX(学年度总表!$F$3:$F$1025,MATCH($E94,学年度总表!$E$3:$E$1025,0)))</f>
        <v>张浩然</v>
      </c>
      <c r="G94" s="3">
        <f>IF(INDEX(学年度总表!$G$3:$G$1025,MATCH($E94,学年度总表!$E$3:$E$1025,0))="","",INDEX(学年度总表!$G$3:$G$1025,MATCH($E94,学年度总表!$E$3:$E$1025,0)))</f>
        <v>9.8000000000000007</v>
      </c>
      <c r="H94" s="3">
        <f>IF(INDEX(学年度总表!$H$3:$H$1025,MATCH($E94,学年度总表!$E$3:$E$1025,0))="","",INDEX(学年度总表!$H$3:$H$1025,MATCH($E94,学年度总表!$E$3:$E$1025,0)))</f>
        <v>63.83</v>
      </c>
      <c r="I94" s="3">
        <f>IF(INDEX(学年度总表!$I$3:$I$1025,MATCH($E94,学年度总表!$E$3:$E$1025,0))="","",INDEX(学年度总表!$I$3:$I$1025,MATCH($E94,学年度总表!$E$3:$E$1025,0)))</f>
        <v>5.8</v>
      </c>
      <c r="J94" s="3">
        <f>IF(INDEX(学年度总表!$J$3:$J$1025,MATCH($E94,学年度总表!$E$3:$E$1025,0))="","",INDEX(学年度总表!$J$3:$J$1025,MATCH($E94,学年度总表!$E$3:$E$1025,0)))</f>
        <v>79.430000000000007</v>
      </c>
      <c r="K94" s="3">
        <f>IF(INDEX(学年度总表!$K$3:$K$1025,MATCH($E94,学年度总表!$E$3:$E$1025,0))="","",INDEX(学年度总表!$K$3:$K$1025,MATCH($E94,学年度总表!$E$3:$E$1025,0)))</f>
        <v>9.8000000000000007</v>
      </c>
      <c r="L94" s="3">
        <f>IF(INDEX(学年度总表!$L$3:$L$1025,MATCH($E94,学年度总表!$E$3:$E$1025,0))="","",INDEX(学年度总表!$L$3:$L$1025,MATCH($E94,学年度总表!$E$3:$E$1025,0)))</f>
        <v>52.27</v>
      </c>
      <c r="M94" s="3">
        <f>IF(INDEX(学年度总表!$M$3:$M$1025,MATCH($E94,学年度总表!$E$3:$E$1025,0))="","",INDEX(学年度总表!$M$3:$M$1025,MATCH($E94,学年度总表!$E$3:$E$1025,0)))</f>
        <v>8.8000000000000007</v>
      </c>
      <c r="N94" s="3">
        <f>IF(INDEX(学年度总表!$N$3:$N$1025,MATCH($E94,学年度总表!$E$3:$E$1025,0))="","",INDEX(学年度总表!$N$3:$N$1025,MATCH($E94,学年度总表!$E$3:$E$1025,0)))</f>
        <v>70.87</v>
      </c>
      <c r="O94" s="3">
        <f>IF(INDEX(学年度总表!$O$3:$O$1025,MATCH($E94,学年度总表!$E$3:$E$1025,0))="","",INDEX(学年度总表!$O$3:$O$1025,MATCH($E94,学年度总表!$E$3:$E$1025,0)))</f>
        <v>150.30000000000001</v>
      </c>
      <c r="P94" s="2" t="str">
        <f>IF(INDEX(学年度总表!$P$3:$P$1025,MATCH($E94,学年度总表!$E$3:$E$1025,0))="","",INDEX(学年度总表!$P$3:$P$1025,MATCH($E94,学年度总表!$E$3:$E$1025,0)))</f>
        <v/>
      </c>
      <c r="Q94" s="5" t="str">
        <f>IF(INDEX(学年度总表!$Q$3:$Q$1025,MATCH($E94,学年度总表!$E$3:$E$1025,0))="","",INDEX(学年度总表!$Q$3:$Q$1025,MATCH($E94,学年度总表!$E$3:$E$1025,0)))</f>
        <v/>
      </c>
    </row>
    <row r="95" spans="1:17">
      <c r="A95" s="2">
        <f>IF(INDEX(学年度总表!$A$3:$A$1025,MATCH($E95,学年度总表!$E$3:$E$1025,0))="","",INDEX(学年度总表!$A$3:$A$1025,MATCH($E95,学年度总表!$E$3:$E$1025,0)))</f>
        <v>242</v>
      </c>
      <c r="B95" s="2">
        <f>IF(INDEX(学年度总表!$B$3:$B$1025,MATCH($E95,学年度总表!$E$3:$E$1025,0))="","",INDEX(学年度总表!$B$3:$B$1025,MATCH($E95,学年度总表!$E$3:$E$1025,0)))</f>
        <v>93</v>
      </c>
      <c r="C95" s="2" t="str">
        <f>IF(INDEX(学年度总表!$C$3:$C$1025,MATCH($E95,学年度总表!$E$3:$E$1025,0))="","",INDEX(学年度总表!$C$3:$C$1025,MATCH($E95,学年度总表!$E$3:$E$1025,0)))</f>
        <v>软工</v>
      </c>
      <c r="D95" s="2" t="str">
        <f>IF(INDEX(学年度总表!$D$3:$D$1025,MATCH($E95,学年度总表!$E$3:$E$1025,0))="","",INDEX(学年度总表!$D$3:$D$1025,MATCH($E95,学年度总表!$E$3:$E$1025,0)))</f>
        <v>软工5班</v>
      </c>
      <c r="E95" s="2" t="s">
        <v>543</v>
      </c>
      <c r="F95" s="2" t="str">
        <f>IF(INDEX(学年度总表!$F$3:$F$1025,MATCH($E95,学年度总表!$E$3:$E$1025,0))="","",INDEX(学年度总表!$F$3:$F$1025,MATCH($E95,学年度总表!$E$3:$E$1025,0)))</f>
        <v>张君赫</v>
      </c>
      <c r="G95" s="3">
        <f>IF(INDEX(学年度总表!$G$3:$G$1025,MATCH($E95,学年度总表!$E$3:$E$1025,0))="","",INDEX(学年度总表!$G$3:$G$1025,MATCH($E95,学年度总表!$E$3:$E$1025,0)))</f>
        <v>11.3</v>
      </c>
      <c r="H95" s="3">
        <f>IF(INDEX(学年度总表!$H$3:$H$1025,MATCH($E95,学年度总表!$E$3:$E$1025,0))="","",INDEX(学年度总表!$H$3:$H$1025,MATCH($E95,学年度总表!$E$3:$E$1025,0)))</f>
        <v>58.34</v>
      </c>
      <c r="I95" s="3">
        <f>IF(INDEX(学年度总表!$I$3:$I$1025,MATCH($E95,学年度总表!$E$3:$E$1025,0))="","",INDEX(学年度总表!$I$3:$I$1025,MATCH($E95,学年度总表!$E$3:$E$1025,0)))</f>
        <v>4.8</v>
      </c>
      <c r="J95" s="3">
        <f>IF(INDEX(学年度总表!$J$3:$J$1025,MATCH($E95,学年度总表!$E$3:$E$1025,0))="","",INDEX(学年度总表!$J$3:$J$1025,MATCH($E95,学年度总表!$E$3:$E$1025,0)))</f>
        <v>74.44</v>
      </c>
      <c r="K95" s="3">
        <f>IF(INDEX(学年度总表!$K$3:$K$1025,MATCH($E95,学年度总表!$E$3:$E$1025,0))="","",INDEX(学年度总表!$K$3:$K$1025,MATCH($E95,学年度总表!$E$3:$E$1025,0)))</f>
        <v>11.3</v>
      </c>
      <c r="L95" s="3">
        <f>IF(INDEX(学年度总表!$L$3:$L$1025,MATCH($E95,学年度总表!$E$3:$E$1025,0))="","",INDEX(学年度总表!$L$3:$L$1025,MATCH($E95,学年度总表!$E$3:$E$1025,0)))</f>
        <v>57.09</v>
      </c>
      <c r="M95" s="3">
        <f>IF(INDEX(学年度总表!$M$3:$M$1025,MATCH($E95,学年度总表!$E$3:$E$1025,0))="","",INDEX(学年度总表!$M$3:$M$1025,MATCH($E95,学年度总表!$E$3:$E$1025,0)))</f>
        <v>7.4</v>
      </c>
      <c r="N95" s="3">
        <f>IF(INDEX(学年度总表!$N$3:$N$1025,MATCH($E95,学年度总表!$E$3:$E$1025,0))="","",INDEX(学年度总表!$N$3:$N$1025,MATCH($E95,学年度总表!$E$3:$E$1025,0)))</f>
        <v>75.790000000000006</v>
      </c>
      <c r="O95" s="3">
        <f>IF(INDEX(学年度总表!$O$3:$O$1025,MATCH($E95,学年度总表!$E$3:$E$1025,0))="","",INDEX(学年度总表!$O$3:$O$1025,MATCH($E95,学年度总表!$E$3:$E$1025,0)))</f>
        <v>150.22999999999999</v>
      </c>
      <c r="P95" s="2" t="str">
        <f>IF(INDEX(学年度总表!$P$3:$P$1025,MATCH($E95,学年度总表!$E$3:$E$1025,0))="","",INDEX(学年度总表!$P$3:$P$1025,MATCH($E95,学年度总表!$E$3:$E$1025,0)))</f>
        <v/>
      </c>
      <c r="Q95" s="5" t="str">
        <f>IF(INDEX(学年度总表!$Q$3:$Q$1025,MATCH($E95,学年度总表!$E$3:$E$1025,0))="","",INDEX(学年度总表!$Q$3:$Q$1025,MATCH($E95,学年度总表!$E$3:$E$1025,0)))</f>
        <v/>
      </c>
    </row>
    <row r="96" spans="1:17">
      <c r="A96" s="2">
        <f>IF(INDEX(学年度总表!$A$3:$A$1025,MATCH($E96,学年度总表!$E$3:$E$1025,0))="","",INDEX(学年度总表!$A$3:$A$1025,MATCH($E96,学年度总表!$E$3:$E$1025,0)))</f>
        <v>244</v>
      </c>
      <c r="B96" s="2">
        <f>IF(INDEX(学年度总表!$B$3:$B$1025,MATCH($E96,学年度总表!$E$3:$E$1025,0))="","",INDEX(学年度总表!$B$3:$B$1025,MATCH($E96,学年度总表!$E$3:$E$1025,0)))</f>
        <v>94</v>
      </c>
      <c r="C96" s="2" t="str">
        <f>IF(INDEX(学年度总表!$C$3:$C$1025,MATCH($E96,学年度总表!$E$3:$E$1025,0))="","",INDEX(学年度总表!$C$3:$C$1025,MATCH($E96,学年度总表!$E$3:$E$1025,0)))</f>
        <v>软工</v>
      </c>
      <c r="D96" s="2" t="str">
        <f>IF(INDEX(学年度总表!$D$3:$D$1025,MATCH($E96,学年度总表!$E$3:$E$1025,0))="","",INDEX(学年度总表!$D$3:$D$1025,MATCH($E96,学年度总表!$E$3:$E$1025,0)))</f>
        <v>软工13班</v>
      </c>
      <c r="E96" s="2" t="s">
        <v>547</v>
      </c>
      <c r="F96" s="2" t="str">
        <f>IF(INDEX(学年度总表!$F$3:$F$1025,MATCH($E96,学年度总表!$E$3:$E$1025,0))="","",INDEX(学年度总表!$F$3:$F$1025,MATCH($E96,学年度总表!$E$3:$E$1025,0)))</f>
        <v>阎椿如</v>
      </c>
      <c r="G96" s="3">
        <f>IF(INDEX(学年度总表!$G$3:$G$1025,MATCH($E96,学年度总表!$E$3:$E$1025,0))="","",INDEX(学年度总表!$G$3:$G$1025,MATCH($E96,学年度总表!$E$3:$E$1025,0)))</f>
        <v>9.8000000000000007</v>
      </c>
      <c r="H96" s="3">
        <f>IF(INDEX(学年度总表!$H$3:$H$1025,MATCH($E96,学年度总表!$E$3:$E$1025,0))="","",INDEX(学年度总表!$H$3:$H$1025,MATCH($E96,学年度总表!$E$3:$E$1025,0)))</f>
        <v>60.89</v>
      </c>
      <c r="I96" s="3">
        <f>IF(INDEX(学年度总表!$I$3:$I$1025,MATCH($E96,学年度总表!$E$3:$E$1025,0))="","",INDEX(学年度总表!$I$3:$I$1025,MATCH($E96,学年度总表!$E$3:$E$1025,0)))</f>
        <v>4.4000000000000004</v>
      </c>
      <c r="J96" s="3">
        <f>IF(INDEX(学年度总表!$J$3:$J$1025,MATCH($E96,学年度总表!$E$3:$E$1025,0))="","",INDEX(学年度总表!$J$3:$J$1025,MATCH($E96,学年度总表!$E$3:$E$1025,0)))</f>
        <v>75.09</v>
      </c>
      <c r="K96" s="3">
        <f>IF(INDEX(学年度总表!$K$3:$K$1025,MATCH($E96,学年度总表!$E$3:$E$1025,0))="","",INDEX(学年度总表!$K$3:$K$1025,MATCH($E96,学年度总表!$E$3:$E$1025,0)))</f>
        <v>9.8000000000000007</v>
      </c>
      <c r="L96" s="3">
        <f>IF(INDEX(学年度总表!$L$3:$L$1025,MATCH($E96,学年度总表!$E$3:$E$1025,0))="","",INDEX(学年度总表!$L$3:$L$1025,MATCH($E96,学年度总表!$E$3:$E$1025,0)))</f>
        <v>60.51</v>
      </c>
      <c r="M96" s="3">
        <f>IF(INDEX(学年度总表!$M$3:$M$1025,MATCH($E96,学年度总表!$E$3:$E$1025,0))="","",INDEX(学年度总表!$M$3:$M$1025,MATCH($E96,学年度总表!$E$3:$E$1025,0)))</f>
        <v>4.7</v>
      </c>
      <c r="N96" s="3">
        <f>IF(INDEX(学年度总表!$N$3:$N$1025,MATCH($E96,学年度总表!$E$3:$E$1025,0))="","",INDEX(学年度总表!$N$3:$N$1025,MATCH($E96,学年度总表!$E$3:$E$1025,0)))</f>
        <v>75.010000000000005</v>
      </c>
      <c r="O96" s="3">
        <f>IF(INDEX(学年度总表!$O$3:$O$1025,MATCH($E96,学年度总表!$E$3:$E$1025,0))="","",INDEX(学年度总表!$O$3:$O$1025,MATCH($E96,学年度总表!$E$3:$E$1025,0)))</f>
        <v>150.1</v>
      </c>
      <c r="P96" s="2" t="str">
        <f>IF(INDEX(学年度总表!$P$3:$P$1025,MATCH($E96,学年度总表!$E$3:$E$1025,0))="","",INDEX(学年度总表!$P$3:$P$1025,MATCH($E96,学年度总表!$E$3:$E$1025,0)))</f>
        <v/>
      </c>
      <c r="Q96" s="5" t="str">
        <f>IF(INDEX(学年度总表!$Q$3:$Q$1025,MATCH($E96,学年度总表!$E$3:$E$1025,0))="","",INDEX(学年度总表!$Q$3:$Q$1025,MATCH($E96,学年度总表!$E$3:$E$1025,0)))</f>
        <v/>
      </c>
    </row>
    <row r="97" spans="1:17">
      <c r="A97" s="2">
        <f>IF(INDEX(学年度总表!$A$3:$A$1025,MATCH($E97,学年度总表!$E$3:$E$1025,0))="","",INDEX(学年度总表!$A$3:$A$1025,MATCH($E97,学年度总表!$E$3:$E$1025,0)))</f>
        <v>245</v>
      </c>
      <c r="B97" s="2">
        <f>IF(INDEX(学年度总表!$B$3:$B$1025,MATCH($E97,学年度总表!$E$3:$E$1025,0))="","",INDEX(学年度总表!$B$3:$B$1025,MATCH($E97,学年度总表!$E$3:$E$1025,0)))</f>
        <v>95</v>
      </c>
      <c r="C97" s="2" t="str">
        <f>IF(INDEX(学年度总表!$C$3:$C$1025,MATCH($E97,学年度总表!$E$3:$E$1025,0))="","",INDEX(学年度总表!$C$3:$C$1025,MATCH($E97,学年度总表!$E$3:$E$1025,0)))</f>
        <v>软工</v>
      </c>
      <c r="D97" s="2" t="str">
        <f>IF(INDEX(学年度总表!$D$3:$D$1025,MATCH($E97,学年度总表!$E$3:$E$1025,0))="","",INDEX(学年度总表!$D$3:$D$1025,MATCH($E97,学年度总表!$E$3:$E$1025,0)))</f>
        <v>软工6班</v>
      </c>
      <c r="E97" s="2" t="s">
        <v>549</v>
      </c>
      <c r="F97" s="2" t="str">
        <f>IF(INDEX(学年度总表!$F$3:$F$1025,MATCH($E97,学年度总表!$E$3:$E$1025,0))="","",INDEX(学年度总表!$F$3:$F$1025,MATCH($E97,学年度总表!$E$3:$E$1025,0)))</f>
        <v>孙圣男</v>
      </c>
      <c r="G97" s="3">
        <f>IF(INDEX(学年度总表!$G$3:$G$1025,MATCH($E97,学年度总表!$E$3:$E$1025,0))="","",INDEX(学年度总表!$G$3:$G$1025,MATCH($E97,学年度总表!$E$3:$E$1025,0)))</f>
        <v>11.8</v>
      </c>
      <c r="H97" s="3">
        <f>IF(INDEX(学年度总表!$H$3:$H$1025,MATCH($E97,学年度总表!$E$3:$E$1025,0))="","",INDEX(学年度总表!$H$3:$H$1025,MATCH($E97,学年度总表!$E$3:$E$1025,0)))</f>
        <v>58.224489795918402</v>
      </c>
      <c r="I97" s="3">
        <f>IF(INDEX(学年度总表!$I$3:$I$1025,MATCH($E97,学年度总表!$E$3:$E$1025,0))="","",INDEX(学年度总表!$I$3:$I$1025,MATCH($E97,学年度总表!$E$3:$E$1025,0)))</f>
        <v>4.5999999999999996</v>
      </c>
      <c r="J97" s="3">
        <f>IF(INDEX(学年度总表!$J$3:$J$1025,MATCH($E97,学年度总表!$E$3:$E$1025,0))="","",INDEX(学年度总表!$J$3:$J$1025,MATCH($E97,学年度总表!$E$3:$E$1025,0)))</f>
        <v>74.62</v>
      </c>
      <c r="K97" s="3">
        <f>IF(INDEX(学年度总表!$K$3:$K$1025,MATCH($E97,学年度总表!$E$3:$E$1025,0))="","",INDEX(学年度总表!$K$3:$K$1025,MATCH($E97,学年度总表!$E$3:$E$1025,0)))</f>
        <v>11.8</v>
      </c>
      <c r="L97" s="3">
        <f>IF(INDEX(学年度总表!$L$3:$L$1025,MATCH($E97,学年度总表!$E$3:$E$1025,0))="","",INDEX(学年度总表!$L$3:$L$1025,MATCH($E97,学年度总表!$E$3:$E$1025,0)))</f>
        <v>57.28</v>
      </c>
      <c r="M97" s="3">
        <f>IF(INDEX(学年度总表!$M$3:$M$1025,MATCH($E97,学年度总表!$E$3:$E$1025,0))="","",INDEX(学年度总表!$M$3:$M$1025,MATCH($E97,学年度总表!$E$3:$E$1025,0)))</f>
        <v>6.3</v>
      </c>
      <c r="N97" s="3">
        <f>IF(INDEX(学年度总表!$N$3:$N$1025,MATCH($E97,学年度总表!$E$3:$E$1025,0))="","",INDEX(学年度总表!$N$3:$N$1025,MATCH($E97,学年度总表!$E$3:$E$1025,0)))</f>
        <v>75.38</v>
      </c>
      <c r="O97" s="3">
        <f>IF(INDEX(学年度总表!$O$3:$O$1025,MATCH($E97,学年度总表!$E$3:$E$1025,0))="","",INDEX(学年度总表!$O$3:$O$1025,MATCH($E97,学年度总表!$E$3:$E$1025,0)))</f>
        <v>150</v>
      </c>
      <c r="P97" s="2" t="str">
        <f>IF(INDEX(学年度总表!$P$3:$P$1025,MATCH($E97,学年度总表!$E$3:$E$1025,0))="","",INDEX(学年度总表!$P$3:$P$1025,MATCH($E97,学年度总表!$E$3:$E$1025,0)))</f>
        <v/>
      </c>
      <c r="Q97" s="5" t="str">
        <f>IF(INDEX(学年度总表!$Q$3:$Q$1025,MATCH($E97,学年度总表!$E$3:$E$1025,0))="","",INDEX(学年度总表!$Q$3:$Q$1025,MATCH($E97,学年度总表!$E$3:$E$1025,0)))</f>
        <v/>
      </c>
    </row>
    <row r="98" spans="1:17">
      <c r="A98" s="2">
        <f>IF(INDEX(学年度总表!$A$3:$A$1025,MATCH($E98,学年度总表!$E$3:$E$1025,0))="","",INDEX(学年度总表!$A$3:$A$1025,MATCH($E98,学年度总表!$E$3:$E$1025,0)))</f>
        <v>246</v>
      </c>
      <c r="B98" s="2">
        <f>IF(INDEX(学年度总表!$B$3:$B$1025,MATCH($E98,学年度总表!$E$3:$E$1025,0))="","",INDEX(学年度总表!$B$3:$B$1025,MATCH($E98,学年度总表!$E$3:$E$1025,0)))</f>
        <v>96</v>
      </c>
      <c r="C98" s="2" t="str">
        <f>IF(INDEX(学年度总表!$C$3:$C$1025,MATCH($E98,学年度总表!$E$3:$E$1025,0))="","",INDEX(学年度总表!$C$3:$C$1025,MATCH($E98,学年度总表!$E$3:$E$1025,0)))</f>
        <v>软工</v>
      </c>
      <c r="D98" s="2" t="str">
        <f>IF(INDEX(学年度总表!$D$3:$D$1025,MATCH($E98,学年度总表!$E$3:$E$1025,0))="","",INDEX(学年度总表!$D$3:$D$1025,MATCH($E98,学年度总表!$E$3:$E$1025,0)))</f>
        <v>软工7班</v>
      </c>
      <c r="E98" s="2" t="s">
        <v>551</v>
      </c>
      <c r="F98" s="2" t="str">
        <f>IF(INDEX(学年度总表!$F$3:$F$1025,MATCH($E98,学年度总表!$E$3:$E$1025,0))="","",INDEX(学年度总表!$F$3:$F$1025,MATCH($E98,学年度总表!$E$3:$E$1025,0)))</f>
        <v>吴雨宸</v>
      </c>
      <c r="G98" s="3">
        <f>IF(INDEX(学年度总表!$G$3:$G$1025,MATCH($E98,学年度总表!$E$3:$E$1025,0))="","",INDEX(学年度总表!$G$3:$G$1025,MATCH($E98,学年度总表!$E$3:$E$1025,0)))</f>
        <v>10.5</v>
      </c>
      <c r="H98" s="3">
        <f>IF(INDEX(学年度总表!$H$3:$H$1025,MATCH($E98,学年度总表!$E$3:$E$1025,0))="","",INDEX(学年度总表!$H$3:$H$1025,MATCH($E98,学年度总表!$E$3:$E$1025,0)))</f>
        <v>59.86</v>
      </c>
      <c r="I98" s="3">
        <f>IF(INDEX(学年度总表!$I$3:$I$1025,MATCH($E98,学年度总表!$E$3:$E$1025,0))="","",INDEX(学年度总表!$I$3:$I$1025,MATCH($E98,学年度总表!$E$3:$E$1025,0)))</f>
        <v>4.2</v>
      </c>
      <c r="J98" s="3">
        <f>IF(INDEX(学年度总表!$J$3:$J$1025,MATCH($E98,学年度总表!$E$3:$E$1025,0))="","",INDEX(学年度总表!$J$3:$J$1025,MATCH($E98,学年度总表!$E$3:$E$1025,0)))</f>
        <v>74.56</v>
      </c>
      <c r="K98" s="3">
        <f>IF(INDEX(学年度总表!$K$3:$K$1025,MATCH($E98,学年度总表!$E$3:$E$1025,0))="","",INDEX(学年度总表!$K$3:$K$1025,MATCH($E98,学年度总表!$E$3:$E$1025,0)))</f>
        <v>11.5</v>
      </c>
      <c r="L98" s="3">
        <f>IF(INDEX(学年度总表!$L$3:$L$1025,MATCH($E98,学年度总表!$E$3:$E$1025,0))="","",INDEX(学年度总表!$L$3:$L$1025,MATCH($E98,学年度总表!$E$3:$E$1025,0)))</f>
        <v>59.23</v>
      </c>
      <c r="M98" s="3">
        <f>IF(INDEX(学年度总表!$M$3:$M$1025,MATCH($E98,学年度总表!$E$3:$E$1025,0))="","",INDEX(学年度总表!$M$3:$M$1025,MATCH($E98,学年度总表!$E$3:$E$1025,0)))</f>
        <v>4.7</v>
      </c>
      <c r="N98" s="3">
        <f>IF(INDEX(学年度总表!$N$3:$N$1025,MATCH($E98,学年度总表!$E$3:$E$1025,0))="","",INDEX(学年度总表!$N$3:$N$1025,MATCH($E98,学年度总表!$E$3:$E$1025,0)))</f>
        <v>75.430000000000007</v>
      </c>
      <c r="O98" s="3">
        <f>IF(INDEX(学年度总表!$O$3:$O$1025,MATCH($E98,学年度总表!$E$3:$E$1025,0))="","",INDEX(学年度总表!$O$3:$O$1025,MATCH($E98,学年度总表!$E$3:$E$1025,0)))</f>
        <v>149.99</v>
      </c>
      <c r="P98" s="2" t="str">
        <f>IF(INDEX(学年度总表!$P$3:$P$1025,MATCH($E98,学年度总表!$E$3:$E$1025,0))="","",INDEX(学年度总表!$P$3:$P$1025,MATCH($E98,学年度总表!$E$3:$E$1025,0)))</f>
        <v/>
      </c>
      <c r="Q98" s="5" t="str">
        <f>IF(INDEX(学年度总表!$Q$3:$Q$1025,MATCH($E98,学年度总表!$E$3:$E$1025,0))="","",INDEX(学年度总表!$Q$3:$Q$1025,MATCH($E98,学年度总表!$E$3:$E$1025,0)))</f>
        <v/>
      </c>
    </row>
    <row r="99" spans="1:17">
      <c r="A99" s="2">
        <f>IF(INDEX(学年度总表!$A$3:$A$1025,MATCH($E99,学年度总表!$E$3:$E$1025,0))="","",INDEX(学年度总表!$A$3:$A$1025,MATCH($E99,学年度总表!$E$3:$E$1025,0)))</f>
        <v>247</v>
      </c>
      <c r="B99" s="2">
        <f>IF(INDEX(学年度总表!$B$3:$B$1025,MATCH($E99,学年度总表!$E$3:$E$1025,0))="","",INDEX(学年度总表!$B$3:$B$1025,MATCH($E99,学年度总表!$E$3:$E$1025,0)))</f>
        <v>97</v>
      </c>
      <c r="C99" s="2" t="str">
        <f>IF(INDEX(学年度总表!$C$3:$C$1025,MATCH($E99,学年度总表!$E$3:$E$1025,0))="","",INDEX(学年度总表!$C$3:$C$1025,MATCH($E99,学年度总表!$E$3:$E$1025,0)))</f>
        <v>软工</v>
      </c>
      <c r="D99" s="2" t="str">
        <f>IF(INDEX(学年度总表!$D$3:$D$1025,MATCH($E99,学年度总表!$E$3:$E$1025,0))="","",INDEX(学年度总表!$D$3:$D$1025,MATCH($E99,学年度总表!$E$3:$E$1025,0)))</f>
        <v>软工13班</v>
      </c>
      <c r="E99" s="2" t="s">
        <v>553</v>
      </c>
      <c r="F99" s="2" t="str">
        <f>IF(INDEX(学年度总表!$F$3:$F$1025,MATCH($E99,学年度总表!$E$3:$E$1025,0))="","",INDEX(学年度总表!$F$3:$F$1025,MATCH($E99,学年度总表!$E$3:$E$1025,0)))</f>
        <v>葛芷萁</v>
      </c>
      <c r="G99" s="3">
        <f>IF(INDEX(学年度总表!$G$3:$G$1025,MATCH($E99,学年度总表!$E$3:$E$1025,0))="","",INDEX(学年度总表!$G$3:$G$1025,MATCH($E99,学年度总表!$E$3:$E$1025,0)))</f>
        <v>10.3</v>
      </c>
      <c r="H99" s="3">
        <f>IF(INDEX(学年度总表!$H$3:$H$1025,MATCH($E99,学年度总表!$E$3:$E$1025,0))="","",INDEX(学年度总表!$H$3:$H$1025,MATCH($E99,学年度总表!$E$3:$E$1025,0)))</f>
        <v>60.03</v>
      </c>
      <c r="I99" s="3">
        <f>IF(INDEX(学年度总表!$I$3:$I$1025,MATCH($E99,学年度总表!$E$3:$E$1025,0))="","",INDEX(学年度总表!$I$3:$I$1025,MATCH($E99,学年度总表!$E$3:$E$1025,0)))</f>
        <v>5</v>
      </c>
      <c r="J99" s="3">
        <f>IF(INDEX(学年度总表!$J$3:$J$1025,MATCH($E99,学年度总表!$E$3:$E$1025,0))="","",INDEX(学年度总表!$J$3:$J$1025,MATCH($E99,学年度总表!$E$3:$E$1025,0)))</f>
        <v>75.33</v>
      </c>
      <c r="K99" s="3">
        <f>IF(INDEX(学年度总表!$K$3:$K$1025,MATCH($E99,学年度总表!$E$3:$E$1025,0))="","",INDEX(学年度总表!$K$3:$K$1025,MATCH($E99,学年度总表!$E$3:$E$1025,0)))</f>
        <v>9.8000000000000007</v>
      </c>
      <c r="L99" s="3">
        <f>IF(INDEX(学年度总表!$L$3:$L$1025,MATCH($E99,学年度总表!$E$3:$E$1025,0))="","",INDEX(学年度总表!$L$3:$L$1025,MATCH($E99,学年度总表!$E$3:$E$1025,0)))</f>
        <v>58.65</v>
      </c>
      <c r="M99" s="3">
        <f>IF(INDEX(学年度总表!$M$3:$M$1025,MATCH($E99,学年度总表!$E$3:$E$1025,0))="","",INDEX(学年度总表!$M$3:$M$1025,MATCH($E99,学年度总表!$E$3:$E$1025,0)))</f>
        <v>6.1</v>
      </c>
      <c r="N99" s="3">
        <f>IF(INDEX(学年度总表!$N$3:$N$1025,MATCH($E99,学年度总表!$E$3:$E$1025,0))="","",INDEX(学年度总表!$N$3:$N$1025,MATCH($E99,学年度总表!$E$3:$E$1025,0)))</f>
        <v>74.55</v>
      </c>
      <c r="O99" s="3">
        <f>IF(INDEX(学年度总表!$O$3:$O$1025,MATCH($E99,学年度总表!$E$3:$E$1025,0))="","",INDEX(学年度总表!$O$3:$O$1025,MATCH($E99,学年度总表!$E$3:$E$1025,0)))</f>
        <v>149.88</v>
      </c>
      <c r="P99" s="2" t="str">
        <f>IF(INDEX(学年度总表!$P$3:$P$1025,MATCH($E99,学年度总表!$E$3:$E$1025,0))="","",INDEX(学年度总表!$P$3:$P$1025,MATCH($E99,学年度总表!$E$3:$E$1025,0)))</f>
        <v/>
      </c>
      <c r="Q99" s="5" t="str">
        <f>IF(INDEX(学年度总表!$Q$3:$Q$1025,MATCH($E99,学年度总表!$E$3:$E$1025,0))="","",INDEX(学年度总表!$Q$3:$Q$1025,MATCH($E99,学年度总表!$E$3:$E$1025,0)))</f>
        <v/>
      </c>
    </row>
    <row r="100" spans="1:17">
      <c r="A100" s="2">
        <f>IF(INDEX(学年度总表!$A$3:$A$1025,MATCH($E100,学年度总表!$E$3:$E$1025,0))="","",INDEX(学年度总表!$A$3:$A$1025,MATCH($E100,学年度总表!$E$3:$E$1025,0)))</f>
        <v>249</v>
      </c>
      <c r="B100" s="2">
        <f>IF(INDEX(学年度总表!$B$3:$B$1025,MATCH($E100,学年度总表!$E$3:$E$1025,0))="","",INDEX(学年度总表!$B$3:$B$1025,MATCH($E100,学年度总表!$E$3:$E$1025,0)))</f>
        <v>98</v>
      </c>
      <c r="C100" s="2" t="str">
        <f>IF(INDEX(学年度总表!$C$3:$C$1025,MATCH($E100,学年度总表!$E$3:$E$1025,0))="","",INDEX(学年度总表!$C$3:$C$1025,MATCH($E100,学年度总表!$E$3:$E$1025,0)))</f>
        <v>软工</v>
      </c>
      <c r="D100" s="2" t="str">
        <f>IF(INDEX(学年度总表!$D$3:$D$1025,MATCH($E100,学年度总表!$E$3:$E$1025,0))="","",INDEX(学年度总表!$D$3:$D$1025,MATCH($E100,学年度总表!$E$3:$E$1025,0)))</f>
        <v>软工8班</v>
      </c>
      <c r="E100" s="2" t="s">
        <v>557</v>
      </c>
      <c r="F100" s="2" t="str">
        <f>IF(INDEX(学年度总表!$F$3:$F$1025,MATCH($E100,学年度总表!$E$3:$E$1025,0))="","",INDEX(学年度总表!$F$3:$F$1025,MATCH($E100,学年度总表!$E$3:$E$1025,0)))</f>
        <v>白佳琪</v>
      </c>
      <c r="G100" s="3">
        <f>IF(INDEX(学年度总表!$G$3:$G$1025,MATCH($E100,学年度总表!$E$3:$E$1025,0))="","",INDEX(学年度总表!$G$3:$G$1025,MATCH($E100,学年度总表!$E$3:$E$1025,0)))</f>
        <v>10</v>
      </c>
      <c r="H100" s="3">
        <f>IF(INDEX(学年度总表!$H$3:$H$1025,MATCH($E100,学年度总表!$E$3:$E$1025,0))="","",INDEX(学年度总表!$H$3:$H$1025,MATCH($E100,学年度总表!$E$3:$E$1025,0)))</f>
        <v>61.3867924528302</v>
      </c>
      <c r="I100" s="3">
        <f>IF(INDEX(学年度总表!$I$3:$I$1025,MATCH($E100,学年度总表!$E$3:$E$1025,0))="","",INDEX(学年度总表!$I$3:$I$1025,MATCH($E100,学年度总表!$E$3:$E$1025,0)))</f>
        <v>4</v>
      </c>
      <c r="J100" s="3">
        <f>IF(INDEX(学年度总表!$J$3:$J$1025,MATCH($E100,学年度总表!$E$3:$E$1025,0))="","",INDEX(学年度总表!$J$3:$J$1025,MATCH($E100,学年度总表!$E$3:$E$1025,0)))</f>
        <v>75.39</v>
      </c>
      <c r="K100" s="3">
        <f>IF(INDEX(学年度总表!$K$3:$K$1025,MATCH($E100,学年度总表!$E$3:$E$1025,0))="","",INDEX(学年度总表!$K$3:$K$1025,MATCH($E100,学年度总表!$E$3:$E$1025,0)))</f>
        <v>10</v>
      </c>
      <c r="L100" s="3">
        <f>IF(INDEX(学年度总表!$L$3:$L$1025,MATCH($E100,学年度总表!$E$3:$E$1025,0))="","",INDEX(学年度总表!$L$3:$L$1025,MATCH($E100,学年度总表!$E$3:$E$1025,0)))</f>
        <v>59.77</v>
      </c>
      <c r="M100" s="3">
        <f>IF(INDEX(学年度总表!$M$3:$M$1025,MATCH($E100,学年度总表!$E$3:$E$1025,0))="","",INDEX(学年度总表!$M$3:$M$1025,MATCH($E100,学年度总表!$E$3:$E$1025,0)))</f>
        <v>4.7</v>
      </c>
      <c r="N100" s="3">
        <f>IF(INDEX(学年度总表!$N$3:$N$1025,MATCH($E100,学年度总表!$E$3:$E$1025,0))="","",INDEX(学年度总表!$N$3:$N$1025,MATCH($E100,学年度总表!$E$3:$E$1025,0)))</f>
        <v>74.47</v>
      </c>
      <c r="O100" s="3">
        <f>IF(INDEX(学年度总表!$O$3:$O$1025,MATCH($E100,学年度总表!$E$3:$E$1025,0))="","",INDEX(学年度总表!$O$3:$O$1025,MATCH($E100,学年度总表!$E$3:$E$1025,0)))</f>
        <v>149.86000000000001</v>
      </c>
      <c r="P100" s="2" t="str">
        <f>IF(INDEX(学年度总表!$P$3:$P$1025,MATCH($E100,学年度总表!$E$3:$E$1025,0))="","",INDEX(学年度总表!$P$3:$P$1025,MATCH($E100,学年度总表!$E$3:$E$1025,0)))</f>
        <v/>
      </c>
      <c r="Q100" s="5" t="str">
        <f>IF(INDEX(学年度总表!$Q$3:$Q$1025,MATCH($E100,学年度总表!$E$3:$E$1025,0))="","",INDEX(学年度总表!$Q$3:$Q$1025,MATCH($E100,学年度总表!$E$3:$E$1025,0)))</f>
        <v/>
      </c>
    </row>
    <row r="101" spans="1:17">
      <c r="A101" s="2">
        <f>IF(INDEX(学年度总表!$A$3:$A$1025,MATCH($E101,学年度总表!$E$3:$E$1025,0))="","",INDEX(学年度总表!$A$3:$A$1025,MATCH($E101,学年度总表!$E$3:$E$1025,0)))</f>
        <v>249</v>
      </c>
      <c r="B101" s="2">
        <f>IF(INDEX(学年度总表!$B$3:$B$1025,MATCH($E101,学年度总表!$E$3:$E$1025,0))="","",INDEX(学年度总表!$B$3:$B$1025,MATCH($E101,学年度总表!$E$3:$E$1025,0)))</f>
        <v>98</v>
      </c>
      <c r="C101" s="2" t="str">
        <f>IF(INDEX(学年度总表!$C$3:$C$1025,MATCH($E101,学年度总表!$E$3:$E$1025,0))="","",INDEX(学年度总表!$C$3:$C$1025,MATCH($E101,学年度总表!$E$3:$E$1025,0)))</f>
        <v>软工</v>
      </c>
      <c r="D101" s="2" t="str">
        <f>IF(INDEX(学年度总表!$D$3:$D$1025,MATCH($E101,学年度总表!$E$3:$E$1025,0))="","",INDEX(学年度总表!$D$3:$D$1025,MATCH($E101,学年度总表!$E$3:$E$1025,0)))</f>
        <v>软工14班</v>
      </c>
      <c r="E101" s="2" t="s">
        <v>559</v>
      </c>
      <c r="F101" s="2" t="str">
        <f>IF(INDEX(学年度总表!$F$3:$F$1025,MATCH($E101,学年度总表!$E$3:$E$1025,0))="","",INDEX(学年度总表!$F$3:$F$1025,MATCH($E101,学年度总表!$E$3:$E$1025,0)))</f>
        <v>王昱博</v>
      </c>
      <c r="G101" s="3">
        <f>IF(INDEX(学年度总表!$G$3:$G$1025,MATCH($E101,学年度总表!$E$3:$E$1025,0))="","",INDEX(学年度总表!$G$3:$G$1025,MATCH($E101,学年度总表!$E$3:$E$1025,0)))</f>
        <v>9.8000000000000007</v>
      </c>
      <c r="H101" s="3">
        <f>IF(INDEX(学年度总表!$H$3:$H$1025,MATCH($E101,学年度总表!$E$3:$E$1025,0))="","",INDEX(学年度总表!$H$3:$H$1025,MATCH($E101,学年度总表!$E$3:$E$1025,0)))</f>
        <v>58.74</v>
      </c>
      <c r="I101" s="3">
        <f>IF(INDEX(学年度总表!$I$3:$I$1025,MATCH($E101,学年度总表!$E$3:$E$1025,0))="","",INDEX(学年度总表!$I$3:$I$1025,MATCH($E101,学年度总表!$E$3:$E$1025,0)))</f>
        <v>4</v>
      </c>
      <c r="J101" s="3">
        <f>IF(INDEX(学年度总表!$J$3:$J$1025,MATCH($E101,学年度总表!$E$3:$E$1025,0))="","",INDEX(学年度总表!$J$3:$J$1025,MATCH($E101,学年度总表!$E$3:$E$1025,0)))</f>
        <v>72.540000000000006</v>
      </c>
      <c r="K101" s="3">
        <f>IF(INDEX(学年度总表!$K$3:$K$1025,MATCH($E101,学年度总表!$E$3:$E$1025,0))="","",INDEX(学年度总表!$K$3:$K$1025,MATCH($E101,学年度总表!$E$3:$E$1025,0)))</f>
        <v>11.3</v>
      </c>
      <c r="L101" s="3">
        <f>IF(INDEX(学年度总表!$L$3:$L$1025,MATCH($E101,学年度总表!$E$3:$E$1025,0))="","",INDEX(学年度总表!$L$3:$L$1025,MATCH($E101,学年度总表!$E$3:$E$1025,0)))</f>
        <v>60.07</v>
      </c>
      <c r="M101" s="3">
        <f>IF(INDEX(学年度总表!$M$3:$M$1025,MATCH($E101,学年度总表!$E$3:$E$1025,0))="","",INDEX(学年度总表!$M$3:$M$1025,MATCH($E101,学年度总表!$E$3:$E$1025,0)))</f>
        <v>5.95</v>
      </c>
      <c r="N101" s="3">
        <f>IF(INDEX(学年度总表!$N$3:$N$1025,MATCH($E101,学年度总表!$E$3:$E$1025,0))="","",INDEX(学年度总表!$N$3:$N$1025,MATCH($E101,学年度总表!$E$3:$E$1025,0)))</f>
        <v>77.319999999999993</v>
      </c>
      <c r="O101" s="3">
        <f>IF(INDEX(学年度总表!$O$3:$O$1025,MATCH($E101,学年度总表!$E$3:$E$1025,0))="","",INDEX(学年度总表!$O$3:$O$1025,MATCH($E101,学年度总表!$E$3:$E$1025,0)))</f>
        <v>149.86000000000001</v>
      </c>
      <c r="P101" s="2" t="str">
        <f>IF(INDEX(学年度总表!$P$3:$P$1025,MATCH($E101,学年度总表!$E$3:$E$1025,0))="","",INDEX(学年度总表!$P$3:$P$1025,MATCH($E101,学年度总表!$E$3:$E$1025,0)))</f>
        <v/>
      </c>
      <c r="Q101" s="5" t="str">
        <f>IF(INDEX(学年度总表!$Q$3:$Q$1025,MATCH($E101,学年度总表!$E$3:$E$1025,0))="","",INDEX(学年度总表!$Q$3:$Q$1025,MATCH($E101,学年度总表!$E$3:$E$1025,0)))</f>
        <v/>
      </c>
    </row>
    <row r="102" spans="1:17">
      <c r="A102" s="2">
        <f>IF(INDEX(学年度总表!$A$3:$A$1025,MATCH($E102,学年度总表!$E$3:$E$1025,0))="","",INDEX(学年度总表!$A$3:$A$1025,MATCH($E102,学年度总表!$E$3:$E$1025,0)))</f>
        <v>257</v>
      </c>
      <c r="B102" s="2">
        <f>IF(INDEX(学年度总表!$B$3:$B$1025,MATCH($E102,学年度总表!$E$3:$E$1025,0))="","",INDEX(学年度总表!$B$3:$B$1025,MATCH($E102,学年度总表!$E$3:$E$1025,0)))</f>
        <v>100</v>
      </c>
      <c r="C102" s="2" t="str">
        <f>IF(INDEX(学年度总表!$C$3:$C$1025,MATCH($E102,学年度总表!$E$3:$E$1025,0))="","",INDEX(学年度总表!$C$3:$C$1025,MATCH($E102,学年度总表!$E$3:$E$1025,0)))</f>
        <v>软工</v>
      </c>
      <c r="D102" s="2" t="str">
        <f>IF(INDEX(学年度总表!$D$3:$D$1025,MATCH($E102,学年度总表!$E$3:$E$1025,0))="","",INDEX(学年度总表!$D$3:$D$1025,MATCH($E102,学年度总表!$E$3:$E$1025,0)))</f>
        <v>软工10班</v>
      </c>
      <c r="E102" s="2" t="s">
        <v>573</v>
      </c>
      <c r="F102" s="2" t="str">
        <f>IF(INDEX(学年度总表!$F$3:$F$1025,MATCH($E102,学年度总表!$E$3:$E$1025,0))="","",INDEX(学年度总表!$F$3:$F$1025,MATCH($E102,学年度总表!$E$3:$E$1025,0)))</f>
        <v>韩奇彤</v>
      </c>
      <c r="G102" s="3">
        <f>IF(INDEX(学年度总表!$G$3:$G$1025,MATCH($E102,学年度总表!$E$3:$E$1025,0))="","",INDEX(学年度总表!$G$3:$G$1025,MATCH($E102,学年度总表!$E$3:$E$1025,0)))</f>
        <v>9.8000000000000007</v>
      </c>
      <c r="H102" s="3">
        <f>IF(INDEX(学年度总表!$H$3:$H$1025,MATCH($E102,学年度总表!$E$3:$E$1025,0))="","",INDEX(学年度总表!$H$3:$H$1025,MATCH($E102,学年度总表!$E$3:$E$1025,0)))</f>
        <v>68.459999999999994</v>
      </c>
      <c r="I102" s="3">
        <f>IF(INDEX(学年度总表!$I$3:$I$1025,MATCH($E102,学年度总表!$E$3:$E$1025,0))="","",INDEX(学年度总表!$I$3:$I$1025,MATCH($E102,学年度总表!$E$3:$E$1025,0)))</f>
        <v>3.3</v>
      </c>
      <c r="J102" s="3">
        <f>IF(INDEX(学年度总表!$J$3:$J$1025,MATCH($E102,学年度总表!$E$3:$E$1025,0))="","",INDEX(学年度总表!$J$3:$J$1025,MATCH($E102,学年度总表!$E$3:$E$1025,0)))</f>
        <v>81.56</v>
      </c>
      <c r="K102" s="3">
        <f>IF(INDEX(学年度总表!$K$3:$K$1025,MATCH($E102,学年度总表!$E$3:$E$1025,0))="","",INDEX(学年度总表!$K$3:$K$1025,MATCH($E102,学年度总表!$E$3:$E$1025,0)))</f>
        <v>9.4</v>
      </c>
      <c r="L102" s="3">
        <f>IF(INDEX(学年度总表!$L$3:$L$1025,MATCH($E102,学年度总表!$E$3:$E$1025,0))="","",INDEX(学年度总表!$L$3:$L$1025,MATCH($E102,学年度总表!$E$3:$E$1025,0)))</f>
        <v>55.11</v>
      </c>
      <c r="M102" s="3">
        <f>IF(INDEX(学年度总表!$M$3:$M$1025,MATCH($E102,学年度总表!$E$3:$E$1025,0))="","",INDEX(学年度总表!$M$3:$M$1025,MATCH($E102,学年度总表!$E$3:$E$1025,0)))</f>
        <v>3.5</v>
      </c>
      <c r="N102" s="3">
        <f>IF(INDEX(学年度总表!$N$3:$N$1025,MATCH($E102,学年度总表!$E$3:$E$1025,0))="","",INDEX(学年度总表!$N$3:$N$1025,MATCH($E102,学年度总表!$E$3:$E$1025,0)))</f>
        <v>68.010000000000005</v>
      </c>
      <c r="O102" s="3">
        <f>IF(INDEX(学年度总表!$O$3:$O$1025,MATCH($E102,学年度总表!$E$3:$E$1025,0))="","",INDEX(学年度总表!$O$3:$O$1025,MATCH($E102,学年度总表!$E$3:$E$1025,0)))</f>
        <v>149.57</v>
      </c>
      <c r="P102" s="2" t="str">
        <f>IF(INDEX(学年度总表!$P$3:$P$1025,MATCH($E102,学年度总表!$E$3:$E$1025,0))="","",INDEX(学年度总表!$P$3:$P$1025,MATCH($E102,学年度总表!$E$3:$E$1025,0)))</f>
        <v/>
      </c>
      <c r="Q102" s="5" t="str">
        <f>IF(INDEX(学年度总表!$Q$3:$Q$1025,MATCH($E102,学年度总表!$E$3:$E$1025,0))="","",INDEX(学年度总表!$Q$3:$Q$1025,MATCH($E102,学年度总表!$E$3:$E$1025,0)))</f>
        <v/>
      </c>
    </row>
    <row r="103" spans="1:17">
      <c r="A103" s="2">
        <f>IF(INDEX(学年度总表!$A$3:$A$1025,MATCH($E103,学年度总表!$E$3:$E$1025,0))="","",INDEX(学年度总表!$A$3:$A$1025,MATCH($E103,学年度总表!$E$3:$E$1025,0)))</f>
        <v>258</v>
      </c>
      <c r="B103" s="2">
        <f>IF(INDEX(学年度总表!$B$3:$B$1025,MATCH($E103,学年度总表!$E$3:$E$1025,0))="","",INDEX(学年度总表!$B$3:$B$1025,MATCH($E103,学年度总表!$E$3:$E$1025,0)))</f>
        <v>101</v>
      </c>
      <c r="C103" s="2" t="str">
        <f>IF(INDEX(学年度总表!$C$3:$C$1025,MATCH($E103,学年度总表!$E$3:$E$1025,0))="","",INDEX(学年度总表!$C$3:$C$1025,MATCH($E103,学年度总表!$E$3:$E$1025,0)))</f>
        <v>软工</v>
      </c>
      <c r="D103" s="2" t="str">
        <f>IF(INDEX(学年度总表!$D$3:$D$1025,MATCH($E103,学年度总表!$E$3:$E$1025,0))="","",INDEX(学年度总表!$D$3:$D$1025,MATCH($E103,学年度总表!$E$3:$E$1025,0)))</f>
        <v>软工13班</v>
      </c>
      <c r="E103" s="2" t="s">
        <v>575</v>
      </c>
      <c r="F103" s="2" t="str">
        <f>IF(INDEX(学年度总表!$F$3:$F$1025,MATCH($E103,学年度总表!$E$3:$E$1025,0))="","",INDEX(学年度总表!$F$3:$F$1025,MATCH($E103,学年度总表!$E$3:$E$1025,0)))</f>
        <v>刘栗冉</v>
      </c>
      <c r="G103" s="3">
        <f>IF(INDEX(学年度总表!$G$3:$G$1025,MATCH($E103,学年度总表!$E$3:$E$1025,0))="","",INDEX(学年度总表!$G$3:$G$1025,MATCH($E103,学年度总表!$E$3:$E$1025,0)))</f>
        <v>10.3</v>
      </c>
      <c r="H103" s="3">
        <f>IF(INDEX(学年度总表!$H$3:$H$1025,MATCH($E103,学年度总表!$E$3:$E$1025,0))="","",INDEX(学年度总表!$H$3:$H$1025,MATCH($E103,学年度总表!$E$3:$E$1025,0)))</f>
        <v>59.33</v>
      </c>
      <c r="I103" s="3">
        <f>IF(INDEX(学年度总表!$I$3:$I$1025,MATCH($E103,学年度总表!$E$3:$E$1025,0))="","",INDEX(学年度总表!$I$3:$I$1025,MATCH($E103,学年度总表!$E$3:$E$1025,0)))</f>
        <v>4</v>
      </c>
      <c r="J103" s="3">
        <f>IF(INDEX(学年度总表!$J$3:$J$1025,MATCH($E103,学年度总表!$E$3:$E$1025,0))="","",INDEX(学年度总表!$J$3:$J$1025,MATCH($E103,学年度总表!$E$3:$E$1025,0)))</f>
        <v>73.63</v>
      </c>
      <c r="K103" s="3">
        <f>IF(INDEX(学年度总表!$K$3:$K$1025,MATCH($E103,学年度总表!$E$3:$E$1025,0))="","",INDEX(学年度总表!$K$3:$K$1025,MATCH($E103,学年度总表!$E$3:$E$1025,0)))</f>
        <v>9.8000000000000007</v>
      </c>
      <c r="L103" s="3">
        <f>IF(INDEX(学年度总表!$L$3:$L$1025,MATCH($E103,学年度总表!$E$3:$E$1025,0))="","",INDEX(学年度总表!$L$3:$L$1025,MATCH($E103,学年度总表!$E$3:$E$1025,0)))</f>
        <v>60.91</v>
      </c>
      <c r="M103" s="3">
        <f>IF(INDEX(学年度总表!$M$3:$M$1025,MATCH($E103,学年度总表!$E$3:$E$1025,0))="","",INDEX(学年度总表!$M$3:$M$1025,MATCH($E103,学年度总表!$E$3:$E$1025,0)))</f>
        <v>5.2</v>
      </c>
      <c r="N103" s="3">
        <f>IF(INDEX(学年度总表!$N$3:$N$1025,MATCH($E103,学年度总表!$E$3:$E$1025,0))="","",INDEX(学年度总表!$N$3:$N$1025,MATCH($E103,学年度总表!$E$3:$E$1025,0)))</f>
        <v>75.91</v>
      </c>
      <c r="O103" s="3">
        <f>IF(INDEX(学年度总表!$O$3:$O$1025,MATCH($E103,学年度总表!$E$3:$E$1025,0))="","",INDEX(学年度总表!$O$3:$O$1025,MATCH($E103,学年度总表!$E$3:$E$1025,0)))</f>
        <v>149.54</v>
      </c>
      <c r="P103" s="2" t="str">
        <f>IF(INDEX(学年度总表!$P$3:$P$1025,MATCH($E103,学年度总表!$E$3:$E$1025,0))="","",INDEX(学年度总表!$P$3:$P$1025,MATCH($E103,学年度总表!$E$3:$E$1025,0)))</f>
        <v/>
      </c>
      <c r="Q103" s="5" t="str">
        <f>IF(INDEX(学年度总表!$Q$3:$Q$1025,MATCH($E103,学年度总表!$E$3:$E$1025,0))="","",INDEX(学年度总表!$Q$3:$Q$1025,MATCH($E103,学年度总表!$E$3:$E$1025,0)))</f>
        <v/>
      </c>
    </row>
    <row r="104" spans="1:17">
      <c r="A104" s="2">
        <f>IF(INDEX(学年度总表!$A$3:$A$1025,MATCH($E104,学年度总表!$E$3:$E$1025,0))="","",INDEX(学年度总表!$A$3:$A$1025,MATCH($E104,学年度总表!$E$3:$E$1025,0)))</f>
        <v>259</v>
      </c>
      <c r="B104" s="2">
        <f>IF(INDEX(学年度总表!$B$3:$B$1025,MATCH($E104,学年度总表!$E$3:$E$1025,0))="","",INDEX(学年度总表!$B$3:$B$1025,MATCH($E104,学年度总表!$E$3:$E$1025,0)))</f>
        <v>102</v>
      </c>
      <c r="C104" s="2" t="str">
        <f>IF(INDEX(学年度总表!$C$3:$C$1025,MATCH($E104,学年度总表!$E$3:$E$1025,0))="","",INDEX(学年度总表!$C$3:$C$1025,MATCH($E104,学年度总表!$E$3:$E$1025,0)))</f>
        <v>软工</v>
      </c>
      <c r="D104" s="2" t="str">
        <f>IF(INDEX(学年度总表!$D$3:$D$1025,MATCH($E104,学年度总表!$E$3:$E$1025,0))="","",INDEX(学年度总表!$D$3:$D$1025,MATCH($E104,学年度总表!$E$3:$E$1025,0)))</f>
        <v>软工12班</v>
      </c>
      <c r="E104" s="2" t="s">
        <v>577</v>
      </c>
      <c r="F104" s="2" t="str">
        <f>IF(INDEX(学年度总表!$F$3:$F$1025,MATCH($E104,学年度总表!$E$3:$E$1025,0))="","",INDEX(学年度总表!$F$3:$F$1025,MATCH($E104,学年度总表!$E$3:$E$1025,0)))</f>
        <v>吴艽龙</v>
      </c>
      <c r="G104" s="3">
        <f>IF(INDEX(学年度总表!$G$3:$G$1025,MATCH($E104,学年度总表!$E$3:$E$1025,0))="","",INDEX(学年度总表!$G$3:$G$1025,MATCH($E104,学年度总表!$E$3:$E$1025,0)))</f>
        <v>13.3</v>
      </c>
      <c r="H104" s="3">
        <f>IF(INDEX(学年度总表!$H$3:$H$1025,MATCH($E104,学年度总表!$E$3:$E$1025,0))="","",INDEX(学年度总表!$H$3:$H$1025,MATCH($E104,学年度总表!$E$3:$E$1025,0)))</f>
        <v>56.69</v>
      </c>
      <c r="I104" s="3">
        <f>IF(INDEX(学年度总表!$I$3:$I$1025,MATCH($E104,学年度总表!$E$3:$E$1025,0))="","",INDEX(学年度总表!$I$3:$I$1025,MATCH($E104,学年度总表!$E$3:$E$1025,0)))</f>
        <v>4</v>
      </c>
      <c r="J104" s="3">
        <f>IF(INDEX(学年度总表!$J$3:$J$1025,MATCH($E104,学年度总表!$E$3:$E$1025,0))="","",INDEX(学年度总表!$J$3:$J$1025,MATCH($E104,学年度总表!$E$3:$E$1025,0)))</f>
        <v>73.989999999999995</v>
      </c>
      <c r="K104" s="3">
        <f>IF(INDEX(学年度总表!$K$3:$K$1025,MATCH($E104,学年度总表!$E$3:$E$1025,0))="","",INDEX(学年度总表!$K$3:$K$1025,MATCH($E104,学年度总表!$E$3:$E$1025,0)))</f>
        <v>11.8</v>
      </c>
      <c r="L104" s="3">
        <f>IF(INDEX(学年度总表!$L$3:$L$1025,MATCH($E104,学年度总表!$E$3:$E$1025,0))="","",INDEX(学年度总表!$L$3:$L$1025,MATCH($E104,学年度总表!$E$3:$E$1025,0)))</f>
        <v>58.68</v>
      </c>
      <c r="M104" s="3">
        <f>IF(INDEX(学年度总表!$M$3:$M$1025,MATCH($E104,学年度总表!$E$3:$E$1025,0))="","",INDEX(学年度总表!$M$3:$M$1025,MATCH($E104,学年度总表!$E$3:$E$1025,0)))</f>
        <v>5.05</v>
      </c>
      <c r="N104" s="3">
        <f>IF(INDEX(学年度总表!$N$3:$N$1025,MATCH($E104,学年度总表!$E$3:$E$1025,0))="","",INDEX(学年度总表!$N$3:$N$1025,MATCH($E104,学年度总表!$E$3:$E$1025,0)))</f>
        <v>75.53</v>
      </c>
      <c r="O104" s="3">
        <f>IF(INDEX(学年度总表!$O$3:$O$1025,MATCH($E104,学年度总表!$E$3:$E$1025,0))="","",INDEX(学年度总表!$O$3:$O$1025,MATCH($E104,学年度总表!$E$3:$E$1025,0)))</f>
        <v>149.52000000000001</v>
      </c>
      <c r="P104" s="4" t="str">
        <f>IF(INDEX(学年度总表!$P$3:$P$1025,MATCH($E104,学年度总表!$E$3:$E$1025,0))="","",INDEX(学年度总表!$P$3:$P$1025,MATCH($E104,学年度总表!$E$3:$E$1025,0)))</f>
        <v>国励、优秀学生教官</v>
      </c>
      <c r="Q104" s="5" t="str">
        <f>IF(INDEX(学年度总表!$Q$3:$Q$1025,MATCH($E104,学年度总表!$E$3:$E$1025,0))="","",INDEX(学年度总表!$Q$3:$Q$1025,MATCH($E104,学年度总表!$E$3:$E$1025,0)))</f>
        <v/>
      </c>
    </row>
    <row r="105" spans="1:17">
      <c r="A105" s="2">
        <f>IF(INDEX(学年度总表!$A$3:$A$1025,MATCH($E105,学年度总表!$E$3:$E$1025,0))="","",INDEX(学年度总表!$A$3:$A$1025,MATCH($E105,学年度总表!$E$3:$E$1025,0)))</f>
        <v>263</v>
      </c>
      <c r="B105" s="2">
        <f>IF(INDEX(学年度总表!$B$3:$B$1025,MATCH($E105,学年度总表!$E$3:$E$1025,0))="","",INDEX(学年度总表!$B$3:$B$1025,MATCH($E105,学年度总表!$E$3:$E$1025,0)))</f>
        <v>103</v>
      </c>
      <c r="C105" s="2" t="str">
        <f>IF(INDEX(学年度总表!$C$3:$C$1025,MATCH($E105,学年度总表!$E$3:$E$1025,0))="","",INDEX(学年度总表!$C$3:$C$1025,MATCH($E105,学年度总表!$E$3:$E$1025,0)))</f>
        <v>软工</v>
      </c>
      <c r="D105" s="2" t="str">
        <f>IF(INDEX(学年度总表!$D$3:$D$1025,MATCH($E105,学年度总表!$E$3:$E$1025,0))="","",INDEX(学年度总表!$D$3:$D$1025,MATCH($E105,学年度总表!$E$3:$E$1025,0)))</f>
        <v>软工9班</v>
      </c>
      <c r="E105" s="2" t="s">
        <v>586</v>
      </c>
      <c r="F105" s="2" t="str">
        <f>IF(INDEX(学年度总表!$F$3:$F$1025,MATCH($E105,学年度总表!$E$3:$E$1025,0))="","",INDEX(学年度总表!$F$3:$F$1025,MATCH($E105,学年度总表!$E$3:$E$1025,0)))</f>
        <v>袁芦煜</v>
      </c>
      <c r="G105" s="3">
        <f>IF(INDEX(学年度总表!$G$3:$G$1025,MATCH($E105,学年度总表!$E$3:$E$1025,0))="","",INDEX(学年度总表!$G$3:$G$1025,MATCH($E105,学年度总表!$E$3:$E$1025,0)))</f>
        <v>10.6</v>
      </c>
      <c r="H105" s="3">
        <f>IF(INDEX(学年度总表!$H$3:$H$1025,MATCH($E105,学年度总表!$E$3:$E$1025,0))="","",INDEX(学年度总表!$H$3:$H$1025,MATCH($E105,学年度总表!$E$3:$E$1025,0)))</f>
        <v>60</v>
      </c>
      <c r="I105" s="3">
        <f>IF(INDEX(学年度总表!$I$3:$I$1025,MATCH($E105,学年度总表!$E$3:$E$1025,0))="","",INDEX(学年度总表!$I$3:$I$1025,MATCH($E105,学年度总表!$E$3:$E$1025,0)))</f>
        <v>4.4000000000000004</v>
      </c>
      <c r="J105" s="3">
        <f>IF(INDEX(学年度总表!$J$3:$J$1025,MATCH($E105,学年度总表!$E$3:$E$1025,0))="","",INDEX(学年度总表!$J$3:$J$1025,MATCH($E105,学年度总表!$E$3:$E$1025,0)))</f>
        <v>75</v>
      </c>
      <c r="K105" s="3">
        <f>IF(INDEX(学年度总表!$K$3:$K$1025,MATCH($E105,学年度总表!$E$3:$E$1025,0))="","",INDEX(学年度总表!$K$3:$K$1025,MATCH($E105,学年度总表!$E$3:$E$1025,0)))</f>
        <v>9.8000000000000007</v>
      </c>
      <c r="L105" s="3">
        <f>IF(INDEX(学年度总表!$L$3:$L$1025,MATCH($E105,学年度总表!$E$3:$E$1025,0))="","",INDEX(学年度总表!$L$3:$L$1025,MATCH($E105,学年度总表!$E$3:$E$1025,0)))</f>
        <v>59.61</v>
      </c>
      <c r="M105" s="3">
        <f>IF(INDEX(学年度总表!$M$3:$M$1025,MATCH($E105,学年度总表!$E$3:$E$1025,0))="","",INDEX(学年度总表!$M$3:$M$1025,MATCH($E105,学年度总表!$E$3:$E$1025,0)))</f>
        <v>4.9000000000000004</v>
      </c>
      <c r="N105" s="3">
        <f>IF(INDEX(学年度总表!$N$3:$N$1025,MATCH($E105,学年度总表!$E$3:$E$1025,0))="","",INDEX(学年度总表!$N$3:$N$1025,MATCH($E105,学年度总表!$E$3:$E$1025,0)))</f>
        <v>74.31</v>
      </c>
      <c r="O105" s="3">
        <f>IF(INDEX(学年度总表!$O$3:$O$1025,MATCH($E105,学年度总表!$E$3:$E$1025,0))="","",INDEX(学年度总表!$O$3:$O$1025,MATCH($E105,学年度总表!$E$3:$E$1025,0)))</f>
        <v>149.31</v>
      </c>
      <c r="P105" s="2" t="str">
        <f>IF(INDEX(学年度总表!$P$3:$P$1025,MATCH($E105,学年度总表!$E$3:$E$1025,0))="","",INDEX(学年度总表!$P$3:$P$1025,MATCH($E105,学年度总表!$E$3:$E$1025,0)))</f>
        <v/>
      </c>
      <c r="Q105" s="5" t="str">
        <f>IF(INDEX(学年度总表!$Q$3:$Q$1025,MATCH($E105,学年度总表!$E$3:$E$1025,0))="","",INDEX(学年度总表!$Q$3:$Q$1025,MATCH($E105,学年度总表!$E$3:$E$1025,0)))</f>
        <v/>
      </c>
    </row>
    <row r="106" spans="1:17">
      <c r="A106" s="2">
        <f>IF(INDEX(学年度总表!$A$3:$A$1025,MATCH($E106,学年度总表!$E$3:$E$1025,0))="","",INDEX(学年度总表!$A$3:$A$1025,MATCH($E106,学年度总表!$E$3:$E$1025,0)))</f>
        <v>268</v>
      </c>
      <c r="B106" s="2">
        <f>IF(INDEX(学年度总表!$B$3:$B$1025,MATCH($E106,学年度总表!$E$3:$E$1025,0))="","",INDEX(学年度总表!$B$3:$B$1025,MATCH($E106,学年度总表!$E$3:$E$1025,0)))</f>
        <v>104</v>
      </c>
      <c r="C106" s="2" t="str">
        <f>IF(INDEX(学年度总表!$C$3:$C$1025,MATCH($E106,学年度总表!$E$3:$E$1025,0))="","",INDEX(学年度总表!$C$3:$C$1025,MATCH($E106,学年度总表!$E$3:$E$1025,0)))</f>
        <v>软工</v>
      </c>
      <c r="D106" s="2" t="str">
        <f>IF(INDEX(学年度总表!$D$3:$D$1025,MATCH($E106,学年度总表!$E$3:$E$1025,0))="","",INDEX(学年度总表!$D$3:$D$1025,MATCH($E106,学年度总表!$E$3:$E$1025,0)))</f>
        <v>软工10班</v>
      </c>
      <c r="E106" s="2" t="s">
        <v>596</v>
      </c>
      <c r="F106" s="2" t="str">
        <f>IF(INDEX(学年度总表!$F$3:$F$1025,MATCH($E106,学年度总表!$E$3:$E$1025,0))="","",INDEX(学年度总表!$F$3:$F$1025,MATCH($E106,学年度总表!$E$3:$E$1025,0)))</f>
        <v>庞相蓉</v>
      </c>
      <c r="G106" s="3">
        <f>IF(INDEX(学年度总表!$G$3:$G$1025,MATCH($E106,学年度总表!$E$3:$E$1025,0))="","",INDEX(学年度总表!$G$3:$G$1025,MATCH($E106,学年度总表!$E$3:$E$1025,0)))</f>
        <v>9.8000000000000007</v>
      </c>
      <c r="H106" s="3">
        <f>IF(INDEX(学年度总表!$H$3:$H$1025,MATCH($E106,学年度总表!$E$3:$E$1025,0))="","",INDEX(学年度总表!$H$3:$H$1025,MATCH($E106,学年度总表!$E$3:$E$1025,0)))</f>
        <v>62.8</v>
      </c>
      <c r="I106" s="3">
        <f>IF(INDEX(学年度总表!$I$3:$I$1025,MATCH($E106,学年度总表!$E$3:$E$1025,0))="","",INDEX(学年度总表!$I$3:$I$1025,MATCH($E106,学年度总表!$E$3:$E$1025,0)))</f>
        <v>3</v>
      </c>
      <c r="J106" s="3">
        <f>IF(INDEX(学年度总表!$J$3:$J$1025,MATCH($E106,学年度总表!$E$3:$E$1025,0))="","",INDEX(学年度总表!$J$3:$J$1025,MATCH($E106,学年度总表!$E$3:$E$1025,0)))</f>
        <v>75.599999999999994</v>
      </c>
      <c r="K106" s="3">
        <f>IF(INDEX(学年度总表!$K$3:$K$1025,MATCH($E106,学年度总表!$E$3:$E$1025,0))="","",INDEX(学年度总表!$K$3:$K$1025,MATCH($E106,学年度总表!$E$3:$E$1025,0)))</f>
        <v>9.8000000000000007</v>
      </c>
      <c r="L106" s="3">
        <f>IF(INDEX(学年度总表!$L$3:$L$1025,MATCH($E106,学年度总表!$E$3:$E$1025,0))="","",INDEX(学年度总表!$L$3:$L$1025,MATCH($E106,学年度总表!$E$3:$E$1025,0)))</f>
        <v>60.19</v>
      </c>
      <c r="M106" s="3">
        <f>IF(INDEX(学年度总表!$M$3:$M$1025,MATCH($E106,学年度总表!$E$3:$E$1025,0))="","",INDEX(学年度总表!$M$3:$M$1025,MATCH($E106,学年度总表!$E$3:$E$1025,0)))</f>
        <v>3.5</v>
      </c>
      <c r="N106" s="3">
        <f>IF(INDEX(学年度总表!$N$3:$N$1025,MATCH($E106,学年度总表!$E$3:$E$1025,0))="","",INDEX(学年度总表!$N$3:$N$1025,MATCH($E106,学年度总表!$E$3:$E$1025,0)))</f>
        <v>73.489999999999995</v>
      </c>
      <c r="O106" s="3">
        <f>IF(INDEX(学年度总表!$O$3:$O$1025,MATCH($E106,学年度总表!$E$3:$E$1025,0))="","",INDEX(学年度总表!$O$3:$O$1025,MATCH($E106,学年度总表!$E$3:$E$1025,0)))</f>
        <v>149.09</v>
      </c>
      <c r="P106" s="4" t="str">
        <f>IF(INDEX(学年度总表!$P$3:$P$1025,MATCH($E106,学年度总表!$E$3:$E$1025,0))="","",INDEX(学年度总表!$P$3:$P$1025,MATCH($E106,学年度总表!$E$3:$E$1025,0)))</f>
        <v>国励</v>
      </c>
      <c r="Q106" s="5" t="str">
        <f>IF(INDEX(学年度总表!$Q$3:$Q$1025,MATCH($E106,学年度总表!$E$3:$E$1025,0))="","",INDEX(学年度总表!$Q$3:$Q$1025,MATCH($E106,学年度总表!$E$3:$E$1025,0)))</f>
        <v/>
      </c>
    </row>
    <row r="107" spans="1:17">
      <c r="A107" s="2">
        <f>IF(INDEX(学年度总表!$A$3:$A$1025,MATCH($E107,学年度总表!$E$3:$E$1025,0))="","",INDEX(学年度总表!$A$3:$A$1025,MATCH($E107,学年度总表!$E$3:$E$1025,0)))</f>
        <v>272</v>
      </c>
      <c r="B107" s="2">
        <f>IF(INDEX(学年度总表!$B$3:$B$1025,MATCH($E107,学年度总表!$E$3:$E$1025,0))="","",INDEX(学年度总表!$B$3:$B$1025,MATCH($E107,学年度总表!$E$3:$E$1025,0)))</f>
        <v>105</v>
      </c>
      <c r="C107" s="2" t="str">
        <f>IF(INDEX(学年度总表!$C$3:$C$1025,MATCH($E107,学年度总表!$E$3:$E$1025,0))="","",INDEX(学年度总表!$C$3:$C$1025,MATCH($E107,学年度总表!$E$3:$E$1025,0)))</f>
        <v>软工</v>
      </c>
      <c r="D107" s="2" t="str">
        <f>IF(INDEX(学年度总表!$D$3:$D$1025,MATCH($E107,学年度总表!$E$3:$E$1025,0))="","",INDEX(学年度总表!$D$3:$D$1025,MATCH($E107,学年度总表!$E$3:$E$1025,0)))</f>
        <v>软工14班</v>
      </c>
      <c r="E107" s="2" t="s">
        <v>604</v>
      </c>
      <c r="F107" s="2" t="str">
        <f>IF(INDEX(学年度总表!$F$3:$F$1025,MATCH($E107,学年度总表!$E$3:$E$1025,0))="","",INDEX(学年度总表!$F$3:$F$1025,MATCH($E107,学年度总表!$E$3:$E$1025,0)))</f>
        <v>于巾桐</v>
      </c>
      <c r="G107" s="3">
        <f>IF(INDEX(学年度总表!$G$3:$G$1025,MATCH($E107,学年度总表!$E$3:$E$1025,0))="","",INDEX(学年度总表!$G$3:$G$1025,MATCH($E107,学年度总表!$E$3:$E$1025,0)))</f>
        <v>10</v>
      </c>
      <c r="H107" s="3">
        <f>IF(INDEX(学年度总表!$H$3:$H$1025,MATCH($E107,学年度总表!$E$3:$E$1025,0))="","",INDEX(学年度总表!$H$3:$H$1025,MATCH($E107,学年度总表!$E$3:$E$1025,0)))</f>
        <v>62.45</v>
      </c>
      <c r="I107" s="3">
        <f>IF(INDEX(学年度总表!$I$3:$I$1025,MATCH($E107,学年度总表!$E$3:$E$1025,0))="","",INDEX(学年度总表!$I$3:$I$1025,MATCH($E107,学年度总表!$E$3:$E$1025,0)))</f>
        <v>3</v>
      </c>
      <c r="J107" s="3">
        <f>IF(INDEX(学年度总表!$J$3:$J$1025,MATCH($E107,学年度总表!$E$3:$E$1025,0))="","",INDEX(学年度总表!$J$3:$J$1025,MATCH($E107,学年度总表!$E$3:$E$1025,0)))</f>
        <v>75.45</v>
      </c>
      <c r="K107" s="3">
        <f>IF(INDEX(学年度总表!$K$3:$K$1025,MATCH($E107,学年度总表!$E$3:$E$1025,0))="","",INDEX(学年度总表!$K$3:$K$1025,MATCH($E107,学年度总表!$E$3:$E$1025,0)))</f>
        <v>9.8000000000000007</v>
      </c>
      <c r="L107" s="3">
        <f>IF(INDEX(学年度总表!$L$3:$L$1025,MATCH($E107,学年度总表!$E$3:$E$1025,0))="","",INDEX(学年度总表!$L$3:$L$1025,MATCH($E107,学年度总表!$E$3:$E$1025,0)))</f>
        <v>60.19</v>
      </c>
      <c r="M107" s="3">
        <f>IF(INDEX(学年度总表!$M$3:$M$1025,MATCH($E107,学年度总表!$E$3:$E$1025,0))="","",INDEX(学年度总表!$M$3:$M$1025,MATCH($E107,学年度总表!$E$3:$E$1025,0)))</f>
        <v>3.5</v>
      </c>
      <c r="N107" s="3">
        <f>IF(INDEX(学年度总表!$N$3:$N$1025,MATCH($E107,学年度总表!$E$3:$E$1025,0))="","",INDEX(学年度总表!$N$3:$N$1025,MATCH($E107,学年度总表!$E$3:$E$1025,0)))</f>
        <v>73.489999999999995</v>
      </c>
      <c r="O107" s="3">
        <f>IF(INDEX(学年度总表!$O$3:$O$1025,MATCH($E107,学年度总表!$E$3:$E$1025,0))="","",INDEX(学年度总表!$O$3:$O$1025,MATCH($E107,学年度总表!$E$3:$E$1025,0)))</f>
        <v>148.94</v>
      </c>
      <c r="P107" s="2" t="str">
        <f>IF(INDEX(学年度总表!$P$3:$P$1025,MATCH($E107,学年度总表!$E$3:$E$1025,0))="","",INDEX(学年度总表!$P$3:$P$1025,MATCH($E107,学年度总表!$E$3:$E$1025,0)))</f>
        <v/>
      </c>
      <c r="Q107" s="5" t="str">
        <f>IF(INDEX(学年度总表!$Q$3:$Q$1025,MATCH($E107,学年度总表!$E$3:$E$1025,0))="","",INDEX(学年度总表!$Q$3:$Q$1025,MATCH($E107,学年度总表!$E$3:$E$1025,0)))</f>
        <v/>
      </c>
    </row>
    <row r="108" spans="1:17">
      <c r="A108" s="2">
        <f>IF(INDEX(学年度总表!$A$3:$A$1025,MATCH($E108,学年度总表!$E$3:$E$1025,0))="","",INDEX(学年度总表!$A$3:$A$1025,MATCH($E108,学年度总表!$E$3:$E$1025,0)))</f>
        <v>273</v>
      </c>
      <c r="B108" s="2">
        <f>IF(INDEX(学年度总表!$B$3:$B$1025,MATCH($E108,学年度总表!$E$3:$E$1025,0))="","",INDEX(学年度总表!$B$3:$B$1025,MATCH($E108,学年度总表!$E$3:$E$1025,0)))</f>
        <v>106</v>
      </c>
      <c r="C108" s="2" t="str">
        <f>IF(INDEX(学年度总表!$C$3:$C$1025,MATCH($E108,学年度总表!$E$3:$E$1025,0))="","",INDEX(学年度总表!$C$3:$C$1025,MATCH($E108,学年度总表!$E$3:$E$1025,0)))</f>
        <v>软工</v>
      </c>
      <c r="D108" s="2" t="str">
        <f>IF(INDEX(学年度总表!$D$3:$D$1025,MATCH($E108,学年度总表!$E$3:$E$1025,0))="","",INDEX(学年度总表!$D$3:$D$1025,MATCH($E108,学年度总表!$E$3:$E$1025,0)))</f>
        <v>软工12班</v>
      </c>
      <c r="E108" s="2" t="s">
        <v>606</v>
      </c>
      <c r="F108" s="2" t="str">
        <f>IF(INDEX(学年度总表!$F$3:$F$1025,MATCH($E108,学年度总表!$E$3:$E$1025,0))="","",INDEX(学年度总表!$F$3:$F$1025,MATCH($E108,学年度总表!$E$3:$E$1025,0)))</f>
        <v>吴伊凡</v>
      </c>
      <c r="G108" s="3">
        <f>IF(INDEX(学年度总表!$G$3:$G$1025,MATCH($E108,学年度总表!$E$3:$E$1025,0))="","",INDEX(学年度总表!$G$3:$G$1025,MATCH($E108,学年度总表!$E$3:$E$1025,0)))</f>
        <v>9.8000000000000007</v>
      </c>
      <c r="H108" s="3">
        <f>IF(INDEX(学年度总表!$H$3:$H$1025,MATCH($E108,学年度总表!$E$3:$E$1025,0))="","",INDEX(学年度总表!$H$3:$H$1025,MATCH($E108,学年度总表!$E$3:$E$1025,0)))</f>
        <v>60.52</v>
      </c>
      <c r="I108" s="3">
        <f>IF(INDEX(学年度总表!$I$3:$I$1025,MATCH($E108,学年度总表!$E$3:$E$1025,0))="","",INDEX(学年度总表!$I$3:$I$1025,MATCH($E108,学年度总表!$E$3:$E$1025,0)))</f>
        <v>3.4</v>
      </c>
      <c r="J108" s="3">
        <f>IF(INDEX(学年度总表!$J$3:$J$1025,MATCH($E108,学年度总表!$E$3:$E$1025,0))="","",INDEX(学年度总表!$J$3:$J$1025,MATCH($E108,学年度总表!$E$3:$E$1025,0)))</f>
        <v>73.72</v>
      </c>
      <c r="K108" s="3">
        <f>IF(INDEX(学年度总表!$K$3:$K$1025,MATCH($E108,学年度总表!$E$3:$E$1025,0))="","",INDEX(学年度总表!$K$3:$K$1025,MATCH($E108,学年度总表!$E$3:$E$1025,0)))</f>
        <v>9.8000000000000007</v>
      </c>
      <c r="L108" s="3">
        <f>IF(INDEX(学年度总表!$L$3:$L$1025,MATCH($E108,学年度总表!$E$3:$E$1025,0))="","",INDEX(学年度总表!$L$3:$L$1025,MATCH($E108,学年度总表!$E$3:$E$1025,0)))</f>
        <v>59.88</v>
      </c>
      <c r="M108" s="3">
        <f>IF(INDEX(学年度总表!$M$3:$M$1025,MATCH($E108,学年度总表!$E$3:$E$1025,0))="","",INDEX(学年度总表!$M$3:$M$1025,MATCH($E108,学年度总表!$E$3:$E$1025,0)))</f>
        <v>5.4</v>
      </c>
      <c r="N108" s="3">
        <f>IF(INDEX(学年度总表!$N$3:$N$1025,MATCH($E108,学年度总表!$E$3:$E$1025,0))="","",INDEX(学年度总表!$N$3:$N$1025,MATCH($E108,学年度总表!$E$3:$E$1025,0)))</f>
        <v>75.08</v>
      </c>
      <c r="O108" s="3">
        <f>IF(INDEX(学年度总表!$O$3:$O$1025,MATCH($E108,学年度总表!$E$3:$E$1025,0))="","",INDEX(学年度总表!$O$3:$O$1025,MATCH($E108,学年度总表!$E$3:$E$1025,0)))</f>
        <v>148.80000000000001</v>
      </c>
      <c r="P108" s="2" t="str">
        <f>IF(INDEX(学年度总表!$P$3:$P$1025,MATCH($E108,学年度总表!$E$3:$E$1025,0))="","",INDEX(学年度总表!$P$3:$P$1025,MATCH($E108,学年度总表!$E$3:$E$1025,0)))</f>
        <v/>
      </c>
      <c r="Q108" s="5" t="str">
        <f>IF(INDEX(学年度总表!$Q$3:$Q$1025,MATCH($E108,学年度总表!$E$3:$E$1025,0))="","",INDEX(学年度总表!$Q$3:$Q$1025,MATCH($E108,学年度总表!$E$3:$E$1025,0)))</f>
        <v/>
      </c>
    </row>
    <row r="109" spans="1:17">
      <c r="A109" s="2">
        <f>IF(INDEX(学年度总表!$A$3:$A$1025,MATCH($E109,学年度总表!$E$3:$E$1025,0))="","",INDEX(学年度总表!$A$3:$A$1025,MATCH($E109,学年度总表!$E$3:$E$1025,0)))</f>
        <v>279</v>
      </c>
      <c r="B109" s="2">
        <f>IF(INDEX(学年度总表!$B$3:$B$1025,MATCH($E109,学年度总表!$E$3:$E$1025,0))="","",INDEX(学年度总表!$B$3:$B$1025,MATCH($E109,学年度总表!$E$3:$E$1025,0)))</f>
        <v>107</v>
      </c>
      <c r="C109" s="2" t="str">
        <f>IF(INDEX(学年度总表!$C$3:$C$1025,MATCH($E109,学年度总表!$E$3:$E$1025,0))="","",INDEX(学年度总表!$C$3:$C$1025,MATCH($E109,学年度总表!$E$3:$E$1025,0)))</f>
        <v>软工</v>
      </c>
      <c r="D109" s="2" t="str">
        <f>IF(INDEX(学年度总表!$D$3:$D$1025,MATCH($E109,学年度总表!$E$3:$E$1025,0))="","",INDEX(学年度总表!$D$3:$D$1025,MATCH($E109,学年度总表!$E$3:$E$1025,0)))</f>
        <v>软工6班</v>
      </c>
      <c r="E109" s="2" t="s">
        <v>618</v>
      </c>
      <c r="F109" s="2" t="str">
        <f>IF(INDEX(学年度总表!$F$3:$F$1025,MATCH($E109,学年度总表!$E$3:$E$1025,0))="","",INDEX(学年度总表!$F$3:$F$1025,MATCH($E109,学年度总表!$E$3:$E$1025,0)))</f>
        <v>董雨萌</v>
      </c>
      <c r="G109" s="3">
        <f>IF(INDEX(学年度总表!$G$3:$G$1025,MATCH($E109,学年度总表!$E$3:$E$1025,0))="","",INDEX(学年度总表!$G$3:$G$1025,MATCH($E109,学年度总表!$E$3:$E$1025,0)))</f>
        <v>9.8000000000000007</v>
      </c>
      <c r="H109" s="3">
        <f>IF(INDEX(学年度总表!$H$3:$H$1025,MATCH($E109,学年度总表!$E$3:$E$1025,0))="","",INDEX(学年度总表!$H$3:$H$1025,MATCH($E109,学年度总表!$E$3:$E$1025,0)))</f>
        <v>57.766666666666701</v>
      </c>
      <c r="I109" s="3">
        <f>IF(INDEX(学年度总表!$I$3:$I$1025,MATCH($E109,学年度总表!$E$3:$E$1025,0))="","",INDEX(学年度总表!$I$3:$I$1025,MATCH($E109,学年度总表!$E$3:$E$1025,0)))</f>
        <v>4</v>
      </c>
      <c r="J109" s="3">
        <f>IF(INDEX(学年度总表!$J$3:$J$1025,MATCH($E109,学年度总表!$E$3:$E$1025,0))="","",INDEX(学年度总表!$J$3:$J$1025,MATCH($E109,学年度总表!$E$3:$E$1025,0)))</f>
        <v>71.569999999999993</v>
      </c>
      <c r="K109" s="3">
        <f>IF(INDEX(学年度总表!$K$3:$K$1025,MATCH($E109,学年度总表!$E$3:$E$1025,0))="","",INDEX(学年度总表!$K$3:$K$1025,MATCH($E109,学年度总表!$E$3:$E$1025,0)))</f>
        <v>11.3</v>
      </c>
      <c r="L109" s="3">
        <f>IF(INDEX(学年度总表!$L$3:$L$1025,MATCH($E109,学年度总表!$E$3:$E$1025,0))="","",INDEX(学年度总表!$L$3:$L$1025,MATCH($E109,学年度总表!$E$3:$E$1025,0)))</f>
        <v>58.2</v>
      </c>
      <c r="M109" s="3">
        <f>IF(INDEX(学年度总表!$M$3:$M$1025,MATCH($E109,学年度总表!$E$3:$E$1025,0))="","",INDEX(学年度总表!$M$3:$M$1025,MATCH($E109,学年度总表!$E$3:$E$1025,0)))</f>
        <v>7.5</v>
      </c>
      <c r="N109" s="3">
        <f>IF(INDEX(学年度总表!$N$3:$N$1025,MATCH($E109,学年度总表!$E$3:$E$1025,0))="","",INDEX(学年度总表!$N$3:$N$1025,MATCH($E109,学年度总表!$E$3:$E$1025,0)))</f>
        <v>77</v>
      </c>
      <c r="O109" s="3">
        <f>IF(INDEX(学年度总表!$O$3:$O$1025,MATCH($E109,学年度总表!$E$3:$E$1025,0))="","",INDEX(学年度总表!$O$3:$O$1025,MATCH($E109,学年度总表!$E$3:$E$1025,0)))</f>
        <v>148.57</v>
      </c>
      <c r="P109" s="2" t="str">
        <f>IF(INDEX(学年度总表!$P$3:$P$1025,MATCH($E109,学年度总表!$E$3:$E$1025,0))="","",INDEX(学年度总表!$P$3:$P$1025,MATCH($E109,学年度总表!$E$3:$E$1025,0)))</f>
        <v/>
      </c>
      <c r="Q109" s="5" t="str">
        <f>IF(INDEX(学年度总表!$Q$3:$Q$1025,MATCH($E109,学年度总表!$E$3:$E$1025,0))="","",INDEX(学年度总表!$Q$3:$Q$1025,MATCH($E109,学年度总表!$E$3:$E$1025,0)))</f>
        <v/>
      </c>
    </row>
    <row r="110" spans="1:17">
      <c r="A110" s="2">
        <f>IF(INDEX(学年度总表!$A$3:$A$1025,MATCH($E110,学年度总表!$E$3:$E$1025,0))="","",INDEX(学年度总表!$A$3:$A$1025,MATCH($E110,学年度总表!$E$3:$E$1025,0)))</f>
        <v>285</v>
      </c>
      <c r="B110" s="2">
        <f>IF(INDEX(学年度总表!$B$3:$B$1025,MATCH($E110,学年度总表!$E$3:$E$1025,0))="","",INDEX(学年度总表!$B$3:$B$1025,MATCH($E110,学年度总表!$E$3:$E$1025,0)))</f>
        <v>108</v>
      </c>
      <c r="C110" s="2" t="str">
        <f>IF(INDEX(学年度总表!$C$3:$C$1025,MATCH($E110,学年度总表!$E$3:$E$1025,0))="","",INDEX(学年度总表!$C$3:$C$1025,MATCH($E110,学年度总表!$E$3:$E$1025,0)))</f>
        <v>软工</v>
      </c>
      <c r="D110" s="2" t="str">
        <f>IF(INDEX(学年度总表!$D$3:$D$1025,MATCH($E110,学年度总表!$E$3:$E$1025,0))="","",INDEX(学年度总表!$D$3:$D$1025,MATCH($E110,学年度总表!$E$3:$E$1025,0)))</f>
        <v>软工14班</v>
      </c>
      <c r="E110" s="2" t="s">
        <v>630</v>
      </c>
      <c r="F110" s="2" t="str">
        <f>IF(INDEX(学年度总表!$F$3:$F$1025,MATCH($E110,学年度总表!$E$3:$E$1025,0))="","",INDEX(学年度总表!$F$3:$F$1025,MATCH($E110,学年度总表!$E$3:$E$1025,0)))</f>
        <v>吴冰寒</v>
      </c>
      <c r="G110" s="3">
        <f>IF(INDEX(学年度总表!$G$3:$G$1025,MATCH($E110,学年度总表!$E$3:$E$1025,0))="","",INDEX(学年度总表!$G$3:$G$1025,MATCH($E110,学年度总表!$E$3:$E$1025,0)))</f>
        <v>9.8000000000000007</v>
      </c>
      <c r="H110" s="3">
        <f>IF(INDEX(学年度总表!$H$3:$H$1025,MATCH($E110,学年度总表!$E$3:$E$1025,0))="","",INDEX(学年度总表!$H$3:$H$1025,MATCH($E110,学年度总表!$E$3:$E$1025,0)))</f>
        <v>59.87</v>
      </c>
      <c r="I110" s="3">
        <f>IF(INDEX(学年度总表!$I$3:$I$1025,MATCH($E110,学年度总表!$E$3:$E$1025,0))="","",INDEX(学年度总表!$I$3:$I$1025,MATCH($E110,学年度总表!$E$3:$E$1025,0)))</f>
        <v>4</v>
      </c>
      <c r="J110" s="3">
        <f>IF(INDEX(学年度总表!$J$3:$J$1025,MATCH($E110,学年度总表!$E$3:$E$1025,0))="","",INDEX(学年度总表!$J$3:$J$1025,MATCH($E110,学年度总表!$E$3:$E$1025,0)))</f>
        <v>73.67</v>
      </c>
      <c r="K110" s="3">
        <f>IF(INDEX(学年度总表!$K$3:$K$1025,MATCH($E110,学年度总表!$E$3:$E$1025,0))="","",INDEX(学年度总表!$K$3:$K$1025,MATCH($E110,学年度总表!$E$3:$E$1025,0)))</f>
        <v>9.8000000000000007</v>
      </c>
      <c r="L110" s="3">
        <f>IF(INDEX(学年度总表!$L$3:$L$1025,MATCH($E110,学年度总表!$E$3:$E$1025,0))="","",INDEX(学年度总表!$L$3:$L$1025,MATCH($E110,学年度总表!$E$3:$E$1025,0)))</f>
        <v>61.36</v>
      </c>
      <c r="M110" s="3">
        <f>IF(INDEX(学年度总表!$M$3:$M$1025,MATCH($E110,学年度总表!$E$3:$E$1025,0))="","",INDEX(学年度总表!$M$3:$M$1025,MATCH($E110,学年度总表!$E$3:$E$1025,0)))</f>
        <v>3.5</v>
      </c>
      <c r="N110" s="3">
        <f>IF(INDEX(学年度总表!$N$3:$N$1025,MATCH($E110,学年度总表!$E$3:$E$1025,0))="","",INDEX(学年度总表!$N$3:$N$1025,MATCH($E110,学年度总表!$E$3:$E$1025,0)))</f>
        <v>74.66</v>
      </c>
      <c r="O110" s="3">
        <f>IF(INDEX(学年度总表!$O$3:$O$1025,MATCH($E110,学年度总表!$E$3:$E$1025,0))="","",INDEX(学年度总表!$O$3:$O$1025,MATCH($E110,学年度总表!$E$3:$E$1025,0)))</f>
        <v>148.33000000000001</v>
      </c>
      <c r="P110" s="2" t="str">
        <f>IF(INDEX(学年度总表!$P$3:$P$1025,MATCH($E110,学年度总表!$E$3:$E$1025,0))="","",INDEX(学年度总表!$P$3:$P$1025,MATCH($E110,学年度总表!$E$3:$E$1025,0)))</f>
        <v/>
      </c>
      <c r="Q110" s="5" t="str">
        <f>IF(INDEX(学年度总表!$Q$3:$Q$1025,MATCH($E110,学年度总表!$E$3:$E$1025,0))="","",INDEX(学年度总表!$Q$3:$Q$1025,MATCH($E110,学年度总表!$E$3:$E$1025,0)))</f>
        <v/>
      </c>
    </row>
    <row r="111" spans="1:17">
      <c r="A111" s="2">
        <f>IF(INDEX(学年度总表!$A$3:$A$1025,MATCH($E111,学年度总表!$E$3:$E$1025,0))="","",INDEX(学年度总表!$A$3:$A$1025,MATCH($E111,学年度总表!$E$3:$E$1025,0)))</f>
        <v>286</v>
      </c>
      <c r="B111" s="2">
        <f>IF(INDEX(学年度总表!$B$3:$B$1025,MATCH($E111,学年度总表!$E$3:$E$1025,0))="","",INDEX(学年度总表!$B$3:$B$1025,MATCH($E111,学年度总表!$E$3:$E$1025,0)))</f>
        <v>109</v>
      </c>
      <c r="C111" s="2" t="str">
        <f>IF(INDEX(学年度总表!$C$3:$C$1025,MATCH($E111,学年度总表!$E$3:$E$1025,0))="","",INDEX(学年度总表!$C$3:$C$1025,MATCH($E111,学年度总表!$E$3:$E$1025,0)))</f>
        <v>软工</v>
      </c>
      <c r="D111" s="2" t="str">
        <f>IF(INDEX(学年度总表!$D$3:$D$1025,MATCH($E111,学年度总表!$E$3:$E$1025,0))="","",INDEX(学年度总表!$D$3:$D$1025,MATCH($E111,学年度总表!$E$3:$E$1025,0)))</f>
        <v>软工12班</v>
      </c>
      <c r="E111" s="2" t="s">
        <v>632</v>
      </c>
      <c r="F111" s="2" t="str">
        <f>IF(INDEX(学年度总表!$F$3:$F$1025,MATCH($E111,学年度总表!$E$3:$E$1025,0))="","",INDEX(学年度总表!$F$3:$F$1025,MATCH($E111,学年度总表!$E$3:$E$1025,0)))</f>
        <v>郑钰冉</v>
      </c>
      <c r="G111" s="3">
        <f>IF(INDEX(学年度总表!$G$3:$G$1025,MATCH($E111,学年度总表!$E$3:$E$1025,0))="","",INDEX(学年度总表!$G$3:$G$1025,MATCH($E111,学年度总表!$E$3:$E$1025,0)))</f>
        <v>10</v>
      </c>
      <c r="H111" s="3">
        <f>IF(INDEX(学年度总表!$H$3:$H$1025,MATCH($E111,学年度总表!$E$3:$E$1025,0))="","",INDEX(学年度总表!$H$3:$H$1025,MATCH($E111,学年度总表!$E$3:$E$1025,0)))</f>
        <v>60.43</v>
      </c>
      <c r="I111" s="3">
        <f>IF(INDEX(学年度总表!$I$3:$I$1025,MATCH($E111,学年度总表!$E$3:$E$1025,0))="","",INDEX(学年度总表!$I$3:$I$1025,MATCH($E111,学年度总表!$E$3:$E$1025,0)))</f>
        <v>4.9000000000000004</v>
      </c>
      <c r="J111" s="3">
        <f>IF(INDEX(学年度总表!$J$3:$J$1025,MATCH($E111,学年度总表!$E$3:$E$1025,0))="","",INDEX(学年度总表!$J$3:$J$1025,MATCH($E111,学年度总表!$E$3:$E$1025,0)))</f>
        <v>75.33</v>
      </c>
      <c r="K111" s="3">
        <f>IF(INDEX(学年度总表!$K$3:$K$1025,MATCH($E111,学年度总表!$E$3:$E$1025,0))="","",INDEX(学年度总表!$K$3:$K$1025,MATCH($E111,学年度总表!$E$3:$E$1025,0)))</f>
        <v>10</v>
      </c>
      <c r="L111" s="3">
        <f>IF(INDEX(学年度总表!$L$3:$L$1025,MATCH($E111,学年度总表!$E$3:$E$1025,0))="","",INDEX(学年度总表!$L$3:$L$1025,MATCH($E111,学年度总表!$E$3:$E$1025,0)))</f>
        <v>58.41</v>
      </c>
      <c r="M111" s="3">
        <f>IF(INDEX(学年度总表!$M$3:$M$1025,MATCH($E111,学年度总表!$E$3:$E$1025,0))="","",INDEX(学年度总表!$M$3:$M$1025,MATCH($E111,学年度总表!$E$3:$E$1025,0)))</f>
        <v>4.5</v>
      </c>
      <c r="N111" s="3">
        <f>IF(INDEX(学年度总表!$N$3:$N$1025,MATCH($E111,学年度总表!$E$3:$E$1025,0))="","",INDEX(学年度总表!$N$3:$N$1025,MATCH($E111,学年度总表!$E$3:$E$1025,0)))</f>
        <v>72.91</v>
      </c>
      <c r="O111" s="3">
        <f>IF(INDEX(学年度总表!$O$3:$O$1025,MATCH($E111,学年度总表!$E$3:$E$1025,0))="","",INDEX(学年度总表!$O$3:$O$1025,MATCH($E111,学年度总表!$E$3:$E$1025,0)))</f>
        <v>148.24</v>
      </c>
      <c r="P111" s="2" t="str">
        <f>IF(INDEX(学年度总表!$P$3:$P$1025,MATCH($E111,学年度总表!$E$3:$E$1025,0))="","",INDEX(学年度总表!$P$3:$P$1025,MATCH($E111,学年度总表!$E$3:$E$1025,0)))</f>
        <v/>
      </c>
      <c r="Q111" s="5" t="str">
        <f>IF(INDEX(学年度总表!$Q$3:$Q$1025,MATCH($E111,学年度总表!$E$3:$E$1025,0))="","",INDEX(学年度总表!$Q$3:$Q$1025,MATCH($E111,学年度总表!$E$3:$E$1025,0)))</f>
        <v/>
      </c>
    </row>
    <row r="112" spans="1:17">
      <c r="A112" s="2">
        <f>IF(INDEX(学年度总表!$A$3:$A$1025,MATCH($E112,学年度总表!$E$3:$E$1025,0))="","",INDEX(学年度总表!$A$3:$A$1025,MATCH($E112,学年度总表!$E$3:$E$1025,0)))</f>
        <v>288</v>
      </c>
      <c r="B112" s="2">
        <f>IF(INDEX(学年度总表!$B$3:$B$1025,MATCH($E112,学年度总表!$E$3:$E$1025,0))="","",INDEX(学年度总表!$B$3:$B$1025,MATCH($E112,学年度总表!$E$3:$E$1025,0)))</f>
        <v>110</v>
      </c>
      <c r="C112" s="2" t="str">
        <f>IF(INDEX(学年度总表!$C$3:$C$1025,MATCH($E112,学年度总表!$E$3:$E$1025,0))="","",INDEX(学年度总表!$C$3:$C$1025,MATCH($E112,学年度总表!$E$3:$E$1025,0)))</f>
        <v>软工</v>
      </c>
      <c r="D112" s="2" t="str">
        <f>IF(INDEX(学年度总表!$D$3:$D$1025,MATCH($E112,学年度总表!$E$3:$E$1025,0))="","",INDEX(学年度总表!$D$3:$D$1025,MATCH($E112,学年度总表!$E$3:$E$1025,0)))</f>
        <v>软工11班</v>
      </c>
      <c r="E112" s="2" t="s">
        <v>636</v>
      </c>
      <c r="F112" s="2" t="str">
        <f>IF(INDEX(学年度总表!$F$3:$F$1025,MATCH($E112,学年度总表!$E$3:$E$1025,0))="","",INDEX(学年度总表!$F$3:$F$1025,MATCH($E112,学年度总表!$E$3:$E$1025,0)))</f>
        <v>白婧仪</v>
      </c>
      <c r="G112" s="3">
        <f>IF(INDEX(学年度总表!$G$3:$G$1025,MATCH($E112,学年度总表!$E$3:$E$1025,0))="","",INDEX(学年度总表!$G$3:$G$1025,MATCH($E112,学年度总表!$E$3:$E$1025,0)))</f>
        <v>9.8000000000000007</v>
      </c>
      <c r="H112" s="3">
        <f>IF(INDEX(学年度总表!$H$3:$H$1025,MATCH($E112,学年度总表!$E$3:$E$1025,0))="","",INDEX(学年度总表!$H$3:$H$1025,MATCH($E112,学年度总表!$E$3:$E$1025,0)))</f>
        <v>66.38</v>
      </c>
      <c r="I112" s="3">
        <f>IF(INDEX(学年度总表!$I$3:$I$1025,MATCH($E112,学年度总表!$E$3:$E$1025,0))="","",INDEX(学年度总表!$I$3:$I$1025,MATCH($E112,学年度总表!$E$3:$E$1025,0)))</f>
        <v>4</v>
      </c>
      <c r="J112" s="3">
        <f>IF(INDEX(学年度总表!$J$3:$J$1025,MATCH($E112,学年度总表!$E$3:$E$1025,0))="","",INDEX(学年度总表!$J$3:$J$1025,MATCH($E112,学年度总表!$E$3:$E$1025,0)))</f>
        <v>80.180000000000007</v>
      </c>
      <c r="K112" s="3">
        <f>IF(INDEX(学年度总表!$K$3:$K$1025,MATCH($E112,学年度总表!$E$3:$E$1025,0))="","",INDEX(学年度总表!$K$3:$K$1025,MATCH($E112,学年度总表!$E$3:$E$1025,0)))</f>
        <v>9.4</v>
      </c>
      <c r="L112" s="3">
        <f>IF(INDEX(学年度总表!$L$3:$L$1025,MATCH($E112,学年度总表!$E$3:$E$1025,0))="","",INDEX(学年度总表!$L$3:$L$1025,MATCH($E112,学年度总表!$E$3:$E$1025,0)))</f>
        <v>55.56</v>
      </c>
      <c r="M112" s="3">
        <f>IF(INDEX(学年度总表!$M$3:$M$1025,MATCH($E112,学年度总表!$E$3:$E$1025,0))="","",INDEX(学年度总表!$M$3:$M$1025,MATCH($E112,学年度总表!$E$3:$E$1025,0)))</f>
        <v>3</v>
      </c>
      <c r="N112" s="3">
        <f>IF(INDEX(学年度总表!$N$3:$N$1025,MATCH($E112,学年度总表!$E$3:$E$1025,0))="","",INDEX(学年度总表!$N$3:$N$1025,MATCH($E112,学年度总表!$E$3:$E$1025,0)))</f>
        <v>67.959999999999994</v>
      </c>
      <c r="O112" s="3">
        <f>IF(INDEX(学年度总表!$O$3:$O$1025,MATCH($E112,学年度总表!$E$3:$E$1025,0))="","",INDEX(学年度总表!$O$3:$O$1025,MATCH($E112,学年度总表!$E$3:$E$1025,0)))</f>
        <v>148.13999999999999</v>
      </c>
      <c r="P112" s="2" t="str">
        <f>IF(INDEX(学年度总表!$P$3:$P$1025,MATCH($E112,学年度总表!$E$3:$E$1025,0))="","",INDEX(学年度总表!$P$3:$P$1025,MATCH($E112,学年度总表!$E$3:$E$1025,0)))</f>
        <v/>
      </c>
      <c r="Q112" s="5" t="str">
        <f>IF(INDEX(学年度总表!$Q$3:$Q$1025,MATCH($E112,学年度总表!$E$3:$E$1025,0))="","",INDEX(学年度总表!$Q$3:$Q$1025,MATCH($E112,学年度总表!$E$3:$E$1025,0)))</f>
        <v/>
      </c>
    </row>
    <row r="113" spans="1:17">
      <c r="A113" s="2">
        <f>IF(INDEX(学年度总表!$A$3:$A$1025,MATCH($E113,学年度总表!$E$3:$E$1025,0))="","",INDEX(学年度总表!$A$3:$A$1025,MATCH($E113,学年度总表!$E$3:$E$1025,0)))</f>
        <v>297</v>
      </c>
      <c r="B113" s="2">
        <f>IF(INDEX(学年度总表!$B$3:$B$1025,MATCH($E113,学年度总表!$E$3:$E$1025,0))="","",INDEX(学年度总表!$B$3:$B$1025,MATCH($E113,学年度总表!$E$3:$E$1025,0)))</f>
        <v>111</v>
      </c>
      <c r="C113" s="2" t="str">
        <f>IF(INDEX(学年度总表!$C$3:$C$1025,MATCH($E113,学年度总表!$E$3:$E$1025,0))="","",INDEX(学年度总表!$C$3:$C$1025,MATCH($E113,学年度总表!$E$3:$E$1025,0)))</f>
        <v>软工</v>
      </c>
      <c r="D113" s="2" t="str">
        <f>IF(INDEX(学年度总表!$D$3:$D$1025,MATCH($E113,学年度总表!$E$3:$E$1025,0))="","",INDEX(学年度总表!$D$3:$D$1025,MATCH($E113,学年度总表!$E$3:$E$1025,0)))</f>
        <v>软工5班</v>
      </c>
      <c r="E113" s="2" t="s">
        <v>654</v>
      </c>
      <c r="F113" s="2" t="str">
        <f>IF(INDEX(学年度总表!$F$3:$F$1025,MATCH($E113,学年度总表!$E$3:$E$1025,0))="","",INDEX(学年度总表!$F$3:$F$1025,MATCH($E113,学年度总表!$E$3:$E$1025,0)))</f>
        <v>徐雨鑫</v>
      </c>
      <c r="G113" s="3">
        <f>IF(INDEX(学年度总表!$G$3:$G$1025,MATCH($E113,学年度总表!$E$3:$E$1025,0))="","",INDEX(学年度总表!$G$3:$G$1025,MATCH($E113,学年度总表!$E$3:$E$1025,0)))</f>
        <v>10.8</v>
      </c>
      <c r="H113" s="3">
        <f>IF(INDEX(学年度总表!$H$3:$H$1025,MATCH($E113,学年度总表!$E$3:$E$1025,0))="","",INDEX(学年度总表!$H$3:$H$1025,MATCH($E113,学年度总表!$E$3:$E$1025,0)))</f>
        <v>58.31</v>
      </c>
      <c r="I113" s="3">
        <f>IF(INDEX(学年度总表!$I$3:$I$1025,MATCH($E113,学年度总表!$E$3:$E$1025,0))="","",INDEX(学年度总表!$I$3:$I$1025,MATCH($E113,学年度总表!$E$3:$E$1025,0)))</f>
        <v>5.6</v>
      </c>
      <c r="J113" s="3">
        <f>IF(INDEX(学年度总表!$J$3:$J$1025,MATCH($E113,学年度总表!$E$3:$E$1025,0))="","",INDEX(学年度总表!$J$3:$J$1025,MATCH($E113,学年度总表!$E$3:$E$1025,0)))</f>
        <v>74.709999999999994</v>
      </c>
      <c r="K113" s="3">
        <f>IF(INDEX(学年度总表!$K$3:$K$1025,MATCH($E113,学年度总表!$E$3:$E$1025,0))="","",INDEX(学年度总表!$K$3:$K$1025,MATCH($E113,学年度总表!$E$3:$E$1025,0)))</f>
        <v>11.3</v>
      </c>
      <c r="L113" s="3">
        <f>IF(INDEX(学年度总表!$L$3:$L$1025,MATCH($E113,学年度总表!$E$3:$E$1025,0))="","",INDEX(学年度总表!$L$3:$L$1025,MATCH($E113,学年度总表!$E$3:$E$1025,0)))</f>
        <v>55.32</v>
      </c>
      <c r="M113" s="3">
        <f>IF(INDEX(学年度总表!$M$3:$M$1025,MATCH($E113,学年度总表!$E$3:$E$1025,0))="","",INDEX(学年度总表!$M$3:$M$1025,MATCH($E113,学年度总表!$E$3:$E$1025,0)))</f>
        <v>6.4</v>
      </c>
      <c r="N113" s="3">
        <f>IF(INDEX(学年度总表!$N$3:$N$1025,MATCH($E113,学年度总表!$E$3:$E$1025,0))="","",INDEX(学年度总表!$N$3:$N$1025,MATCH($E113,学年度总表!$E$3:$E$1025,0)))</f>
        <v>73.02</v>
      </c>
      <c r="O113" s="3">
        <f>IF(INDEX(学年度总表!$O$3:$O$1025,MATCH($E113,学年度总表!$E$3:$E$1025,0))="","",INDEX(学年度总表!$O$3:$O$1025,MATCH($E113,学年度总表!$E$3:$E$1025,0)))</f>
        <v>147.72999999999999</v>
      </c>
      <c r="P113" s="2" t="str">
        <f>IF(INDEX(学年度总表!$P$3:$P$1025,MATCH($E113,学年度总表!$E$3:$E$1025,0))="","",INDEX(学年度总表!$P$3:$P$1025,MATCH($E113,学年度总表!$E$3:$E$1025,0)))</f>
        <v/>
      </c>
      <c r="Q113" s="5" t="str">
        <f>IF(INDEX(学年度总表!$Q$3:$Q$1025,MATCH($E113,学年度总表!$E$3:$E$1025,0))="","",INDEX(学年度总表!$Q$3:$Q$1025,MATCH($E113,学年度总表!$E$3:$E$1025,0)))</f>
        <v/>
      </c>
    </row>
    <row r="114" spans="1:17">
      <c r="A114" s="2">
        <f>IF(INDEX(学年度总表!$A$3:$A$1025,MATCH($E114,学年度总表!$E$3:$E$1025,0))="","",INDEX(学年度总表!$A$3:$A$1025,MATCH($E114,学年度总表!$E$3:$E$1025,0)))</f>
        <v>298</v>
      </c>
      <c r="B114" s="2">
        <f>IF(INDEX(学年度总表!$B$3:$B$1025,MATCH($E114,学年度总表!$E$3:$E$1025,0))="","",INDEX(学年度总表!$B$3:$B$1025,MATCH($E114,学年度总表!$E$3:$E$1025,0)))</f>
        <v>112</v>
      </c>
      <c r="C114" s="2" t="str">
        <f>IF(INDEX(学年度总表!$C$3:$C$1025,MATCH($E114,学年度总表!$E$3:$E$1025,0))="","",INDEX(学年度总表!$C$3:$C$1025,MATCH($E114,学年度总表!$E$3:$E$1025,0)))</f>
        <v>软工</v>
      </c>
      <c r="D114" s="2" t="str">
        <f>IF(INDEX(学年度总表!$D$3:$D$1025,MATCH($E114,学年度总表!$E$3:$E$1025,0))="","",INDEX(学年度总表!$D$3:$D$1025,MATCH($E114,学年度总表!$E$3:$E$1025,0)))</f>
        <v>软工5班</v>
      </c>
      <c r="E114" s="2" t="s">
        <v>656</v>
      </c>
      <c r="F114" s="2" t="str">
        <f>IF(INDEX(学年度总表!$F$3:$F$1025,MATCH($E114,学年度总表!$E$3:$E$1025,0))="","",INDEX(学年度总表!$F$3:$F$1025,MATCH($E114,学年度总表!$E$3:$E$1025,0)))</f>
        <v>贾千语彤</v>
      </c>
      <c r="G114" s="3">
        <f>IF(INDEX(学年度总表!$G$3:$G$1025,MATCH($E114,学年度总表!$E$3:$E$1025,0))="","",INDEX(学年度总表!$G$3:$G$1025,MATCH($E114,学年度总表!$E$3:$E$1025,0)))</f>
        <v>9.8000000000000007</v>
      </c>
      <c r="H114" s="3">
        <f>IF(INDEX(学年度总表!$H$3:$H$1025,MATCH($E114,学年度总表!$E$3:$E$1025,0))="","",INDEX(学年度总表!$H$3:$H$1025,MATCH($E114,学年度总表!$E$3:$E$1025,0)))</f>
        <v>57.69</v>
      </c>
      <c r="I114" s="3">
        <f>IF(INDEX(学年度总表!$I$3:$I$1025,MATCH($E114,学年度总表!$E$3:$E$1025,0))="","",INDEX(学年度总表!$I$3:$I$1025,MATCH($E114,学年度总表!$E$3:$E$1025,0)))</f>
        <v>5.2</v>
      </c>
      <c r="J114" s="3">
        <f>IF(INDEX(学年度总表!$J$3:$J$1025,MATCH($E114,学年度总表!$E$3:$E$1025,0))="","",INDEX(学年度总表!$J$3:$J$1025,MATCH($E114,学年度总表!$E$3:$E$1025,0)))</f>
        <v>72.69</v>
      </c>
      <c r="K114" s="3">
        <f>IF(INDEX(学年度总表!$K$3:$K$1025,MATCH($E114,学年度总表!$E$3:$E$1025,0))="","",INDEX(学年度总表!$K$3:$K$1025,MATCH($E114,学年度总表!$E$3:$E$1025,0)))</f>
        <v>10.8</v>
      </c>
      <c r="L114" s="3">
        <f>IF(INDEX(学年度总表!$L$3:$L$1025,MATCH($E114,学年度总表!$E$3:$E$1025,0))="","",INDEX(学年度总表!$L$3:$L$1025,MATCH($E114,学年度总表!$E$3:$E$1025,0)))</f>
        <v>57.1</v>
      </c>
      <c r="M114" s="3">
        <f>IF(INDEX(学年度总表!$M$3:$M$1025,MATCH($E114,学年度总表!$E$3:$E$1025,0))="","",INDEX(学年度总表!$M$3:$M$1025,MATCH($E114,学年度总表!$E$3:$E$1025,0)))</f>
        <v>7.1</v>
      </c>
      <c r="N114" s="3">
        <f>IF(INDEX(学年度总表!$N$3:$N$1025,MATCH($E114,学年度总表!$E$3:$E$1025,0))="","",INDEX(学年度总表!$N$3:$N$1025,MATCH($E114,学年度总表!$E$3:$E$1025,0)))</f>
        <v>75</v>
      </c>
      <c r="O114" s="3">
        <f>IF(INDEX(学年度总表!$O$3:$O$1025,MATCH($E114,学年度总表!$E$3:$E$1025,0))="","",INDEX(学年度总表!$O$3:$O$1025,MATCH($E114,学年度总表!$E$3:$E$1025,0)))</f>
        <v>147.69</v>
      </c>
      <c r="P114" s="2" t="str">
        <f>IF(INDEX(学年度总表!$P$3:$P$1025,MATCH($E114,学年度总表!$E$3:$E$1025,0))="","",INDEX(学年度总表!$P$3:$P$1025,MATCH($E114,学年度总表!$E$3:$E$1025,0)))</f>
        <v/>
      </c>
      <c r="Q114" s="5" t="str">
        <f>IF(INDEX(学年度总表!$Q$3:$Q$1025,MATCH($E114,学年度总表!$E$3:$E$1025,0))="","",INDEX(学年度总表!$Q$3:$Q$1025,MATCH($E114,学年度总表!$E$3:$E$1025,0)))</f>
        <v/>
      </c>
    </row>
    <row r="115" spans="1:17">
      <c r="A115" s="2">
        <f>IF(INDEX(学年度总表!$A$3:$A$1025,MATCH($E115,学年度总表!$E$3:$E$1025,0))="","",INDEX(学年度总表!$A$3:$A$1025,MATCH($E115,学年度总表!$E$3:$E$1025,0)))</f>
        <v>305</v>
      </c>
      <c r="B115" s="2">
        <f>IF(INDEX(学年度总表!$B$3:$B$1025,MATCH($E115,学年度总表!$E$3:$E$1025,0))="","",INDEX(学年度总表!$B$3:$B$1025,MATCH($E115,学年度总表!$E$3:$E$1025,0)))</f>
        <v>113</v>
      </c>
      <c r="C115" s="2" t="str">
        <f>IF(INDEX(学年度总表!$C$3:$C$1025,MATCH($E115,学年度总表!$E$3:$E$1025,0))="","",INDEX(学年度总表!$C$3:$C$1025,MATCH($E115,学年度总表!$E$3:$E$1025,0)))</f>
        <v>软工</v>
      </c>
      <c r="D115" s="2" t="str">
        <f>IF(INDEX(学年度总表!$D$3:$D$1025,MATCH($E115,学年度总表!$E$3:$E$1025,0))="","",INDEX(学年度总表!$D$3:$D$1025,MATCH($E115,学年度总表!$E$3:$E$1025,0)))</f>
        <v>软工5班</v>
      </c>
      <c r="E115" s="2" t="s">
        <v>670</v>
      </c>
      <c r="F115" s="2" t="str">
        <f>IF(INDEX(学年度总表!$F$3:$F$1025,MATCH($E115,学年度总表!$E$3:$E$1025,0))="","",INDEX(学年度总表!$F$3:$F$1025,MATCH($E115,学年度总表!$E$3:$E$1025,0)))</f>
        <v>信佳洋</v>
      </c>
      <c r="G115" s="3">
        <f>IF(INDEX(学年度总表!$G$3:$G$1025,MATCH($E115,学年度总表!$E$3:$E$1025,0))="","",INDEX(学年度总表!$G$3:$G$1025,MATCH($E115,学年度总表!$E$3:$E$1025,0)))</f>
        <v>10.8</v>
      </c>
      <c r="H115" s="3">
        <f>IF(INDEX(学年度总表!$H$3:$H$1025,MATCH($E115,学年度总表!$E$3:$E$1025,0))="","",INDEX(学年度总表!$H$3:$H$1025,MATCH($E115,学年度总表!$E$3:$E$1025,0)))</f>
        <v>57.12</v>
      </c>
      <c r="I115" s="3">
        <f>IF(INDEX(学年度总表!$I$3:$I$1025,MATCH($E115,学年度总表!$E$3:$E$1025,0))="","",INDEX(学年度总表!$I$3:$I$1025,MATCH($E115,学年度总表!$E$3:$E$1025,0)))</f>
        <v>5.45</v>
      </c>
      <c r="J115" s="3">
        <f>IF(INDEX(学年度总表!$J$3:$J$1025,MATCH($E115,学年度总表!$E$3:$E$1025,0))="","",INDEX(学年度总表!$J$3:$J$1025,MATCH($E115,学年度总表!$E$3:$E$1025,0)))</f>
        <v>73.37</v>
      </c>
      <c r="K115" s="3">
        <f>IF(INDEX(学年度总表!$K$3:$K$1025,MATCH($E115,学年度总表!$E$3:$E$1025,0))="","",INDEX(学年度总表!$K$3:$K$1025,MATCH($E115,学年度总表!$E$3:$E$1025,0)))</f>
        <v>11</v>
      </c>
      <c r="L115" s="3">
        <f>IF(INDEX(学年度总表!$L$3:$L$1025,MATCH($E115,学年度总表!$E$3:$E$1025,0))="","",INDEX(学年度总表!$L$3:$L$1025,MATCH($E115,学年度总表!$E$3:$E$1025,0)))</f>
        <v>57.14</v>
      </c>
      <c r="M115" s="3">
        <f>IF(INDEX(学年度总表!$M$3:$M$1025,MATCH($E115,学年度总表!$E$3:$E$1025,0))="","",INDEX(学年度总表!$M$3:$M$1025,MATCH($E115,学年度总表!$E$3:$E$1025,0)))</f>
        <v>5.9</v>
      </c>
      <c r="N115" s="3">
        <f>IF(INDEX(学年度总表!$N$3:$N$1025,MATCH($E115,学年度总表!$E$3:$E$1025,0))="","",INDEX(学年度总表!$N$3:$N$1025,MATCH($E115,学年度总表!$E$3:$E$1025,0)))</f>
        <v>74.040000000000006</v>
      </c>
      <c r="O115" s="3">
        <f>IF(INDEX(学年度总表!$O$3:$O$1025,MATCH($E115,学年度总表!$E$3:$E$1025,0))="","",INDEX(学年度总表!$O$3:$O$1025,MATCH($E115,学年度总表!$E$3:$E$1025,0)))</f>
        <v>147.41</v>
      </c>
      <c r="P115" s="2" t="str">
        <f>IF(INDEX(学年度总表!$P$3:$P$1025,MATCH($E115,学年度总表!$E$3:$E$1025,0))="","",INDEX(学年度总表!$P$3:$P$1025,MATCH($E115,学年度总表!$E$3:$E$1025,0)))</f>
        <v/>
      </c>
      <c r="Q115" s="5" t="str">
        <f>IF(INDEX(学年度总表!$Q$3:$Q$1025,MATCH($E115,学年度总表!$E$3:$E$1025,0))="","",INDEX(学年度总表!$Q$3:$Q$1025,MATCH($E115,学年度总表!$E$3:$E$1025,0)))</f>
        <v/>
      </c>
    </row>
    <row r="116" spans="1:17">
      <c r="A116" s="2">
        <f>IF(INDEX(学年度总表!$A$3:$A$1025,MATCH($E116,学年度总表!$E$3:$E$1025,0))="","",INDEX(学年度总表!$A$3:$A$1025,MATCH($E116,学年度总表!$E$3:$E$1025,0)))</f>
        <v>306</v>
      </c>
      <c r="B116" s="2">
        <f>IF(INDEX(学年度总表!$B$3:$B$1025,MATCH($E116,学年度总表!$E$3:$E$1025,0))="","",INDEX(学年度总表!$B$3:$B$1025,MATCH($E116,学年度总表!$E$3:$E$1025,0)))</f>
        <v>114</v>
      </c>
      <c r="C116" s="2" t="str">
        <f>IF(INDEX(学年度总表!$C$3:$C$1025,MATCH($E116,学年度总表!$E$3:$E$1025,0))="","",INDEX(学年度总表!$C$3:$C$1025,MATCH($E116,学年度总表!$E$3:$E$1025,0)))</f>
        <v>软工</v>
      </c>
      <c r="D116" s="2" t="str">
        <f>IF(INDEX(学年度总表!$D$3:$D$1025,MATCH($E116,学年度总表!$E$3:$E$1025,0))="","",INDEX(学年度总表!$D$3:$D$1025,MATCH($E116,学年度总表!$E$3:$E$1025,0)))</f>
        <v>软工8班</v>
      </c>
      <c r="E116" s="2" t="s">
        <v>672</v>
      </c>
      <c r="F116" s="2" t="str">
        <f>IF(INDEX(学年度总表!$F$3:$F$1025,MATCH($E116,学年度总表!$E$3:$E$1025,0))="","",INDEX(学年度总表!$F$3:$F$1025,MATCH($E116,学年度总表!$E$3:$E$1025,0)))</f>
        <v>王欣荣</v>
      </c>
      <c r="G116" s="3">
        <f>IF(INDEX(学年度总表!$G$3:$G$1025,MATCH($E116,学年度总表!$E$3:$E$1025,0))="","",INDEX(学年度总表!$G$3:$G$1025,MATCH($E116,学年度总表!$E$3:$E$1025,0)))</f>
        <v>10.8</v>
      </c>
      <c r="H116" s="3">
        <f>IF(INDEX(学年度总表!$H$3:$H$1025,MATCH($E116,学年度总表!$E$3:$E$1025,0))="","",INDEX(学年度总表!$H$3:$H$1025,MATCH($E116,学年度总表!$E$3:$E$1025,0)))</f>
        <v>60.542553191489397</v>
      </c>
      <c r="I116" s="3">
        <f>IF(INDEX(学年度总表!$I$3:$I$1025,MATCH($E116,学年度总表!$E$3:$E$1025,0))="","",INDEX(学年度总表!$I$3:$I$1025,MATCH($E116,学年度总表!$E$3:$E$1025,0)))</f>
        <v>4.9000000000000004</v>
      </c>
      <c r="J116" s="3">
        <f>IF(INDEX(学年度总表!$J$3:$J$1025,MATCH($E116,学年度总表!$E$3:$E$1025,0))="","",INDEX(学年度总表!$J$3:$J$1025,MATCH($E116,学年度总表!$E$3:$E$1025,0)))</f>
        <v>76.239999999999995</v>
      </c>
      <c r="K116" s="3">
        <f>IF(INDEX(学年度总表!$K$3:$K$1025,MATCH($E116,学年度总表!$E$3:$E$1025,0))="","",INDEX(学年度总表!$K$3:$K$1025,MATCH($E116,学年度总表!$E$3:$E$1025,0)))</f>
        <v>9.8000000000000007</v>
      </c>
      <c r="L116" s="3">
        <f>IF(INDEX(学年度总表!$L$3:$L$1025,MATCH($E116,学年度总表!$E$3:$E$1025,0))="","",INDEX(学年度总表!$L$3:$L$1025,MATCH($E116,学年度总表!$E$3:$E$1025,0)))</f>
        <v>56.25</v>
      </c>
      <c r="M116" s="3">
        <f>IF(INDEX(学年度总表!$M$3:$M$1025,MATCH($E116,学年度总表!$E$3:$E$1025,0))="","",INDEX(学年度总表!$M$3:$M$1025,MATCH($E116,学年度总表!$E$3:$E$1025,0)))</f>
        <v>5.0999999999999996</v>
      </c>
      <c r="N116" s="3">
        <f>IF(INDEX(学年度总表!$N$3:$N$1025,MATCH($E116,学年度总表!$E$3:$E$1025,0))="","",INDEX(学年度总表!$N$3:$N$1025,MATCH($E116,学年度总表!$E$3:$E$1025,0)))</f>
        <v>71.150000000000006</v>
      </c>
      <c r="O116" s="3">
        <f>IF(INDEX(学年度总表!$O$3:$O$1025,MATCH($E116,学年度总表!$E$3:$E$1025,0))="","",INDEX(学年度总表!$O$3:$O$1025,MATCH($E116,学年度总表!$E$3:$E$1025,0)))</f>
        <v>147.38999999999999</v>
      </c>
      <c r="P116" s="4" t="str">
        <f>IF(INDEX(学年度总表!$P$3:$P$1025,MATCH($E116,学年度总表!$E$3:$E$1025,0))="","",INDEX(学年度总表!$P$3:$P$1025,MATCH($E116,学年度总表!$E$3:$E$1025,0)))</f>
        <v>国励</v>
      </c>
      <c r="Q116" s="5" t="str">
        <f>IF(INDEX(学年度总表!$Q$3:$Q$1025,MATCH($E116,学年度总表!$E$3:$E$1025,0))="","",INDEX(学年度总表!$Q$3:$Q$1025,MATCH($E116,学年度总表!$E$3:$E$1025,0)))</f>
        <v/>
      </c>
    </row>
    <row r="117" spans="1:17">
      <c r="A117" s="2">
        <f>IF(INDEX(学年度总表!$A$3:$A$1025,MATCH($E117,学年度总表!$E$3:$E$1025,0))="","",INDEX(学年度总表!$A$3:$A$1025,MATCH($E117,学年度总表!$E$3:$E$1025,0)))</f>
        <v>309</v>
      </c>
      <c r="B117" s="2">
        <f>IF(INDEX(学年度总表!$B$3:$B$1025,MATCH($E117,学年度总表!$E$3:$E$1025,0))="","",INDEX(学年度总表!$B$3:$B$1025,MATCH($E117,学年度总表!$E$3:$E$1025,0)))</f>
        <v>115</v>
      </c>
      <c r="C117" s="2" t="str">
        <f>IF(INDEX(学年度总表!$C$3:$C$1025,MATCH($E117,学年度总表!$E$3:$E$1025,0))="","",INDEX(学年度总表!$C$3:$C$1025,MATCH($E117,学年度总表!$E$3:$E$1025,0)))</f>
        <v>软工</v>
      </c>
      <c r="D117" s="2" t="str">
        <f>IF(INDEX(学年度总表!$D$3:$D$1025,MATCH($E117,学年度总表!$E$3:$E$1025,0))="","",INDEX(学年度总表!$D$3:$D$1025,MATCH($E117,学年度总表!$E$3:$E$1025,0)))</f>
        <v>软工9班</v>
      </c>
      <c r="E117" s="2" t="s">
        <v>678</v>
      </c>
      <c r="F117" s="2" t="str">
        <f>IF(INDEX(学年度总表!$F$3:$F$1025,MATCH($E117,学年度总表!$E$3:$E$1025,0))="","",INDEX(学年度总表!$F$3:$F$1025,MATCH($E117,学年度总表!$E$3:$E$1025,0)))</f>
        <v>李诗琪</v>
      </c>
      <c r="G117" s="3">
        <f>IF(INDEX(学年度总表!$G$3:$G$1025,MATCH($E117,学年度总表!$E$3:$E$1025,0))="","",INDEX(学年度总表!$G$3:$G$1025,MATCH($E117,学年度总表!$E$3:$E$1025,0)))</f>
        <v>10.3</v>
      </c>
      <c r="H117" s="3">
        <f>IF(INDEX(学年度总表!$H$3:$H$1025,MATCH($E117,学年度总表!$E$3:$E$1025,0))="","",INDEX(学年度总表!$H$3:$H$1025,MATCH($E117,学年度总表!$E$3:$E$1025,0)))</f>
        <v>59.518867924528301</v>
      </c>
      <c r="I117" s="3">
        <f>IF(INDEX(学年度总表!$I$3:$I$1025,MATCH($E117,学年度总表!$E$3:$E$1025,0))="","",INDEX(学年度总表!$I$3:$I$1025,MATCH($E117,学年度总表!$E$3:$E$1025,0)))</f>
        <v>3.8</v>
      </c>
      <c r="J117" s="3">
        <f>IF(INDEX(学年度总表!$J$3:$J$1025,MATCH($E117,学年度总表!$E$3:$E$1025,0))="","",INDEX(学年度总表!$J$3:$J$1025,MATCH($E117,学年度总表!$E$3:$E$1025,0)))</f>
        <v>73.62</v>
      </c>
      <c r="K117" s="3">
        <f>IF(INDEX(学年度总表!$K$3:$K$1025,MATCH($E117,学年度总表!$E$3:$E$1025,0))="","",INDEX(学年度总表!$K$3:$K$1025,MATCH($E117,学年度总表!$E$3:$E$1025,0)))</f>
        <v>9.8000000000000007</v>
      </c>
      <c r="L117" s="3">
        <f>IF(INDEX(学年度总表!$L$3:$L$1025,MATCH($E117,学年度总表!$E$3:$E$1025,0))="","",INDEX(学年度总表!$L$3:$L$1025,MATCH($E117,学年度总表!$E$3:$E$1025,0)))</f>
        <v>59.2</v>
      </c>
      <c r="M117" s="3">
        <f>IF(INDEX(学年度总表!$M$3:$M$1025,MATCH($E117,学年度总表!$E$3:$E$1025,0))="","",INDEX(学年度总表!$M$3:$M$1025,MATCH($E117,学年度总表!$E$3:$E$1025,0)))</f>
        <v>4.7</v>
      </c>
      <c r="N117" s="3">
        <f>IF(INDEX(学年度总表!$N$3:$N$1025,MATCH($E117,学年度总表!$E$3:$E$1025,0))="","",INDEX(学年度总表!$N$3:$N$1025,MATCH($E117,学年度总表!$E$3:$E$1025,0)))</f>
        <v>73.7</v>
      </c>
      <c r="O117" s="3">
        <f>IF(INDEX(学年度总表!$O$3:$O$1025,MATCH($E117,学年度总表!$E$3:$E$1025,0))="","",INDEX(学年度总表!$O$3:$O$1025,MATCH($E117,学年度总表!$E$3:$E$1025,0)))</f>
        <v>147.32</v>
      </c>
      <c r="P117" s="2" t="str">
        <f>IF(INDEX(学年度总表!$P$3:$P$1025,MATCH($E117,学年度总表!$E$3:$E$1025,0))="","",INDEX(学年度总表!$P$3:$P$1025,MATCH($E117,学年度总表!$E$3:$E$1025,0)))</f>
        <v/>
      </c>
      <c r="Q117" s="5" t="str">
        <f>IF(INDEX(学年度总表!$Q$3:$Q$1025,MATCH($E117,学年度总表!$E$3:$E$1025,0))="","",INDEX(学年度总表!$Q$3:$Q$1025,MATCH($E117,学年度总表!$E$3:$E$1025,0)))</f>
        <v/>
      </c>
    </row>
    <row r="118" spans="1:17">
      <c r="A118" s="2">
        <f>IF(INDEX(学年度总表!$A$3:$A$1025,MATCH($E118,学年度总表!$E$3:$E$1025,0))="","",INDEX(学年度总表!$A$3:$A$1025,MATCH($E118,学年度总表!$E$3:$E$1025,0)))</f>
        <v>312</v>
      </c>
      <c r="B118" s="2">
        <f>IF(INDEX(学年度总表!$B$3:$B$1025,MATCH($E118,学年度总表!$E$3:$E$1025,0))="","",INDEX(学年度总表!$B$3:$B$1025,MATCH($E118,学年度总表!$E$3:$E$1025,0)))</f>
        <v>116</v>
      </c>
      <c r="C118" s="2" t="str">
        <f>IF(INDEX(学年度总表!$C$3:$C$1025,MATCH($E118,学年度总表!$E$3:$E$1025,0))="","",INDEX(学年度总表!$C$3:$C$1025,MATCH($E118,学年度总表!$E$3:$E$1025,0)))</f>
        <v>软工</v>
      </c>
      <c r="D118" s="2" t="str">
        <f>IF(INDEX(学年度总表!$D$3:$D$1025,MATCH($E118,学年度总表!$E$3:$E$1025,0))="","",INDEX(学年度总表!$D$3:$D$1025,MATCH($E118,学年度总表!$E$3:$E$1025,0)))</f>
        <v>软工5班</v>
      </c>
      <c r="E118" s="2" t="s">
        <v>684</v>
      </c>
      <c r="F118" s="2" t="str">
        <f>IF(INDEX(学年度总表!$F$3:$F$1025,MATCH($E118,学年度总表!$E$3:$E$1025,0))="","",INDEX(学年度总表!$F$3:$F$1025,MATCH($E118,学年度总表!$E$3:$E$1025,0)))</f>
        <v>董静涵</v>
      </c>
      <c r="G118" s="3">
        <f>IF(INDEX(学年度总表!$G$3:$G$1025,MATCH($E118,学年度总表!$E$3:$E$1025,0))="","",INDEX(学年度总表!$G$3:$G$1025,MATCH($E118,学年度总表!$E$3:$E$1025,0)))</f>
        <v>9.4</v>
      </c>
      <c r="H118" s="3">
        <f>IF(INDEX(学年度总表!$H$3:$H$1025,MATCH($E118,学年度总表!$E$3:$E$1025,0))="","",INDEX(学年度总表!$H$3:$H$1025,MATCH($E118,学年度总表!$E$3:$E$1025,0)))</f>
        <v>63.49</v>
      </c>
      <c r="I118" s="3">
        <f>IF(INDEX(学年度总表!$I$3:$I$1025,MATCH($E118,学年度总表!$E$3:$E$1025,0))="","",INDEX(学年度总表!$I$3:$I$1025,MATCH($E118,学年度总表!$E$3:$E$1025,0)))</f>
        <v>3.45</v>
      </c>
      <c r="J118" s="3">
        <f>IF(INDEX(学年度总表!$J$3:$J$1025,MATCH($E118,学年度总表!$E$3:$E$1025,0))="","",INDEX(学年度总表!$J$3:$J$1025,MATCH($E118,学年度总表!$E$3:$E$1025,0)))</f>
        <v>76.34</v>
      </c>
      <c r="K118" s="3">
        <f>IF(INDEX(学年度总表!$K$3:$K$1025,MATCH($E118,学年度总表!$E$3:$E$1025,0))="","",INDEX(学年度总表!$K$3:$K$1025,MATCH($E118,学年度总表!$E$3:$E$1025,0)))</f>
        <v>7.3000000000000007</v>
      </c>
      <c r="L118" s="3">
        <f>IF(INDEX(学年度总表!$L$3:$L$1025,MATCH($E118,学年度总表!$E$3:$E$1025,0))="","",INDEX(学年度总表!$L$3:$L$1025,MATCH($E118,学年度总表!$E$3:$E$1025,0)))</f>
        <v>60</v>
      </c>
      <c r="M118" s="3">
        <f>IF(INDEX(学年度总表!$M$3:$M$1025,MATCH($E118,学年度总表!$E$3:$E$1025,0))="","",INDEX(学年度总表!$M$3:$M$1025,MATCH($E118,学年度总表!$E$3:$E$1025,0)))</f>
        <v>3.5</v>
      </c>
      <c r="N118" s="3">
        <f>IF(INDEX(学年度总表!$N$3:$N$1025,MATCH($E118,学年度总表!$E$3:$E$1025,0))="","",INDEX(学年度总表!$N$3:$N$1025,MATCH($E118,学年度总表!$E$3:$E$1025,0)))</f>
        <v>70.8</v>
      </c>
      <c r="O118" s="3">
        <f>IF(INDEX(学年度总表!$O$3:$O$1025,MATCH($E118,学年度总表!$E$3:$E$1025,0))="","",INDEX(学年度总表!$O$3:$O$1025,MATCH($E118,学年度总表!$E$3:$E$1025,0)))</f>
        <v>147.13999999999999</v>
      </c>
      <c r="P118" s="2" t="str">
        <f>IF(INDEX(学年度总表!$P$3:$P$1025,MATCH($E118,学年度总表!$E$3:$E$1025,0))="","",INDEX(学年度总表!$P$3:$P$1025,MATCH($E118,学年度总表!$E$3:$E$1025,0)))</f>
        <v/>
      </c>
      <c r="Q118" s="5" t="str">
        <f>IF(INDEX(学年度总表!$Q$3:$Q$1025,MATCH($E118,学年度总表!$E$3:$E$1025,0))="","",INDEX(学年度总表!$Q$3:$Q$1025,MATCH($E118,学年度总表!$E$3:$E$1025,0)))</f>
        <v/>
      </c>
    </row>
    <row r="119" spans="1:17">
      <c r="A119" s="2">
        <f>IF(INDEX(学年度总表!$A$3:$A$1025,MATCH($E119,学年度总表!$E$3:$E$1025,0))="","",INDEX(学年度总表!$A$3:$A$1025,MATCH($E119,学年度总表!$E$3:$E$1025,0)))</f>
        <v>314</v>
      </c>
      <c r="B119" s="2">
        <f>IF(INDEX(学年度总表!$B$3:$B$1025,MATCH($E119,学年度总表!$E$3:$E$1025,0))="","",INDEX(学年度总表!$B$3:$B$1025,MATCH($E119,学年度总表!$E$3:$E$1025,0)))</f>
        <v>117</v>
      </c>
      <c r="C119" s="2" t="str">
        <f>IF(INDEX(学年度总表!$C$3:$C$1025,MATCH($E119,学年度总表!$E$3:$E$1025,0))="","",INDEX(学年度总表!$C$3:$C$1025,MATCH($E119,学年度总表!$E$3:$E$1025,0)))</f>
        <v>软工</v>
      </c>
      <c r="D119" s="2" t="str">
        <f>IF(INDEX(学年度总表!$D$3:$D$1025,MATCH($E119,学年度总表!$E$3:$E$1025,0))="","",INDEX(学年度总表!$D$3:$D$1025,MATCH($E119,学年度总表!$E$3:$E$1025,0)))</f>
        <v>软工10班</v>
      </c>
      <c r="E119" s="2" t="s">
        <v>688</v>
      </c>
      <c r="F119" s="2" t="str">
        <f>IF(INDEX(学年度总表!$F$3:$F$1025,MATCH($E119,学年度总表!$E$3:$E$1025,0))="","",INDEX(学年度总表!$F$3:$F$1025,MATCH($E119,学年度总表!$E$3:$E$1025,0)))</f>
        <v>周漫</v>
      </c>
      <c r="G119" s="3">
        <f>IF(INDEX(学年度总表!$G$3:$G$1025,MATCH($E119,学年度总表!$E$3:$E$1025,0))="","",INDEX(学年度总表!$G$3:$G$1025,MATCH($E119,学年度总表!$E$3:$E$1025,0)))</f>
        <v>9.8000000000000007</v>
      </c>
      <c r="H119" s="3">
        <f>IF(INDEX(学年度总表!$H$3:$H$1025,MATCH($E119,学年度总表!$E$3:$E$1025,0))="","",INDEX(学年度总表!$H$3:$H$1025,MATCH($E119,学年度总表!$E$3:$E$1025,0)))</f>
        <v>64.38</v>
      </c>
      <c r="I119" s="3">
        <f>IF(INDEX(学年度总表!$I$3:$I$1025,MATCH($E119,学年度总表!$E$3:$E$1025,0))="","",INDEX(学年度总表!$I$3:$I$1025,MATCH($E119,学年度总表!$E$3:$E$1025,0)))</f>
        <v>3</v>
      </c>
      <c r="J119" s="3">
        <f>IF(INDEX(学年度总表!$J$3:$J$1025,MATCH($E119,学年度总表!$E$3:$E$1025,0))="","",INDEX(学年度总表!$J$3:$J$1025,MATCH($E119,学年度总表!$E$3:$E$1025,0)))</f>
        <v>77.180000000000007</v>
      </c>
      <c r="K119" s="3">
        <f>IF(INDEX(学年度总表!$K$3:$K$1025,MATCH($E119,学年度总表!$E$3:$E$1025,0))="","",INDEX(学年度总表!$K$3:$K$1025,MATCH($E119,学年度总表!$E$3:$E$1025,0)))</f>
        <v>9.8000000000000007</v>
      </c>
      <c r="L119" s="3">
        <f>IF(INDEX(学年度总表!$L$3:$L$1025,MATCH($E119,学年度总表!$E$3:$E$1025,0))="","",INDEX(学年度总表!$L$3:$L$1025,MATCH($E119,学年度总表!$E$3:$E$1025,0)))</f>
        <v>56.61</v>
      </c>
      <c r="M119" s="3">
        <f>IF(INDEX(学年度总表!$M$3:$M$1025,MATCH($E119,学年度总表!$E$3:$E$1025,0))="","",INDEX(学年度总表!$M$3:$M$1025,MATCH($E119,学年度总表!$E$3:$E$1025,0)))</f>
        <v>3.5</v>
      </c>
      <c r="N119" s="3">
        <f>IF(INDEX(学年度总表!$N$3:$N$1025,MATCH($E119,学年度总表!$E$3:$E$1025,0))="","",INDEX(学年度总表!$N$3:$N$1025,MATCH($E119,学年度总表!$E$3:$E$1025,0)))</f>
        <v>69.91</v>
      </c>
      <c r="O119" s="3">
        <f>IF(INDEX(学年度总表!$O$3:$O$1025,MATCH($E119,学年度总表!$E$3:$E$1025,0))="","",INDEX(学年度总表!$O$3:$O$1025,MATCH($E119,学年度总表!$E$3:$E$1025,0)))</f>
        <v>147.09</v>
      </c>
      <c r="P119" s="2" t="str">
        <f>IF(INDEX(学年度总表!$P$3:$P$1025,MATCH($E119,学年度总表!$E$3:$E$1025,0))="","",INDEX(学年度总表!$P$3:$P$1025,MATCH($E119,学年度总表!$E$3:$E$1025,0)))</f>
        <v/>
      </c>
      <c r="Q119" s="5" t="str">
        <f>IF(INDEX(学年度总表!$Q$3:$Q$1025,MATCH($E119,学年度总表!$E$3:$E$1025,0))="","",INDEX(学年度总表!$Q$3:$Q$1025,MATCH($E119,学年度总表!$E$3:$E$1025,0)))</f>
        <v/>
      </c>
    </row>
    <row r="120" spans="1:17">
      <c r="A120" s="2">
        <f>IF(INDEX(学年度总表!$A$3:$A$1025,MATCH($E120,学年度总表!$E$3:$E$1025,0))="","",INDEX(学年度总表!$A$3:$A$1025,MATCH($E120,学年度总表!$E$3:$E$1025,0)))</f>
        <v>323</v>
      </c>
      <c r="B120" s="2">
        <f>IF(INDEX(学年度总表!$B$3:$B$1025,MATCH($E120,学年度总表!$E$3:$E$1025,0))="","",INDEX(学年度总表!$B$3:$B$1025,MATCH($E120,学年度总表!$E$3:$E$1025,0)))</f>
        <v>118</v>
      </c>
      <c r="C120" s="2" t="str">
        <f>IF(INDEX(学年度总表!$C$3:$C$1025,MATCH($E120,学年度总表!$E$3:$E$1025,0))="","",INDEX(学年度总表!$C$3:$C$1025,MATCH($E120,学年度总表!$E$3:$E$1025,0)))</f>
        <v>软工</v>
      </c>
      <c r="D120" s="2" t="str">
        <f>IF(INDEX(学年度总表!$D$3:$D$1025,MATCH($E120,学年度总表!$E$3:$E$1025,0))="","",INDEX(学年度总表!$D$3:$D$1025,MATCH($E120,学年度总表!$E$3:$E$1025,0)))</f>
        <v>软工12班</v>
      </c>
      <c r="E120" s="2" t="s">
        <v>706</v>
      </c>
      <c r="F120" s="2" t="str">
        <f>IF(INDEX(学年度总表!$F$3:$F$1025,MATCH($E120,学年度总表!$E$3:$E$1025,0))="","",INDEX(学年度总表!$F$3:$F$1025,MATCH($E120,学年度总表!$E$3:$E$1025,0)))</f>
        <v>杨子腾</v>
      </c>
      <c r="G120" s="3">
        <f>IF(INDEX(学年度总表!$G$3:$G$1025,MATCH($E120,学年度总表!$E$3:$E$1025,0))="","",INDEX(学年度总表!$G$3:$G$1025,MATCH($E120,学年度总表!$E$3:$E$1025,0)))</f>
        <v>9.8000000000000007</v>
      </c>
      <c r="H120" s="3">
        <f>IF(INDEX(学年度总表!$H$3:$H$1025,MATCH($E120,学年度总表!$E$3:$E$1025,0))="","",INDEX(学年度总表!$H$3:$H$1025,MATCH($E120,学年度总表!$E$3:$E$1025,0)))</f>
        <v>60.37</v>
      </c>
      <c r="I120" s="3">
        <f>IF(INDEX(学年度总表!$I$3:$I$1025,MATCH($E120,学年度总表!$E$3:$E$1025,0))="","",INDEX(学年度总表!$I$3:$I$1025,MATCH($E120,学年度总表!$E$3:$E$1025,0)))</f>
        <v>3</v>
      </c>
      <c r="J120" s="3">
        <f>IF(INDEX(学年度总表!$J$3:$J$1025,MATCH($E120,学年度总表!$E$3:$E$1025,0))="","",INDEX(学年度总表!$J$3:$J$1025,MATCH($E120,学年度总表!$E$3:$E$1025,0)))</f>
        <v>73.17</v>
      </c>
      <c r="K120" s="3">
        <f>IF(INDEX(学年度总表!$K$3:$K$1025,MATCH($E120,学年度总表!$E$3:$E$1025,0))="","",INDEX(学年度总表!$K$3:$K$1025,MATCH($E120,学年度总表!$E$3:$E$1025,0)))</f>
        <v>9.8000000000000007</v>
      </c>
      <c r="L120" s="3">
        <f>IF(INDEX(学年度总表!$L$3:$L$1025,MATCH($E120,学年度总表!$E$3:$E$1025,0))="","",INDEX(学年度总表!$L$3:$L$1025,MATCH($E120,学年度总表!$E$3:$E$1025,0)))</f>
        <v>59.96</v>
      </c>
      <c r="M120" s="3">
        <f>IF(INDEX(学年度总表!$M$3:$M$1025,MATCH($E120,学年度总表!$E$3:$E$1025,0))="","",INDEX(学年度总表!$M$3:$M$1025,MATCH($E120,学年度总表!$E$3:$E$1025,0)))</f>
        <v>3.5</v>
      </c>
      <c r="N120" s="3">
        <f>IF(INDEX(学年度总表!$N$3:$N$1025,MATCH($E120,学年度总表!$E$3:$E$1025,0))="","",INDEX(学年度总表!$N$3:$N$1025,MATCH($E120,学年度总表!$E$3:$E$1025,0)))</f>
        <v>73.260000000000005</v>
      </c>
      <c r="O120" s="3">
        <f>IF(INDEX(学年度总表!$O$3:$O$1025,MATCH($E120,学年度总表!$E$3:$E$1025,0))="","",INDEX(学年度总表!$O$3:$O$1025,MATCH($E120,学年度总表!$E$3:$E$1025,0)))</f>
        <v>146.43</v>
      </c>
      <c r="P120" s="2" t="str">
        <f>IF(INDEX(学年度总表!$P$3:$P$1025,MATCH($E120,学年度总表!$E$3:$E$1025,0))="","",INDEX(学年度总表!$P$3:$P$1025,MATCH($E120,学年度总表!$E$3:$E$1025,0)))</f>
        <v/>
      </c>
      <c r="Q120" s="5" t="str">
        <f>IF(INDEX(学年度总表!$Q$3:$Q$1025,MATCH($E120,学年度总表!$E$3:$E$1025,0))="","",INDEX(学年度总表!$Q$3:$Q$1025,MATCH($E120,学年度总表!$E$3:$E$1025,0)))</f>
        <v/>
      </c>
    </row>
    <row r="121" spans="1:17">
      <c r="A121" s="2">
        <f>IF(INDEX(学年度总表!$A$3:$A$1025,MATCH($E121,学年度总表!$E$3:$E$1025,0))="","",INDEX(学年度总表!$A$3:$A$1025,MATCH($E121,学年度总表!$E$3:$E$1025,0)))</f>
        <v>325</v>
      </c>
      <c r="B121" s="2">
        <f>IF(INDEX(学年度总表!$B$3:$B$1025,MATCH($E121,学年度总表!$E$3:$E$1025,0))="","",INDEX(学年度总表!$B$3:$B$1025,MATCH($E121,学年度总表!$E$3:$E$1025,0)))</f>
        <v>119</v>
      </c>
      <c r="C121" s="2" t="str">
        <f>IF(INDEX(学年度总表!$C$3:$C$1025,MATCH($E121,学年度总表!$E$3:$E$1025,0))="","",INDEX(学年度总表!$C$3:$C$1025,MATCH($E121,学年度总表!$E$3:$E$1025,0)))</f>
        <v>软工</v>
      </c>
      <c r="D121" s="2" t="str">
        <f>IF(INDEX(学年度总表!$D$3:$D$1025,MATCH($E121,学年度总表!$E$3:$E$1025,0))="","",INDEX(学年度总表!$D$3:$D$1025,MATCH($E121,学年度总表!$E$3:$E$1025,0)))</f>
        <v>软工9班</v>
      </c>
      <c r="E121" s="2" t="s">
        <v>710</v>
      </c>
      <c r="F121" s="2" t="str">
        <f>IF(INDEX(学年度总表!$F$3:$F$1025,MATCH($E121,学年度总表!$E$3:$E$1025,0))="","",INDEX(学年度总表!$F$3:$F$1025,MATCH($E121,学年度总表!$E$3:$E$1025,0)))</f>
        <v>李优含</v>
      </c>
      <c r="G121" s="3">
        <f>IF(INDEX(学年度总表!$G$3:$G$1025,MATCH($E121,学年度总表!$E$3:$E$1025,0))="","",INDEX(学年度总表!$G$3:$G$1025,MATCH($E121,学年度总表!$E$3:$E$1025,0)))</f>
        <v>9.8000000000000007</v>
      </c>
      <c r="H121" s="3">
        <f>IF(INDEX(学年度总表!$H$3:$H$1025,MATCH($E121,学年度总表!$E$3:$E$1025,0))="","",INDEX(学年度总表!$H$3:$H$1025,MATCH($E121,学年度总表!$E$3:$E$1025,0)))</f>
        <v>58.653061224489797</v>
      </c>
      <c r="I121" s="3">
        <f>IF(INDEX(学年度总表!$I$3:$I$1025,MATCH($E121,学年度总表!$E$3:$E$1025,0))="","",INDEX(学年度总表!$I$3:$I$1025,MATCH($E121,学年度总表!$E$3:$E$1025,0)))</f>
        <v>3</v>
      </c>
      <c r="J121" s="3">
        <f>IF(INDEX(学年度总表!$J$3:$J$1025,MATCH($E121,学年度总表!$E$3:$E$1025,0))="","",INDEX(学年度总表!$J$3:$J$1025,MATCH($E121,学年度总表!$E$3:$E$1025,0)))</f>
        <v>71.45</v>
      </c>
      <c r="K121" s="3">
        <f>IF(INDEX(学年度总表!$K$3:$K$1025,MATCH($E121,学年度总表!$E$3:$E$1025,0))="","",INDEX(学年度总表!$K$3:$K$1025,MATCH($E121,学年度总表!$E$3:$E$1025,0)))</f>
        <v>9.8000000000000007</v>
      </c>
      <c r="L121" s="3">
        <f>IF(INDEX(学年度总表!$L$3:$L$1025,MATCH($E121,学年度总表!$E$3:$E$1025,0))="","",INDEX(学年度总表!$L$3:$L$1025,MATCH($E121,学年度总表!$E$3:$E$1025,0)))</f>
        <v>61.38</v>
      </c>
      <c r="M121" s="3">
        <f>IF(INDEX(学年度总表!$M$3:$M$1025,MATCH($E121,学年度总表!$E$3:$E$1025,0))="","",INDEX(学年度总表!$M$3:$M$1025,MATCH($E121,学年度总表!$E$3:$E$1025,0)))</f>
        <v>3.7</v>
      </c>
      <c r="N121" s="3">
        <f>IF(INDEX(学年度总表!$N$3:$N$1025,MATCH($E121,学年度总表!$E$3:$E$1025,0))="","",INDEX(学年度总表!$N$3:$N$1025,MATCH($E121,学年度总表!$E$3:$E$1025,0)))</f>
        <v>74.88</v>
      </c>
      <c r="O121" s="3">
        <f>IF(INDEX(学年度总表!$O$3:$O$1025,MATCH($E121,学年度总表!$E$3:$E$1025,0))="","",INDEX(学年度总表!$O$3:$O$1025,MATCH($E121,学年度总表!$E$3:$E$1025,0)))</f>
        <v>146.33000000000001</v>
      </c>
      <c r="P121" s="2" t="str">
        <f>IF(INDEX(学年度总表!$P$3:$P$1025,MATCH($E121,学年度总表!$E$3:$E$1025,0))="","",INDEX(学年度总表!$P$3:$P$1025,MATCH($E121,学年度总表!$E$3:$E$1025,0)))</f>
        <v/>
      </c>
      <c r="Q121" s="5" t="str">
        <f>IF(INDEX(学年度总表!$Q$3:$Q$1025,MATCH($E121,学年度总表!$E$3:$E$1025,0))="","",INDEX(学年度总表!$Q$3:$Q$1025,MATCH($E121,学年度总表!$E$3:$E$1025,0)))</f>
        <v/>
      </c>
    </row>
    <row r="122" spans="1:17">
      <c r="A122" s="2">
        <f>IF(INDEX(学年度总表!$A$3:$A$1025,MATCH($E122,学年度总表!$E$3:$E$1025,0))="","",INDEX(学年度总表!$A$3:$A$1025,MATCH($E122,学年度总表!$E$3:$E$1025,0)))</f>
        <v>327</v>
      </c>
      <c r="B122" s="2">
        <f>IF(INDEX(学年度总表!$B$3:$B$1025,MATCH($E122,学年度总表!$E$3:$E$1025,0))="","",INDEX(学年度总表!$B$3:$B$1025,MATCH($E122,学年度总表!$E$3:$E$1025,0)))</f>
        <v>120</v>
      </c>
      <c r="C122" s="2" t="str">
        <f>IF(INDEX(学年度总表!$C$3:$C$1025,MATCH($E122,学年度总表!$E$3:$E$1025,0))="","",INDEX(学年度总表!$C$3:$C$1025,MATCH($E122,学年度总表!$E$3:$E$1025,0)))</f>
        <v>软工</v>
      </c>
      <c r="D122" s="2" t="str">
        <f>IF(INDEX(学年度总表!$D$3:$D$1025,MATCH($E122,学年度总表!$E$3:$E$1025,0))="","",INDEX(学年度总表!$D$3:$D$1025,MATCH($E122,学年度总表!$E$3:$E$1025,0)))</f>
        <v>软工8班</v>
      </c>
      <c r="E122" s="2" t="s">
        <v>714</v>
      </c>
      <c r="F122" s="2" t="str">
        <f>IF(INDEX(学年度总表!$F$3:$F$1025,MATCH($E122,学年度总表!$E$3:$E$1025,0))="","",INDEX(学年度总表!$F$3:$F$1025,MATCH($E122,学年度总表!$E$3:$E$1025,0)))</f>
        <v>朱浩田</v>
      </c>
      <c r="G122" s="3">
        <f>IF(INDEX(学年度总表!$G$3:$G$1025,MATCH($E122,学年度总表!$E$3:$E$1025,0))="","",INDEX(学年度总表!$G$3:$G$1025,MATCH($E122,学年度总表!$E$3:$E$1025,0)))</f>
        <v>9.8000000000000007</v>
      </c>
      <c r="H122" s="3">
        <f>IF(INDEX(学年度总表!$H$3:$H$1025,MATCH($E122,学年度总表!$E$3:$E$1025,0))="","",INDEX(学年度总表!$H$3:$H$1025,MATCH($E122,学年度总表!$E$3:$E$1025,0)))</f>
        <v>64.691489361702097</v>
      </c>
      <c r="I122" s="3">
        <f>IF(INDEX(学年度总表!$I$3:$I$1025,MATCH($E122,学年度总表!$E$3:$E$1025,0))="","",INDEX(学年度总表!$I$3:$I$1025,MATCH($E122,学年度总表!$E$3:$E$1025,0)))</f>
        <v>4</v>
      </c>
      <c r="J122" s="3">
        <f>IF(INDEX(学年度总表!$J$3:$J$1025,MATCH($E122,学年度总表!$E$3:$E$1025,0))="","",INDEX(学年度总表!$J$3:$J$1025,MATCH($E122,学年度总表!$E$3:$E$1025,0)))</f>
        <v>78.489999999999995</v>
      </c>
      <c r="K122" s="3">
        <f>IF(INDEX(学年度总表!$K$3:$K$1025,MATCH($E122,学年度总表!$E$3:$E$1025,0))="","",INDEX(学年度总表!$K$3:$K$1025,MATCH($E122,学年度总表!$E$3:$E$1025,0)))</f>
        <v>9.8000000000000007</v>
      </c>
      <c r="L122" s="3">
        <f>IF(INDEX(学年度总表!$L$3:$L$1025,MATCH($E122,学年度总表!$E$3:$E$1025,0))="","",INDEX(学年度总表!$L$3:$L$1025,MATCH($E122,学年度总表!$E$3:$E$1025,0)))</f>
        <v>53.45</v>
      </c>
      <c r="M122" s="3">
        <f>IF(INDEX(学年度总表!$M$3:$M$1025,MATCH($E122,学年度总表!$E$3:$E$1025,0))="","",INDEX(学年度总表!$M$3:$M$1025,MATCH($E122,学年度总表!$E$3:$E$1025,0)))</f>
        <v>4.5</v>
      </c>
      <c r="N122" s="3">
        <f>IF(INDEX(学年度总表!$N$3:$N$1025,MATCH($E122,学年度总表!$E$3:$E$1025,0))="","",INDEX(学年度总表!$N$3:$N$1025,MATCH($E122,学年度总表!$E$3:$E$1025,0)))</f>
        <v>67.75</v>
      </c>
      <c r="O122" s="3">
        <f>IF(INDEX(学年度总表!$O$3:$O$1025,MATCH($E122,学年度总表!$E$3:$E$1025,0))="","",INDEX(学年度总表!$O$3:$O$1025,MATCH($E122,学年度总表!$E$3:$E$1025,0)))</f>
        <v>146.24</v>
      </c>
      <c r="P122" s="2" t="str">
        <f>IF(INDEX(学年度总表!$P$3:$P$1025,MATCH($E122,学年度总表!$E$3:$E$1025,0))="","",INDEX(学年度总表!$P$3:$P$1025,MATCH($E122,学年度总表!$E$3:$E$1025,0)))</f>
        <v/>
      </c>
      <c r="Q122" s="5" t="str">
        <f>IF(INDEX(学年度总表!$Q$3:$Q$1025,MATCH($E122,学年度总表!$E$3:$E$1025,0))="","",INDEX(学年度总表!$Q$3:$Q$1025,MATCH($E122,学年度总表!$E$3:$E$1025,0)))</f>
        <v/>
      </c>
    </row>
    <row r="123" spans="1:17">
      <c r="A123" s="2">
        <f>IF(INDEX(学年度总表!$A$3:$A$1025,MATCH($E123,学年度总表!$E$3:$E$1025,0))="","",INDEX(学年度总表!$A$3:$A$1025,MATCH($E123,学年度总表!$E$3:$E$1025,0)))</f>
        <v>333</v>
      </c>
      <c r="B123" s="2">
        <f>IF(INDEX(学年度总表!$B$3:$B$1025,MATCH($E123,学年度总表!$E$3:$E$1025,0))="","",INDEX(学年度总表!$B$3:$B$1025,MATCH($E123,学年度总表!$E$3:$E$1025,0)))</f>
        <v>121</v>
      </c>
      <c r="C123" s="2" t="str">
        <f>IF(INDEX(学年度总表!$C$3:$C$1025,MATCH($E123,学年度总表!$E$3:$E$1025,0))="","",INDEX(学年度总表!$C$3:$C$1025,MATCH($E123,学年度总表!$E$3:$E$1025,0)))</f>
        <v>软工</v>
      </c>
      <c r="D123" s="2" t="str">
        <f>IF(INDEX(学年度总表!$D$3:$D$1025,MATCH($E123,学年度总表!$E$3:$E$1025,0))="","",INDEX(学年度总表!$D$3:$D$1025,MATCH($E123,学年度总表!$E$3:$E$1025,0)))</f>
        <v>软工6班</v>
      </c>
      <c r="E123" s="2" t="s">
        <v>726</v>
      </c>
      <c r="F123" s="2" t="str">
        <f>IF(INDEX(学年度总表!$F$3:$F$1025,MATCH($E123,学年度总表!$E$3:$E$1025,0))="","",INDEX(学年度总表!$F$3:$F$1025,MATCH($E123,学年度总表!$E$3:$E$1025,0)))</f>
        <v>林与桐</v>
      </c>
      <c r="G123" s="3">
        <f>IF(INDEX(学年度总表!$G$3:$G$1025,MATCH($E123,学年度总表!$E$3:$E$1025,0))="","",INDEX(学年度总表!$G$3:$G$1025,MATCH($E123,学年度总表!$E$3:$E$1025,0)))</f>
        <v>11.8</v>
      </c>
      <c r="H123" s="3">
        <f>IF(INDEX(学年度总表!$H$3:$H$1025,MATCH($E123,学年度总表!$E$3:$E$1025,0))="","",INDEX(学年度总表!$H$3:$H$1025,MATCH($E123,学年度总表!$E$3:$E$1025,0)))</f>
        <v>57.236363636363599</v>
      </c>
      <c r="I123" s="3">
        <f>IF(INDEX(学年度总表!$I$3:$I$1025,MATCH($E123,学年度总表!$E$3:$E$1025,0))="","",INDEX(学年度总表!$I$3:$I$1025,MATCH($E123,学年度总表!$E$3:$E$1025,0)))</f>
        <v>5.0999999999999996</v>
      </c>
      <c r="J123" s="3">
        <f>IF(INDEX(学年度总表!$J$3:$J$1025,MATCH($E123,学年度总表!$E$3:$E$1025,0))="","",INDEX(学年度总表!$J$3:$J$1025,MATCH($E123,学年度总表!$E$3:$E$1025,0)))</f>
        <v>74.14</v>
      </c>
      <c r="K123" s="3">
        <f>IF(INDEX(学年度总表!$K$3:$K$1025,MATCH($E123,学年度总表!$E$3:$E$1025,0))="","",INDEX(学年度总表!$K$3:$K$1025,MATCH($E123,学年度总表!$E$3:$E$1025,0)))</f>
        <v>9.8000000000000007</v>
      </c>
      <c r="L123" s="3">
        <f>IF(INDEX(学年度总表!$L$3:$L$1025,MATCH($E123,学年度总表!$E$3:$E$1025,0))="","",INDEX(学年度总表!$L$3:$L$1025,MATCH($E123,学年度总表!$E$3:$E$1025,0)))</f>
        <v>57.17</v>
      </c>
      <c r="M123" s="3">
        <f>IF(INDEX(学年度总表!$M$3:$M$1025,MATCH($E123,学年度总表!$E$3:$E$1025,0))="","",INDEX(学年度总表!$M$3:$M$1025,MATCH($E123,学年度总表!$E$3:$E$1025,0)))</f>
        <v>5</v>
      </c>
      <c r="N123" s="3">
        <f>IF(INDEX(学年度总表!$N$3:$N$1025,MATCH($E123,学年度总表!$E$3:$E$1025,0))="","",INDEX(学年度总表!$N$3:$N$1025,MATCH($E123,学年度总表!$E$3:$E$1025,0)))</f>
        <v>71.97</v>
      </c>
      <c r="O123" s="3">
        <f>IF(INDEX(学年度总表!$O$3:$O$1025,MATCH($E123,学年度总表!$E$3:$E$1025,0))="","",INDEX(学年度总表!$O$3:$O$1025,MATCH($E123,学年度总表!$E$3:$E$1025,0)))</f>
        <v>146.11000000000001</v>
      </c>
      <c r="P123" s="2" t="str">
        <f>IF(INDEX(学年度总表!$P$3:$P$1025,MATCH($E123,学年度总表!$E$3:$E$1025,0))="","",INDEX(学年度总表!$P$3:$P$1025,MATCH($E123,学年度总表!$E$3:$E$1025,0)))</f>
        <v/>
      </c>
      <c r="Q123" s="5" t="str">
        <f>IF(INDEX(学年度总表!$Q$3:$Q$1025,MATCH($E123,学年度总表!$E$3:$E$1025,0))="","",INDEX(学年度总表!$Q$3:$Q$1025,MATCH($E123,学年度总表!$E$3:$E$1025,0)))</f>
        <v/>
      </c>
    </row>
    <row r="124" spans="1:17">
      <c r="A124" s="2">
        <f>IF(INDEX(学年度总表!$A$3:$A$1025,MATCH($E124,学年度总表!$E$3:$E$1025,0))="","",INDEX(学年度总表!$A$3:$A$1025,MATCH($E124,学年度总表!$E$3:$E$1025,0)))</f>
        <v>338</v>
      </c>
      <c r="B124" s="2">
        <f>IF(INDEX(学年度总表!$B$3:$B$1025,MATCH($E124,学年度总表!$E$3:$E$1025,0))="","",INDEX(学年度总表!$B$3:$B$1025,MATCH($E124,学年度总表!$E$3:$E$1025,0)))</f>
        <v>122</v>
      </c>
      <c r="C124" s="2" t="str">
        <f>IF(INDEX(学年度总表!$C$3:$C$1025,MATCH($E124,学年度总表!$E$3:$E$1025,0))="","",INDEX(学年度总表!$C$3:$C$1025,MATCH($E124,学年度总表!$E$3:$E$1025,0)))</f>
        <v>软工</v>
      </c>
      <c r="D124" s="2" t="str">
        <f>IF(INDEX(学年度总表!$D$3:$D$1025,MATCH($E124,学年度总表!$E$3:$E$1025,0))="","",INDEX(学年度总表!$D$3:$D$1025,MATCH($E124,学年度总表!$E$3:$E$1025,0)))</f>
        <v>软工12班</v>
      </c>
      <c r="E124" s="2" t="s">
        <v>736</v>
      </c>
      <c r="F124" s="2" t="str">
        <f>IF(INDEX(学年度总表!$F$3:$F$1025,MATCH($E124,学年度总表!$E$3:$E$1025,0))="","",INDEX(学年度总表!$F$3:$F$1025,MATCH($E124,学年度总表!$E$3:$E$1025,0)))</f>
        <v>李文瑾</v>
      </c>
      <c r="G124" s="3">
        <f>IF(INDEX(学年度总表!$G$3:$G$1025,MATCH($E124,学年度总表!$E$3:$E$1025,0))="","",INDEX(学年度总表!$G$3:$G$1025,MATCH($E124,学年度总表!$E$3:$E$1025,0)))</f>
        <v>9.8000000000000007</v>
      </c>
      <c r="H124" s="3">
        <f>IF(INDEX(学年度总表!$H$3:$H$1025,MATCH($E124,学年度总表!$E$3:$E$1025,0))="","",INDEX(学年度总表!$H$3:$H$1025,MATCH($E124,学年度总表!$E$3:$E$1025,0)))</f>
        <v>58.93</v>
      </c>
      <c r="I124" s="3">
        <f>IF(INDEX(学年度总表!$I$3:$I$1025,MATCH($E124,学年度总表!$E$3:$E$1025,0))="","",INDEX(学年度总表!$I$3:$I$1025,MATCH($E124,学年度总表!$E$3:$E$1025,0)))</f>
        <v>5.0999999999999996</v>
      </c>
      <c r="J124" s="3">
        <f>IF(INDEX(学年度总表!$J$3:$J$1025,MATCH($E124,学年度总表!$E$3:$E$1025,0))="","",INDEX(学年度总表!$J$3:$J$1025,MATCH($E124,学年度总表!$E$3:$E$1025,0)))</f>
        <v>73.83</v>
      </c>
      <c r="K124" s="3">
        <f>IF(INDEX(学年度总表!$K$3:$K$1025,MATCH($E124,学年度总表!$E$3:$E$1025,0))="","",INDEX(学年度总表!$K$3:$K$1025,MATCH($E124,学年度总表!$E$3:$E$1025,0)))</f>
        <v>9.8000000000000007</v>
      </c>
      <c r="L124" s="3">
        <f>IF(INDEX(学年度总表!$L$3:$L$1025,MATCH($E124,学年度总表!$E$3:$E$1025,0))="","",INDEX(学年度总表!$L$3:$L$1025,MATCH($E124,学年度总表!$E$3:$E$1025,0)))</f>
        <v>58.04</v>
      </c>
      <c r="M124" s="3">
        <f>IF(INDEX(学年度总表!$M$3:$M$1025,MATCH($E124,学年度总表!$E$3:$E$1025,0))="","",INDEX(学年度总表!$M$3:$M$1025,MATCH($E124,学年度总表!$E$3:$E$1025,0)))</f>
        <v>4</v>
      </c>
      <c r="N124" s="3">
        <f>IF(INDEX(学年度总表!$N$3:$N$1025,MATCH($E124,学年度总表!$E$3:$E$1025,0))="","",INDEX(学年度总表!$N$3:$N$1025,MATCH($E124,学年度总表!$E$3:$E$1025,0)))</f>
        <v>71.84</v>
      </c>
      <c r="O124" s="3">
        <f>IF(INDEX(学年度总表!$O$3:$O$1025,MATCH($E124,学年度总表!$E$3:$E$1025,0))="","",INDEX(学年度总表!$O$3:$O$1025,MATCH($E124,学年度总表!$E$3:$E$1025,0)))</f>
        <v>145.66999999999999</v>
      </c>
      <c r="P124" s="2" t="str">
        <f>IF(INDEX(学年度总表!$P$3:$P$1025,MATCH($E124,学年度总表!$E$3:$E$1025,0))="","",INDEX(学年度总表!$P$3:$P$1025,MATCH($E124,学年度总表!$E$3:$E$1025,0)))</f>
        <v/>
      </c>
      <c r="Q124" s="5" t="str">
        <f>IF(INDEX(学年度总表!$Q$3:$Q$1025,MATCH($E124,学年度总表!$E$3:$E$1025,0))="","",INDEX(学年度总表!$Q$3:$Q$1025,MATCH($E124,学年度总表!$E$3:$E$1025,0)))</f>
        <v/>
      </c>
    </row>
    <row r="125" spans="1:17">
      <c r="A125" s="2">
        <f>IF(INDEX(学年度总表!$A$3:$A$1025,MATCH($E125,学年度总表!$E$3:$E$1025,0))="","",INDEX(学年度总表!$A$3:$A$1025,MATCH($E125,学年度总表!$E$3:$E$1025,0)))</f>
        <v>341</v>
      </c>
      <c r="B125" s="2">
        <f>IF(INDEX(学年度总表!$B$3:$B$1025,MATCH($E125,学年度总表!$E$3:$E$1025,0))="","",INDEX(学年度总表!$B$3:$B$1025,MATCH($E125,学年度总表!$E$3:$E$1025,0)))</f>
        <v>123</v>
      </c>
      <c r="C125" s="2" t="str">
        <f>IF(INDEX(学年度总表!$C$3:$C$1025,MATCH($E125,学年度总表!$E$3:$E$1025,0))="","",INDEX(学年度总表!$C$3:$C$1025,MATCH($E125,学年度总表!$E$3:$E$1025,0)))</f>
        <v>软工</v>
      </c>
      <c r="D125" s="2" t="str">
        <f>IF(INDEX(学年度总表!$D$3:$D$1025,MATCH($E125,学年度总表!$E$3:$E$1025,0))="","",INDEX(学年度总表!$D$3:$D$1025,MATCH($E125,学年度总表!$E$3:$E$1025,0)))</f>
        <v>软工7班</v>
      </c>
      <c r="E125" s="2" t="s">
        <v>742</v>
      </c>
      <c r="F125" s="2" t="str">
        <f>IF(INDEX(学年度总表!$F$3:$F$1025,MATCH($E125,学年度总表!$E$3:$E$1025,0))="","",INDEX(学年度总表!$F$3:$F$1025,MATCH($E125,学年度总表!$E$3:$E$1025,0)))</f>
        <v>郭丰硕</v>
      </c>
      <c r="G125" s="3">
        <f>IF(INDEX(学年度总表!$G$3:$G$1025,MATCH($E125,学年度总表!$E$3:$E$1025,0))="","",INDEX(学年度总表!$G$3:$G$1025,MATCH($E125,学年度总表!$E$3:$E$1025,0)))</f>
        <v>10</v>
      </c>
      <c r="H125" s="3">
        <f>IF(INDEX(学年度总表!$H$3:$H$1025,MATCH($E125,学年度总表!$E$3:$E$1025,0))="","",INDEX(学年度总表!$H$3:$H$1025,MATCH($E125,学年度总表!$E$3:$E$1025,0)))</f>
        <v>66.150000000000006</v>
      </c>
      <c r="I125" s="3">
        <f>IF(INDEX(学年度总表!$I$3:$I$1025,MATCH($E125,学年度总表!$E$3:$E$1025,0))="","",INDEX(学年度总表!$I$3:$I$1025,MATCH($E125,学年度总表!$E$3:$E$1025,0)))</f>
        <v>3</v>
      </c>
      <c r="J125" s="3">
        <f>IF(INDEX(学年度总表!$J$3:$J$1025,MATCH($E125,学年度总表!$E$3:$E$1025,0))="","",INDEX(学年度总表!$J$3:$J$1025,MATCH($E125,学年度总表!$E$3:$E$1025,0)))</f>
        <v>79.150000000000006</v>
      </c>
      <c r="K125" s="3">
        <f>IF(INDEX(学年度总表!$K$3:$K$1025,MATCH($E125,学年度总表!$E$3:$E$1025,0))="","",INDEX(学年度总表!$K$3:$K$1025,MATCH($E125,学年度总表!$E$3:$E$1025,0)))</f>
        <v>7.5</v>
      </c>
      <c r="L125" s="3">
        <f>IF(INDEX(学年度总表!$L$3:$L$1025,MATCH($E125,学年度总表!$E$3:$E$1025,0))="","",INDEX(学年度总表!$L$3:$L$1025,MATCH($E125,学年度总表!$E$3:$E$1025,0)))</f>
        <v>55.81</v>
      </c>
      <c r="M125" s="3">
        <f>IF(INDEX(学年度总表!$M$3:$M$1025,MATCH($E125,学年度总表!$E$3:$E$1025,0))="","",INDEX(学年度总表!$M$3:$M$1025,MATCH($E125,学年度总表!$E$3:$E$1025,0)))</f>
        <v>3</v>
      </c>
      <c r="N125" s="3">
        <f>IF(INDEX(学年度总表!$N$3:$N$1025,MATCH($E125,学年度总表!$E$3:$E$1025,0))="","",INDEX(学年度总表!$N$3:$N$1025,MATCH($E125,学年度总表!$E$3:$E$1025,0)))</f>
        <v>66.31</v>
      </c>
      <c r="O125" s="3">
        <f>IF(INDEX(学年度总表!$O$3:$O$1025,MATCH($E125,学年度总表!$E$3:$E$1025,0))="","",INDEX(学年度总表!$O$3:$O$1025,MATCH($E125,学年度总表!$E$3:$E$1025,0)))</f>
        <v>145.46</v>
      </c>
      <c r="P125" s="2" t="str">
        <f>IF(INDEX(学年度总表!$P$3:$P$1025,MATCH($E125,学年度总表!$E$3:$E$1025,0))="","",INDEX(学年度总表!$P$3:$P$1025,MATCH($E125,学年度总表!$E$3:$E$1025,0)))</f>
        <v/>
      </c>
      <c r="Q125" s="5" t="str">
        <f>IF(INDEX(学年度总表!$Q$3:$Q$1025,MATCH($E125,学年度总表!$E$3:$E$1025,0))="","",INDEX(学年度总表!$Q$3:$Q$1025,MATCH($E125,学年度总表!$E$3:$E$1025,0)))</f>
        <v/>
      </c>
    </row>
    <row r="126" spans="1:17">
      <c r="A126" s="2">
        <f>IF(INDEX(学年度总表!$A$3:$A$1025,MATCH($E126,学年度总表!$E$3:$E$1025,0))="","",INDEX(学年度总表!$A$3:$A$1025,MATCH($E126,学年度总表!$E$3:$E$1025,0)))</f>
        <v>341</v>
      </c>
      <c r="B126" s="2">
        <f>IF(INDEX(学年度总表!$B$3:$B$1025,MATCH($E126,学年度总表!$E$3:$E$1025,0))="","",INDEX(学年度总表!$B$3:$B$1025,MATCH($E126,学年度总表!$E$3:$E$1025,0)))</f>
        <v>123</v>
      </c>
      <c r="C126" s="2" t="str">
        <f>IF(INDEX(学年度总表!$C$3:$C$1025,MATCH($E126,学年度总表!$E$3:$E$1025,0))="","",INDEX(学年度总表!$C$3:$C$1025,MATCH($E126,学年度总表!$E$3:$E$1025,0)))</f>
        <v>软工</v>
      </c>
      <c r="D126" s="2" t="str">
        <f>IF(INDEX(学年度总表!$D$3:$D$1025,MATCH($E126,学年度总表!$E$3:$E$1025,0))="","",INDEX(学年度总表!$D$3:$D$1025,MATCH($E126,学年度总表!$E$3:$E$1025,0)))</f>
        <v>软工9班</v>
      </c>
      <c r="E126" s="2" t="s">
        <v>744</v>
      </c>
      <c r="F126" s="2" t="str">
        <f>IF(INDEX(学年度总表!$F$3:$F$1025,MATCH($E126,学年度总表!$E$3:$E$1025,0))="","",INDEX(学年度总表!$F$3:$F$1025,MATCH($E126,学年度总表!$E$3:$E$1025,0)))</f>
        <v>程宇彤</v>
      </c>
      <c r="G126" s="3">
        <f>IF(INDEX(学年度总表!$G$3:$G$1025,MATCH($E126,学年度总表!$E$3:$E$1025,0))="","",INDEX(学年度总表!$G$3:$G$1025,MATCH($E126,学年度总表!$E$3:$E$1025,0)))</f>
        <v>7.3</v>
      </c>
      <c r="H126" s="3">
        <f>IF(INDEX(学年度总表!$H$3:$H$1025,MATCH($E126,学年度总表!$E$3:$E$1025,0))="","",INDEX(学年度总表!$H$3:$H$1025,MATCH($E126,学年度总表!$E$3:$E$1025,0)))</f>
        <v>56.954545454545503</v>
      </c>
      <c r="I126" s="3">
        <f>IF(INDEX(学年度总表!$I$3:$I$1025,MATCH($E126,学年度总表!$E$3:$E$1025,0))="","",INDEX(学年度总表!$I$3:$I$1025,MATCH($E126,学年度总表!$E$3:$E$1025,0)))</f>
        <v>3</v>
      </c>
      <c r="J126" s="3">
        <f>IF(INDEX(学年度总表!$J$3:$J$1025,MATCH($E126,学年度总表!$E$3:$E$1025,0))="","",INDEX(学年度总表!$J$3:$J$1025,MATCH($E126,学年度总表!$E$3:$E$1025,0)))</f>
        <v>67.25</v>
      </c>
      <c r="K126" s="3">
        <f>IF(INDEX(学年度总表!$K$3:$K$1025,MATCH($E126,学年度总表!$E$3:$E$1025,0))="","",INDEX(学年度总表!$K$3:$K$1025,MATCH($E126,学年度总表!$E$3:$E$1025,0)))</f>
        <v>9.8000000000000007</v>
      </c>
      <c r="L126" s="3">
        <f>IF(INDEX(学年度总表!$L$3:$L$1025,MATCH($E126,学年度总表!$E$3:$E$1025,0))="","",INDEX(学年度总表!$L$3:$L$1025,MATCH($E126,学年度总表!$E$3:$E$1025,0)))</f>
        <v>64.91</v>
      </c>
      <c r="M126" s="3">
        <f>IF(INDEX(学年度总表!$M$3:$M$1025,MATCH($E126,学年度总表!$E$3:$E$1025,0))="","",INDEX(学年度总表!$M$3:$M$1025,MATCH($E126,学年度总表!$E$3:$E$1025,0)))</f>
        <v>3.5</v>
      </c>
      <c r="N126" s="3">
        <f>IF(INDEX(学年度总表!$N$3:$N$1025,MATCH($E126,学年度总表!$E$3:$E$1025,0))="","",INDEX(学年度总表!$N$3:$N$1025,MATCH($E126,学年度总表!$E$3:$E$1025,0)))</f>
        <v>78.209999999999994</v>
      </c>
      <c r="O126" s="3">
        <f>IF(INDEX(学年度总表!$O$3:$O$1025,MATCH($E126,学年度总表!$E$3:$E$1025,0))="","",INDEX(学年度总表!$O$3:$O$1025,MATCH($E126,学年度总表!$E$3:$E$1025,0)))</f>
        <v>145.46</v>
      </c>
      <c r="P126" s="2" t="str">
        <f>IF(INDEX(学年度总表!$P$3:$P$1025,MATCH($E126,学年度总表!$E$3:$E$1025,0))="","",INDEX(学年度总表!$P$3:$P$1025,MATCH($E126,学年度总表!$E$3:$E$1025,0)))</f>
        <v/>
      </c>
      <c r="Q126" s="5" t="str">
        <f>IF(INDEX(学年度总表!$Q$3:$Q$1025,MATCH($E126,学年度总表!$E$3:$E$1025,0))="","",INDEX(学年度总表!$Q$3:$Q$1025,MATCH($E126,学年度总表!$E$3:$E$1025,0)))</f>
        <v/>
      </c>
    </row>
    <row r="127" spans="1:17">
      <c r="A127" s="2">
        <f>IF(INDEX(学年度总表!$A$3:$A$1025,MATCH($E127,学年度总表!$E$3:$E$1025,0))="","",INDEX(学年度总表!$A$3:$A$1025,MATCH($E127,学年度总表!$E$3:$E$1025,0)))</f>
        <v>346</v>
      </c>
      <c r="B127" s="2">
        <f>IF(INDEX(学年度总表!$B$3:$B$1025,MATCH($E127,学年度总表!$E$3:$E$1025,0))="","",INDEX(学年度总表!$B$3:$B$1025,MATCH($E127,学年度总表!$E$3:$E$1025,0)))</f>
        <v>125</v>
      </c>
      <c r="C127" s="2" t="str">
        <f>IF(INDEX(学年度总表!$C$3:$C$1025,MATCH($E127,学年度总表!$E$3:$E$1025,0))="","",INDEX(学年度总表!$C$3:$C$1025,MATCH($E127,学年度总表!$E$3:$E$1025,0)))</f>
        <v>软工</v>
      </c>
      <c r="D127" s="2" t="str">
        <f>IF(INDEX(学年度总表!$D$3:$D$1025,MATCH($E127,学年度总表!$E$3:$E$1025,0))="","",INDEX(学年度总表!$D$3:$D$1025,MATCH($E127,学年度总表!$E$3:$E$1025,0)))</f>
        <v>软工10班</v>
      </c>
      <c r="E127" s="2" t="s">
        <v>752</v>
      </c>
      <c r="F127" s="2" t="str">
        <f>IF(INDEX(学年度总表!$F$3:$F$1025,MATCH($E127,学年度总表!$E$3:$E$1025,0))="","",INDEX(学年度总表!$F$3:$F$1025,MATCH($E127,学年度总表!$E$3:$E$1025,0)))</f>
        <v>陈旷奇</v>
      </c>
      <c r="G127" s="3">
        <f>IF(INDEX(学年度总表!$G$3:$G$1025,MATCH($E127,学年度总表!$E$3:$E$1025,0))="","",INDEX(学年度总表!$G$3:$G$1025,MATCH($E127,学年度总表!$E$3:$E$1025,0)))</f>
        <v>10.5</v>
      </c>
      <c r="H127" s="3">
        <f>IF(INDEX(学年度总表!$H$3:$H$1025,MATCH($E127,学年度总表!$E$3:$E$1025,0))="","",INDEX(学年度总表!$H$3:$H$1025,MATCH($E127,学年度总表!$E$3:$E$1025,0)))</f>
        <v>61.81</v>
      </c>
      <c r="I127" s="3">
        <f>IF(INDEX(学年度总表!$I$3:$I$1025,MATCH($E127,学年度总表!$E$3:$E$1025,0))="","",INDEX(学年度总表!$I$3:$I$1025,MATCH($E127,学年度总表!$E$3:$E$1025,0)))</f>
        <v>5</v>
      </c>
      <c r="J127" s="3">
        <f>IF(INDEX(学年度总表!$J$3:$J$1025,MATCH($E127,学年度总表!$E$3:$E$1025,0))="","",INDEX(学年度总表!$J$3:$J$1025,MATCH($E127,学年度总表!$E$3:$E$1025,0)))</f>
        <v>77.31</v>
      </c>
      <c r="K127" s="3">
        <f>IF(INDEX(学年度总表!$K$3:$K$1025,MATCH($E127,学年度总表!$E$3:$E$1025,0))="","",INDEX(学年度总表!$K$3:$K$1025,MATCH($E127,学年度总表!$E$3:$E$1025,0)))</f>
        <v>10</v>
      </c>
      <c r="L127" s="3">
        <f>IF(INDEX(学年度总表!$L$3:$L$1025,MATCH($E127,学年度总表!$E$3:$E$1025,0))="","",INDEX(学年度总表!$L$3:$L$1025,MATCH($E127,学年度总表!$E$3:$E$1025,0)))</f>
        <v>52.25</v>
      </c>
      <c r="M127" s="3">
        <f>IF(INDEX(学年度总表!$M$3:$M$1025,MATCH($E127,学年度总表!$E$3:$E$1025,0))="","",INDEX(学年度总表!$M$3:$M$1025,MATCH($E127,学年度总表!$E$3:$E$1025,0)))</f>
        <v>5.7</v>
      </c>
      <c r="N127" s="3">
        <f>IF(INDEX(学年度总表!$N$3:$N$1025,MATCH($E127,学年度总表!$E$3:$E$1025,0))="","",INDEX(学年度总表!$N$3:$N$1025,MATCH($E127,学年度总表!$E$3:$E$1025,0)))</f>
        <v>67.95</v>
      </c>
      <c r="O127" s="3">
        <f>IF(INDEX(学年度总表!$O$3:$O$1025,MATCH($E127,学年度总表!$E$3:$E$1025,0))="","",INDEX(学年度总表!$O$3:$O$1025,MATCH($E127,学年度总表!$E$3:$E$1025,0)))</f>
        <v>145.26</v>
      </c>
      <c r="P127" s="2" t="str">
        <f>IF(INDEX(学年度总表!$P$3:$P$1025,MATCH($E127,学年度总表!$E$3:$E$1025,0))="","",INDEX(学年度总表!$P$3:$P$1025,MATCH($E127,学年度总表!$E$3:$E$1025,0)))</f>
        <v/>
      </c>
      <c r="Q127" s="5" t="str">
        <f>IF(INDEX(学年度总表!$Q$3:$Q$1025,MATCH($E127,学年度总表!$E$3:$E$1025,0))="","",INDEX(学年度总表!$Q$3:$Q$1025,MATCH($E127,学年度总表!$E$3:$E$1025,0)))</f>
        <v/>
      </c>
    </row>
    <row r="128" spans="1:17">
      <c r="A128" s="2">
        <f>IF(INDEX(学年度总表!$A$3:$A$1025,MATCH($E128,学年度总表!$E$3:$E$1025,0))="","",INDEX(学年度总表!$A$3:$A$1025,MATCH($E128,学年度总表!$E$3:$E$1025,0)))</f>
        <v>349</v>
      </c>
      <c r="B128" s="2">
        <f>IF(INDEX(学年度总表!$B$3:$B$1025,MATCH($E128,学年度总表!$E$3:$E$1025,0))="","",INDEX(学年度总表!$B$3:$B$1025,MATCH($E128,学年度总表!$E$3:$E$1025,0)))</f>
        <v>126</v>
      </c>
      <c r="C128" s="2" t="str">
        <f>IF(INDEX(学年度总表!$C$3:$C$1025,MATCH($E128,学年度总表!$E$3:$E$1025,0))="","",INDEX(学年度总表!$C$3:$C$1025,MATCH($E128,学年度总表!$E$3:$E$1025,0)))</f>
        <v>软工</v>
      </c>
      <c r="D128" s="2" t="str">
        <f>IF(INDEX(学年度总表!$D$3:$D$1025,MATCH($E128,学年度总表!$E$3:$E$1025,0))="","",INDEX(学年度总表!$D$3:$D$1025,MATCH($E128,学年度总表!$E$3:$E$1025,0)))</f>
        <v>软工9班</v>
      </c>
      <c r="E128" s="2" t="s">
        <v>759</v>
      </c>
      <c r="F128" s="2" t="str">
        <f>IF(INDEX(学年度总表!$F$3:$F$1025,MATCH($E128,学年度总表!$E$3:$E$1025,0))="","",INDEX(学年度总表!$F$3:$F$1025,MATCH($E128,学年度总表!$E$3:$E$1025,0)))</f>
        <v>张越</v>
      </c>
      <c r="G128" s="3">
        <f>IF(INDEX(学年度总表!$G$3:$G$1025,MATCH($E128,学年度总表!$E$3:$E$1025,0))="","",INDEX(学年度总表!$G$3:$G$1025,MATCH($E128,学年度总表!$E$3:$E$1025,0)))</f>
        <v>10.8</v>
      </c>
      <c r="H128" s="3">
        <f>IF(INDEX(学年度总表!$H$3:$H$1025,MATCH($E128,学年度总表!$E$3:$E$1025,0))="","",INDEX(学年度总表!$H$3:$H$1025,MATCH($E128,学年度总表!$E$3:$E$1025,0)))</f>
        <v>60.826530612244902</v>
      </c>
      <c r="I128" s="3">
        <f>IF(INDEX(学年度总表!$I$3:$I$1025,MATCH($E128,学年度总表!$E$3:$E$1025,0))="","",INDEX(学年度总表!$I$3:$I$1025,MATCH($E128,学年度总表!$E$3:$E$1025,0)))</f>
        <v>5</v>
      </c>
      <c r="J128" s="3">
        <f>IF(INDEX(学年度总表!$J$3:$J$1025,MATCH($E128,学年度总表!$E$3:$E$1025,0))="","",INDEX(学年度总表!$J$3:$J$1025,MATCH($E128,学年度总表!$E$3:$E$1025,0)))</f>
        <v>76.63</v>
      </c>
      <c r="K128" s="3">
        <f>IF(INDEX(学年度总表!$K$3:$K$1025,MATCH($E128,学年度总表!$E$3:$E$1025,0))="","",INDEX(学年度总表!$K$3:$K$1025,MATCH($E128,学年度总表!$E$3:$E$1025,0)))</f>
        <v>7.3000000000000007</v>
      </c>
      <c r="L128" s="3">
        <f>IF(INDEX(学年度总表!$L$3:$L$1025,MATCH($E128,学年度总表!$E$3:$E$1025,0))="","",INDEX(学年度总表!$L$3:$L$1025,MATCH($E128,学年度总表!$E$3:$E$1025,0)))</f>
        <v>55.56</v>
      </c>
      <c r="M128" s="3">
        <f>IF(INDEX(学年度总表!$M$3:$M$1025,MATCH($E128,学年度总表!$E$3:$E$1025,0))="","",INDEX(学年度总表!$M$3:$M$1025,MATCH($E128,学年度总表!$E$3:$E$1025,0)))</f>
        <v>5.7</v>
      </c>
      <c r="N128" s="3">
        <f>IF(INDEX(学年度总表!$N$3:$N$1025,MATCH($E128,学年度总表!$E$3:$E$1025,0))="","",INDEX(学年度总表!$N$3:$N$1025,MATCH($E128,学年度总表!$E$3:$E$1025,0)))</f>
        <v>68.56</v>
      </c>
      <c r="O128" s="3">
        <f>IF(INDEX(学年度总表!$O$3:$O$1025,MATCH($E128,学年度总表!$E$3:$E$1025,0))="","",INDEX(学年度总表!$O$3:$O$1025,MATCH($E128,学年度总表!$E$3:$E$1025,0)))</f>
        <v>145.19</v>
      </c>
      <c r="P128" s="2" t="str">
        <f>IF(INDEX(学年度总表!$P$3:$P$1025,MATCH($E128,学年度总表!$E$3:$E$1025,0))="","",INDEX(学年度总表!$P$3:$P$1025,MATCH($E128,学年度总表!$E$3:$E$1025,0)))</f>
        <v/>
      </c>
      <c r="Q128" s="5" t="str">
        <f>IF(INDEX(学年度总表!$Q$3:$Q$1025,MATCH($E128,学年度总表!$E$3:$E$1025,0))="","",INDEX(学年度总表!$Q$3:$Q$1025,MATCH($E128,学年度总表!$E$3:$E$1025,0)))</f>
        <v/>
      </c>
    </row>
    <row r="129" spans="1:17">
      <c r="A129" s="2">
        <f>IF(INDEX(学年度总表!$A$3:$A$1025,MATCH($E129,学年度总表!$E$3:$E$1025,0))="","",INDEX(学年度总表!$A$3:$A$1025,MATCH($E129,学年度总表!$E$3:$E$1025,0)))</f>
        <v>360</v>
      </c>
      <c r="B129" s="2">
        <f>IF(INDEX(学年度总表!$B$3:$B$1025,MATCH($E129,学年度总表!$E$3:$E$1025,0))="","",INDEX(学年度总表!$B$3:$B$1025,MATCH($E129,学年度总表!$E$3:$E$1025,0)))</f>
        <v>127</v>
      </c>
      <c r="C129" s="2" t="str">
        <f>IF(INDEX(学年度总表!$C$3:$C$1025,MATCH($E129,学年度总表!$E$3:$E$1025,0))="","",INDEX(学年度总表!$C$3:$C$1025,MATCH($E129,学年度总表!$E$3:$E$1025,0)))</f>
        <v>软工</v>
      </c>
      <c r="D129" s="2" t="str">
        <f>IF(INDEX(学年度总表!$D$3:$D$1025,MATCH($E129,学年度总表!$E$3:$E$1025,0))="","",INDEX(学年度总表!$D$3:$D$1025,MATCH($E129,学年度总表!$E$3:$E$1025,0)))</f>
        <v>软工6班</v>
      </c>
      <c r="E129" s="2" t="s">
        <v>781</v>
      </c>
      <c r="F129" s="2" t="str">
        <f>IF(INDEX(学年度总表!$F$3:$F$1025,MATCH($E129,学年度总表!$E$3:$E$1025,0))="","",INDEX(学年度总表!$F$3:$F$1025,MATCH($E129,学年度总表!$E$3:$E$1025,0)))</f>
        <v>李桢</v>
      </c>
      <c r="G129" s="3">
        <f>IF(INDEX(学年度总表!$G$3:$G$1025,MATCH($E129,学年度总表!$E$3:$E$1025,0))="","",INDEX(学年度总表!$G$3:$G$1025,MATCH($E129,学年度总表!$E$3:$E$1025,0)))</f>
        <v>11</v>
      </c>
      <c r="H129" s="3">
        <f>IF(INDEX(学年度总表!$H$3:$H$1025,MATCH($E129,学年度总表!$E$3:$E$1025,0))="","",INDEX(学年度总表!$H$3:$H$1025,MATCH($E129,学年度总表!$E$3:$E$1025,0)))</f>
        <v>56.5</v>
      </c>
      <c r="I129" s="3">
        <f>IF(INDEX(学年度总表!$I$3:$I$1025,MATCH($E129,学年度总表!$E$3:$E$1025,0))="","",INDEX(学年度总表!$I$3:$I$1025,MATCH($E129,学年度总表!$E$3:$E$1025,0)))</f>
        <v>5.6</v>
      </c>
      <c r="J129" s="3">
        <f>IF(INDEX(学年度总表!$J$3:$J$1025,MATCH($E129,学年度总表!$E$3:$E$1025,0))="","",INDEX(学年度总表!$J$3:$J$1025,MATCH($E129,学年度总表!$E$3:$E$1025,0)))</f>
        <v>73.099999999999994</v>
      </c>
      <c r="K129" s="3">
        <f>IF(INDEX(学年度总表!$K$3:$K$1025,MATCH($E129,学年度总表!$E$3:$E$1025,0))="","",INDEX(学年度总表!$K$3:$K$1025,MATCH($E129,学年度总表!$E$3:$E$1025,0)))</f>
        <v>10</v>
      </c>
      <c r="L129" s="3">
        <f>IF(INDEX(学年度总表!$L$3:$L$1025,MATCH($E129,学年度总表!$E$3:$E$1025,0))="","",INDEX(学年度总表!$L$3:$L$1025,MATCH($E129,学年度总表!$E$3:$E$1025,0)))</f>
        <v>56.12</v>
      </c>
      <c r="M129" s="3">
        <f>IF(INDEX(学年度总表!$M$3:$M$1025,MATCH($E129,学年度总表!$E$3:$E$1025,0))="","",INDEX(学年度总表!$M$3:$M$1025,MATCH($E129,学年度总表!$E$3:$E$1025,0)))</f>
        <v>5.6</v>
      </c>
      <c r="N129" s="3">
        <f>IF(INDEX(学年度总表!$N$3:$N$1025,MATCH($E129,学年度总表!$E$3:$E$1025,0))="","",INDEX(学年度总表!$N$3:$N$1025,MATCH($E129,学年度总表!$E$3:$E$1025,0)))</f>
        <v>71.72</v>
      </c>
      <c r="O129" s="3">
        <f>IF(INDEX(学年度总表!$O$3:$O$1025,MATCH($E129,学年度总表!$E$3:$E$1025,0))="","",INDEX(学年度总表!$O$3:$O$1025,MATCH($E129,学年度总表!$E$3:$E$1025,0)))</f>
        <v>144.82</v>
      </c>
      <c r="P129" s="2" t="str">
        <f>IF(INDEX(学年度总表!$P$3:$P$1025,MATCH($E129,学年度总表!$E$3:$E$1025,0))="","",INDEX(学年度总表!$P$3:$P$1025,MATCH($E129,学年度总表!$E$3:$E$1025,0)))</f>
        <v/>
      </c>
      <c r="Q129" s="5" t="str">
        <f>IF(INDEX(学年度总表!$Q$3:$Q$1025,MATCH($E129,学年度总表!$E$3:$E$1025,0))="","",INDEX(学年度总表!$Q$3:$Q$1025,MATCH($E129,学年度总表!$E$3:$E$1025,0)))</f>
        <v/>
      </c>
    </row>
    <row r="130" spans="1:17">
      <c r="A130" s="2">
        <f>IF(INDEX(学年度总表!$A$3:$A$1025,MATCH($E130,学年度总表!$E$3:$E$1025,0))="","",INDEX(学年度总表!$A$3:$A$1025,MATCH($E130,学年度总表!$E$3:$E$1025,0)))</f>
        <v>362</v>
      </c>
      <c r="B130" s="2">
        <f>IF(INDEX(学年度总表!$B$3:$B$1025,MATCH($E130,学年度总表!$E$3:$E$1025,0))="","",INDEX(学年度总表!$B$3:$B$1025,MATCH($E130,学年度总表!$E$3:$E$1025,0)))</f>
        <v>128</v>
      </c>
      <c r="C130" s="2" t="str">
        <f>IF(INDEX(学年度总表!$C$3:$C$1025,MATCH($E130,学年度总表!$E$3:$E$1025,0))="","",INDEX(学年度总表!$C$3:$C$1025,MATCH($E130,学年度总表!$E$3:$E$1025,0)))</f>
        <v>软工</v>
      </c>
      <c r="D130" s="2" t="str">
        <f>IF(INDEX(学年度总表!$D$3:$D$1025,MATCH($E130,学年度总表!$E$3:$E$1025,0))="","",INDEX(学年度总表!$D$3:$D$1025,MATCH($E130,学年度总表!$E$3:$E$1025,0)))</f>
        <v>软工5班</v>
      </c>
      <c r="E130" s="2" t="s">
        <v>785</v>
      </c>
      <c r="F130" s="2" t="str">
        <f>IF(INDEX(学年度总表!$F$3:$F$1025,MATCH($E130,学年度总表!$E$3:$E$1025,0))="","",INDEX(学年度总表!$F$3:$F$1025,MATCH($E130,学年度总表!$E$3:$E$1025,0)))</f>
        <v>庞惠馨</v>
      </c>
      <c r="G130" s="3">
        <f>IF(INDEX(学年度总表!$G$3:$G$1025,MATCH($E130,学年度总表!$E$3:$E$1025,0))="","",INDEX(学年度总表!$G$3:$G$1025,MATCH($E130,学年度总表!$E$3:$E$1025,0)))</f>
        <v>9.8000000000000007</v>
      </c>
      <c r="H130" s="3">
        <f>IF(INDEX(学年度总表!$H$3:$H$1025,MATCH($E130,学年度总表!$E$3:$E$1025,0))="","",INDEX(学年度总表!$H$3:$H$1025,MATCH($E130,学年度总表!$E$3:$E$1025,0)))</f>
        <v>58.92</v>
      </c>
      <c r="I130" s="3">
        <f>IF(INDEX(学年度总表!$I$3:$I$1025,MATCH($E130,学年度总表!$E$3:$E$1025,0))="","",INDEX(学年度总表!$I$3:$I$1025,MATCH($E130,学年度总表!$E$3:$E$1025,0)))</f>
        <v>4</v>
      </c>
      <c r="J130" s="3">
        <f>IF(INDEX(学年度总表!$J$3:$J$1025,MATCH($E130,学年度总表!$E$3:$E$1025,0))="","",INDEX(学年度总表!$J$3:$J$1025,MATCH($E130,学年度总表!$E$3:$E$1025,0)))</f>
        <v>72.72</v>
      </c>
      <c r="K130" s="3">
        <f>IF(INDEX(学年度总表!$K$3:$K$1025,MATCH($E130,学年度总表!$E$3:$E$1025,0))="","",INDEX(学年度总表!$K$3:$K$1025,MATCH($E130,学年度总表!$E$3:$E$1025,0)))</f>
        <v>9.8000000000000007</v>
      </c>
      <c r="L130" s="3">
        <f>IF(INDEX(学年度总表!$L$3:$L$1025,MATCH($E130,学年度总表!$E$3:$E$1025,0))="","",INDEX(学年度总表!$L$3:$L$1025,MATCH($E130,学年度总表!$E$3:$E$1025,0)))</f>
        <v>57.38</v>
      </c>
      <c r="M130" s="3">
        <f>IF(INDEX(学年度总表!$M$3:$M$1025,MATCH($E130,学年度总表!$E$3:$E$1025,0))="","",INDEX(学年度总表!$M$3:$M$1025,MATCH($E130,学年度总表!$E$3:$E$1025,0)))</f>
        <v>4.9000000000000004</v>
      </c>
      <c r="N130" s="3">
        <f>IF(INDEX(学年度总表!$N$3:$N$1025,MATCH($E130,学年度总表!$E$3:$E$1025,0))="","",INDEX(学年度总表!$N$3:$N$1025,MATCH($E130,学年度总表!$E$3:$E$1025,0)))</f>
        <v>72.08</v>
      </c>
      <c r="O130" s="3">
        <f>IF(INDEX(学年度总表!$O$3:$O$1025,MATCH($E130,学年度总表!$E$3:$E$1025,0))="","",INDEX(学年度总表!$O$3:$O$1025,MATCH($E130,学年度总表!$E$3:$E$1025,0)))</f>
        <v>144.80000000000001</v>
      </c>
      <c r="P130" s="2" t="str">
        <f>IF(INDEX(学年度总表!$P$3:$P$1025,MATCH($E130,学年度总表!$E$3:$E$1025,0))="","",INDEX(学年度总表!$P$3:$P$1025,MATCH($E130,学年度总表!$E$3:$E$1025,0)))</f>
        <v/>
      </c>
      <c r="Q130" s="5" t="str">
        <f>IF(INDEX(学年度总表!$Q$3:$Q$1025,MATCH($E130,学年度总表!$E$3:$E$1025,0))="","",INDEX(学年度总表!$Q$3:$Q$1025,MATCH($E130,学年度总表!$E$3:$E$1025,0)))</f>
        <v/>
      </c>
    </row>
    <row r="131" spans="1:17">
      <c r="A131" s="2">
        <f>IF(INDEX(学年度总表!$A$3:$A$1025,MATCH($E131,学年度总表!$E$3:$E$1025,0))="","",INDEX(学年度总表!$A$3:$A$1025,MATCH($E131,学年度总表!$E$3:$E$1025,0)))</f>
        <v>364</v>
      </c>
      <c r="B131" s="2">
        <f>IF(INDEX(学年度总表!$B$3:$B$1025,MATCH($E131,学年度总表!$E$3:$E$1025,0))="","",INDEX(学年度总表!$B$3:$B$1025,MATCH($E131,学年度总表!$E$3:$E$1025,0)))</f>
        <v>129</v>
      </c>
      <c r="C131" s="2" t="str">
        <f>IF(INDEX(学年度总表!$C$3:$C$1025,MATCH($E131,学年度总表!$E$3:$E$1025,0))="","",INDEX(学年度总表!$C$3:$C$1025,MATCH($E131,学年度总表!$E$3:$E$1025,0)))</f>
        <v>软工</v>
      </c>
      <c r="D131" s="2" t="str">
        <f>IF(INDEX(学年度总表!$D$3:$D$1025,MATCH($E131,学年度总表!$E$3:$E$1025,0))="","",INDEX(学年度总表!$D$3:$D$1025,MATCH($E131,学年度总表!$E$3:$E$1025,0)))</f>
        <v>软工13班</v>
      </c>
      <c r="E131" s="2" t="s">
        <v>789</v>
      </c>
      <c r="F131" s="2" t="str">
        <f>IF(INDEX(学年度总表!$F$3:$F$1025,MATCH($E131,学年度总表!$E$3:$E$1025,0))="","",INDEX(学年度总表!$F$3:$F$1025,MATCH($E131,学年度总表!$E$3:$E$1025,0)))</f>
        <v>姜俊娇</v>
      </c>
      <c r="G131" s="3">
        <f>IF(INDEX(学年度总表!$G$3:$G$1025,MATCH($E131,学年度总表!$E$3:$E$1025,0))="","",INDEX(学年度总表!$G$3:$G$1025,MATCH($E131,学年度总表!$E$3:$E$1025,0)))</f>
        <v>9.8000000000000007</v>
      </c>
      <c r="H131" s="3">
        <f>IF(INDEX(学年度总表!$H$3:$H$1025,MATCH($E131,学年度总表!$E$3:$E$1025,0))="","",INDEX(学年度总表!$H$3:$H$1025,MATCH($E131,学年度总表!$E$3:$E$1025,0)))</f>
        <v>61.81</v>
      </c>
      <c r="I131" s="3">
        <f>IF(INDEX(学年度总表!$I$3:$I$1025,MATCH($E131,学年度总表!$E$3:$E$1025,0))="","",INDEX(学年度总表!$I$3:$I$1025,MATCH($E131,学年度总表!$E$3:$E$1025,0)))</f>
        <v>3.9</v>
      </c>
      <c r="J131" s="3">
        <f>IF(INDEX(学年度总表!$J$3:$J$1025,MATCH($E131,学年度总表!$E$3:$E$1025,0))="","",INDEX(学年度总表!$J$3:$J$1025,MATCH($E131,学年度总表!$E$3:$E$1025,0)))</f>
        <v>75.510000000000005</v>
      </c>
      <c r="K131" s="3">
        <f>IF(INDEX(学年度总表!$K$3:$K$1025,MATCH($E131,学年度总表!$E$3:$E$1025,0))="","",INDEX(学年度总表!$K$3:$K$1025,MATCH($E131,学年度总表!$E$3:$E$1025,0)))</f>
        <v>9.8000000000000007</v>
      </c>
      <c r="L131" s="3">
        <f>IF(INDEX(学年度总表!$L$3:$L$1025,MATCH($E131,学年度总表!$E$3:$E$1025,0))="","",INDEX(学年度总表!$L$3:$L$1025,MATCH($E131,学年度总表!$E$3:$E$1025,0)))</f>
        <v>55.96</v>
      </c>
      <c r="M131" s="3">
        <f>IF(INDEX(学年度总表!$M$3:$M$1025,MATCH($E131,学年度总表!$E$3:$E$1025,0))="","",INDEX(学年度总表!$M$3:$M$1025,MATCH($E131,学年度总表!$E$3:$E$1025,0)))</f>
        <v>3.5</v>
      </c>
      <c r="N131" s="3">
        <f>IF(INDEX(学年度总表!$N$3:$N$1025,MATCH($E131,学年度总表!$E$3:$E$1025,0))="","",INDEX(学年度总表!$N$3:$N$1025,MATCH($E131,学年度总表!$E$3:$E$1025,0)))</f>
        <v>69.260000000000005</v>
      </c>
      <c r="O131" s="3">
        <f>IF(INDEX(学年度总表!$O$3:$O$1025,MATCH($E131,学年度总表!$E$3:$E$1025,0))="","",INDEX(学年度总表!$O$3:$O$1025,MATCH($E131,学年度总表!$E$3:$E$1025,0)))</f>
        <v>144.77000000000001</v>
      </c>
      <c r="P131" s="2" t="str">
        <f>IF(INDEX(学年度总表!$P$3:$P$1025,MATCH($E131,学年度总表!$E$3:$E$1025,0))="","",INDEX(学年度总表!$P$3:$P$1025,MATCH($E131,学年度总表!$E$3:$E$1025,0)))</f>
        <v/>
      </c>
      <c r="Q131" s="5" t="str">
        <f>IF(INDEX(学年度总表!$Q$3:$Q$1025,MATCH($E131,学年度总表!$E$3:$E$1025,0))="","",INDEX(学年度总表!$Q$3:$Q$1025,MATCH($E131,学年度总表!$E$3:$E$1025,0)))</f>
        <v/>
      </c>
    </row>
    <row r="132" spans="1:17">
      <c r="A132" s="2">
        <f>IF(INDEX(学年度总表!$A$3:$A$1025,MATCH($E132,学年度总表!$E$3:$E$1025,0))="","",INDEX(学年度总表!$A$3:$A$1025,MATCH($E132,学年度总表!$E$3:$E$1025,0)))</f>
        <v>365</v>
      </c>
      <c r="B132" s="2">
        <f>IF(INDEX(学年度总表!$B$3:$B$1025,MATCH($E132,学年度总表!$E$3:$E$1025,0))="","",INDEX(学年度总表!$B$3:$B$1025,MATCH($E132,学年度总表!$E$3:$E$1025,0)))</f>
        <v>130</v>
      </c>
      <c r="C132" s="2" t="str">
        <f>IF(INDEX(学年度总表!$C$3:$C$1025,MATCH($E132,学年度总表!$E$3:$E$1025,0))="","",INDEX(学年度总表!$C$3:$C$1025,MATCH($E132,学年度总表!$E$3:$E$1025,0)))</f>
        <v>软工</v>
      </c>
      <c r="D132" s="2" t="str">
        <f>IF(INDEX(学年度总表!$D$3:$D$1025,MATCH($E132,学年度总表!$E$3:$E$1025,0))="","",INDEX(学年度总表!$D$3:$D$1025,MATCH($E132,学年度总表!$E$3:$E$1025,0)))</f>
        <v>软工12班</v>
      </c>
      <c r="E132" s="2" t="s">
        <v>791</v>
      </c>
      <c r="F132" s="2" t="str">
        <f>IF(INDEX(学年度总表!$F$3:$F$1025,MATCH($E132,学年度总表!$E$3:$E$1025,0))="","",INDEX(学年度总表!$F$3:$F$1025,MATCH($E132,学年度总表!$E$3:$E$1025,0)))</f>
        <v>李颜希</v>
      </c>
      <c r="G132" s="3">
        <f>IF(INDEX(学年度总表!$G$3:$G$1025,MATCH($E132,学年度总表!$E$3:$E$1025,0))="","",INDEX(学年度总表!$G$3:$G$1025,MATCH($E132,学年度总表!$E$3:$E$1025,0)))</f>
        <v>10</v>
      </c>
      <c r="H132" s="3">
        <f>IF(INDEX(学年度总表!$H$3:$H$1025,MATCH($E132,学年度总表!$E$3:$E$1025,0))="","",INDEX(学年度总表!$H$3:$H$1025,MATCH($E132,学年度总表!$E$3:$E$1025,0)))</f>
        <v>57.82</v>
      </c>
      <c r="I132" s="3">
        <f>IF(INDEX(学年度总表!$I$3:$I$1025,MATCH($E132,学年度总表!$E$3:$E$1025,0))="","",INDEX(学年度总表!$I$3:$I$1025,MATCH($E132,学年度总表!$E$3:$E$1025,0)))</f>
        <v>3.4</v>
      </c>
      <c r="J132" s="3">
        <f>IF(INDEX(学年度总表!$J$3:$J$1025,MATCH($E132,学年度总表!$E$3:$E$1025,0))="","",INDEX(学年度总表!$J$3:$J$1025,MATCH($E132,学年度总表!$E$3:$E$1025,0)))</f>
        <v>71.22</v>
      </c>
      <c r="K132" s="3">
        <f>IF(INDEX(学年度总表!$K$3:$K$1025,MATCH($E132,学年度总表!$E$3:$E$1025,0))="","",INDEX(学年度总表!$K$3:$K$1025,MATCH($E132,学年度总表!$E$3:$E$1025,0)))</f>
        <v>10</v>
      </c>
      <c r="L132" s="3">
        <f>IF(INDEX(学年度总表!$L$3:$L$1025,MATCH($E132,学年度总表!$E$3:$E$1025,0))="","",INDEX(学年度总表!$L$3:$L$1025,MATCH($E132,学年度总表!$E$3:$E$1025,0)))</f>
        <v>57.91</v>
      </c>
      <c r="M132" s="3">
        <f>IF(INDEX(学年度总表!$M$3:$M$1025,MATCH($E132,学年度总表!$E$3:$E$1025,0))="","",INDEX(学年度总表!$M$3:$M$1025,MATCH($E132,学年度总表!$E$3:$E$1025,0)))</f>
        <v>5.6</v>
      </c>
      <c r="N132" s="3">
        <f>IF(INDEX(学年度总表!$N$3:$N$1025,MATCH($E132,学年度总表!$E$3:$E$1025,0))="","",INDEX(学年度总表!$N$3:$N$1025,MATCH($E132,学年度总表!$E$3:$E$1025,0)))</f>
        <v>73.510000000000005</v>
      </c>
      <c r="O132" s="3">
        <f>IF(INDEX(学年度总表!$O$3:$O$1025,MATCH($E132,学年度总表!$E$3:$E$1025,0))="","",INDEX(学年度总表!$O$3:$O$1025,MATCH($E132,学年度总表!$E$3:$E$1025,0)))</f>
        <v>144.72999999999999</v>
      </c>
      <c r="P132" s="2" t="str">
        <f>IF(INDEX(学年度总表!$P$3:$P$1025,MATCH($E132,学年度总表!$E$3:$E$1025,0))="","",INDEX(学年度总表!$P$3:$P$1025,MATCH($E132,学年度总表!$E$3:$E$1025,0)))</f>
        <v/>
      </c>
      <c r="Q132" s="5" t="str">
        <f>IF(INDEX(学年度总表!$Q$3:$Q$1025,MATCH($E132,学年度总表!$E$3:$E$1025,0))="","",INDEX(学年度总表!$Q$3:$Q$1025,MATCH($E132,学年度总表!$E$3:$E$1025,0)))</f>
        <v/>
      </c>
    </row>
    <row r="133" spans="1:17">
      <c r="A133" s="2">
        <f>IF(INDEX(学年度总表!$A$3:$A$1025,MATCH($E133,学年度总表!$E$3:$E$1025,0))="","",INDEX(学年度总表!$A$3:$A$1025,MATCH($E133,学年度总表!$E$3:$E$1025,0)))</f>
        <v>368</v>
      </c>
      <c r="B133" s="2">
        <f>IF(INDEX(学年度总表!$B$3:$B$1025,MATCH($E133,学年度总表!$E$3:$E$1025,0))="","",INDEX(学年度总表!$B$3:$B$1025,MATCH($E133,学年度总表!$E$3:$E$1025,0)))</f>
        <v>131</v>
      </c>
      <c r="C133" s="2" t="str">
        <f>IF(INDEX(学年度总表!$C$3:$C$1025,MATCH($E133,学年度总表!$E$3:$E$1025,0))="","",INDEX(学年度总表!$C$3:$C$1025,MATCH($E133,学年度总表!$E$3:$E$1025,0)))</f>
        <v>软工</v>
      </c>
      <c r="D133" s="2" t="str">
        <f>IF(INDEX(学年度总表!$D$3:$D$1025,MATCH($E133,学年度总表!$E$3:$E$1025,0))="","",INDEX(学年度总表!$D$3:$D$1025,MATCH($E133,学年度总表!$E$3:$E$1025,0)))</f>
        <v>软工6班</v>
      </c>
      <c r="E133" s="2" t="s">
        <v>797</v>
      </c>
      <c r="F133" s="2" t="str">
        <f>IF(INDEX(学年度总表!$F$3:$F$1025,MATCH($E133,学年度总表!$E$3:$E$1025,0))="","",INDEX(学年度总表!$F$3:$F$1025,MATCH($E133,学年度总表!$E$3:$E$1025,0)))</f>
        <v>郭美辰</v>
      </c>
      <c r="G133" s="3">
        <f>IF(INDEX(学年度总表!$G$3:$G$1025,MATCH($E133,学年度总表!$E$3:$E$1025,0))="","",INDEX(学年度总表!$G$3:$G$1025,MATCH($E133,学年度总表!$E$3:$E$1025,0)))</f>
        <v>10</v>
      </c>
      <c r="H133" s="3">
        <f>IF(INDEX(学年度总表!$H$3:$H$1025,MATCH($E133,学年度总表!$E$3:$E$1025,0))="","",INDEX(学年度总表!$H$3:$H$1025,MATCH($E133,学年度总表!$E$3:$E$1025,0)))</f>
        <v>55.867346938775498</v>
      </c>
      <c r="I133" s="3">
        <f>IF(INDEX(学年度总表!$I$3:$I$1025,MATCH($E133,学年度总表!$E$3:$E$1025,0))="","",INDEX(学年度总表!$I$3:$I$1025,MATCH($E133,学年度总表!$E$3:$E$1025,0)))</f>
        <v>4.2</v>
      </c>
      <c r="J133" s="3">
        <f>IF(INDEX(学年度总表!$J$3:$J$1025,MATCH($E133,学年度总表!$E$3:$E$1025,0))="","",INDEX(学年度总表!$J$3:$J$1025,MATCH($E133,学年度总表!$E$3:$E$1025,0)))</f>
        <v>70.069999999999993</v>
      </c>
      <c r="K133" s="3">
        <f>IF(INDEX(学年度总表!$K$3:$K$1025,MATCH($E133,学年度总表!$E$3:$E$1025,0))="","",INDEX(学年度总表!$K$3:$K$1025,MATCH($E133,学年度总表!$E$3:$E$1025,0)))</f>
        <v>10</v>
      </c>
      <c r="L133" s="3">
        <f>IF(INDEX(学年度总表!$L$3:$L$1025,MATCH($E133,学年度总表!$E$3:$E$1025,0))="","",INDEX(学年度总表!$L$3:$L$1025,MATCH($E133,学年度总表!$E$3:$E$1025,0)))</f>
        <v>59.33</v>
      </c>
      <c r="M133" s="3">
        <f>IF(INDEX(学年度总表!$M$3:$M$1025,MATCH($E133,学年度总表!$E$3:$E$1025,0))="","",INDEX(学年度总表!$M$3:$M$1025,MATCH($E133,学年度总表!$E$3:$E$1025,0)))</f>
        <v>5.3</v>
      </c>
      <c r="N133" s="3">
        <f>IF(INDEX(学年度总表!$N$3:$N$1025,MATCH($E133,学年度总表!$E$3:$E$1025,0))="","",INDEX(学年度总表!$N$3:$N$1025,MATCH($E133,学年度总表!$E$3:$E$1025,0)))</f>
        <v>74.63</v>
      </c>
      <c r="O133" s="3">
        <f>IF(INDEX(学年度总表!$O$3:$O$1025,MATCH($E133,学年度总表!$E$3:$E$1025,0))="","",INDEX(学年度总表!$O$3:$O$1025,MATCH($E133,学年度总表!$E$3:$E$1025,0)))</f>
        <v>144.69999999999999</v>
      </c>
      <c r="P133" s="4" t="str">
        <f>IF(INDEX(学年度总表!$P$3:$P$1025,MATCH($E133,学年度总表!$E$3:$E$1025,0))="","",INDEX(学年度总表!$P$3:$P$1025,MATCH($E133,学年度总表!$E$3:$E$1025,0)))</f>
        <v>优秀学生教官</v>
      </c>
      <c r="Q133" s="5" t="str">
        <f>IF(INDEX(学年度总表!$Q$3:$Q$1025,MATCH($E133,学年度总表!$E$3:$E$1025,0))="","",INDEX(学年度总表!$Q$3:$Q$1025,MATCH($E133,学年度总表!$E$3:$E$1025,0)))</f>
        <v/>
      </c>
    </row>
    <row r="134" spans="1:17">
      <c r="A134" s="2">
        <f>IF(INDEX(学年度总表!$A$3:$A$1025,MATCH($E134,学年度总表!$E$3:$E$1025,0))="","",INDEX(学年度总表!$A$3:$A$1025,MATCH($E134,学年度总表!$E$3:$E$1025,0)))</f>
        <v>375</v>
      </c>
      <c r="B134" s="2">
        <f>IF(INDEX(学年度总表!$B$3:$B$1025,MATCH($E134,学年度总表!$E$3:$E$1025,0))="","",INDEX(学年度总表!$B$3:$B$1025,MATCH($E134,学年度总表!$E$3:$E$1025,0)))</f>
        <v>132</v>
      </c>
      <c r="C134" s="2" t="str">
        <f>IF(INDEX(学年度总表!$C$3:$C$1025,MATCH($E134,学年度总表!$E$3:$E$1025,0))="","",INDEX(学年度总表!$C$3:$C$1025,MATCH($E134,学年度总表!$E$3:$E$1025,0)))</f>
        <v>软工</v>
      </c>
      <c r="D134" s="2" t="str">
        <f>IF(INDEX(学年度总表!$D$3:$D$1025,MATCH($E134,学年度总表!$E$3:$E$1025,0))="","",INDEX(学年度总表!$D$3:$D$1025,MATCH($E134,学年度总表!$E$3:$E$1025,0)))</f>
        <v>软工6班</v>
      </c>
      <c r="E134" s="2" t="s">
        <v>812</v>
      </c>
      <c r="F134" s="2" t="str">
        <f>IF(INDEX(学年度总表!$F$3:$F$1025,MATCH($E134,学年度总表!$E$3:$E$1025,0))="","",INDEX(学年度总表!$F$3:$F$1025,MATCH($E134,学年度总表!$E$3:$E$1025,0)))</f>
        <v>化亚玲</v>
      </c>
      <c r="G134" s="3">
        <f>IF(INDEX(学年度总表!$G$3:$G$1025,MATCH($E134,学年度总表!$E$3:$E$1025,0))="","",INDEX(学年度总表!$G$3:$G$1025,MATCH($E134,学年度总表!$E$3:$E$1025,0)))</f>
        <v>10</v>
      </c>
      <c r="H134" s="3">
        <f>IF(INDEX(学年度总表!$H$3:$H$1025,MATCH($E134,学年度总表!$E$3:$E$1025,0))="","",INDEX(学年度总表!$H$3:$H$1025,MATCH($E134,学年度总表!$E$3:$E$1025,0)))</f>
        <v>56.6666666666667</v>
      </c>
      <c r="I134" s="3">
        <f>IF(INDEX(学年度总表!$I$3:$I$1025,MATCH($E134,学年度总表!$E$3:$E$1025,0))="","",INDEX(学年度总表!$I$3:$I$1025,MATCH($E134,学年度总表!$E$3:$E$1025,0)))</f>
        <v>5.5</v>
      </c>
      <c r="J134" s="3">
        <f>IF(INDEX(学年度总表!$J$3:$J$1025,MATCH($E134,学年度总表!$E$3:$E$1025,0))="","",INDEX(学年度总表!$J$3:$J$1025,MATCH($E134,学年度总表!$E$3:$E$1025,0)))</f>
        <v>72.17</v>
      </c>
      <c r="K134" s="3">
        <f>IF(INDEX(学年度总表!$K$3:$K$1025,MATCH($E134,学年度总表!$E$3:$E$1025,0))="","",INDEX(学年度总表!$K$3:$K$1025,MATCH($E134,学年度总表!$E$3:$E$1025,0)))</f>
        <v>10</v>
      </c>
      <c r="L134" s="3">
        <f>IF(INDEX(学年度总表!$L$3:$L$1025,MATCH($E134,学年度总表!$E$3:$E$1025,0))="","",INDEX(学年度总表!$L$3:$L$1025,MATCH($E134,学年度总表!$E$3:$E$1025,0)))</f>
        <v>55.42</v>
      </c>
      <c r="M134" s="3">
        <f>IF(INDEX(学年度总表!$M$3:$M$1025,MATCH($E134,学年度总表!$E$3:$E$1025,0))="","",INDEX(学年度总表!$M$3:$M$1025,MATCH($E134,学年度总表!$E$3:$E$1025,0)))</f>
        <v>6.8</v>
      </c>
      <c r="N134" s="3">
        <f>IF(INDEX(学年度总表!$N$3:$N$1025,MATCH($E134,学年度总表!$E$3:$E$1025,0))="","",INDEX(学年度总表!$N$3:$N$1025,MATCH($E134,学年度总表!$E$3:$E$1025,0)))</f>
        <v>72.22</v>
      </c>
      <c r="O134" s="3">
        <f>IF(INDEX(学年度总表!$O$3:$O$1025,MATCH($E134,学年度总表!$E$3:$E$1025,0))="","",INDEX(学年度总表!$O$3:$O$1025,MATCH($E134,学年度总表!$E$3:$E$1025,0)))</f>
        <v>144.38999999999999</v>
      </c>
      <c r="P134" s="2" t="str">
        <f>IF(INDEX(学年度总表!$P$3:$P$1025,MATCH($E134,学年度总表!$E$3:$E$1025,0))="","",INDEX(学年度总表!$P$3:$P$1025,MATCH($E134,学年度总表!$E$3:$E$1025,0)))</f>
        <v/>
      </c>
      <c r="Q134" s="5" t="str">
        <f>IF(INDEX(学年度总表!$Q$3:$Q$1025,MATCH($E134,学年度总表!$E$3:$E$1025,0))="","",INDEX(学年度总表!$Q$3:$Q$1025,MATCH($E134,学年度总表!$E$3:$E$1025,0)))</f>
        <v/>
      </c>
    </row>
    <row r="135" spans="1:17">
      <c r="A135" s="2">
        <f>IF(INDEX(学年度总表!$A$3:$A$1025,MATCH($E135,学年度总表!$E$3:$E$1025,0))="","",INDEX(学年度总表!$A$3:$A$1025,MATCH($E135,学年度总表!$E$3:$E$1025,0)))</f>
        <v>378</v>
      </c>
      <c r="B135" s="2">
        <f>IF(INDEX(学年度总表!$B$3:$B$1025,MATCH($E135,学年度总表!$E$3:$E$1025,0))="","",INDEX(学年度总表!$B$3:$B$1025,MATCH($E135,学年度总表!$E$3:$E$1025,0)))</f>
        <v>133</v>
      </c>
      <c r="C135" s="2" t="str">
        <f>IF(INDEX(学年度总表!$C$3:$C$1025,MATCH($E135,学年度总表!$E$3:$E$1025,0))="","",INDEX(学年度总表!$C$3:$C$1025,MATCH($E135,学年度总表!$E$3:$E$1025,0)))</f>
        <v>软工</v>
      </c>
      <c r="D135" s="2" t="str">
        <f>IF(INDEX(学年度总表!$D$3:$D$1025,MATCH($E135,学年度总表!$E$3:$E$1025,0))="","",INDEX(学年度总表!$D$3:$D$1025,MATCH($E135,学年度总表!$E$3:$E$1025,0)))</f>
        <v>软工11班</v>
      </c>
      <c r="E135" s="2" t="s">
        <v>818</v>
      </c>
      <c r="F135" s="2" t="str">
        <f>IF(INDEX(学年度总表!$F$3:$F$1025,MATCH($E135,学年度总表!$E$3:$E$1025,0))="","",INDEX(学年度总表!$F$3:$F$1025,MATCH($E135,学年度总表!$E$3:$E$1025,0)))</f>
        <v>金秋池</v>
      </c>
      <c r="G135" s="3">
        <f>IF(INDEX(学年度总表!$G$3:$G$1025,MATCH($E135,学年度总表!$E$3:$E$1025,0))="","",INDEX(学年度总表!$G$3:$G$1025,MATCH($E135,学年度总表!$E$3:$E$1025,0)))</f>
        <v>9.8000000000000007</v>
      </c>
      <c r="H135" s="3">
        <f>IF(INDEX(学年度总表!$H$3:$H$1025,MATCH($E135,学年度总表!$E$3:$E$1025,0))="","",INDEX(学年度总表!$H$3:$H$1025,MATCH($E135,学年度总表!$E$3:$E$1025,0)))</f>
        <v>63.04</v>
      </c>
      <c r="I135" s="3">
        <f>IF(INDEX(学年度总表!$I$3:$I$1025,MATCH($E135,学年度总表!$E$3:$E$1025,0))="","",INDEX(学年度总表!$I$3:$I$1025,MATCH($E135,学年度总表!$E$3:$E$1025,0)))</f>
        <v>3.8</v>
      </c>
      <c r="J135" s="3">
        <f>IF(INDEX(学年度总表!$J$3:$J$1025,MATCH($E135,学年度总表!$E$3:$E$1025,0))="","",INDEX(学年度总表!$J$3:$J$1025,MATCH($E135,学年度总表!$E$3:$E$1025,0)))</f>
        <v>76.64</v>
      </c>
      <c r="K135" s="3">
        <f>IF(INDEX(学年度总表!$K$3:$K$1025,MATCH($E135,学年度总表!$E$3:$E$1025,0))="","",INDEX(学年度总表!$K$3:$K$1025,MATCH($E135,学年度总表!$E$3:$E$1025,0)))</f>
        <v>9.8000000000000007</v>
      </c>
      <c r="L135" s="3">
        <f>IF(INDEX(学年度总表!$L$3:$L$1025,MATCH($E135,学年度总表!$E$3:$E$1025,0))="","",INDEX(学年度总表!$L$3:$L$1025,MATCH($E135,学年度总表!$E$3:$E$1025,0)))</f>
        <v>54.35</v>
      </c>
      <c r="M135" s="3">
        <f>IF(INDEX(学年度总表!$M$3:$M$1025,MATCH($E135,学年度总表!$E$3:$E$1025,0))="","",INDEX(学年度总表!$M$3:$M$1025,MATCH($E135,学年度总表!$E$3:$E$1025,0)))</f>
        <v>3.5</v>
      </c>
      <c r="N135" s="3">
        <f>IF(INDEX(学年度总表!$N$3:$N$1025,MATCH($E135,学年度总表!$E$3:$E$1025,0))="","",INDEX(学年度总表!$N$3:$N$1025,MATCH($E135,学年度总表!$E$3:$E$1025,0)))</f>
        <v>67.650000000000006</v>
      </c>
      <c r="O135" s="3">
        <f>IF(INDEX(学年度总表!$O$3:$O$1025,MATCH($E135,学年度总表!$E$3:$E$1025,0))="","",INDEX(学年度总表!$O$3:$O$1025,MATCH($E135,学年度总表!$E$3:$E$1025,0)))</f>
        <v>144.29</v>
      </c>
      <c r="P135" s="2" t="str">
        <f>IF(INDEX(学年度总表!$P$3:$P$1025,MATCH($E135,学年度总表!$E$3:$E$1025,0))="","",INDEX(学年度总表!$P$3:$P$1025,MATCH($E135,学年度总表!$E$3:$E$1025,0)))</f>
        <v/>
      </c>
      <c r="Q135" s="5" t="str">
        <f>IF(INDEX(学年度总表!$Q$3:$Q$1025,MATCH($E135,学年度总表!$E$3:$E$1025,0))="","",INDEX(学年度总表!$Q$3:$Q$1025,MATCH($E135,学年度总表!$E$3:$E$1025,0)))</f>
        <v/>
      </c>
    </row>
    <row r="136" spans="1:17">
      <c r="A136" s="2">
        <f>IF(INDEX(学年度总表!$A$3:$A$1025,MATCH($E136,学年度总表!$E$3:$E$1025,0))="","",INDEX(学年度总表!$A$3:$A$1025,MATCH($E136,学年度总表!$E$3:$E$1025,0)))</f>
        <v>388</v>
      </c>
      <c r="B136" s="2">
        <f>IF(INDEX(学年度总表!$B$3:$B$1025,MATCH($E136,学年度总表!$E$3:$E$1025,0))="","",INDEX(学年度总表!$B$3:$B$1025,MATCH($E136,学年度总表!$E$3:$E$1025,0)))</f>
        <v>134</v>
      </c>
      <c r="C136" s="2" t="str">
        <f>IF(INDEX(学年度总表!$C$3:$C$1025,MATCH($E136,学年度总表!$E$3:$E$1025,0))="","",INDEX(学年度总表!$C$3:$C$1025,MATCH($E136,学年度总表!$E$3:$E$1025,0)))</f>
        <v>软工</v>
      </c>
      <c r="D136" s="2" t="str">
        <f>IF(INDEX(学年度总表!$D$3:$D$1025,MATCH($E136,学年度总表!$E$3:$E$1025,0))="","",INDEX(学年度总表!$D$3:$D$1025,MATCH($E136,学年度总表!$E$3:$E$1025,0)))</f>
        <v>软工11班</v>
      </c>
      <c r="E136" s="2" t="s">
        <v>838</v>
      </c>
      <c r="F136" s="2" t="str">
        <f>IF(INDEX(学年度总表!$F$3:$F$1025,MATCH($E136,学年度总表!$E$3:$E$1025,0))="","",INDEX(学年度总表!$F$3:$F$1025,MATCH($E136,学年度总表!$E$3:$E$1025,0)))</f>
        <v>赵佳慧</v>
      </c>
      <c r="G136" s="3">
        <f>IF(INDEX(学年度总表!$G$3:$G$1025,MATCH($E136,学年度总表!$E$3:$E$1025,0))="","",INDEX(学年度总表!$G$3:$G$1025,MATCH($E136,学年度总表!$E$3:$E$1025,0)))</f>
        <v>10</v>
      </c>
      <c r="H136" s="3">
        <f>IF(INDEX(学年度总表!$H$3:$H$1025,MATCH($E136,学年度总表!$E$3:$E$1025,0))="","",INDEX(学年度总表!$H$3:$H$1025,MATCH($E136,学年度总表!$E$3:$E$1025,0)))</f>
        <v>61.19</v>
      </c>
      <c r="I136" s="3">
        <f>IF(INDEX(学年度总表!$I$3:$I$1025,MATCH($E136,学年度总表!$E$3:$E$1025,0))="","",INDEX(学年度总表!$I$3:$I$1025,MATCH($E136,学年度总表!$E$3:$E$1025,0)))</f>
        <v>3</v>
      </c>
      <c r="J136" s="3">
        <f>IF(INDEX(学年度总表!$J$3:$J$1025,MATCH($E136,学年度总表!$E$3:$E$1025,0))="","",INDEX(学年度总表!$J$3:$J$1025,MATCH($E136,学年度总表!$E$3:$E$1025,0)))</f>
        <v>74.19</v>
      </c>
      <c r="K136" s="3">
        <f>IF(INDEX(学年度总表!$K$3:$K$1025,MATCH($E136,学年度总表!$E$3:$E$1025,0))="","",INDEX(学年度总表!$K$3:$K$1025,MATCH($E136,学年度总表!$E$3:$E$1025,0)))</f>
        <v>10</v>
      </c>
      <c r="L136" s="3">
        <f>IF(INDEX(学年度总表!$L$3:$L$1025,MATCH($E136,学年度总表!$E$3:$E$1025,0))="","",INDEX(学年度总表!$L$3:$L$1025,MATCH($E136,学年度总表!$E$3:$E$1025,0)))</f>
        <v>56.63</v>
      </c>
      <c r="M136" s="3">
        <f>IF(INDEX(学年度总表!$M$3:$M$1025,MATCH($E136,学年度总表!$E$3:$E$1025,0))="","",INDEX(学年度总表!$M$3:$M$1025,MATCH($E136,学年度总表!$E$3:$E$1025,0)))</f>
        <v>3</v>
      </c>
      <c r="N136" s="3">
        <f>IF(INDEX(学年度总表!$N$3:$N$1025,MATCH($E136,学年度总表!$E$3:$E$1025,0))="","",INDEX(学年度总表!$N$3:$N$1025,MATCH($E136,学年度总表!$E$3:$E$1025,0)))</f>
        <v>69.63</v>
      </c>
      <c r="O136" s="3">
        <f>IF(INDEX(学年度总表!$O$3:$O$1025,MATCH($E136,学年度总表!$E$3:$E$1025,0))="","",INDEX(学年度总表!$O$3:$O$1025,MATCH($E136,学年度总表!$E$3:$E$1025,0)))</f>
        <v>143.82</v>
      </c>
      <c r="P136" s="2" t="str">
        <f>IF(INDEX(学年度总表!$P$3:$P$1025,MATCH($E136,学年度总表!$E$3:$E$1025,0))="","",INDEX(学年度总表!$P$3:$P$1025,MATCH($E136,学年度总表!$E$3:$E$1025,0)))</f>
        <v/>
      </c>
      <c r="Q136" s="5" t="str">
        <f>IF(INDEX(学年度总表!$Q$3:$Q$1025,MATCH($E136,学年度总表!$E$3:$E$1025,0))="","",INDEX(学年度总表!$Q$3:$Q$1025,MATCH($E136,学年度总表!$E$3:$E$1025,0)))</f>
        <v/>
      </c>
    </row>
    <row r="137" spans="1:17">
      <c r="A137" s="2">
        <f>IF(INDEX(学年度总表!$A$3:$A$1025,MATCH($E137,学年度总表!$E$3:$E$1025,0))="","",INDEX(学年度总表!$A$3:$A$1025,MATCH($E137,学年度总表!$E$3:$E$1025,0)))</f>
        <v>391</v>
      </c>
      <c r="B137" s="2">
        <f>IF(INDEX(学年度总表!$B$3:$B$1025,MATCH($E137,学年度总表!$E$3:$E$1025,0))="","",INDEX(学年度总表!$B$3:$B$1025,MATCH($E137,学年度总表!$E$3:$E$1025,0)))</f>
        <v>135</v>
      </c>
      <c r="C137" s="2" t="str">
        <f>IF(INDEX(学年度总表!$C$3:$C$1025,MATCH($E137,学年度总表!$E$3:$E$1025,0))="","",INDEX(学年度总表!$C$3:$C$1025,MATCH($E137,学年度总表!$E$3:$E$1025,0)))</f>
        <v>软工</v>
      </c>
      <c r="D137" s="2" t="str">
        <f>IF(INDEX(学年度总表!$D$3:$D$1025,MATCH($E137,学年度总表!$E$3:$E$1025,0))="","",INDEX(学年度总表!$D$3:$D$1025,MATCH($E137,学年度总表!$E$3:$E$1025,0)))</f>
        <v>软工6班</v>
      </c>
      <c r="E137" s="2" t="s">
        <v>844</v>
      </c>
      <c r="F137" s="2" t="str">
        <f>IF(INDEX(学年度总表!$F$3:$F$1025,MATCH($E137,学年度总表!$E$3:$E$1025,0))="","",INDEX(学年度总表!$F$3:$F$1025,MATCH($E137,学年度总表!$E$3:$E$1025,0)))</f>
        <v>孙远鑫</v>
      </c>
      <c r="G137" s="3">
        <f>IF(INDEX(学年度总表!$G$3:$G$1025,MATCH($E137,学年度总表!$E$3:$E$1025,0))="","",INDEX(学年度总表!$G$3:$G$1025,MATCH($E137,学年度总表!$E$3:$E$1025,0)))</f>
        <v>11.8</v>
      </c>
      <c r="H137" s="3">
        <f>IF(INDEX(学年度总表!$H$3:$H$1025,MATCH($E137,学年度总表!$E$3:$E$1025,0))="","",INDEX(学年度总表!$H$3:$H$1025,MATCH($E137,学年度总表!$E$3:$E$1025,0)))</f>
        <v>51.887755102040799</v>
      </c>
      <c r="I137" s="3">
        <f>IF(INDEX(学年度总表!$I$3:$I$1025,MATCH($E137,学年度总表!$E$3:$E$1025,0))="","",INDEX(学年度总表!$I$3:$I$1025,MATCH($E137,学年度总表!$E$3:$E$1025,0)))</f>
        <v>4.9000000000000004</v>
      </c>
      <c r="J137" s="3">
        <f>IF(INDEX(学年度总表!$J$3:$J$1025,MATCH($E137,学年度总表!$E$3:$E$1025,0))="","",INDEX(学年度总表!$J$3:$J$1025,MATCH($E137,学年度总表!$E$3:$E$1025,0)))</f>
        <v>68.59</v>
      </c>
      <c r="K137" s="3">
        <f>IF(INDEX(学年度总表!$K$3:$K$1025,MATCH($E137,学年度总表!$E$3:$E$1025,0))="","",INDEX(学年度总表!$K$3:$K$1025,MATCH($E137,学年度总表!$E$3:$E$1025,0)))</f>
        <v>10</v>
      </c>
      <c r="L137" s="3">
        <f>IF(INDEX(学年度总表!$L$3:$L$1025,MATCH($E137,学年度总表!$E$3:$E$1025,0))="","",INDEX(学年度总表!$L$3:$L$1025,MATCH($E137,学年度总表!$E$3:$E$1025,0)))</f>
        <v>59.14</v>
      </c>
      <c r="M137" s="3">
        <f>IF(INDEX(学年度总表!$M$3:$M$1025,MATCH($E137,学年度总表!$E$3:$E$1025,0))="","",INDEX(学年度总表!$M$3:$M$1025,MATCH($E137,学年度总表!$E$3:$E$1025,0)))</f>
        <v>5.85</v>
      </c>
      <c r="N137" s="3">
        <f>IF(INDEX(学年度总表!$N$3:$N$1025,MATCH($E137,学年度总表!$E$3:$E$1025,0))="","",INDEX(学年度总表!$N$3:$N$1025,MATCH($E137,学年度总表!$E$3:$E$1025,0)))</f>
        <v>74.989999999999995</v>
      </c>
      <c r="O137" s="3">
        <f>IF(INDEX(学年度总表!$O$3:$O$1025,MATCH($E137,学年度总表!$E$3:$E$1025,0))="","",INDEX(学年度总表!$O$3:$O$1025,MATCH($E137,学年度总表!$E$3:$E$1025,0)))</f>
        <v>143.58000000000001</v>
      </c>
      <c r="P137" s="2" t="str">
        <f>IF(INDEX(学年度总表!$P$3:$P$1025,MATCH($E137,学年度总表!$E$3:$E$1025,0))="","",INDEX(学年度总表!$P$3:$P$1025,MATCH($E137,学年度总表!$E$3:$E$1025,0)))</f>
        <v/>
      </c>
      <c r="Q137" s="5" t="str">
        <f>IF(INDEX(学年度总表!$Q$3:$Q$1025,MATCH($E137,学年度总表!$E$3:$E$1025,0))="","",INDEX(学年度总表!$Q$3:$Q$1025,MATCH($E137,学年度总表!$E$3:$E$1025,0)))</f>
        <v/>
      </c>
    </row>
    <row r="138" spans="1:17">
      <c r="A138" s="2">
        <f>IF(INDEX(学年度总表!$A$3:$A$1025,MATCH($E138,学年度总表!$E$3:$E$1025,0))="","",INDEX(学年度总表!$A$3:$A$1025,MATCH($E138,学年度总表!$E$3:$E$1025,0)))</f>
        <v>399</v>
      </c>
      <c r="B138" s="2">
        <f>IF(INDEX(学年度总表!$B$3:$B$1025,MATCH($E138,学年度总表!$E$3:$E$1025,0))="","",INDEX(学年度总表!$B$3:$B$1025,MATCH($E138,学年度总表!$E$3:$E$1025,0)))</f>
        <v>136</v>
      </c>
      <c r="C138" s="2" t="str">
        <f>IF(INDEX(学年度总表!$C$3:$C$1025,MATCH($E138,学年度总表!$E$3:$E$1025,0))="","",INDEX(学年度总表!$C$3:$C$1025,MATCH($E138,学年度总表!$E$3:$E$1025,0)))</f>
        <v>软工</v>
      </c>
      <c r="D138" s="2" t="str">
        <f>IF(INDEX(学年度总表!$D$3:$D$1025,MATCH($E138,学年度总表!$E$3:$E$1025,0))="","",INDEX(学年度总表!$D$3:$D$1025,MATCH($E138,学年度总表!$E$3:$E$1025,0)))</f>
        <v>软工12班</v>
      </c>
      <c r="E138" s="2" t="s">
        <v>860</v>
      </c>
      <c r="F138" s="2" t="str">
        <f>IF(INDEX(学年度总表!$F$3:$F$1025,MATCH($E138,学年度总表!$E$3:$E$1025,0))="","",INDEX(学年度总表!$F$3:$F$1025,MATCH($E138,学年度总表!$E$3:$E$1025,0)))</f>
        <v>付湘鱼</v>
      </c>
      <c r="G138" s="3">
        <f>IF(INDEX(学年度总表!$G$3:$G$1025,MATCH($E138,学年度总表!$E$3:$E$1025,0))="","",INDEX(学年度总表!$G$3:$G$1025,MATCH($E138,学年度总表!$E$3:$E$1025,0)))</f>
        <v>9.8000000000000007</v>
      </c>
      <c r="H138" s="3">
        <f>IF(INDEX(学年度总表!$H$3:$H$1025,MATCH($E138,学年度总表!$E$3:$E$1025,0))="","",INDEX(学年度总表!$H$3:$H$1025,MATCH($E138,学年度总表!$E$3:$E$1025,0)))</f>
        <v>61.29</v>
      </c>
      <c r="I138" s="3">
        <f>IF(INDEX(学年度总表!$I$3:$I$1025,MATCH($E138,学年度总表!$E$3:$E$1025,0))="","",INDEX(学年度总表!$I$3:$I$1025,MATCH($E138,学年度总表!$E$3:$E$1025,0)))</f>
        <v>3.4</v>
      </c>
      <c r="J138" s="3">
        <f>IF(INDEX(学年度总表!$J$3:$J$1025,MATCH($E138,学年度总表!$E$3:$E$1025,0))="","",INDEX(学年度总表!$J$3:$J$1025,MATCH($E138,学年度总表!$E$3:$E$1025,0)))</f>
        <v>74.489999999999995</v>
      </c>
      <c r="K138" s="3">
        <f>IF(INDEX(学年度总表!$K$3:$K$1025,MATCH($E138,学年度总表!$E$3:$E$1025,0))="","",INDEX(学年度总表!$K$3:$K$1025,MATCH($E138,学年度总表!$E$3:$E$1025,0)))</f>
        <v>9.8000000000000007</v>
      </c>
      <c r="L138" s="3">
        <f>IF(INDEX(学年度总表!$L$3:$L$1025,MATCH($E138,学年度总表!$E$3:$E$1025,0))="","",INDEX(学年度总表!$L$3:$L$1025,MATCH($E138,学年度总表!$E$3:$E$1025,0)))</f>
        <v>55.62</v>
      </c>
      <c r="M138" s="3">
        <f>IF(INDEX(学年度总表!$M$3:$M$1025,MATCH($E138,学年度总表!$E$3:$E$1025,0))="","",INDEX(学年度总表!$M$3:$M$1025,MATCH($E138,学年度总表!$E$3:$E$1025,0)))</f>
        <v>3.5</v>
      </c>
      <c r="N138" s="3">
        <f>IF(INDEX(学年度总表!$N$3:$N$1025,MATCH($E138,学年度总表!$E$3:$E$1025,0))="","",INDEX(学年度总表!$N$3:$N$1025,MATCH($E138,学年度总表!$E$3:$E$1025,0)))</f>
        <v>68.92</v>
      </c>
      <c r="O138" s="3">
        <f>IF(INDEX(学年度总表!$O$3:$O$1025,MATCH($E138,学年度总表!$E$3:$E$1025,0))="","",INDEX(学年度总表!$O$3:$O$1025,MATCH($E138,学年度总表!$E$3:$E$1025,0)))</f>
        <v>143.41</v>
      </c>
      <c r="P138" s="2" t="str">
        <f>IF(INDEX(学年度总表!$P$3:$P$1025,MATCH($E138,学年度总表!$E$3:$E$1025,0))="","",INDEX(学年度总表!$P$3:$P$1025,MATCH($E138,学年度总表!$E$3:$E$1025,0)))</f>
        <v/>
      </c>
      <c r="Q138" s="5" t="str">
        <f>IF(INDEX(学年度总表!$Q$3:$Q$1025,MATCH($E138,学年度总表!$E$3:$E$1025,0))="","",INDEX(学年度总表!$Q$3:$Q$1025,MATCH($E138,学年度总表!$E$3:$E$1025,0)))</f>
        <v/>
      </c>
    </row>
    <row r="139" spans="1:17">
      <c r="A139" s="2">
        <f>IF(INDEX(学年度总表!$A$3:$A$1025,MATCH($E139,学年度总表!$E$3:$E$1025,0))="","",INDEX(学年度总表!$A$3:$A$1025,MATCH($E139,学年度总表!$E$3:$E$1025,0)))</f>
        <v>402</v>
      </c>
      <c r="B139" s="2">
        <f>IF(INDEX(学年度总表!$B$3:$B$1025,MATCH($E139,学年度总表!$E$3:$E$1025,0))="","",INDEX(学年度总表!$B$3:$B$1025,MATCH($E139,学年度总表!$E$3:$E$1025,0)))</f>
        <v>137</v>
      </c>
      <c r="C139" s="2" t="str">
        <f>IF(INDEX(学年度总表!$C$3:$C$1025,MATCH($E139,学年度总表!$E$3:$E$1025,0))="","",INDEX(学年度总表!$C$3:$C$1025,MATCH($E139,学年度总表!$E$3:$E$1025,0)))</f>
        <v>软工</v>
      </c>
      <c r="D139" s="2" t="str">
        <f>IF(INDEX(学年度总表!$D$3:$D$1025,MATCH($E139,学年度总表!$E$3:$E$1025,0))="","",INDEX(学年度总表!$D$3:$D$1025,MATCH($E139,学年度总表!$E$3:$E$1025,0)))</f>
        <v>软工13班</v>
      </c>
      <c r="E139" s="2" t="s">
        <v>866</v>
      </c>
      <c r="F139" s="2" t="str">
        <f>IF(INDEX(学年度总表!$F$3:$F$1025,MATCH($E139,学年度总表!$E$3:$E$1025,0))="","",INDEX(学年度总表!$F$3:$F$1025,MATCH($E139,学年度总表!$E$3:$E$1025,0)))</f>
        <v>刘继鑫</v>
      </c>
      <c r="G139" s="3">
        <f>IF(INDEX(学年度总表!$G$3:$G$1025,MATCH($E139,学年度总表!$E$3:$E$1025,0))="","",INDEX(学年度总表!$G$3:$G$1025,MATCH($E139,学年度总表!$E$3:$E$1025,0)))</f>
        <v>10.5</v>
      </c>
      <c r="H139" s="3">
        <f>IF(INDEX(学年度总表!$H$3:$H$1025,MATCH($E139,学年度总表!$E$3:$E$1025,0))="","",INDEX(学年度总表!$H$3:$H$1025,MATCH($E139,学年度总表!$E$3:$E$1025,0)))</f>
        <v>59.32</v>
      </c>
      <c r="I139" s="3">
        <f>IF(INDEX(学年度总表!$I$3:$I$1025,MATCH($E139,学年度总表!$E$3:$E$1025,0))="","",INDEX(学年度总表!$I$3:$I$1025,MATCH($E139,学年度总表!$E$3:$E$1025,0)))</f>
        <v>3</v>
      </c>
      <c r="J139" s="3">
        <f>IF(INDEX(学年度总表!$J$3:$J$1025,MATCH($E139,学年度总表!$E$3:$E$1025,0))="","",INDEX(学年度总表!$J$3:$J$1025,MATCH($E139,学年度总表!$E$3:$E$1025,0)))</f>
        <v>72.819999999999993</v>
      </c>
      <c r="K139" s="3">
        <f>IF(INDEX(学年度总表!$K$3:$K$1025,MATCH($E139,学年度总表!$E$3:$E$1025,0))="","",INDEX(学年度总表!$K$3:$K$1025,MATCH($E139,学年度总表!$E$3:$E$1025,0)))</f>
        <v>10</v>
      </c>
      <c r="L139" s="3">
        <f>IF(INDEX(学年度总表!$L$3:$L$1025,MATCH($E139,学年度总表!$E$3:$E$1025,0))="","",INDEX(学年度总表!$L$3:$L$1025,MATCH($E139,学年度总表!$E$3:$E$1025,0)))</f>
        <v>56.31</v>
      </c>
      <c r="M139" s="3">
        <f>IF(INDEX(学年度总表!$M$3:$M$1025,MATCH($E139,学年度总表!$E$3:$E$1025,0))="","",INDEX(学年度总表!$M$3:$M$1025,MATCH($E139,学年度总表!$E$3:$E$1025,0)))</f>
        <v>4.2</v>
      </c>
      <c r="N139" s="3">
        <f>IF(INDEX(学年度总表!$N$3:$N$1025,MATCH($E139,学年度总表!$E$3:$E$1025,0))="","",INDEX(学年度总表!$N$3:$N$1025,MATCH($E139,学年度总表!$E$3:$E$1025,0)))</f>
        <v>70.510000000000005</v>
      </c>
      <c r="O139" s="3">
        <f>IF(INDEX(学年度总表!$O$3:$O$1025,MATCH($E139,学年度总表!$E$3:$E$1025,0))="","",INDEX(学年度总表!$O$3:$O$1025,MATCH($E139,学年度总表!$E$3:$E$1025,0)))</f>
        <v>143.33000000000001</v>
      </c>
      <c r="P139" s="2" t="str">
        <f>IF(INDEX(学年度总表!$P$3:$P$1025,MATCH($E139,学年度总表!$E$3:$E$1025,0))="","",INDEX(学年度总表!$P$3:$P$1025,MATCH($E139,学年度总表!$E$3:$E$1025,0)))</f>
        <v/>
      </c>
      <c r="Q139" s="5" t="str">
        <f>IF(INDEX(学年度总表!$Q$3:$Q$1025,MATCH($E139,学年度总表!$E$3:$E$1025,0))="","",INDEX(学年度总表!$Q$3:$Q$1025,MATCH($E139,学年度总表!$E$3:$E$1025,0)))</f>
        <v/>
      </c>
    </row>
    <row r="140" spans="1:17">
      <c r="A140" s="2">
        <f>IF(INDEX(学年度总表!$A$3:$A$1025,MATCH($E140,学年度总表!$E$3:$E$1025,0))="","",INDEX(学年度总表!$A$3:$A$1025,MATCH($E140,学年度总表!$E$3:$E$1025,0)))</f>
        <v>404</v>
      </c>
      <c r="B140" s="2">
        <f>IF(INDEX(学年度总表!$B$3:$B$1025,MATCH($E140,学年度总表!$E$3:$E$1025,0))="","",INDEX(学年度总表!$B$3:$B$1025,MATCH($E140,学年度总表!$E$3:$E$1025,0)))</f>
        <v>138</v>
      </c>
      <c r="C140" s="2" t="str">
        <f>IF(INDEX(学年度总表!$C$3:$C$1025,MATCH($E140,学年度总表!$E$3:$E$1025,0))="","",INDEX(学年度总表!$C$3:$C$1025,MATCH($E140,学年度总表!$E$3:$E$1025,0)))</f>
        <v>软工</v>
      </c>
      <c r="D140" s="2" t="str">
        <f>IF(INDEX(学年度总表!$D$3:$D$1025,MATCH($E140,学年度总表!$E$3:$E$1025,0))="","",INDEX(学年度总表!$D$3:$D$1025,MATCH($E140,学年度总表!$E$3:$E$1025,0)))</f>
        <v>软工7班</v>
      </c>
      <c r="E140" s="2" t="s">
        <v>870</v>
      </c>
      <c r="F140" s="2" t="str">
        <f>IF(INDEX(学年度总表!$F$3:$F$1025,MATCH($E140,学年度总表!$E$3:$E$1025,0))="","",INDEX(学年度总表!$F$3:$F$1025,MATCH($E140,学年度总表!$E$3:$E$1025,0)))</f>
        <v>李韵嘉</v>
      </c>
      <c r="G140" s="3">
        <f>IF(INDEX(学年度总表!$G$3:$G$1025,MATCH($E140,学年度总表!$E$3:$E$1025,0))="","",INDEX(学年度总表!$G$3:$G$1025,MATCH($E140,学年度总表!$E$3:$E$1025,0)))</f>
        <v>9.8000000000000007</v>
      </c>
      <c r="H140" s="3">
        <f>IF(INDEX(学年度总表!$H$3:$H$1025,MATCH($E140,学年度总表!$E$3:$E$1025,0))="","",INDEX(学年度总表!$H$3:$H$1025,MATCH($E140,学年度总表!$E$3:$E$1025,0)))</f>
        <v>62.86</v>
      </c>
      <c r="I140" s="3">
        <f>IF(INDEX(学年度总表!$I$3:$I$1025,MATCH($E140,学年度总表!$E$3:$E$1025,0))="","",INDEX(学年度总表!$I$3:$I$1025,MATCH($E140,学年度总表!$E$3:$E$1025,0)))</f>
        <v>3</v>
      </c>
      <c r="J140" s="3">
        <f>IF(INDEX(学年度总表!$J$3:$J$1025,MATCH($E140,学年度总表!$E$3:$E$1025,0))="","",INDEX(学年度总表!$J$3:$J$1025,MATCH($E140,学年度总表!$E$3:$E$1025,0)))</f>
        <v>75.66</v>
      </c>
      <c r="K140" s="3">
        <f>IF(INDEX(学年度总表!$K$3:$K$1025,MATCH($E140,学年度总表!$E$3:$E$1025,0))="","",INDEX(学年度总表!$K$3:$K$1025,MATCH($E140,学年度总表!$E$3:$E$1025,0)))</f>
        <v>7.3000000000000007</v>
      </c>
      <c r="L140" s="3">
        <f>IF(INDEX(学年度总表!$L$3:$L$1025,MATCH($E140,学年度总表!$E$3:$E$1025,0))="","",INDEX(学年度总表!$L$3:$L$1025,MATCH($E140,学年度总表!$E$3:$E$1025,0)))</f>
        <v>57.28</v>
      </c>
      <c r="M140" s="3">
        <f>IF(INDEX(学年度总表!$M$3:$M$1025,MATCH($E140,学年度总表!$E$3:$E$1025,0))="","",INDEX(学年度总表!$M$3:$M$1025,MATCH($E140,学年度总表!$E$3:$E$1025,0)))</f>
        <v>3</v>
      </c>
      <c r="N140" s="3">
        <f>IF(INDEX(学年度总表!$N$3:$N$1025,MATCH($E140,学年度总表!$E$3:$E$1025,0))="","",INDEX(学年度总表!$N$3:$N$1025,MATCH($E140,学年度总表!$E$3:$E$1025,0)))</f>
        <v>67.58</v>
      </c>
      <c r="O140" s="3">
        <f>IF(INDEX(学年度总表!$O$3:$O$1025,MATCH($E140,学年度总表!$E$3:$E$1025,0))="","",INDEX(学年度总表!$O$3:$O$1025,MATCH($E140,学年度总表!$E$3:$E$1025,0)))</f>
        <v>143.24</v>
      </c>
      <c r="P140" s="2" t="str">
        <f>IF(INDEX(学年度总表!$P$3:$P$1025,MATCH($E140,学年度总表!$E$3:$E$1025,0))="","",INDEX(学年度总表!$P$3:$P$1025,MATCH($E140,学年度总表!$E$3:$E$1025,0)))</f>
        <v/>
      </c>
      <c r="Q140" s="5" t="str">
        <f>IF(INDEX(学年度总表!$Q$3:$Q$1025,MATCH($E140,学年度总表!$E$3:$E$1025,0))="","",INDEX(学年度总表!$Q$3:$Q$1025,MATCH($E140,学年度总表!$E$3:$E$1025,0)))</f>
        <v/>
      </c>
    </row>
    <row r="141" spans="1:17">
      <c r="A141" s="2">
        <f>IF(INDEX(学年度总表!$A$3:$A$1025,MATCH($E141,学年度总表!$E$3:$E$1025,0))="","",INDEX(学年度总表!$A$3:$A$1025,MATCH($E141,学年度总表!$E$3:$E$1025,0)))</f>
        <v>405</v>
      </c>
      <c r="B141" s="2">
        <f>IF(INDEX(学年度总表!$B$3:$B$1025,MATCH($E141,学年度总表!$E$3:$E$1025,0))="","",INDEX(学年度总表!$B$3:$B$1025,MATCH($E141,学年度总表!$E$3:$E$1025,0)))</f>
        <v>139</v>
      </c>
      <c r="C141" s="2" t="str">
        <f>IF(INDEX(学年度总表!$C$3:$C$1025,MATCH($E141,学年度总表!$E$3:$E$1025,0))="","",INDEX(学年度总表!$C$3:$C$1025,MATCH($E141,学年度总表!$E$3:$E$1025,0)))</f>
        <v>软工</v>
      </c>
      <c r="D141" s="2" t="str">
        <f>IF(INDEX(学年度总表!$D$3:$D$1025,MATCH($E141,学年度总表!$E$3:$E$1025,0))="","",INDEX(学年度总表!$D$3:$D$1025,MATCH($E141,学年度总表!$E$3:$E$1025,0)))</f>
        <v>软工11班</v>
      </c>
      <c r="E141" s="2" t="s">
        <v>872</v>
      </c>
      <c r="F141" s="2" t="str">
        <f>IF(INDEX(学年度总表!$F$3:$F$1025,MATCH($E141,学年度总表!$E$3:$E$1025,0))="","",INDEX(学年度总表!$F$3:$F$1025,MATCH($E141,学年度总表!$E$3:$E$1025,0)))</f>
        <v>张文朗屹</v>
      </c>
      <c r="G141" s="3">
        <f>IF(INDEX(学年度总表!$G$3:$G$1025,MATCH($E141,学年度总表!$E$3:$E$1025,0))="","",INDEX(学年度总表!$G$3:$G$1025,MATCH($E141,学年度总表!$E$3:$E$1025,0)))</f>
        <v>10</v>
      </c>
      <c r="H141" s="3">
        <f>IF(INDEX(学年度总表!$H$3:$H$1025,MATCH($E141,学年度总表!$E$3:$E$1025,0))="","",INDEX(学年度总表!$H$3:$H$1025,MATCH($E141,学年度总表!$E$3:$E$1025,0)))</f>
        <v>61.53</v>
      </c>
      <c r="I141" s="3">
        <f>IF(INDEX(学年度总表!$I$3:$I$1025,MATCH($E141,学年度总表!$E$3:$E$1025,0))="","",INDEX(学年度总表!$I$3:$I$1025,MATCH($E141,学年度总表!$E$3:$E$1025,0)))</f>
        <v>4.5</v>
      </c>
      <c r="J141" s="3">
        <f>IF(INDEX(学年度总表!$J$3:$J$1025,MATCH($E141,学年度总表!$E$3:$E$1025,0))="","",INDEX(学年度总表!$J$3:$J$1025,MATCH($E141,学年度总表!$E$3:$E$1025,0)))</f>
        <v>76.03</v>
      </c>
      <c r="K141" s="3">
        <f>IF(INDEX(学年度总表!$K$3:$K$1025,MATCH($E141,学年度总表!$E$3:$E$1025,0))="","",INDEX(学年度总表!$K$3:$K$1025,MATCH($E141,学年度总表!$E$3:$E$1025,0)))</f>
        <v>10</v>
      </c>
      <c r="L141" s="3">
        <f>IF(INDEX(学年度总表!$L$3:$L$1025,MATCH($E141,学年度总表!$E$3:$E$1025,0))="","",INDEX(学年度总表!$L$3:$L$1025,MATCH($E141,学年度总表!$E$3:$E$1025,0)))</f>
        <v>52.18</v>
      </c>
      <c r="M141" s="3">
        <f>IF(INDEX(学年度总表!$M$3:$M$1025,MATCH($E141,学年度总表!$E$3:$E$1025,0))="","",INDEX(学年度总表!$M$3:$M$1025,MATCH($E141,学年度总表!$E$3:$E$1025,0)))</f>
        <v>5</v>
      </c>
      <c r="N141" s="3">
        <f>IF(INDEX(学年度总表!$N$3:$N$1025,MATCH($E141,学年度总表!$E$3:$E$1025,0))="","",INDEX(学年度总表!$N$3:$N$1025,MATCH($E141,学年度总表!$E$3:$E$1025,0)))</f>
        <v>67.180000000000007</v>
      </c>
      <c r="O141" s="3">
        <f>IF(INDEX(学年度总表!$O$3:$O$1025,MATCH($E141,学年度总表!$E$3:$E$1025,0))="","",INDEX(学年度总表!$O$3:$O$1025,MATCH($E141,学年度总表!$E$3:$E$1025,0)))</f>
        <v>143.21</v>
      </c>
      <c r="P141" s="2" t="str">
        <f>IF(INDEX(学年度总表!$P$3:$P$1025,MATCH($E141,学年度总表!$E$3:$E$1025,0))="","",INDEX(学年度总表!$P$3:$P$1025,MATCH($E141,学年度总表!$E$3:$E$1025,0)))</f>
        <v/>
      </c>
      <c r="Q141" s="5" t="str">
        <f>IF(INDEX(学年度总表!$Q$3:$Q$1025,MATCH($E141,学年度总表!$E$3:$E$1025,0))="","",INDEX(学年度总表!$Q$3:$Q$1025,MATCH($E141,学年度总表!$E$3:$E$1025,0)))</f>
        <v/>
      </c>
    </row>
    <row r="142" spans="1:17">
      <c r="A142" s="2">
        <f>IF(INDEX(学年度总表!$A$3:$A$1025,MATCH($E142,学年度总表!$E$3:$E$1025,0))="","",INDEX(学年度总表!$A$3:$A$1025,MATCH($E142,学年度总表!$E$3:$E$1025,0)))</f>
        <v>407</v>
      </c>
      <c r="B142" s="2">
        <f>IF(INDEX(学年度总表!$B$3:$B$1025,MATCH($E142,学年度总表!$E$3:$E$1025,0))="","",INDEX(学年度总表!$B$3:$B$1025,MATCH($E142,学年度总表!$E$3:$E$1025,0)))</f>
        <v>140</v>
      </c>
      <c r="C142" s="2" t="str">
        <f>IF(INDEX(学年度总表!$C$3:$C$1025,MATCH($E142,学年度总表!$E$3:$E$1025,0))="","",INDEX(学年度总表!$C$3:$C$1025,MATCH($E142,学年度总表!$E$3:$E$1025,0)))</f>
        <v>软工</v>
      </c>
      <c r="D142" s="2" t="str">
        <f>IF(INDEX(学年度总表!$D$3:$D$1025,MATCH($E142,学年度总表!$E$3:$E$1025,0))="","",INDEX(学年度总表!$D$3:$D$1025,MATCH($E142,学年度总表!$E$3:$E$1025,0)))</f>
        <v>软工9班</v>
      </c>
      <c r="E142" s="2" t="s">
        <v>876</v>
      </c>
      <c r="F142" s="2" t="str">
        <f>IF(INDEX(学年度总表!$F$3:$F$1025,MATCH($E142,学年度总表!$E$3:$E$1025,0))="","",INDEX(学年度总表!$F$3:$F$1025,MATCH($E142,学年度总表!$E$3:$E$1025,0)))</f>
        <v>任思泽</v>
      </c>
      <c r="G142" s="3">
        <f>IF(INDEX(学年度总表!$G$3:$G$1025,MATCH($E142,学年度总表!$E$3:$E$1025,0))="","",INDEX(学年度总表!$G$3:$G$1025,MATCH($E142,学年度总表!$E$3:$E$1025,0)))</f>
        <v>9.8000000000000007</v>
      </c>
      <c r="H142" s="3">
        <f>IF(INDEX(学年度总表!$H$3:$H$1025,MATCH($E142,学年度总表!$E$3:$E$1025,0))="","",INDEX(学年度总表!$H$3:$H$1025,MATCH($E142,学年度总表!$E$3:$E$1025,0)))</f>
        <v>60.153061224489797</v>
      </c>
      <c r="I142" s="3">
        <f>IF(INDEX(学年度总表!$I$3:$I$1025,MATCH($E142,学年度总表!$E$3:$E$1025,0))="","",INDEX(学年度总表!$I$3:$I$1025,MATCH($E142,学年度总表!$E$3:$E$1025,0)))</f>
        <v>3</v>
      </c>
      <c r="J142" s="3">
        <f>IF(INDEX(学年度总表!$J$3:$J$1025,MATCH($E142,学年度总表!$E$3:$E$1025,0))="","",INDEX(学年度总表!$J$3:$J$1025,MATCH($E142,学年度总表!$E$3:$E$1025,0)))</f>
        <v>72.95</v>
      </c>
      <c r="K142" s="3">
        <f>IF(INDEX(学年度总表!$K$3:$K$1025,MATCH($E142,学年度总表!$E$3:$E$1025,0))="","",INDEX(学年度总表!$K$3:$K$1025,MATCH($E142,学年度总表!$E$3:$E$1025,0)))</f>
        <v>9.8000000000000007</v>
      </c>
      <c r="L142" s="3">
        <f>IF(INDEX(学年度总表!$L$3:$L$1025,MATCH($E142,学年度总表!$E$3:$E$1025,0))="","",INDEX(学年度总表!$L$3:$L$1025,MATCH($E142,学年度总表!$E$3:$E$1025,0)))</f>
        <v>56.86</v>
      </c>
      <c r="M142" s="3">
        <f>IF(INDEX(学年度总表!$M$3:$M$1025,MATCH($E142,学年度总表!$E$3:$E$1025,0))="","",INDEX(学年度总表!$M$3:$M$1025,MATCH($E142,学年度总表!$E$3:$E$1025,0)))</f>
        <v>3.5</v>
      </c>
      <c r="N142" s="3">
        <f>IF(INDEX(学年度总表!$N$3:$N$1025,MATCH($E142,学年度总表!$E$3:$E$1025,0))="","",INDEX(学年度总表!$N$3:$N$1025,MATCH($E142,学年度总表!$E$3:$E$1025,0)))</f>
        <v>70.16</v>
      </c>
      <c r="O142" s="3">
        <f>IF(INDEX(学年度总表!$O$3:$O$1025,MATCH($E142,学年度总表!$E$3:$E$1025,0))="","",INDEX(学年度总表!$O$3:$O$1025,MATCH($E142,学年度总表!$E$3:$E$1025,0)))</f>
        <v>143.11000000000001</v>
      </c>
      <c r="P142" s="2" t="str">
        <f>IF(INDEX(学年度总表!$P$3:$P$1025,MATCH($E142,学年度总表!$E$3:$E$1025,0))="","",INDEX(学年度总表!$P$3:$P$1025,MATCH($E142,学年度总表!$E$3:$E$1025,0)))</f>
        <v/>
      </c>
      <c r="Q142" s="5" t="str">
        <f>IF(INDEX(学年度总表!$Q$3:$Q$1025,MATCH($E142,学年度总表!$E$3:$E$1025,0))="","",INDEX(学年度总表!$Q$3:$Q$1025,MATCH($E142,学年度总表!$E$3:$E$1025,0)))</f>
        <v/>
      </c>
    </row>
    <row r="143" spans="1:17">
      <c r="A143" s="2">
        <f>IF(INDEX(学年度总表!$A$3:$A$1025,MATCH($E143,学年度总表!$E$3:$E$1025,0))="","",INDEX(学年度总表!$A$3:$A$1025,MATCH($E143,学年度总表!$E$3:$E$1025,0)))</f>
        <v>414</v>
      </c>
      <c r="B143" s="2">
        <f>IF(INDEX(学年度总表!$B$3:$B$1025,MATCH($E143,学年度总表!$E$3:$E$1025,0))="","",INDEX(学年度总表!$B$3:$B$1025,MATCH($E143,学年度总表!$E$3:$E$1025,0)))</f>
        <v>141</v>
      </c>
      <c r="C143" s="2" t="str">
        <f>IF(INDEX(学年度总表!$C$3:$C$1025,MATCH($E143,学年度总表!$E$3:$E$1025,0))="","",INDEX(学年度总表!$C$3:$C$1025,MATCH($E143,学年度总表!$E$3:$E$1025,0)))</f>
        <v>软工</v>
      </c>
      <c r="D143" s="2" t="str">
        <f>IF(INDEX(学年度总表!$D$3:$D$1025,MATCH($E143,学年度总表!$E$3:$E$1025,0))="","",INDEX(学年度总表!$D$3:$D$1025,MATCH($E143,学年度总表!$E$3:$E$1025,0)))</f>
        <v>软工13班</v>
      </c>
      <c r="E143" s="2" t="s">
        <v>890</v>
      </c>
      <c r="F143" s="2" t="str">
        <f>IF(INDEX(学年度总表!$F$3:$F$1025,MATCH($E143,学年度总表!$E$3:$E$1025,0))="","",INDEX(学年度总表!$F$3:$F$1025,MATCH($E143,学年度总表!$E$3:$E$1025,0)))</f>
        <v>杨金烨</v>
      </c>
      <c r="G143" s="3">
        <f>IF(INDEX(学年度总表!$G$3:$G$1025,MATCH($E143,学年度总表!$E$3:$E$1025,0))="","",INDEX(学年度总表!$G$3:$G$1025,MATCH($E143,学年度总表!$E$3:$E$1025,0)))</f>
        <v>10</v>
      </c>
      <c r="H143" s="3">
        <f>IF(INDEX(学年度总表!$H$3:$H$1025,MATCH($E143,学年度总表!$E$3:$E$1025,0))="","",INDEX(学年度总表!$H$3:$H$1025,MATCH($E143,学年度总表!$E$3:$E$1025,0)))</f>
        <v>59.24</v>
      </c>
      <c r="I143" s="3">
        <f>IF(INDEX(学年度总表!$I$3:$I$1025,MATCH($E143,学年度总表!$E$3:$E$1025,0))="","",INDEX(学年度总表!$I$3:$I$1025,MATCH($E143,学年度总表!$E$3:$E$1025,0)))</f>
        <v>3</v>
      </c>
      <c r="J143" s="3">
        <f>IF(INDEX(学年度总表!$J$3:$J$1025,MATCH($E143,学年度总表!$E$3:$E$1025,0))="","",INDEX(学年度总表!$J$3:$J$1025,MATCH($E143,学年度总表!$E$3:$E$1025,0)))</f>
        <v>72.239999999999995</v>
      </c>
      <c r="K143" s="3">
        <f>IF(INDEX(学年度总表!$K$3:$K$1025,MATCH($E143,学年度总表!$E$3:$E$1025,0))="","",INDEX(学年度总表!$K$3:$K$1025,MATCH($E143,学年度总表!$E$3:$E$1025,0)))</f>
        <v>10</v>
      </c>
      <c r="L143" s="3">
        <f>IF(INDEX(学年度总表!$L$3:$L$1025,MATCH($E143,学年度总表!$E$3:$E$1025,0))="","",INDEX(学年度总表!$L$3:$L$1025,MATCH($E143,学年度总表!$E$3:$E$1025,0)))</f>
        <v>57.13</v>
      </c>
      <c r="M143" s="3">
        <f>IF(INDEX(学年度总表!$M$3:$M$1025,MATCH($E143,学年度总表!$E$3:$E$1025,0))="","",INDEX(学年度总表!$M$3:$M$1025,MATCH($E143,学年度总表!$E$3:$E$1025,0)))</f>
        <v>3.5</v>
      </c>
      <c r="N143" s="3">
        <f>IF(INDEX(学年度总表!$N$3:$N$1025,MATCH($E143,学年度总表!$E$3:$E$1025,0))="","",INDEX(学年度总表!$N$3:$N$1025,MATCH($E143,学年度总表!$E$3:$E$1025,0)))</f>
        <v>70.63</v>
      </c>
      <c r="O143" s="3">
        <f>IF(INDEX(学年度总表!$O$3:$O$1025,MATCH($E143,学年度总表!$E$3:$E$1025,0))="","",INDEX(学年度总表!$O$3:$O$1025,MATCH($E143,学年度总表!$E$3:$E$1025,0)))</f>
        <v>142.87</v>
      </c>
      <c r="P143" s="2" t="str">
        <f>IF(INDEX(学年度总表!$P$3:$P$1025,MATCH($E143,学年度总表!$E$3:$E$1025,0))="","",INDEX(学年度总表!$P$3:$P$1025,MATCH($E143,学年度总表!$E$3:$E$1025,0)))</f>
        <v/>
      </c>
      <c r="Q143" s="5" t="str">
        <f>IF(INDEX(学年度总表!$Q$3:$Q$1025,MATCH($E143,学年度总表!$E$3:$E$1025,0))="","",INDEX(学年度总表!$Q$3:$Q$1025,MATCH($E143,学年度总表!$E$3:$E$1025,0)))</f>
        <v/>
      </c>
    </row>
    <row r="144" spans="1:17">
      <c r="A144" s="2">
        <f>IF(INDEX(学年度总表!$A$3:$A$1025,MATCH($E144,学年度总表!$E$3:$E$1025,0))="","",INDEX(学年度总表!$A$3:$A$1025,MATCH($E144,学年度总表!$E$3:$E$1025,0)))</f>
        <v>415</v>
      </c>
      <c r="B144" s="2">
        <f>IF(INDEX(学年度总表!$B$3:$B$1025,MATCH($E144,学年度总表!$E$3:$E$1025,0))="","",INDEX(学年度总表!$B$3:$B$1025,MATCH($E144,学年度总表!$E$3:$E$1025,0)))</f>
        <v>142</v>
      </c>
      <c r="C144" s="2" t="str">
        <f>IF(INDEX(学年度总表!$C$3:$C$1025,MATCH($E144,学年度总表!$E$3:$E$1025,0))="","",INDEX(学年度总表!$C$3:$C$1025,MATCH($E144,学年度总表!$E$3:$E$1025,0)))</f>
        <v>软工</v>
      </c>
      <c r="D144" s="2" t="str">
        <f>IF(INDEX(学年度总表!$D$3:$D$1025,MATCH($E144,学年度总表!$E$3:$E$1025,0))="","",INDEX(学年度总表!$D$3:$D$1025,MATCH($E144,学年度总表!$E$3:$E$1025,0)))</f>
        <v>软工9班</v>
      </c>
      <c r="E144" s="2" t="s">
        <v>892</v>
      </c>
      <c r="F144" s="2" t="str">
        <f>IF(INDEX(学年度总表!$F$3:$F$1025,MATCH($E144,学年度总表!$E$3:$E$1025,0))="","",INDEX(学年度总表!$F$3:$F$1025,MATCH($E144,学年度总表!$E$3:$E$1025,0)))</f>
        <v>朱奕馨</v>
      </c>
      <c r="G144" s="3">
        <f>IF(INDEX(学年度总表!$G$3:$G$1025,MATCH($E144,学年度总表!$E$3:$E$1025,0))="","",INDEX(学年度总表!$G$3:$G$1025,MATCH($E144,学年度总表!$E$3:$E$1025,0)))</f>
        <v>11</v>
      </c>
      <c r="H144" s="3">
        <f>IF(INDEX(学年度总表!$H$3:$H$1025,MATCH($E144,学年度总表!$E$3:$E$1025,0))="","",INDEX(学年度总表!$H$3:$H$1025,MATCH($E144,学年度总表!$E$3:$E$1025,0)))</f>
        <v>58.867346938775498</v>
      </c>
      <c r="I144" s="3">
        <f>IF(INDEX(学年度总表!$I$3:$I$1025,MATCH($E144,学年度总表!$E$3:$E$1025,0))="","",INDEX(学年度总表!$I$3:$I$1025,MATCH($E144,学年度总表!$E$3:$E$1025,0)))</f>
        <v>3.2</v>
      </c>
      <c r="J144" s="3">
        <f>IF(INDEX(学年度总表!$J$3:$J$1025,MATCH($E144,学年度总表!$E$3:$E$1025,0))="","",INDEX(学年度总表!$J$3:$J$1025,MATCH($E144,学年度总表!$E$3:$E$1025,0)))</f>
        <v>73.069999999999993</v>
      </c>
      <c r="K144" s="3">
        <f>IF(INDEX(学年度总表!$K$3:$K$1025,MATCH($E144,学年度总表!$E$3:$E$1025,0))="","",INDEX(学年度总表!$K$3:$K$1025,MATCH($E144,学年度总表!$E$3:$E$1025,0)))</f>
        <v>10</v>
      </c>
      <c r="L144" s="3">
        <f>IF(INDEX(学年度总表!$L$3:$L$1025,MATCH($E144,学年度总表!$E$3:$E$1025,0))="","",INDEX(学年度总表!$L$3:$L$1025,MATCH($E144,学年度总表!$E$3:$E$1025,0)))</f>
        <v>55.79</v>
      </c>
      <c r="M144" s="3">
        <f>IF(INDEX(学年度总表!$M$3:$M$1025,MATCH($E144,学年度总表!$E$3:$E$1025,0))="","",INDEX(学年度总表!$M$3:$M$1025,MATCH($E144,学年度总表!$E$3:$E$1025,0)))</f>
        <v>4</v>
      </c>
      <c r="N144" s="3">
        <f>IF(INDEX(学年度总表!$N$3:$N$1025,MATCH($E144,学年度总表!$E$3:$E$1025,0))="","",INDEX(学年度总表!$N$3:$N$1025,MATCH($E144,学年度总表!$E$3:$E$1025,0)))</f>
        <v>69.790000000000006</v>
      </c>
      <c r="O144" s="3">
        <f>IF(INDEX(学年度总表!$O$3:$O$1025,MATCH($E144,学年度总表!$E$3:$E$1025,0))="","",INDEX(学年度总表!$O$3:$O$1025,MATCH($E144,学年度总表!$E$3:$E$1025,0)))</f>
        <v>142.86000000000001</v>
      </c>
      <c r="P144" s="2" t="str">
        <f>IF(INDEX(学年度总表!$P$3:$P$1025,MATCH($E144,学年度总表!$E$3:$E$1025,0))="","",INDEX(学年度总表!$P$3:$P$1025,MATCH($E144,学年度总表!$E$3:$E$1025,0)))</f>
        <v/>
      </c>
      <c r="Q144" s="5" t="str">
        <f>IF(INDEX(学年度总表!$Q$3:$Q$1025,MATCH($E144,学年度总表!$E$3:$E$1025,0))="","",INDEX(学年度总表!$Q$3:$Q$1025,MATCH($E144,学年度总表!$E$3:$E$1025,0)))</f>
        <v/>
      </c>
    </row>
    <row r="145" spans="1:17">
      <c r="A145" s="2">
        <f>IF(INDEX(学年度总表!$A$3:$A$1025,MATCH($E145,学年度总表!$E$3:$E$1025,0))="","",INDEX(学年度总表!$A$3:$A$1025,MATCH($E145,学年度总表!$E$3:$E$1025,0)))</f>
        <v>419</v>
      </c>
      <c r="B145" s="2">
        <f>IF(INDEX(学年度总表!$B$3:$B$1025,MATCH($E145,学年度总表!$E$3:$E$1025,0))="","",INDEX(学年度总表!$B$3:$B$1025,MATCH($E145,学年度总表!$E$3:$E$1025,0)))</f>
        <v>143</v>
      </c>
      <c r="C145" s="2" t="str">
        <f>IF(INDEX(学年度总表!$C$3:$C$1025,MATCH($E145,学年度总表!$E$3:$E$1025,0))="","",INDEX(学年度总表!$C$3:$C$1025,MATCH($E145,学年度总表!$E$3:$E$1025,0)))</f>
        <v>软工</v>
      </c>
      <c r="D145" s="2" t="str">
        <f>IF(INDEX(学年度总表!$D$3:$D$1025,MATCH($E145,学年度总表!$E$3:$E$1025,0))="","",INDEX(学年度总表!$D$3:$D$1025,MATCH($E145,学年度总表!$E$3:$E$1025,0)))</f>
        <v>软工11班</v>
      </c>
      <c r="E145" s="2" t="s">
        <v>900</v>
      </c>
      <c r="F145" s="2" t="str">
        <f>IF(INDEX(学年度总表!$F$3:$F$1025,MATCH($E145,学年度总表!$E$3:$E$1025,0))="","",INDEX(学年度总表!$F$3:$F$1025,MATCH($E145,学年度总表!$E$3:$E$1025,0)))</f>
        <v>李玥佳</v>
      </c>
      <c r="G145" s="3">
        <f>IF(INDEX(学年度总表!$G$3:$G$1025,MATCH($E145,学年度总表!$E$3:$E$1025,0))="","",INDEX(学年度总表!$G$3:$G$1025,MATCH($E145,学年度总表!$E$3:$E$1025,0)))</f>
        <v>9.8000000000000007</v>
      </c>
      <c r="H145" s="3">
        <f>IF(INDEX(学年度总表!$H$3:$H$1025,MATCH($E145,学年度总表!$E$3:$E$1025,0))="","",INDEX(学年度总表!$H$3:$H$1025,MATCH($E145,学年度总表!$E$3:$E$1025,0)))</f>
        <v>58.12</v>
      </c>
      <c r="I145" s="3">
        <f>IF(INDEX(学年度总表!$I$3:$I$1025,MATCH($E145,学年度总表!$E$3:$E$1025,0))="","",INDEX(学年度总表!$I$3:$I$1025,MATCH($E145,学年度总表!$E$3:$E$1025,0)))</f>
        <v>4</v>
      </c>
      <c r="J145" s="3">
        <f>IF(INDEX(学年度总表!$J$3:$J$1025,MATCH($E145,学年度总表!$E$3:$E$1025,0))="","",INDEX(学年度总表!$J$3:$J$1025,MATCH($E145,学年度总表!$E$3:$E$1025,0)))</f>
        <v>71.92</v>
      </c>
      <c r="K145" s="3">
        <f>IF(INDEX(学年度总表!$K$3:$K$1025,MATCH($E145,学年度总表!$E$3:$E$1025,0))="","",INDEX(学年度总表!$K$3:$K$1025,MATCH($E145,学年度总表!$E$3:$E$1025,0)))</f>
        <v>10.8</v>
      </c>
      <c r="L145" s="3">
        <f>IF(INDEX(学年度总表!$L$3:$L$1025,MATCH($E145,学年度总表!$E$3:$E$1025,0))="","",INDEX(学年度总表!$L$3:$L$1025,MATCH($E145,学年度总表!$E$3:$E$1025,0)))</f>
        <v>55.57</v>
      </c>
      <c r="M145" s="3">
        <f>IF(INDEX(学年度总表!$M$3:$M$1025,MATCH($E145,学年度总表!$E$3:$E$1025,0))="","",INDEX(学年度总表!$M$3:$M$1025,MATCH($E145,学年度总表!$E$3:$E$1025,0)))</f>
        <v>4.5</v>
      </c>
      <c r="N145" s="3">
        <f>IF(INDEX(学年度总表!$N$3:$N$1025,MATCH($E145,学年度总表!$E$3:$E$1025,0))="","",INDEX(学年度总表!$N$3:$N$1025,MATCH($E145,学年度总表!$E$3:$E$1025,0)))</f>
        <v>70.87</v>
      </c>
      <c r="O145" s="3">
        <f>IF(INDEX(学年度总表!$O$3:$O$1025,MATCH($E145,学年度总表!$E$3:$E$1025,0))="","",INDEX(学年度总表!$O$3:$O$1025,MATCH($E145,学年度总表!$E$3:$E$1025,0)))</f>
        <v>142.79</v>
      </c>
      <c r="P145" s="2" t="str">
        <f>IF(INDEX(学年度总表!$P$3:$P$1025,MATCH($E145,学年度总表!$E$3:$E$1025,0))="","",INDEX(学年度总表!$P$3:$P$1025,MATCH($E145,学年度总表!$E$3:$E$1025,0)))</f>
        <v/>
      </c>
      <c r="Q145" s="5" t="str">
        <f>IF(INDEX(学年度总表!$Q$3:$Q$1025,MATCH($E145,学年度总表!$E$3:$E$1025,0))="","",INDEX(学年度总表!$Q$3:$Q$1025,MATCH($E145,学年度总表!$E$3:$E$1025,0)))</f>
        <v/>
      </c>
    </row>
    <row r="146" spans="1:17">
      <c r="A146" s="2">
        <f>IF(INDEX(学年度总表!$A$3:$A$1025,MATCH($E146,学年度总表!$E$3:$E$1025,0))="","",INDEX(学年度总表!$A$3:$A$1025,MATCH($E146,学年度总表!$E$3:$E$1025,0)))</f>
        <v>420</v>
      </c>
      <c r="B146" s="2">
        <f>IF(INDEX(学年度总表!$B$3:$B$1025,MATCH($E146,学年度总表!$E$3:$E$1025,0))="","",INDEX(学年度总表!$B$3:$B$1025,MATCH($E146,学年度总表!$E$3:$E$1025,0)))</f>
        <v>144</v>
      </c>
      <c r="C146" s="2" t="str">
        <f>IF(INDEX(学年度总表!$C$3:$C$1025,MATCH($E146,学年度总表!$E$3:$E$1025,0))="","",INDEX(学年度总表!$C$3:$C$1025,MATCH($E146,学年度总表!$E$3:$E$1025,0)))</f>
        <v>软工</v>
      </c>
      <c r="D146" s="2" t="str">
        <f>IF(INDEX(学年度总表!$D$3:$D$1025,MATCH($E146,学年度总表!$E$3:$E$1025,0))="","",INDEX(学年度总表!$D$3:$D$1025,MATCH($E146,学年度总表!$E$3:$E$1025,0)))</f>
        <v>软工10班</v>
      </c>
      <c r="E146" s="2" t="s">
        <v>902</v>
      </c>
      <c r="F146" s="2" t="str">
        <f>IF(INDEX(学年度总表!$F$3:$F$1025,MATCH($E146,学年度总表!$E$3:$E$1025,0))="","",INDEX(学年度总表!$F$3:$F$1025,MATCH($E146,学年度总表!$E$3:$E$1025,0)))</f>
        <v>朱红烨</v>
      </c>
      <c r="G146" s="3">
        <f>IF(INDEX(学年度总表!$G$3:$G$1025,MATCH($E146,学年度总表!$E$3:$E$1025,0))="","",INDEX(学年度总表!$G$3:$G$1025,MATCH($E146,学年度总表!$E$3:$E$1025,0)))</f>
        <v>10.3</v>
      </c>
      <c r="H146" s="3">
        <f>IF(INDEX(学年度总表!$H$3:$H$1025,MATCH($E146,学年度总表!$E$3:$E$1025,0))="","",INDEX(学年度总表!$H$3:$H$1025,MATCH($E146,学年度总表!$E$3:$E$1025,0)))</f>
        <v>60.08</v>
      </c>
      <c r="I146" s="3">
        <f>IF(INDEX(学年度总表!$I$3:$I$1025,MATCH($E146,学年度总表!$E$3:$E$1025,0))="","",INDEX(学年度总表!$I$3:$I$1025,MATCH($E146,学年度总表!$E$3:$E$1025,0)))</f>
        <v>3.5</v>
      </c>
      <c r="J146" s="3">
        <f>IF(INDEX(学年度总表!$J$3:$J$1025,MATCH($E146,学年度总表!$E$3:$E$1025,0))="","",INDEX(学年度总表!$J$3:$J$1025,MATCH($E146,学年度总表!$E$3:$E$1025,0)))</f>
        <v>73.88</v>
      </c>
      <c r="K146" s="3">
        <f>IF(INDEX(学年度总表!$K$3:$K$1025,MATCH($E146,学年度总表!$E$3:$E$1025,0))="","",INDEX(学年度总表!$K$3:$K$1025,MATCH($E146,学年度总表!$E$3:$E$1025,0)))</f>
        <v>9.8000000000000007</v>
      </c>
      <c r="L146" s="3">
        <f>IF(INDEX(学年度总表!$L$3:$L$1025,MATCH($E146,学年度总表!$E$3:$E$1025,0))="","",INDEX(学年度总表!$L$3:$L$1025,MATCH($E146,学年度总表!$E$3:$E$1025,0)))</f>
        <v>54.9</v>
      </c>
      <c r="M146" s="3">
        <f>IF(INDEX(学年度总表!$M$3:$M$1025,MATCH($E146,学年度总表!$E$3:$E$1025,0))="","",INDEX(学年度总表!$M$3:$M$1025,MATCH($E146,学年度总表!$E$3:$E$1025,0)))</f>
        <v>4.2</v>
      </c>
      <c r="N146" s="3">
        <f>IF(INDEX(学年度总表!$N$3:$N$1025,MATCH($E146,学年度总表!$E$3:$E$1025,0))="","",INDEX(学年度总表!$N$3:$N$1025,MATCH($E146,学年度总表!$E$3:$E$1025,0)))</f>
        <v>68.900000000000006</v>
      </c>
      <c r="O146" s="3">
        <f>IF(INDEX(学年度总表!$O$3:$O$1025,MATCH($E146,学年度总表!$E$3:$E$1025,0))="","",INDEX(学年度总表!$O$3:$O$1025,MATCH($E146,学年度总表!$E$3:$E$1025,0)))</f>
        <v>142.78</v>
      </c>
      <c r="P146" s="2" t="str">
        <f>IF(INDEX(学年度总表!$P$3:$P$1025,MATCH($E146,学年度总表!$E$3:$E$1025,0))="","",INDEX(学年度总表!$P$3:$P$1025,MATCH($E146,学年度总表!$E$3:$E$1025,0)))</f>
        <v/>
      </c>
      <c r="Q146" s="5" t="str">
        <f>IF(INDEX(学年度总表!$Q$3:$Q$1025,MATCH($E146,学年度总表!$E$3:$E$1025,0))="","",INDEX(学年度总表!$Q$3:$Q$1025,MATCH($E146,学年度总表!$E$3:$E$1025,0)))</f>
        <v/>
      </c>
    </row>
    <row r="147" spans="1:17">
      <c r="A147" s="2">
        <f>IF(INDEX(学年度总表!$A$3:$A$1025,MATCH($E147,学年度总表!$E$3:$E$1025,0))="","",INDEX(学年度总表!$A$3:$A$1025,MATCH($E147,学年度总表!$E$3:$E$1025,0)))</f>
        <v>430</v>
      </c>
      <c r="B147" s="2">
        <f>IF(INDEX(学年度总表!$B$3:$B$1025,MATCH($E147,学年度总表!$E$3:$E$1025,0))="","",INDEX(学年度总表!$B$3:$B$1025,MATCH($E147,学年度总表!$E$3:$E$1025,0)))</f>
        <v>145</v>
      </c>
      <c r="C147" s="2" t="str">
        <f>IF(INDEX(学年度总表!$C$3:$C$1025,MATCH($E147,学年度总表!$E$3:$E$1025,0))="","",INDEX(学年度总表!$C$3:$C$1025,MATCH($E147,学年度总表!$E$3:$E$1025,0)))</f>
        <v>软工</v>
      </c>
      <c r="D147" s="2" t="str">
        <f>IF(INDEX(学年度总表!$D$3:$D$1025,MATCH($E147,学年度总表!$E$3:$E$1025,0))="","",INDEX(学年度总表!$D$3:$D$1025,MATCH($E147,学年度总表!$E$3:$E$1025,0)))</f>
        <v>软工14班</v>
      </c>
      <c r="E147" s="2" t="s">
        <v>922</v>
      </c>
      <c r="F147" s="2" t="str">
        <f>IF(INDEX(学年度总表!$F$3:$F$1025,MATCH($E147,学年度总表!$E$3:$E$1025,0))="","",INDEX(学年度总表!$F$3:$F$1025,MATCH($E147,学年度总表!$E$3:$E$1025,0)))</f>
        <v>郭亭瑶</v>
      </c>
      <c r="G147" s="3">
        <f>IF(INDEX(学年度总表!$G$3:$G$1025,MATCH($E147,学年度总表!$E$3:$E$1025,0))="","",INDEX(学年度总表!$G$3:$G$1025,MATCH($E147,学年度总表!$E$3:$E$1025,0)))</f>
        <v>9.8000000000000007</v>
      </c>
      <c r="H147" s="3">
        <f>IF(INDEX(学年度总表!$H$3:$H$1025,MATCH($E147,学年度总表!$E$3:$E$1025,0))="","",INDEX(学年度总表!$H$3:$H$1025,MATCH($E147,学年度总表!$E$3:$E$1025,0)))</f>
        <v>58.96</v>
      </c>
      <c r="I147" s="3">
        <f>IF(INDEX(学年度总表!$I$3:$I$1025,MATCH($E147,学年度总表!$E$3:$E$1025,0))="","",INDEX(学年度总表!$I$3:$I$1025,MATCH($E147,学年度总表!$E$3:$E$1025,0)))</f>
        <v>3</v>
      </c>
      <c r="J147" s="3">
        <f>IF(INDEX(学年度总表!$J$3:$J$1025,MATCH($E147,学年度总表!$E$3:$E$1025,0))="","",INDEX(学年度总表!$J$3:$J$1025,MATCH($E147,学年度总表!$E$3:$E$1025,0)))</f>
        <v>71.760000000000005</v>
      </c>
      <c r="K147" s="3">
        <f>IF(INDEX(学年度总表!$K$3:$K$1025,MATCH($E147,学年度总表!$E$3:$E$1025,0))="","",INDEX(学年度总表!$K$3:$K$1025,MATCH($E147,学年度总表!$E$3:$E$1025,0)))</f>
        <v>9.8000000000000007</v>
      </c>
      <c r="L147" s="3">
        <f>IF(INDEX(学年度总表!$L$3:$L$1025,MATCH($E147,学年度总表!$E$3:$E$1025,0))="","",INDEX(学年度总表!$L$3:$L$1025,MATCH($E147,学年度总表!$E$3:$E$1025,0)))</f>
        <v>56.24</v>
      </c>
      <c r="M147" s="3">
        <f>IF(INDEX(学年度总表!$M$3:$M$1025,MATCH($E147,学年度总表!$E$3:$E$1025,0))="","",INDEX(学年度总表!$M$3:$M$1025,MATCH($E147,学年度总表!$E$3:$E$1025,0)))</f>
        <v>4.5</v>
      </c>
      <c r="N147" s="3">
        <f>IF(INDEX(学年度总表!$N$3:$N$1025,MATCH($E147,学年度总表!$E$3:$E$1025,0))="","",INDEX(学年度总表!$N$3:$N$1025,MATCH($E147,学年度总表!$E$3:$E$1025,0)))</f>
        <v>70.540000000000006</v>
      </c>
      <c r="O147" s="3">
        <f>IF(INDEX(学年度总表!$O$3:$O$1025,MATCH($E147,学年度总表!$E$3:$E$1025,0))="","",INDEX(学年度总表!$O$3:$O$1025,MATCH($E147,学年度总表!$E$3:$E$1025,0)))</f>
        <v>142.30000000000001</v>
      </c>
      <c r="P147" s="2" t="str">
        <f>IF(INDEX(学年度总表!$P$3:$P$1025,MATCH($E147,学年度总表!$E$3:$E$1025,0))="","",INDEX(学年度总表!$P$3:$P$1025,MATCH($E147,学年度总表!$E$3:$E$1025,0)))</f>
        <v/>
      </c>
      <c r="Q147" s="5" t="str">
        <f>IF(INDEX(学年度总表!$Q$3:$Q$1025,MATCH($E147,学年度总表!$E$3:$E$1025,0))="","",INDEX(学年度总表!$Q$3:$Q$1025,MATCH($E147,学年度总表!$E$3:$E$1025,0)))</f>
        <v/>
      </c>
    </row>
    <row r="148" spans="1:17">
      <c r="A148" s="2">
        <f>IF(INDEX(学年度总表!$A$3:$A$1025,MATCH($E148,学年度总表!$E$3:$E$1025,0))="","",INDEX(学年度总表!$A$3:$A$1025,MATCH($E148,学年度总表!$E$3:$E$1025,0)))</f>
        <v>433</v>
      </c>
      <c r="B148" s="2">
        <f>IF(INDEX(学年度总表!$B$3:$B$1025,MATCH($E148,学年度总表!$E$3:$E$1025,0))="","",INDEX(学年度总表!$B$3:$B$1025,MATCH($E148,学年度总表!$E$3:$E$1025,0)))</f>
        <v>146</v>
      </c>
      <c r="C148" s="2" t="str">
        <f>IF(INDEX(学年度总表!$C$3:$C$1025,MATCH($E148,学年度总表!$E$3:$E$1025,0))="","",INDEX(学年度总表!$C$3:$C$1025,MATCH($E148,学年度总表!$E$3:$E$1025,0)))</f>
        <v>软工</v>
      </c>
      <c r="D148" s="2" t="str">
        <f>IF(INDEX(学年度总表!$D$3:$D$1025,MATCH($E148,学年度总表!$E$3:$E$1025,0))="","",INDEX(学年度总表!$D$3:$D$1025,MATCH($E148,学年度总表!$E$3:$E$1025,0)))</f>
        <v>软工7班</v>
      </c>
      <c r="E148" s="2" t="s">
        <v>928</v>
      </c>
      <c r="F148" s="2" t="str">
        <f>IF(INDEX(学年度总表!$F$3:$F$1025,MATCH($E148,学年度总表!$E$3:$E$1025,0))="","",INDEX(学年度总表!$F$3:$F$1025,MATCH($E148,学年度总表!$E$3:$E$1025,0)))</f>
        <v>洪韵</v>
      </c>
      <c r="G148" s="3">
        <f>IF(INDEX(学年度总表!$G$3:$G$1025,MATCH($E148,学年度总表!$E$3:$E$1025,0))="","",INDEX(学年度总表!$G$3:$G$1025,MATCH($E148,学年度总表!$E$3:$E$1025,0)))</f>
        <v>9.8000000000000007</v>
      </c>
      <c r="H148" s="3">
        <f>IF(INDEX(学年度总表!$H$3:$H$1025,MATCH($E148,学年度总表!$E$3:$E$1025,0))="","",INDEX(学年度总表!$H$3:$H$1025,MATCH($E148,学年度总表!$E$3:$E$1025,0)))</f>
        <v>62.49</v>
      </c>
      <c r="I148" s="3">
        <f>IF(INDEX(学年度总表!$I$3:$I$1025,MATCH($E148,学年度总表!$E$3:$E$1025,0))="","",INDEX(学年度总表!$I$3:$I$1025,MATCH($E148,学年度总表!$E$3:$E$1025,0)))</f>
        <v>3</v>
      </c>
      <c r="J148" s="3">
        <f>IF(INDEX(学年度总表!$J$3:$J$1025,MATCH($E148,学年度总表!$E$3:$E$1025,0))="","",INDEX(学年度总表!$J$3:$J$1025,MATCH($E148,学年度总表!$E$3:$E$1025,0)))</f>
        <v>75.290000000000006</v>
      </c>
      <c r="K148" s="3">
        <f>IF(INDEX(学年度总表!$K$3:$K$1025,MATCH($E148,学年度总表!$E$3:$E$1025,0))="","",INDEX(学年度总表!$K$3:$K$1025,MATCH($E148,学年度总表!$E$3:$E$1025,0)))</f>
        <v>9.8000000000000007</v>
      </c>
      <c r="L148" s="3">
        <f>IF(INDEX(学年度总表!$L$3:$L$1025,MATCH($E148,学年度总表!$E$3:$E$1025,0))="","",INDEX(学年度总表!$L$3:$L$1025,MATCH($E148,学年度总表!$E$3:$E$1025,0)))</f>
        <v>54.16</v>
      </c>
      <c r="M148" s="3">
        <f>IF(INDEX(学年度总表!$M$3:$M$1025,MATCH($E148,学年度总表!$E$3:$E$1025,0))="","",INDEX(学年度总表!$M$3:$M$1025,MATCH($E148,学年度总表!$E$3:$E$1025,0)))</f>
        <v>3</v>
      </c>
      <c r="N148" s="3">
        <f>IF(INDEX(学年度总表!$N$3:$N$1025,MATCH($E148,学年度总表!$E$3:$E$1025,0))="","",INDEX(学年度总表!$N$3:$N$1025,MATCH($E148,学年度总表!$E$3:$E$1025,0)))</f>
        <v>66.959999999999994</v>
      </c>
      <c r="O148" s="3">
        <f>IF(INDEX(学年度总表!$O$3:$O$1025,MATCH($E148,学年度总表!$E$3:$E$1025,0))="","",INDEX(学年度总表!$O$3:$O$1025,MATCH($E148,学年度总表!$E$3:$E$1025,0)))</f>
        <v>142.25</v>
      </c>
      <c r="P148" s="2" t="str">
        <f>IF(INDEX(学年度总表!$P$3:$P$1025,MATCH($E148,学年度总表!$E$3:$E$1025,0))="","",INDEX(学年度总表!$P$3:$P$1025,MATCH($E148,学年度总表!$E$3:$E$1025,0)))</f>
        <v/>
      </c>
      <c r="Q148" s="5" t="str">
        <f>IF(INDEX(学年度总表!$Q$3:$Q$1025,MATCH($E148,学年度总表!$E$3:$E$1025,0))="","",INDEX(学年度总表!$Q$3:$Q$1025,MATCH($E148,学年度总表!$E$3:$E$1025,0)))</f>
        <v/>
      </c>
    </row>
    <row r="149" spans="1:17">
      <c r="A149" s="2">
        <f>IF(INDEX(学年度总表!$A$3:$A$1025,MATCH($E149,学年度总表!$E$3:$E$1025,0))="","",INDEX(学年度总表!$A$3:$A$1025,MATCH($E149,学年度总表!$E$3:$E$1025,0)))</f>
        <v>435</v>
      </c>
      <c r="B149" s="2">
        <f>IF(INDEX(学年度总表!$B$3:$B$1025,MATCH($E149,学年度总表!$E$3:$E$1025,0))="","",INDEX(学年度总表!$B$3:$B$1025,MATCH($E149,学年度总表!$E$3:$E$1025,0)))</f>
        <v>147</v>
      </c>
      <c r="C149" s="2" t="str">
        <f>IF(INDEX(学年度总表!$C$3:$C$1025,MATCH($E149,学年度总表!$E$3:$E$1025,0))="","",INDEX(学年度总表!$C$3:$C$1025,MATCH($E149,学年度总表!$E$3:$E$1025,0)))</f>
        <v>软工</v>
      </c>
      <c r="D149" s="2" t="str">
        <f>IF(INDEX(学年度总表!$D$3:$D$1025,MATCH($E149,学年度总表!$E$3:$E$1025,0))="","",INDEX(学年度总表!$D$3:$D$1025,MATCH($E149,学年度总表!$E$3:$E$1025,0)))</f>
        <v>软工6班</v>
      </c>
      <c r="E149" s="2" t="s">
        <v>932</v>
      </c>
      <c r="F149" s="2" t="str">
        <f>IF(INDEX(学年度总表!$F$3:$F$1025,MATCH($E149,学年度总表!$E$3:$E$1025,0))="","",INDEX(学年度总表!$F$3:$F$1025,MATCH($E149,学年度总表!$E$3:$E$1025,0)))</f>
        <v>王明慧</v>
      </c>
      <c r="G149" s="3">
        <f>IF(INDEX(学年度总表!$G$3:$G$1025,MATCH($E149,学年度总表!$E$3:$E$1025,0))="","",INDEX(学年度总表!$G$3:$G$1025,MATCH($E149,学年度总表!$E$3:$E$1025,0)))</f>
        <v>9.8000000000000007</v>
      </c>
      <c r="H149" s="3">
        <f>IF(INDEX(学年度总表!$H$3:$H$1025,MATCH($E149,学年度总表!$E$3:$E$1025,0))="","",INDEX(学年度总表!$H$3:$H$1025,MATCH($E149,学年度总表!$E$3:$E$1025,0)))</f>
        <v>57.033333333333303</v>
      </c>
      <c r="I149" s="3">
        <f>IF(INDEX(学年度总表!$I$3:$I$1025,MATCH($E149,学年度总表!$E$3:$E$1025,0))="","",INDEX(学年度总表!$I$3:$I$1025,MATCH($E149,学年度总表!$E$3:$E$1025,0)))</f>
        <v>3</v>
      </c>
      <c r="J149" s="3">
        <f>IF(INDEX(学年度总表!$J$3:$J$1025,MATCH($E149,学年度总表!$E$3:$E$1025,0))="","",INDEX(学年度总表!$J$3:$J$1025,MATCH($E149,学年度总表!$E$3:$E$1025,0)))</f>
        <v>69.83</v>
      </c>
      <c r="K149" s="3">
        <f>IF(INDEX(学年度总表!$K$3:$K$1025,MATCH($E149,学年度总表!$E$3:$E$1025,0))="","",INDEX(学年度总表!$K$3:$K$1025,MATCH($E149,学年度总表!$E$3:$E$1025,0)))</f>
        <v>9.8000000000000007</v>
      </c>
      <c r="L149" s="3">
        <f>IF(INDEX(学年度总表!$L$3:$L$1025,MATCH($E149,学年度总表!$E$3:$E$1025,0))="","",INDEX(学年度总表!$L$3:$L$1025,MATCH($E149,学年度总表!$E$3:$E$1025,0)))</f>
        <v>57.67</v>
      </c>
      <c r="M149" s="3">
        <f>IF(INDEX(学年度总表!$M$3:$M$1025,MATCH($E149,学年度总表!$E$3:$E$1025,0))="","",INDEX(学年度总表!$M$3:$M$1025,MATCH($E149,学年度总表!$E$3:$E$1025,0)))</f>
        <v>4.8000000000000007</v>
      </c>
      <c r="N149" s="3">
        <f>IF(INDEX(学年度总表!$N$3:$N$1025,MATCH($E149,学年度总表!$E$3:$E$1025,0))="","",INDEX(学年度总表!$N$3:$N$1025,MATCH($E149,学年度总表!$E$3:$E$1025,0)))</f>
        <v>72.27</v>
      </c>
      <c r="O149" s="3">
        <f>IF(INDEX(学年度总表!$O$3:$O$1025,MATCH($E149,学年度总表!$E$3:$E$1025,0))="","",INDEX(学年度总表!$O$3:$O$1025,MATCH($E149,学年度总表!$E$3:$E$1025,0)))</f>
        <v>142.1</v>
      </c>
      <c r="P149" s="2" t="str">
        <f>IF(INDEX(学年度总表!$P$3:$P$1025,MATCH($E149,学年度总表!$E$3:$E$1025,0))="","",INDEX(学年度总表!$P$3:$P$1025,MATCH($E149,学年度总表!$E$3:$E$1025,0)))</f>
        <v/>
      </c>
      <c r="Q149" s="5" t="str">
        <f>IF(INDEX(学年度总表!$Q$3:$Q$1025,MATCH($E149,学年度总表!$E$3:$E$1025,0))="","",INDEX(学年度总表!$Q$3:$Q$1025,MATCH($E149,学年度总表!$E$3:$E$1025,0)))</f>
        <v/>
      </c>
    </row>
    <row r="150" spans="1:17">
      <c r="A150" s="2">
        <f>IF(INDEX(学年度总表!$A$3:$A$1025,MATCH($E150,学年度总表!$E$3:$E$1025,0))="","",INDEX(学年度总表!$A$3:$A$1025,MATCH($E150,学年度总表!$E$3:$E$1025,0)))</f>
        <v>438</v>
      </c>
      <c r="B150" s="2">
        <f>IF(INDEX(学年度总表!$B$3:$B$1025,MATCH($E150,学年度总表!$E$3:$E$1025,0))="","",INDEX(学年度总表!$B$3:$B$1025,MATCH($E150,学年度总表!$E$3:$E$1025,0)))</f>
        <v>148</v>
      </c>
      <c r="C150" s="2" t="str">
        <f>IF(INDEX(学年度总表!$C$3:$C$1025,MATCH($E150,学年度总表!$E$3:$E$1025,0))="","",INDEX(学年度总表!$C$3:$C$1025,MATCH($E150,学年度总表!$E$3:$E$1025,0)))</f>
        <v>软工</v>
      </c>
      <c r="D150" s="2" t="str">
        <f>IF(INDEX(学年度总表!$D$3:$D$1025,MATCH($E150,学年度总表!$E$3:$E$1025,0))="","",INDEX(学年度总表!$D$3:$D$1025,MATCH($E150,学年度总表!$E$3:$E$1025,0)))</f>
        <v>软工14班</v>
      </c>
      <c r="E150" s="2" t="s">
        <v>938</v>
      </c>
      <c r="F150" s="2" t="str">
        <f>IF(INDEX(学年度总表!$F$3:$F$1025,MATCH($E150,学年度总表!$E$3:$E$1025,0))="","",INDEX(学年度总表!$F$3:$F$1025,MATCH($E150,学年度总表!$E$3:$E$1025,0)))</f>
        <v>宁浩然</v>
      </c>
      <c r="G150" s="3">
        <f>IF(INDEX(学年度总表!$G$3:$G$1025,MATCH($E150,学年度总表!$E$3:$E$1025,0))="","",INDEX(学年度总表!$G$3:$G$1025,MATCH($E150,学年度总表!$E$3:$E$1025,0)))</f>
        <v>10</v>
      </c>
      <c r="H150" s="3">
        <f>IF(INDEX(学年度总表!$H$3:$H$1025,MATCH($E150,学年度总表!$E$3:$E$1025,0))="","",INDEX(学年度总表!$H$3:$H$1025,MATCH($E150,学年度总表!$E$3:$E$1025,0)))</f>
        <v>53.69</v>
      </c>
      <c r="I150" s="3">
        <f>IF(INDEX(学年度总表!$I$3:$I$1025,MATCH($E150,学年度总表!$E$3:$E$1025,0))="","",INDEX(学年度总表!$I$3:$I$1025,MATCH($E150,学年度总表!$E$3:$E$1025,0)))</f>
        <v>5</v>
      </c>
      <c r="J150" s="3">
        <f>IF(INDEX(学年度总表!$J$3:$J$1025,MATCH($E150,学年度总表!$E$3:$E$1025,0))="","",INDEX(学年度总表!$J$3:$J$1025,MATCH($E150,学年度总表!$E$3:$E$1025,0)))</f>
        <v>68.69</v>
      </c>
      <c r="K150" s="3">
        <f>IF(INDEX(学年度总表!$K$3:$K$1025,MATCH($E150,学年度总表!$E$3:$E$1025,0))="","",INDEX(学年度总表!$K$3:$K$1025,MATCH($E150,学年度总表!$E$3:$E$1025,0)))</f>
        <v>10</v>
      </c>
      <c r="L150" s="3">
        <f>IF(INDEX(学年度总表!$L$3:$L$1025,MATCH($E150,学年度总表!$E$3:$E$1025,0))="","",INDEX(学年度总表!$L$3:$L$1025,MATCH($E150,学年度总表!$E$3:$E$1025,0)))</f>
        <v>56.56</v>
      </c>
      <c r="M150" s="3">
        <f>IF(INDEX(学年度总表!$M$3:$M$1025,MATCH($E150,学年度总表!$E$3:$E$1025,0))="","",INDEX(学年度总表!$M$3:$M$1025,MATCH($E150,学年度总表!$E$3:$E$1025,0)))</f>
        <v>6.75</v>
      </c>
      <c r="N150" s="3">
        <f>IF(INDEX(学年度总表!$N$3:$N$1025,MATCH($E150,学年度总表!$E$3:$E$1025,0))="","",INDEX(学年度总表!$N$3:$N$1025,MATCH($E150,学年度总表!$E$3:$E$1025,0)))</f>
        <v>73.31</v>
      </c>
      <c r="O150" s="3">
        <f>IF(INDEX(学年度总表!$O$3:$O$1025,MATCH($E150,学年度总表!$E$3:$E$1025,0))="","",INDEX(学年度总表!$O$3:$O$1025,MATCH($E150,学年度总表!$E$3:$E$1025,0)))</f>
        <v>142</v>
      </c>
      <c r="P150" s="2" t="str">
        <f>IF(INDEX(学年度总表!$P$3:$P$1025,MATCH($E150,学年度总表!$E$3:$E$1025,0))="","",INDEX(学年度总表!$P$3:$P$1025,MATCH($E150,学年度总表!$E$3:$E$1025,0)))</f>
        <v/>
      </c>
      <c r="Q150" s="5" t="str">
        <f>IF(INDEX(学年度总表!$Q$3:$Q$1025,MATCH($E150,学年度总表!$E$3:$E$1025,0))="","",INDEX(学年度总表!$Q$3:$Q$1025,MATCH($E150,学年度总表!$E$3:$E$1025,0)))</f>
        <v/>
      </c>
    </row>
    <row r="151" spans="1:17">
      <c r="A151" s="2">
        <f>IF(INDEX(学年度总表!$A$3:$A$1025,MATCH($E151,学年度总表!$E$3:$E$1025,0))="","",INDEX(学年度总表!$A$3:$A$1025,MATCH($E151,学年度总表!$E$3:$E$1025,0)))</f>
        <v>439</v>
      </c>
      <c r="B151" s="2">
        <f>IF(INDEX(学年度总表!$B$3:$B$1025,MATCH($E151,学年度总表!$E$3:$E$1025,0))="","",INDEX(学年度总表!$B$3:$B$1025,MATCH($E151,学年度总表!$E$3:$E$1025,0)))</f>
        <v>149</v>
      </c>
      <c r="C151" s="2" t="str">
        <f>IF(INDEX(学年度总表!$C$3:$C$1025,MATCH($E151,学年度总表!$E$3:$E$1025,0))="","",INDEX(学年度总表!$C$3:$C$1025,MATCH($E151,学年度总表!$E$3:$E$1025,0)))</f>
        <v>软工</v>
      </c>
      <c r="D151" s="2" t="str">
        <f>IF(INDEX(学年度总表!$D$3:$D$1025,MATCH($E151,学年度总表!$E$3:$E$1025,0))="","",INDEX(学年度总表!$D$3:$D$1025,MATCH($E151,学年度总表!$E$3:$E$1025,0)))</f>
        <v>软工7班</v>
      </c>
      <c r="E151" s="2" t="s">
        <v>940</v>
      </c>
      <c r="F151" s="2" t="str">
        <f>IF(INDEX(学年度总表!$F$3:$F$1025,MATCH($E151,学年度总表!$E$3:$E$1025,0))="","",INDEX(学年度总表!$F$3:$F$1025,MATCH($E151,学年度总表!$E$3:$E$1025,0)))</f>
        <v>李佳昀</v>
      </c>
      <c r="G151" s="3">
        <f>IF(INDEX(学年度总表!$G$3:$G$1025,MATCH($E151,学年度总表!$E$3:$E$1025,0))="","",INDEX(学年度总表!$G$3:$G$1025,MATCH($E151,学年度总表!$E$3:$E$1025,0)))</f>
        <v>9.8000000000000007</v>
      </c>
      <c r="H151" s="3">
        <f>IF(INDEX(学年度总表!$H$3:$H$1025,MATCH($E151,学年度总表!$E$3:$E$1025,0))="","",INDEX(学年度总表!$H$3:$H$1025,MATCH($E151,学年度总表!$E$3:$E$1025,0)))</f>
        <v>60.48</v>
      </c>
      <c r="I151" s="3">
        <f>IF(INDEX(学年度总表!$I$3:$I$1025,MATCH($E151,学年度总表!$E$3:$E$1025,0))="","",INDEX(学年度总表!$I$3:$I$1025,MATCH($E151,学年度总表!$E$3:$E$1025,0)))</f>
        <v>4</v>
      </c>
      <c r="J151" s="3">
        <f>IF(INDEX(学年度总表!$J$3:$J$1025,MATCH($E151,学年度总表!$E$3:$E$1025,0))="","",INDEX(学年度总表!$J$3:$J$1025,MATCH($E151,学年度总表!$E$3:$E$1025,0)))</f>
        <v>74.28</v>
      </c>
      <c r="K151" s="3">
        <f>IF(INDEX(学年度总表!$K$3:$K$1025,MATCH($E151,学年度总表!$E$3:$E$1025,0))="","",INDEX(学年度总表!$K$3:$K$1025,MATCH($E151,学年度总表!$E$3:$E$1025,0)))</f>
        <v>7.3000000000000007</v>
      </c>
      <c r="L151" s="3">
        <f>IF(INDEX(学年度总表!$L$3:$L$1025,MATCH($E151,学年度总表!$E$3:$E$1025,0))="","",INDEX(学年度总表!$L$3:$L$1025,MATCH($E151,学年度总表!$E$3:$E$1025,0)))</f>
        <v>56.1</v>
      </c>
      <c r="M151" s="3">
        <f>IF(INDEX(学年度总表!$M$3:$M$1025,MATCH($E151,学年度总表!$E$3:$E$1025,0))="","",INDEX(学年度总表!$M$3:$M$1025,MATCH($E151,学年度总表!$E$3:$E$1025,0)))</f>
        <v>4.3</v>
      </c>
      <c r="N151" s="3">
        <f>IF(INDEX(学年度总表!$N$3:$N$1025,MATCH($E151,学年度总表!$E$3:$E$1025,0))="","",INDEX(学年度总表!$N$3:$N$1025,MATCH($E151,学年度总表!$E$3:$E$1025,0)))</f>
        <v>67.7</v>
      </c>
      <c r="O151" s="3">
        <f>IF(INDEX(学年度总表!$O$3:$O$1025,MATCH($E151,学年度总表!$E$3:$E$1025,0))="","",INDEX(学年度总表!$O$3:$O$1025,MATCH($E151,学年度总表!$E$3:$E$1025,0)))</f>
        <v>141.97999999999999</v>
      </c>
      <c r="P151" s="2" t="str">
        <f>IF(INDEX(学年度总表!$P$3:$P$1025,MATCH($E151,学年度总表!$E$3:$E$1025,0))="","",INDEX(学年度总表!$P$3:$P$1025,MATCH($E151,学年度总表!$E$3:$E$1025,0)))</f>
        <v/>
      </c>
      <c r="Q151" s="5" t="str">
        <f>IF(INDEX(学年度总表!$Q$3:$Q$1025,MATCH($E151,学年度总表!$E$3:$E$1025,0))="","",INDEX(学年度总表!$Q$3:$Q$1025,MATCH($E151,学年度总表!$E$3:$E$1025,0)))</f>
        <v/>
      </c>
    </row>
    <row r="152" spans="1:17">
      <c r="A152" s="2">
        <f>IF(INDEX(学年度总表!$A$3:$A$1025,MATCH($E152,学年度总表!$E$3:$E$1025,0))="","",INDEX(学年度总表!$A$3:$A$1025,MATCH($E152,学年度总表!$E$3:$E$1025,0)))</f>
        <v>442</v>
      </c>
      <c r="B152" s="2">
        <f>IF(INDEX(学年度总表!$B$3:$B$1025,MATCH($E152,学年度总表!$E$3:$E$1025,0))="","",INDEX(学年度总表!$B$3:$B$1025,MATCH($E152,学年度总表!$E$3:$E$1025,0)))</f>
        <v>150</v>
      </c>
      <c r="C152" s="2" t="str">
        <f>IF(INDEX(学年度总表!$C$3:$C$1025,MATCH($E152,学年度总表!$E$3:$E$1025,0))="","",INDEX(学年度总表!$C$3:$C$1025,MATCH($E152,学年度总表!$E$3:$E$1025,0)))</f>
        <v>软工</v>
      </c>
      <c r="D152" s="2" t="str">
        <f>IF(INDEX(学年度总表!$D$3:$D$1025,MATCH($E152,学年度总表!$E$3:$E$1025,0))="","",INDEX(学年度总表!$D$3:$D$1025,MATCH($E152,学年度总表!$E$3:$E$1025,0)))</f>
        <v>软工8班</v>
      </c>
      <c r="E152" s="2" t="s">
        <v>946</v>
      </c>
      <c r="F152" s="2" t="str">
        <f>IF(INDEX(学年度总表!$F$3:$F$1025,MATCH($E152,学年度总表!$E$3:$E$1025,0))="","",INDEX(学年度总表!$F$3:$F$1025,MATCH($E152,学年度总表!$E$3:$E$1025,0)))</f>
        <v>刘俊麟</v>
      </c>
      <c r="G152" s="3">
        <f>IF(INDEX(学年度总表!$G$3:$G$1025,MATCH($E152,学年度总表!$E$3:$E$1025,0))="","",INDEX(学年度总表!$G$3:$G$1025,MATCH($E152,学年度总表!$E$3:$E$1025,0)))</f>
        <v>9</v>
      </c>
      <c r="H152" s="3">
        <f>IF(INDEX(学年度总表!$H$3:$H$1025,MATCH($E152,学年度总表!$E$3:$E$1025,0))="","",INDEX(学年度总表!$H$3:$H$1025,MATCH($E152,学年度总表!$E$3:$E$1025,0)))</f>
        <v>62.659574468085097</v>
      </c>
      <c r="I152" s="3">
        <f>IF(INDEX(学年度总表!$I$3:$I$1025,MATCH($E152,学年度总表!$E$3:$E$1025,0))="","",INDEX(学年度总表!$I$3:$I$1025,MATCH($E152,学年度总表!$E$3:$E$1025,0)))</f>
        <v>3</v>
      </c>
      <c r="J152" s="3">
        <f>IF(INDEX(学年度总表!$J$3:$J$1025,MATCH($E152,学年度总表!$E$3:$E$1025,0))="","",INDEX(学年度总表!$J$3:$J$1025,MATCH($E152,学年度总表!$E$3:$E$1025,0)))</f>
        <v>74.66</v>
      </c>
      <c r="K152" s="3">
        <f>IF(INDEX(学年度总表!$K$3:$K$1025,MATCH($E152,学年度总表!$E$3:$E$1025,0))="","",INDEX(学年度总表!$K$3:$K$1025,MATCH($E152,学年度总表!$E$3:$E$1025,0)))</f>
        <v>7.5</v>
      </c>
      <c r="L152" s="3">
        <f>IF(INDEX(学年度总表!$L$3:$L$1025,MATCH($E152,学年度总表!$E$3:$E$1025,0))="","",INDEX(学年度总表!$L$3:$L$1025,MATCH($E152,学年度总表!$E$3:$E$1025,0)))</f>
        <v>56.23</v>
      </c>
      <c r="M152" s="3">
        <f>IF(INDEX(学年度总表!$M$3:$M$1025,MATCH($E152,学年度总表!$E$3:$E$1025,0))="","",INDEX(学年度总表!$M$3:$M$1025,MATCH($E152,学年度总表!$E$3:$E$1025,0)))</f>
        <v>3.5</v>
      </c>
      <c r="N152" s="3">
        <f>IF(INDEX(学年度总表!$N$3:$N$1025,MATCH($E152,学年度总表!$E$3:$E$1025,0))="","",INDEX(学年度总表!$N$3:$N$1025,MATCH($E152,学年度总表!$E$3:$E$1025,0)))</f>
        <v>67.23</v>
      </c>
      <c r="O152" s="3">
        <f>IF(INDEX(学年度总表!$O$3:$O$1025,MATCH($E152,学年度总表!$E$3:$E$1025,0))="","",INDEX(学年度总表!$O$3:$O$1025,MATCH($E152,学年度总表!$E$3:$E$1025,0)))</f>
        <v>141.88999999999999</v>
      </c>
      <c r="P152" s="2" t="str">
        <f>IF(INDEX(学年度总表!$P$3:$P$1025,MATCH($E152,学年度总表!$E$3:$E$1025,0))="","",INDEX(学年度总表!$P$3:$P$1025,MATCH($E152,学年度总表!$E$3:$E$1025,0)))</f>
        <v/>
      </c>
      <c r="Q152" s="5" t="str">
        <f>IF(INDEX(学年度总表!$Q$3:$Q$1025,MATCH($E152,学年度总表!$E$3:$E$1025,0))="","",INDEX(学年度总表!$Q$3:$Q$1025,MATCH($E152,学年度总表!$E$3:$E$1025,0)))</f>
        <v/>
      </c>
    </row>
    <row r="153" spans="1:17">
      <c r="A153" s="2">
        <f>IF(INDEX(学年度总表!$A$3:$A$1025,MATCH($E153,学年度总表!$E$3:$E$1025,0))="","",INDEX(学年度总表!$A$3:$A$1025,MATCH($E153,学年度总表!$E$3:$E$1025,0)))</f>
        <v>444</v>
      </c>
      <c r="B153" s="2">
        <f>IF(INDEX(学年度总表!$B$3:$B$1025,MATCH($E153,学年度总表!$E$3:$E$1025,0))="","",INDEX(学年度总表!$B$3:$B$1025,MATCH($E153,学年度总表!$E$3:$E$1025,0)))</f>
        <v>151</v>
      </c>
      <c r="C153" s="2" t="str">
        <f>IF(INDEX(学年度总表!$C$3:$C$1025,MATCH($E153,学年度总表!$E$3:$E$1025,0))="","",INDEX(学年度总表!$C$3:$C$1025,MATCH($E153,学年度总表!$E$3:$E$1025,0)))</f>
        <v>软工</v>
      </c>
      <c r="D153" s="2" t="str">
        <f>IF(INDEX(学年度总表!$D$3:$D$1025,MATCH($E153,学年度总表!$E$3:$E$1025,0))="","",INDEX(学年度总表!$D$3:$D$1025,MATCH($E153,学年度总表!$E$3:$E$1025,0)))</f>
        <v>软工10班</v>
      </c>
      <c r="E153" s="2" t="s">
        <v>950</v>
      </c>
      <c r="F153" s="2" t="str">
        <f>IF(INDEX(学年度总表!$F$3:$F$1025,MATCH($E153,学年度总表!$E$3:$E$1025,0))="","",INDEX(学年度总表!$F$3:$F$1025,MATCH($E153,学年度总表!$E$3:$E$1025,0)))</f>
        <v>庄金杉</v>
      </c>
      <c r="G153" s="3">
        <f>IF(INDEX(学年度总表!$G$3:$G$1025,MATCH($E153,学年度总表!$E$3:$E$1025,0))="","",INDEX(学年度总表!$G$3:$G$1025,MATCH($E153,学年度总表!$E$3:$E$1025,0)))</f>
        <v>9.8000000000000007</v>
      </c>
      <c r="H153" s="3">
        <f>IF(INDEX(学年度总表!$H$3:$H$1025,MATCH($E153,学年度总表!$E$3:$E$1025,0))="","",INDEX(学年度总表!$H$3:$H$1025,MATCH($E153,学年度总表!$E$3:$E$1025,0)))</f>
        <v>59.95</v>
      </c>
      <c r="I153" s="3">
        <f>IF(INDEX(学年度总表!$I$3:$I$1025,MATCH($E153,学年度总表!$E$3:$E$1025,0))="","",INDEX(学年度总表!$I$3:$I$1025,MATCH($E153,学年度总表!$E$3:$E$1025,0)))</f>
        <v>3</v>
      </c>
      <c r="J153" s="3">
        <f>IF(INDEX(学年度总表!$J$3:$J$1025,MATCH($E153,学年度总表!$E$3:$E$1025,0))="","",INDEX(学年度总表!$J$3:$J$1025,MATCH($E153,学年度总表!$E$3:$E$1025,0)))</f>
        <v>72.75</v>
      </c>
      <c r="K153" s="3">
        <f>IF(INDEX(学年度总表!$K$3:$K$1025,MATCH($E153,学年度总表!$E$3:$E$1025,0))="","",INDEX(学年度总表!$K$3:$K$1025,MATCH($E153,学年度总表!$E$3:$E$1025,0)))</f>
        <v>9.8000000000000007</v>
      </c>
      <c r="L153" s="3">
        <f>IF(INDEX(学年度总表!$L$3:$L$1025,MATCH($E153,学年度总表!$E$3:$E$1025,0))="","",INDEX(学年度总表!$L$3:$L$1025,MATCH($E153,学年度总表!$E$3:$E$1025,0)))</f>
        <v>56.29</v>
      </c>
      <c r="M153" s="3">
        <f>IF(INDEX(学年度总表!$M$3:$M$1025,MATCH($E153,学年度总表!$E$3:$E$1025,0))="","",INDEX(学年度总表!$M$3:$M$1025,MATCH($E153,学年度总表!$E$3:$E$1025,0)))</f>
        <v>3</v>
      </c>
      <c r="N153" s="3">
        <f>IF(INDEX(学年度总表!$N$3:$N$1025,MATCH($E153,学年度总表!$E$3:$E$1025,0))="","",INDEX(学年度总表!$N$3:$N$1025,MATCH($E153,学年度总表!$E$3:$E$1025,0)))</f>
        <v>69.09</v>
      </c>
      <c r="O153" s="3">
        <f>IF(INDEX(学年度总表!$O$3:$O$1025,MATCH($E153,学年度总表!$E$3:$E$1025,0))="","",INDEX(学年度总表!$O$3:$O$1025,MATCH($E153,学年度总表!$E$3:$E$1025,0)))</f>
        <v>141.84</v>
      </c>
      <c r="P153" s="2" t="str">
        <f>IF(INDEX(学年度总表!$P$3:$P$1025,MATCH($E153,学年度总表!$E$3:$E$1025,0))="","",INDEX(学年度总表!$P$3:$P$1025,MATCH($E153,学年度总表!$E$3:$E$1025,0)))</f>
        <v/>
      </c>
      <c r="Q153" s="5" t="str">
        <f>IF(INDEX(学年度总表!$Q$3:$Q$1025,MATCH($E153,学年度总表!$E$3:$E$1025,0))="","",INDEX(学年度总表!$Q$3:$Q$1025,MATCH($E153,学年度总表!$E$3:$E$1025,0)))</f>
        <v/>
      </c>
    </row>
    <row r="154" spans="1:17">
      <c r="A154" s="2">
        <f>IF(INDEX(学年度总表!$A$3:$A$1025,MATCH($E154,学年度总表!$E$3:$E$1025,0))="","",INDEX(学年度总表!$A$3:$A$1025,MATCH($E154,学年度总表!$E$3:$E$1025,0)))</f>
        <v>445</v>
      </c>
      <c r="B154" s="2">
        <f>IF(INDEX(学年度总表!$B$3:$B$1025,MATCH($E154,学年度总表!$E$3:$E$1025,0))="","",INDEX(学年度总表!$B$3:$B$1025,MATCH($E154,学年度总表!$E$3:$E$1025,0)))</f>
        <v>152</v>
      </c>
      <c r="C154" s="2" t="str">
        <f>IF(INDEX(学年度总表!$C$3:$C$1025,MATCH($E154,学年度总表!$E$3:$E$1025,0))="","",INDEX(学年度总表!$C$3:$C$1025,MATCH($E154,学年度总表!$E$3:$E$1025,0)))</f>
        <v>软工</v>
      </c>
      <c r="D154" s="2" t="str">
        <f>IF(INDEX(学年度总表!$D$3:$D$1025,MATCH($E154,学年度总表!$E$3:$E$1025,0))="","",INDEX(学年度总表!$D$3:$D$1025,MATCH($E154,学年度总表!$E$3:$E$1025,0)))</f>
        <v>软工5班</v>
      </c>
      <c r="E154" s="2" t="s">
        <v>952</v>
      </c>
      <c r="F154" s="2" t="str">
        <f>IF(INDEX(学年度总表!$F$3:$F$1025,MATCH($E154,学年度总表!$E$3:$E$1025,0))="","",INDEX(学年度总表!$F$3:$F$1025,MATCH($E154,学年度总表!$E$3:$E$1025,0)))</f>
        <v>王信雯</v>
      </c>
      <c r="G154" s="3">
        <f>IF(INDEX(学年度总表!$G$3:$G$1025,MATCH($E154,学年度总表!$E$3:$E$1025,0))="","",INDEX(学年度总表!$G$3:$G$1025,MATCH($E154,学年度总表!$E$3:$E$1025,0)))</f>
        <v>9.8000000000000007</v>
      </c>
      <c r="H154" s="3">
        <f>IF(INDEX(学年度总表!$H$3:$H$1025,MATCH($E154,学年度总表!$E$3:$E$1025,0))="","",INDEX(学年度总表!$H$3:$H$1025,MATCH($E154,学年度总表!$E$3:$E$1025,0)))</f>
        <v>58.71</v>
      </c>
      <c r="I154" s="3">
        <f>IF(INDEX(学年度总表!$I$3:$I$1025,MATCH($E154,学年度总表!$E$3:$E$1025,0))="","",INDEX(学年度总表!$I$3:$I$1025,MATCH($E154,学年度总表!$E$3:$E$1025,0)))</f>
        <v>4.5</v>
      </c>
      <c r="J154" s="3">
        <f>IF(INDEX(学年度总表!$J$3:$J$1025,MATCH($E154,学年度总表!$E$3:$E$1025,0))="","",INDEX(学年度总表!$J$3:$J$1025,MATCH($E154,学年度总表!$E$3:$E$1025,0)))</f>
        <v>73.010000000000005</v>
      </c>
      <c r="K154" s="3">
        <f>IF(INDEX(学年度总表!$K$3:$K$1025,MATCH($E154,学年度总表!$E$3:$E$1025,0))="","",INDEX(学年度总表!$K$3:$K$1025,MATCH($E154,学年度总表!$E$3:$E$1025,0)))</f>
        <v>9.8000000000000007</v>
      </c>
      <c r="L154" s="3">
        <f>IF(INDEX(学年度总表!$L$3:$L$1025,MATCH($E154,学年度总表!$E$3:$E$1025,0))="","",INDEX(学年度总表!$L$3:$L$1025,MATCH($E154,学年度总表!$E$3:$E$1025,0)))</f>
        <v>55.51</v>
      </c>
      <c r="M154" s="3">
        <f>IF(INDEX(学年度总表!$M$3:$M$1025,MATCH($E154,学年度总表!$E$3:$E$1025,0))="","",INDEX(学年度总表!$M$3:$M$1025,MATCH($E154,学年度总表!$E$3:$E$1025,0)))</f>
        <v>3.5</v>
      </c>
      <c r="N154" s="3">
        <f>IF(INDEX(学年度总表!$N$3:$N$1025,MATCH($E154,学年度总表!$E$3:$E$1025,0))="","",INDEX(学年度总表!$N$3:$N$1025,MATCH($E154,学年度总表!$E$3:$E$1025,0)))</f>
        <v>68.81</v>
      </c>
      <c r="O154" s="3">
        <f>IF(INDEX(学年度总表!$O$3:$O$1025,MATCH($E154,学年度总表!$E$3:$E$1025,0))="","",INDEX(学年度总表!$O$3:$O$1025,MATCH($E154,学年度总表!$E$3:$E$1025,0)))</f>
        <v>141.82</v>
      </c>
      <c r="P154" s="2" t="str">
        <f>IF(INDEX(学年度总表!$P$3:$P$1025,MATCH($E154,学年度总表!$E$3:$E$1025,0))="","",INDEX(学年度总表!$P$3:$P$1025,MATCH($E154,学年度总表!$E$3:$E$1025,0)))</f>
        <v/>
      </c>
      <c r="Q154" s="5" t="str">
        <f>IF(INDEX(学年度总表!$Q$3:$Q$1025,MATCH($E154,学年度总表!$E$3:$E$1025,0))="","",INDEX(学年度总表!$Q$3:$Q$1025,MATCH($E154,学年度总表!$E$3:$E$1025,0)))</f>
        <v/>
      </c>
    </row>
    <row r="155" spans="1:17">
      <c r="A155" s="2">
        <f>IF(INDEX(学年度总表!$A$3:$A$1025,MATCH($E155,学年度总表!$E$3:$E$1025,0))="","",INDEX(学年度总表!$A$3:$A$1025,MATCH($E155,学年度总表!$E$3:$E$1025,0)))</f>
        <v>446</v>
      </c>
      <c r="B155" s="2">
        <f>IF(INDEX(学年度总表!$B$3:$B$1025,MATCH($E155,学年度总表!$E$3:$E$1025,0))="","",INDEX(学年度总表!$B$3:$B$1025,MATCH($E155,学年度总表!$E$3:$E$1025,0)))</f>
        <v>153</v>
      </c>
      <c r="C155" s="2" t="str">
        <f>IF(INDEX(学年度总表!$C$3:$C$1025,MATCH($E155,学年度总表!$E$3:$E$1025,0))="","",INDEX(学年度总表!$C$3:$C$1025,MATCH($E155,学年度总表!$E$3:$E$1025,0)))</f>
        <v>软工</v>
      </c>
      <c r="D155" s="2" t="str">
        <f>IF(INDEX(学年度总表!$D$3:$D$1025,MATCH($E155,学年度总表!$E$3:$E$1025,0))="","",INDEX(学年度总表!$D$3:$D$1025,MATCH($E155,学年度总表!$E$3:$E$1025,0)))</f>
        <v>软工10班</v>
      </c>
      <c r="E155" s="2" t="s">
        <v>954</v>
      </c>
      <c r="F155" s="2" t="str">
        <f>IF(INDEX(学年度总表!$F$3:$F$1025,MATCH($E155,学年度总表!$E$3:$E$1025,0))="","",INDEX(学年度总表!$F$3:$F$1025,MATCH($E155,学年度总表!$E$3:$E$1025,0)))</f>
        <v>孙雪桐</v>
      </c>
      <c r="G155" s="3">
        <f>IF(INDEX(学年度总表!$G$3:$G$1025,MATCH($E155,学年度总表!$E$3:$E$1025,0))="","",INDEX(学年度总表!$G$3:$G$1025,MATCH($E155,学年度总表!$E$3:$E$1025,0)))</f>
        <v>9.8000000000000007</v>
      </c>
      <c r="H155" s="3">
        <f>IF(INDEX(学年度总表!$H$3:$H$1025,MATCH($E155,学年度总表!$E$3:$E$1025,0))="","",INDEX(学年度总表!$H$3:$H$1025,MATCH($E155,学年度总表!$E$3:$E$1025,0)))</f>
        <v>59.29</v>
      </c>
      <c r="I155" s="3">
        <f>IF(INDEX(学年度总表!$I$3:$I$1025,MATCH($E155,学年度总表!$E$3:$E$1025,0))="","",INDEX(学年度总表!$I$3:$I$1025,MATCH($E155,学年度总表!$E$3:$E$1025,0)))</f>
        <v>4.5</v>
      </c>
      <c r="J155" s="3">
        <f>IF(INDEX(学年度总表!$J$3:$J$1025,MATCH($E155,学年度总表!$E$3:$E$1025,0))="","",INDEX(学年度总表!$J$3:$J$1025,MATCH($E155,学年度总表!$E$3:$E$1025,0)))</f>
        <v>73.59</v>
      </c>
      <c r="K155" s="3">
        <f>IF(INDEX(学年度总表!$K$3:$K$1025,MATCH($E155,学年度总表!$E$3:$E$1025,0))="","",INDEX(学年度总表!$K$3:$K$1025,MATCH($E155,学年度总表!$E$3:$E$1025,0)))</f>
        <v>9.8000000000000007</v>
      </c>
      <c r="L155" s="3">
        <f>IF(INDEX(学年度总表!$L$3:$L$1025,MATCH($E155,学年度总表!$E$3:$E$1025,0))="","",INDEX(学年度总表!$L$3:$L$1025,MATCH($E155,学年度总表!$E$3:$E$1025,0)))</f>
        <v>53.89</v>
      </c>
      <c r="M155" s="3">
        <f>IF(INDEX(学年度总表!$M$3:$M$1025,MATCH($E155,学年度总表!$E$3:$E$1025,0))="","",INDEX(学年度总表!$M$3:$M$1025,MATCH($E155,学年度总表!$E$3:$E$1025,0)))</f>
        <v>4.5</v>
      </c>
      <c r="N155" s="3">
        <f>IF(INDEX(学年度总表!$N$3:$N$1025,MATCH($E155,学年度总表!$E$3:$E$1025,0))="","",INDEX(学年度总表!$N$3:$N$1025,MATCH($E155,学年度总表!$E$3:$E$1025,0)))</f>
        <v>68.19</v>
      </c>
      <c r="O155" s="3">
        <f>IF(INDEX(学年度总表!$O$3:$O$1025,MATCH($E155,学年度总表!$E$3:$E$1025,0))="","",INDEX(学年度总表!$O$3:$O$1025,MATCH($E155,学年度总表!$E$3:$E$1025,0)))</f>
        <v>141.78</v>
      </c>
      <c r="P155" s="2" t="str">
        <f>IF(INDEX(学年度总表!$P$3:$P$1025,MATCH($E155,学年度总表!$E$3:$E$1025,0))="","",INDEX(学年度总表!$P$3:$P$1025,MATCH($E155,学年度总表!$E$3:$E$1025,0)))</f>
        <v/>
      </c>
      <c r="Q155" s="5" t="str">
        <f>IF(INDEX(学年度总表!$Q$3:$Q$1025,MATCH($E155,学年度总表!$E$3:$E$1025,0))="","",INDEX(学年度总表!$Q$3:$Q$1025,MATCH($E155,学年度总表!$E$3:$E$1025,0)))</f>
        <v/>
      </c>
    </row>
    <row r="156" spans="1:17">
      <c r="A156" s="2">
        <f>IF(INDEX(学年度总表!$A$3:$A$1025,MATCH($E156,学年度总表!$E$3:$E$1025,0))="","",INDEX(学年度总表!$A$3:$A$1025,MATCH($E156,学年度总表!$E$3:$E$1025,0)))</f>
        <v>448</v>
      </c>
      <c r="B156" s="2">
        <f>IF(INDEX(学年度总表!$B$3:$B$1025,MATCH($E156,学年度总表!$E$3:$E$1025,0))="","",INDEX(学年度总表!$B$3:$B$1025,MATCH($E156,学年度总表!$E$3:$E$1025,0)))</f>
        <v>154</v>
      </c>
      <c r="C156" s="2" t="str">
        <f>IF(INDEX(学年度总表!$C$3:$C$1025,MATCH($E156,学年度总表!$E$3:$E$1025,0))="","",INDEX(学年度总表!$C$3:$C$1025,MATCH($E156,学年度总表!$E$3:$E$1025,0)))</f>
        <v>软工</v>
      </c>
      <c r="D156" s="2" t="str">
        <f>IF(INDEX(学年度总表!$D$3:$D$1025,MATCH($E156,学年度总表!$E$3:$E$1025,0))="","",INDEX(学年度总表!$D$3:$D$1025,MATCH($E156,学年度总表!$E$3:$E$1025,0)))</f>
        <v>软工14班</v>
      </c>
      <c r="E156" s="2" t="s">
        <v>958</v>
      </c>
      <c r="F156" s="2" t="str">
        <f>IF(INDEX(学年度总表!$F$3:$F$1025,MATCH($E156,学年度总表!$E$3:$E$1025,0))="","",INDEX(学年度总表!$F$3:$F$1025,MATCH($E156,学年度总表!$E$3:$E$1025,0)))</f>
        <v>于嘉淇</v>
      </c>
      <c r="G156" s="3">
        <f>IF(INDEX(学年度总表!$G$3:$G$1025,MATCH($E156,学年度总表!$E$3:$E$1025,0))="","",INDEX(学年度总表!$G$3:$G$1025,MATCH($E156,学年度总表!$E$3:$E$1025,0)))</f>
        <v>9.8000000000000007</v>
      </c>
      <c r="H156" s="3">
        <f>IF(INDEX(学年度总表!$H$3:$H$1025,MATCH($E156,学年度总表!$E$3:$E$1025,0))="","",INDEX(学年度总表!$H$3:$H$1025,MATCH($E156,学年度总表!$E$3:$E$1025,0)))</f>
        <v>54.37</v>
      </c>
      <c r="I156" s="3">
        <f>IF(INDEX(学年度总表!$I$3:$I$1025,MATCH($E156,学年度总表!$E$3:$E$1025,0))="","",INDEX(学年度总表!$I$3:$I$1025,MATCH($E156,学年度总表!$E$3:$E$1025,0)))</f>
        <v>4.2</v>
      </c>
      <c r="J156" s="3">
        <f>IF(INDEX(学年度总表!$J$3:$J$1025,MATCH($E156,学年度总表!$E$3:$E$1025,0))="","",INDEX(学年度总表!$J$3:$J$1025,MATCH($E156,学年度总表!$E$3:$E$1025,0)))</f>
        <v>68.37</v>
      </c>
      <c r="K156" s="3">
        <f>IF(INDEX(学年度总表!$K$3:$K$1025,MATCH($E156,学年度总表!$E$3:$E$1025,0))="","",INDEX(学年度总表!$K$3:$K$1025,MATCH($E156,学年度总表!$E$3:$E$1025,0)))</f>
        <v>9.8000000000000007</v>
      </c>
      <c r="L156" s="3">
        <f>IF(INDEX(学年度总表!$L$3:$L$1025,MATCH($E156,学年度总表!$E$3:$E$1025,0))="","",INDEX(学年度总表!$L$3:$L$1025,MATCH($E156,学年度总表!$E$3:$E$1025,0)))</f>
        <v>59.85</v>
      </c>
      <c r="M156" s="3">
        <f>IF(INDEX(学年度总表!$M$3:$M$1025,MATCH($E156,学年度总表!$E$3:$E$1025,0))="","",INDEX(学年度总表!$M$3:$M$1025,MATCH($E156,学年度总表!$E$3:$E$1025,0)))</f>
        <v>3.7</v>
      </c>
      <c r="N156" s="3">
        <f>IF(INDEX(学年度总表!$N$3:$N$1025,MATCH($E156,学年度总表!$E$3:$E$1025,0))="","",INDEX(学年度总表!$N$3:$N$1025,MATCH($E156,学年度总表!$E$3:$E$1025,0)))</f>
        <v>73.349999999999994</v>
      </c>
      <c r="O156" s="3">
        <f>IF(INDEX(学年度总表!$O$3:$O$1025,MATCH($E156,学年度总表!$E$3:$E$1025,0))="","",INDEX(学年度总表!$O$3:$O$1025,MATCH($E156,学年度总表!$E$3:$E$1025,0)))</f>
        <v>141.72</v>
      </c>
      <c r="P156" s="2" t="str">
        <f>IF(INDEX(学年度总表!$P$3:$P$1025,MATCH($E156,学年度总表!$E$3:$E$1025,0))="","",INDEX(学年度总表!$P$3:$P$1025,MATCH($E156,学年度总表!$E$3:$E$1025,0)))</f>
        <v/>
      </c>
      <c r="Q156" s="5" t="str">
        <f>IF(INDEX(学年度总表!$Q$3:$Q$1025,MATCH($E156,学年度总表!$E$3:$E$1025,0))="","",INDEX(学年度总表!$Q$3:$Q$1025,MATCH($E156,学年度总表!$E$3:$E$1025,0)))</f>
        <v/>
      </c>
    </row>
    <row r="157" spans="1:17">
      <c r="A157" s="2">
        <f>IF(INDEX(学年度总表!$A$3:$A$1025,MATCH($E157,学年度总表!$E$3:$E$1025,0))="","",INDEX(学年度总表!$A$3:$A$1025,MATCH($E157,学年度总表!$E$3:$E$1025,0)))</f>
        <v>453</v>
      </c>
      <c r="B157" s="2">
        <f>IF(INDEX(学年度总表!$B$3:$B$1025,MATCH($E157,学年度总表!$E$3:$E$1025,0))="","",INDEX(学年度总表!$B$3:$B$1025,MATCH($E157,学年度总表!$E$3:$E$1025,0)))</f>
        <v>155</v>
      </c>
      <c r="C157" s="2" t="str">
        <f>IF(INDEX(学年度总表!$C$3:$C$1025,MATCH($E157,学年度总表!$E$3:$E$1025,0))="","",INDEX(学年度总表!$C$3:$C$1025,MATCH($E157,学年度总表!$E$3:$E$1025,0)))</f>
        <v>软工</v>
      </c>
      <c r="D157" s="2" t="str">
        <f>IF(INDEX(学年度总表!$D$3:$D$1025,MATCH($E157,学年度总表!$E$3:$E$1025,0))="","",INDEX(学年度总表!$D$3:$D$1025,MATCH($E157,学年度总表!$E$3:$E$1025,0)))</f>
        <v>软工10班</v>
      </c>
      <c r="E157" s="2" t="s">
        <v>968</v>
      </c>
      <c r="F157" s="2" t="str">
        <f>IF(INDEX(学年度总表!$F$3:$F$1025,MATCH($E157,学年度总表!$E$3:$E$1025,0))="","",INDEX(学年度总表!$F$3:$F$1025,MATCH($E157,学年度总表!$E$3:$E$1025,0)))</f>
        <v>张雪婷</v>
      </c>
      <c r="G157" s="3">
        <f>IF(INDEX(学年度总表!$G$3:$G$1025,MATCH($E157,学年度总表!$E$3:$E$1025,0))="","",INDEX(学年度总表!$G$3:$G$1025,MATCH($E157,学年度总表!$E$3:$E$1025,0)))</f>
        <v>10.3</v>
      </c>
      <c r="H157" s="3">
        <f>IF(INDEX(学年度总表!$H$3:$H$1025,MATCH($E157,学年度总表!$E$3:$E$1025,0))="","",INDEX(学年度总表!$H$3:$H$1025,MATCH($E157,学年度总表!$E$3:$E$1025,0)))</f>
        <v>61.3</v>
      </c>
      <c r="I157" s="3">
        <f>IF(INDEX(学年度总表!$I$3:$I$1025,MATCH($E157,学年度总表!$E$3:$E$1025,0))="","",INDEX(学年度总表!$I$3:$I$1025,MATCH($E157,学年度总表!$E$3:$E$1025,0)))</f>
        <v>3</v>
      </c>
      <c r="J157" s="3">
        <f>IF(INDEX(学年度总表!$J$3:$J$1025,MATCH($E157,学年度总表!$E$3:$E$1025,0))="","",INDEX(学年度总表!$J$3:$J$1025,MATCH($E157,学年度总表!$E$3:$E$1025,0)))</f>
        <v>74.599999999999994</v>
      </c>
      <c r="K157" s="3">
        <f>IF(INDEX(学年度总表!$K$3:$K$1025,MATCH($E157,学年度总表!$E$3:$E$1025,0))="","",INDEX(学年度总表!$K$3:$K$1025,MATCH($E157,学年度总表!$E$3:$E$1025,0)))</f>
        <v>9.4</v>
      </c>
      <c r="L157" s="3">
        <f>IF(INDEX(学年度总表!$L$3:$L$1025,MATCH($E157,学年度总表!$E$3:$E$1025,0))="","",INDEX(学年度总表!$L$3:$L$1025,MATCH($E157,学年度总表!$E$3:$E$1025,0)))</f>
        <v>54.15</v>
      </c>
      <c r="M157" s="3">
        <f>IF(INDEX(学年度总表!$M$3:$M$1025,MATCH($E157,学年度总表!$E$3:$E$1025,0))="","",INDEX(学年度总表!$M$3:$M$1025,MATCH($E157,学年度总表!$E$3:$E$1025,0)))</f>
        <v>3.5</v>
      </c>
      <c r="N157" s="3">
        <f>IF(INDEX(学年度总表!$N$3:$N$1025,MATCH($E157,学年度总表!$E$3:$E$1025,0))="","",INDEX(学年度总表!$N$3:$N$1025,MATCH($E157,学年度总表!$E$3:$E$1025,0)))</f>
        <v>67.05</v>
      </c>
      <c r="O157" s="3">
        <f>IF(INDEX(学年度总表!$O$3:$O$1025,MATCH($E157,学年度总表!$E$3:$E$1025,0))="","",INDEX(学年度总表!$O$3:$O$1025,MATCH($E157,学年度总表!$E$3:$E$1025,0)))</f>
        <v>141.65</v>
      </c>
      <c r="P157" s="2" t="str">
        <f>IF(INDEX(学年度总表!$P$3:$P$1025,MATCH($E157,学年度总表!$E$3:$E$1025,0))="","",INDEX(学年度总表!$P$3:$P$1025,MATCH($E157,学年度总表!$E$3:$E$1025,0)))</f>
        <v/>
      </c>
      <c r="Q157" s="5" t="str">
        <f>IF(INDEX(学年度总表!$Q$3:$Q$1025,MATCH($E157,学年度总表!$E$3:$E$1025,0))="","",INDEX(学年度总表!$Q$3:$Q$1025,MATCH($E157,学年度总表!$E$3:$E$1025,0)))</f>
        <v/>
      </c>
    </row>
    <row r="158" spans="1:17">
      <c r="A158" s="2">
        <f>IF(INDEX(学年度总表!$A$3:$A$1025,MATCH($E158,学年度总表!$E$3:$E$1025,0))="","",INDEX(学年度总表!$A$3:$A$1025,MATCH($E158,学年度总表!$E$3:$E$1025,0)))</f>
        <v>454</v>
      </c>
      <c r="B158" s="2">
        <f>IF(INDEX(学年度总表!$B$3:$B$1025,MATCH($E158,学年度总表!$E$3:$E$1025,0))="","",INDEX(学年度总表!$B$3:$B$1025,MATCH($E158,学年度总表!$E$3:$E$1025,0)))</f>
        <v>156</v>
      </c>
      <c r="C158" s="2" t="str">
        <f>IF(INDEX(学年度总表!$C$3:$C$1025,MATCH($E158,学年度总表!$E$3:$E$1025,0))="","",INDEX(学年度总表!$C$3:$C$1025,MATCH($E158,学年度总表!$E$3:$E$1025,0)))</f>
        <v>软工</v>
      </c>
      <c r="D158" s="2" t="str">
        <f>IF(INDEX(学年度总表!$D$3:$D$1025,MATCH($E158,学年度总表!$E$3:$E$1025,0))="","",INDEX(学年度总表!$D$3:$D$1025,MATCH($E158,学年度总表!$E$3:$E$1025,0)))</f>
        <v>软工10班</v>
      </c>
      <c r="E158" s="2" t="s">
        <v>970</v>
      </c>
      <c r="F158" s="2" t="str">
        <f>IF(INDEX(学年度总表!$F$3:$F$1025,MATCH($E158,学年度总表!$E$3:$E$1025,0))="","",INDEX(学年度总表!$F$3:$F$1025,MATCH($E158,学年度总表!$E$3:$E$1025,0)))</f>
        <v>孙博岩</v>
      </c>
      <c r="G158" s="3">
        <f>IF(INDEX(学年度总表!$G$3:$G$1025,MATCH($E158,学年度总表!$E$3:$E$1025,0))="","",INDEX(学年度总表!$G$3:$G$1025,MATCH($E158,学年度总表!$E$3:$E$1025,0)))</f>
        <v>9.8000000000000007</v>
      </c>
      <c r="H158" s="3">
        <f>IF(INDEX(学年度总表!$H$3:$H$1025,MATCH($E158,学年度总表!$E$3:$E$1025,0))="","",INDEX(学年度总表!$H$3:$H$1025,MATCH($E158,学年度总表!$E$3:$E$1025,0)))</f>
        <v>58.13</v>
      </c>
      <c r="I158" s="3">
        <f>IF(INDEX(学年度总表!$I$3:$I$1025,MATCH($E158,学年度总表!$E$3:$E$1025,0))="","",INDEX(学年度总表!$I$3:$I$1025,MATCH($E158,学年度总表!$E$3:$E$1025,0)))</f>
        <v>3.6</v>
      </c>
      <c r="J158" s="3">
        <f>IF(INDEX(学年度总表!$J$3:$J$1025,MATCH($E158,学年度总表!$E$3:$E$1025,0))="","",INDEX(学年度总表!$J$3:$J$1025,MATCH($E158,学年度总表!$E$3:$E$1025,0)))</f>
        <v>71.53</v>
      </c>
      <c r="K158" s="3">
        <f>IF(INDEX(学年度总表!$K$3:$K$1025,MATCH($E158,学年度总表!$E$3:$E$1025,0))="","",INDEX(学年度总表!$K$3:$K$1025,MATCH($E158,学年度总表!$E$3:$E$1025,0)))</f>
        <v>9.8000000000000007</v>
      </c>
      <c r="L158" s="3">
        <f>IF(INDEX(学年度总表!$L$3:$L$1025,MATCH($E158,学年度总表!$E$3:$E$1025,0))="","",INDEX(学年度总表!$L$3:$L$1025,MATCH($E158,学年度总表!$E$3:$E$1025,0)))</f>
        <v>57.3</v>
      </c>
      <c r="M158" s="3">
        <f>IF(INDEX(学年度总表!$M$3:$M$1025,MATCH($E158,学年度总表!$E$3:$E$1025,0))="","",INDEX(学年度总表!$M$3:$M$1025,MATCH($E158,学年度总表!$E$3:$E$1025,0)))</f>
        <v>3</v>
      </c>
      <c r="N158" s="3">
        <f>IF(INDEX(学年度总表!$N$3:$N$1025,MATCH($E158,学年度总表!$E$3:$E$1025,0))="","",INDEX(学年度总表!$N$3:$N$1025,MATCH($E158,学年度总表!$E$3:$E$1025,0)))</f>
        <v>70.099999999999994</v>
      </c>
      <c r="O158" s="3">
        <f>IF(INDEX(学年度总表!$O$3:$O$1025,MATCH($E158,学年度总表!$E$3:$E$1025,0))="","",INDEX(学年度总表!$O$3:$O$1025,MATCH($E158,学年度总表!$E$3:$E$1025,0)))</f>
        <v>141.63</v>
      </c>
      <c r="P158" s="2" t="str">
        <f>IF(INDEX(学年度总表!$P$3:$P$1025,MATCH($E158,学年度总表!$E$3:$E$1025,0))="","",INDEX(学年度总表!$P$3:$P$1025,MATCH($E158,学年度总表!$E$3:$E$1025,0)))</f>
        <v/>
      </c>
      <c r="Q158" s="5" t="str">
        <f>IF(INDEX(学年度总表!$Q$3:$Q$1025,MATCH($E158,学年度总表!$E$3:$E$1025,0))="","",INDEX(学年度总表!$Q$3:$Q$1025,MATCH($E158,学年度总表!$E$3:$E$1025,0)))</f>
        <v/>
      </c>
    </row>
    <row r="159" spans="1:17">
      <c r="A159" s="2">
        <f>IF(INDEX(学年度总表!$A$3:$A$1025,MATCH($E159,学年度总表!$E$3:$E$1025,0))="","",INDEX(学年度总表!$A$3:$A$1025,MATCH($E159,学年度总表!$E$3:$E$1025,0)))</f>
        <v>455</v>
      </c>
      <c r="B159" s="2">
        <f>IF(INDEX(学年度总表!$B$3:$B$1025,MATCH($E159,学年度总表!$E$3:$E$1025,0))="","",INDEX(学年度总表!$B$3:$B$1025,MATCH($E159,学年度总表!$E$3:$E$1025,0)))</f>
        <v>157</v>
      </c>
      <c r="C159" s="2" t="str">
        <f>IF(INDEX(学年度总表!$C$3:$C$1025,MATCH($E159,学年度总表!$E$3:$E$1025,0))="","",INDEX(学年度总表!$C$3:$C$1025,MATCH($E159,学年度总表!$E$3:$E$1025,0)))</f>
        <v>软工</v>
      </c>
      <c r="D159" s="2" t="str">
        <f>IF(INDEX(学年度总表!$D$3:$D$1025,MATCH($E159,学年度总表!$E$3:$E$1025,0))="","",INDEX(学年度总表!$D$3:$D$1025,MATCH($E159,学年度总表!$E$3:$E$1025,0)))</f>
        <v>软工9班</v>
      </c>
      <c r="E159" s="2" t="s">
        <v>972</v>
      </c>
      <c r="F159" s="2" t="str">
        <f>IF(INDEX(学年度总表!$F$3:$F$1025,MATCH($E159,学年度总表!$E$3:$E$1025,0))="","",INDEX(学年度总表!$F$3:$F$1025,MATCH($E159,学年度总表!$E$3:$E$1025,0)))</f>
        <v>王增浩</v>
      </c>
      <c r="G159" s="3">
        <f>IF(INDEX(学年度总表!$G$3:$G$1025,MATCH($E159,学年度总表!$E$3:$E$1025,0))="","",INDEX(学年度总表!$G$3:$G$1025,MATCH($E159,学年度总表!$E$3:$E$1025,0)))</f>
        <v>10</v>
      </c>
      <c r="H159" s="3">
        <f>IF(INDEX(学年度总表!$H$3:$H$1025,MATCH($E159,学年度总表!$E$3:$E$1025,0))="","",INDEX(学年度总表!$H$3:$H$1025,MATCH($E159,学年度总表!$E$3:$E$1025,0)))</f>
        <v>57.428571428571402</v>
      </c>
      <c r="I159" s="3">
        <f>IF(INDEX(学年度总表!$I$3:$I$1025,MATCH($E159,学年度总表!$E$3:$E$1025,0))="","",INDEX(学年度总表!$I$3:$I$1025,MATCH($E159,学年度总表!$E$3:$E$1025,0)))</f>
        <v>4</v>
      </c>
      <c r="J159" s="3">
        <f>IF(INDEX(学年度总表!$J$3:$J$1025,MATCH($E159,学年度总表!$E$3:$E$1025,0))="","",INDEX(学年度总表!$J$3:$J$1025,MATCH($E159,学年度总表!$E$3:$E$1025,0)))</f>
        <v>71.430000000000007</v>
      </c>
      <c r="K159" s="3">
        <f>IF(INDEX(学年度总表!$K$3:$K$1025,MATCH($E159,学年度总表!$E$3:$E$1025,0))="","",INDEX(学年度总表!$K$3:$K$1025,MATCH($E159,学年度总表!$E$3:$E$1025,0)))</f>
        <v>10</v>
      </c>
      <c r="L159" s="3">
        <f>IF(INDEX(学年度总表!$L$3:$L$1025,MATCH($E159,学年度总表!$E$3:$E$1025,0))="","",INDEX(学年度总表!$L$3:$L$1025,MATCH($E159,学年度总表!$E$3:$E$1025,0)))</f>
        <v>55.49</v>
      </c>
      <c r="M159" s="3">
        <f>IF(INDEX(学年度总表!$M$3:$M$1025,MATCH($E159,学年度总表!$E$3:$E$1025,0))="","",INDEX(学年度总表!$M$3:$M$1025,MATCH($E159,学年度总表!$E$3:$E$1025,0)))</f>
        <v>4.7</v>
      </c>
      <c r="N159" s="3">
        <f>IF(INDEX(学年度总表!$N$3:$N$1025,MATCH($E159,学年度总表!$E$3:$E$1025,0))="","",INDEX(学年度总表!$N$3:$N$1025,MATCH($E159,学年度总表!$E$3:$E$1025,0)))</f>
        <v>70.19</v>
      </c>
      <c r="O159" s="3">
        <f>IF(INDEX(学年度总表!$O$3:$O$1025,MATCH($E159,学年度总表!$E$3:$E$1025,0))="","",INDEX(学年度总表!$O$3:$O$1025,MATCH($E159,学年度总表!$E$3:$E$1025,0)))</f>
        <v>141.62</v>
      </c>
      <c r="P159" s="2" t="str">
        <f>IF(INDEX(学年度总表!$P$3:$P$1025,MATCH($E159,学年度总表!$E$3:$E$1025,0))="","",INDEX(学年度总表!$P$3:$P$1025,MATCH($E159,学年度总表!$E$3:$E$1025,0)))</f>
        <v/>
      </c>
      <c r="Q159" s="5" t="str">
        <f>IF(INDEX(学年度总表!$Q$3:$Q$1025,MATCH($E159,学年度总表!$E$3:$E$1025,0))="","",INDEX(学年度总表!$Q$3:$Q$1025,MATCH($E159,学年度总表!$E$3:$E$1025,0)))</f>
        <v/>
      </c>
    </row>
    <row r="160" spans="1:17">
      <c r="A160" s="2">
        <f>IF(INDEX(学年度总表!$A$3:$A$1025,MATCH($E160,学年度总表!$E$3:$E$1025,0))="","",INDEX(学年度总表!$A$3:$A$1025,MATCH($E160,学年度总表!$E$3:$E$1025,0)))</f>
        <v>457</v>
      </c>
      <c r="B160" s="2">
        <f>IF(INDEX(学年度总表!$B$3:$B$1025,MATCH($E160,学年度总表!$E$3:$E$1025,0))="","",INDEX(学年度总表!$B$3:$B$1025,MATCH($E160,学年度总表!$E$3:$E$1025,0)))</f>
        <v>158</v>
      </c>
      <c r="C160" s="2" t="str">
        <f>IF(INDEX(学年度总表!$C$3:$C$1025,MATCH($E160,学年度总表!$E$3:$E$1025,0))="","",INDEX(学年度总表!$C$3:$C$1025,MATCH($E160,学年度总表!$E$3:$E$1025,0)))</f>
        <v>软工</v>
      </c>
      <c r="D160" s="2" t="str">
        <f>IF(INDEX(学年度总表!$D$3:$D$1025,MATCH($E160,学年度总表!$E$3:$E$1025,0))="","",INDEX(学年度总表!$D$3:$D$1025,MATCH($E160,学年度总表!$E$3:$E$1025,0)))</f>
        <v>软工8班</v>
      </c>
      <c r="E160" s="2" t="s">
        <v>976</v>
      </c>
      <c r="F160" s="2" t="str">
        <f>IF(INDEX(学年度总表!$F$3:$F$1025,MATCH($E160,学年度总表!$E$3:$E$1025,0))="","",INDEX(学年度总表!$F$3:$F$1025,MATCH($E160,学年度总表!$E$3:$E$1025,0)))</f>
        <v>于骊凡</v>
      </c>
      <c r="G160" s="3">
        <f>IF(INDEX(学年度总表!$G$3:$G$1025,MATCH($E160,学年度总表!$E$3:$E$1025,0))="","",INDEX(学年度总表!$G$3:$G$1025,MATCH($E160,学年度总表!$E$3:$E$1025,0)))</f>
        <v>10.3</v>
      </c>
      <c r="H160" s="3">
        <f>IF(INDEX(学年度总表!$H$3:$H$1025,MATCH($E160,学年度总表!$E$3:$E$1025,0))="","",INDEX(学年度总表!$H$3:$H$1025,MATCH($E160,学年度总表!$E$3:$E$1025,0)))</f>
        <v>57.927272727272701</v>
      </c>
      <c r="I160" s="3">
        <f>IF(INDEX(学年度总表!$I$3:$I$1025,MATCH($E160,学年度总表!$E$3:$E$1025,0))="","",INDEX(学年度总表!$I$3:$I$1025,MATCH($E160,学年度总表!$E$3:$E$1025,0)))</f>
        <v>4.3499999999999996</v>
      </c>
      <c r="J160" s="3">
        <f>IF(INDEX(学年度总表!$J$3:$J$1025,MATCH($E160,学年度总表!$E$3:$E$1025,0))="","",INDEX(学年度总表!$J$3:$J$1025,MATCH($E160,学年度总表!$E$3:$E$1025,0)))</f>
        <v>72.58</v>
      </c>
      <c r="K160" s="3">
        <f>IF(INDEX(学年度总表!$K$3:$K$1025,MATCH($E160,学年度总表!$E$3:$E$1025,0))="","",INDEX(学年度总表!$K$3:$K$1025,MATCH($E160,学年度总表!$E$3:$E$1025,0)))</f>
        <v>9.8000000000000007</v>
      </c>
      <c r="L160" s="3">
        <f>IF(INDEX(学年度总表!$L$3:$L$1025,MATCH($E160,学年度总表!$E$3:$E$1025,0))="","",INDEX(学年度总表!$L$3:$L$1025,MATCH($E160,学年度总表!$E$3:$E$1025,0)))</f>
        <v>54.07</v>
      </c>
      <c r="M160" s="3">
        <f>IF(INDEX(学年度总表!$M$3:$M$1025,MATCH($E160,学年度总表!$E$3:$E$1025,0))="","",INDEX(学年度总表!$M$3:$M$1025,MATCH($E160,学年度总表!$E$3:$E$1025,0)))</f>
        <v>5.0999999999999996</v>
      </c>
      <c r="N160" s="3">
        <f>IF(INDEX(学年度总表!$N$3:$N$1025,MATCH($E160,学年度总表!$E$3:$E$1025,0))="","",INDEX(学年度总表!$N$3:$N$1025,MATCH($E160,学年度总表!$E$3:$E$1025,0)))</f>
        <v>68.97</v>
      </c>
      <c r="O160" s="3">
        <f>IF(INDEX(学年度总表!$O$3:$O$1025,MATCH($E160,学年度总表!$E$3:$E$1025,0))="","",INDEX(学年度总表!$O$3:$O$1025,MATCH($E160,学年度总表!$E$3:$E$1025,0)))</f>
        <v>141.55000000000001</v>
      </c>
      <c r="P160" s="2" t="str">
        <f>IF(INDEX(学年度总表!$P$3:$P$1025,MATCH($E160,学年度总表!$E$3:$E$1025,0))="","",INDEX(学年度总表!$P$3:$P$1025,MATCH($E160,学年度总表!$E$3:$E$1025,0)))</f>
        <v/>
      </c>
      <c r="Q160" s="5" t="str">
        <f>IF(INDEX(学年度总表!$Q$3:$Q$1025,MATCH($E160,学年度总表!$E$3:$E$1025,0))="","",INDEX(学年度总表!$Q$3:$Q$1025,MATCH($E160,学年度总表!$E$3:$E$1025,0)))</f>
        <v/>
      </c>
    </row>
    <row r="161" spans="1:17">
      <c r="A161" s="2">
        <f>IF(INDEX(学年度总表!$A$3:$A$1025,MATCH($E161,学年度总表!$E$3:$E$1025,0))="","",INDEX(学年度总表!$A$3:$A$1025,MATCH($E161,学年度总表!$E$3:$E$1025,0)))</f>
        <v>458</v>
      </c>
      <c r="B161" s="2">
        <f>IF(INDEX(学年度总表!$B$3:$B$1025,MATCH($E161,学年度总表!$E$3:$E$1025,0))="","",INDEX(学年度总表!$B$3:$B$1025,MATCH($E161,学年度总表!$E$3:$E$1025,0)))</f>
        <v>159</v>
      </c>
      <c r="C161" s="2" t="str">
        <f>IF(INDEX(学年度总表!$C$3:$C$1025,MATCH($E161,学年度总表!$E$3:$E$1025,0))="","",INDEX(学年度总表!$C$3:$C$1025,MATCH($E161,学年度总表!$E$3:$E$1025,0)))</f>
        <v>软工</v>
      </c>
      <c r="D161" s="2" t="str">
        <f>IF(INDEX(学年度总表!$D$3:$D$1025,MATCH($E161,学年度总表!$E$3:$E$1025,0))="","",INDEX(学年度总表!$D$3:$D$1025,MATCH($E161,学年度总表!$E$3:$E$1025,0)))</f>
        <v>软工12班</v>
      </c>
      <c r="E161" s="2" t="s">
        <v>978</v>
      </c>
      <c r="F161" s="2" t="str">
        <f>IF(INDEX(学年度总表!$F$3:$F$1025,MATCH($E161,学年度总表!$E$3:$E$1025,0))="","",INDEX(学年度总表!$F$3:$F$1025,MATCH($E161,学年度总表!$E$3:$E$1025,0)))</f>
        <v>于佳琪</v>
      </c>
      <c r="G161" s="3">
        <f>IF(INDEX(学年度总表!$G$3:$G$1025,MATCH($E161,学年度总表!$E$3:$E$1025,0))="","",INDEX(学年度总表!$G$3:$G$1025,MATCH($E161,学年度总表!$E$3:$E$1025,0)))</f>
        <v>9.8000000000000007</v>
      </c>
      <c r="H161" s="3">
        <f>IF(INDEX(学年度总表!$H$3:$H$1025,MATCH($E161,学年度总表!$E$3:$E$1025,0))="","",INDEX(学年度总表!$H$3:$H$1025,MATCH($E161,学年度总表!$E$3:$E$1025,0)))</f>
        <v>57.43</v>
      </c>
      <c r="I161" s="3">
        <f>IF(INDEX(学年度总表!$I$3:$I$1025,MATCH($E161,学年度总表!$E$3:$E$1025,0))="","",INDEX(学年度总表!$I$3:$I$1025,MATCH($E161,学年度总表!$E$3:$E$1025,0)))</f>
        <v>3</v>
      </c>
      <c r="J161" s="3">
        <f>IF(INDEX(学年度总表!$J$3:$J$1025,MATCH($E161,学年度总表!$E$3:$E$1025,0))="","",INDEX(学年度总表!$J$3:$J$1025,MATCH($E161,学年度总表!$E$3:$E$1025,0)))</f>
        <v>70.23</v>
      </c>
      <c r="K161" s="3">
        <f>IF(INDEX(学年度总表!$K$3:$K$1025,MATCH($E161,学年度总表!$E$3:$E$1025,0))="","",INDEX(学年度总表!$K$3:$K$1025,MATCH($E161,学年度总表!$E$3:$E$1025,0)))</f>
        <v>9.8000000000000007</v>
      </c>
      <c r="L161" s="3">
        <f>IF(INDEX(学年度总表!$L$3:$L$1025,MATCH($E161,学年度总表!$E$3:$E$1025,0))="","",INDEX(学年度总表!$L$3:$L$1025,MATCH($E161,学年度总表!$E$3:$E$1025,0)))</f>
        <v>57.48</v>
      </c>
      <c r="M161" s="3">
        <f>IF(INDEX(学年度总表!$M$3:$M$1025,MATCH($E161,学年度总表!$E$3:$E$1025,0))="","",INDEX(学年度总表!$M$3:$M$1025,MATCH($E161,学年度总表!$E$3:$E$1025,0)))</f>
        <v>4</v>
      </c>
      <c r="N161" s="3">
        <f>IF(INDEX(学年度总表!$N$3:$N$1025,MATCH($E161,学年度总表!$E$3:$E$1025,0))="","",INDEX(学年度总表!$N$3:$N$1025,MATCH($E161,学年度总表!$E$3:$E$1025,0)))</f>
        <v>71.28</v>
      </c>
      <c r="O161" s="3">
        <f>IF(INDEX(学年度总表!$O$3:$O$1025,MATCH($E161,学年度总表!$E$3:$E$1025,0))="","",INDEX(学年度总表!$O$3:$O$1025,MATCH($E161,学年度总表!$E$3:$E$1025,0)))</f>
        <v>141.51</v>
      </c>
      <c r="P161" s="2" t="str">
        <f>IF(INDEX(学年度总表!$P$3:$P$1025,MATCH($E161,学年度总表!$E$3:$E$1025,0))="","",INDEX(学年度总表!$P$3:$P$1025,MATCH($E161,学年度总表!$E$3:$E$1025,0)))</f>
        <v/>
      </c>
      <c r="Q161" s="5" t="str">
        <f>IF(INDEX(学年度总表!$Q$3:$Q$1025,MATCH($E161,学年度总表!$E$3:$E$1025,0))="","",INDEX(学年度总表!$Q$3:$Q$1025,MATCH($E161,学年度总表!$E$3:$E$1025,0)))</f>
        <v/>
      </c>
    </row>
    <row r="162" spans="1:17">
      <c r="A162" s="2">
        <f>IF(INDEX(学年度总表!$A$3:$A$1025,MATCH($E162,学年度总表!$E$3:$E$1025,0))="","",INDEX(学年度总表!$A$3:$A$1025,MATCH($E162,学年度总表!$E$3:$E$1025,0)))</f>
        <v>465</v>
      </c>
      <c r="B162" s="2">
        <f>IF(INDEX(学年度总表!$B$3:$B$1025,MATCH($E162,学年度总表!$E$3:$E$1025,0))="","",INDEX(学年度总表!$B$3:$B$1025,MATCH($E162,学年度总表!$E$3:$E$1025,0)))</f>
        <v>160</v>
      </c>
      <c r="C162" s="2" t="str">
        <f>IF(INDEX(学年度总表!$C$3:$C$1025,MATCH($E162,学年度总表!$E$3:$E$1025,0))="","",INDEX(学年度总表!$C$3:$C$1025,MATCH($E162,学年度总表!$E$3:$E$1025,0)))</f>
        <v>软工</v>
      </c>
      <c r="D162" s="2" t="str">
        <f>IF(INDEX(学年度总表!$D$3:$D$1025,MATCH($E162,学年度总表!$E$3:$E$1025,0))="","",INDEX(学年度总表!$D$3:$D$1025,MATCH($E162,学年度总表!$E$3:$E$1025,0)))</f>
        <v>软工7班</v>
      </c>
      <c r="E162" s="2" t="s">
        <v>992</v>
      </c>
      <c r="F162" s="2" t="str">
        <f>IF(INDEX(学年度总表!$F$3:$F$1025,MATCH($E162,学年度总表!$E$3:$E$1025,0))="","",INDEX(学年度总表!$F$3:$F$1025,MATCH($E162,学年度总表!$E$3:$E$1025,0)))</f>
        <v>吕佳益</v>
      </c>
      <c r="G162" s="3">
        <f>IF(INDEX(学年度总表!$G$3:$G$1025,MATCH($E162,学年度总表!$E$3:$E$1025,0))="","",INDEX(学年度总表!$G$3:$G$1025,MATCH($E162,学年度总表!$E$3:$E$1025,0)))</f>
        <v>9.8000000000000007</v>
      </c>
      <c r="H162" s="3">
        <f>IF(INDEX(学年度总表!$H$3:$H$1025,MATCH($E162,学年度总表!$E$3:$E$1025,0))="","",INDEX(学年度总表!$H$3:$H$1025,MATCH($E162,学年度总表!$E$3:$E$1025,0)))</f>
        <v>60.15</v>
      </c>
      <c r="I162" s="3">
        <f>IF(INDEX(学年度总表!$I$3:$I$1025,MATCH($E162,学年度总表!$E$3:$E$1025,0))="","",INDEX(学年度总表!$I$3:$I$1025,MATCH($E162,学年度总表!$E$3:$E$1025,0)))</f>
        <v>3.8</v>
      </c>
      <c r="J162" s="3">
        <f>IF(INDEX(学年度总表!$J$3:$J$1025,MATCH($E162,学年度总表!$E$3:$E$1025,0))="","",INDEX(学年度总表!$J$3:$J$1025,MATCH($E162,学年度总表!$E$3:$E$1025,0)))</f>
        <v>73.75</v>
      </c>
      <c r="K162" s="3">
        <f>IF(INDEX(学年度总表!$K$3:$K$1025,MATCH($E162,学年度总表!$E$3:$E$1025,0))="","",INDEX(学年度总表!$K$3:$K$1025,MATCH($E162,学年度总表!$E$3:$E$1025,0)))</f>
        <v>9.8000000000000007</v>
      </c>
      <c r="L162" s="3">
        <f>IF(INDEX(学年度总表!$L$3:$L$1025,MATCH($E162,学年度总表!$E$3:$E$1025,0))="","",INDEX(学年度总表!$L$3:$L$1025,MATCH($E162,学年度总表!$E$3:$E$1025,0)))</f>
        <v>53.9</v>
      </c>
      <c r="M162" s="3">
        <f>IF(INDEX(学年度总表!$M$3:$M$1025,MATCH($E162,学年度总表!$E$3:$E$1025,0))="","",INDEX(学年度总表!$M$3:$M$1025,MATCH($E162,学年度总表!$E$3:$E$1025,0)))</f>
        <v>3.7</v>
      </c>
      <c r="N162" s="3">
        <f>IF(INDEX(学年度总表!$N$3:$N$1025,MATCH($E162,学年度总表!$E$3:$E$1025,0))="","",INDEX(学年度总表!$N$3:$N$1025,MATCH($E162,学年度总表!$E$3:$E$1025,0)))</f>
        <v>67.400000000000006</v>
      </c>
      <c r="O162" s="3">
        <f>IF(INDEX(学年度总表!$O$3:$O$1025,MATCH($E162,学年度总表!$E$3:$E$1025,0))="","",INDEX(学年度总表!$O$3:$O$1025,MATCH($E162,学年度总表!$E$3:$E$1025,0)))</f>
        <v>141.15</v>
      </c>
      <c r="P162" s="2" t="str">
        <f>IF(INDEX(学年度总表!$P$3:$P$1025,MATCH($E162,学年度总表!$E$3:$E$1025,0))="","",INDEX(学年度总表!$P$3:$P$1025,MATCH($E162,学年度总表!$E$3:$E$1025,0)))</f>
        <v/>
      </c>
      <c r="Q162" s="5" t="str">
        <f>IF(INDEX(学年度总表!$Q$3:$Q$1025,MATCH($E162,学年度总表!$E$3:$E$1025,0))="","",INDEX(学年度总表!$Q$3:$Q$1025,MATCH($E162,学年度总表!$E$3:$E$1025,0)))</f>
        <v/>
      </c>
    </row>
    <row r="163" spans="1:17">
      <c r="A163" s="2">
        <f>IF(INDEX(学年度总表!$A$3:$A$1025,MATCH($E163,学年度总表!$E$3:$E$1025,0))="","",INDEX(学年度总表!$A$3:$A$1025,MATCH($E163,学年度总表!$E$3:$E$1025,0)))</f>
        <v>474</v>
      </c>
      <c r="B163" s="2">
        <f>IF(INDEX(学年度总表!$B$3:$B$1025,MATCH($E163,学年度总表!$E$3:$E$1025,0))="","",INDEX(学年度总表!$B$3:$B$1025,MATCH($E163,学年度总表!$E$3:$E$1025,0)))</f>
        <v>161</v>
      </c>
      <c r="C163" s="2" t="str">
        <f>IF(INDEX(学年度总表!$C$3:$C$1025,MATCH($E163,学年度总表!$E$3:$E$1025,0))="","",INDEX(学年度总表!$C$3:$C$1025,MATCH($E163,学年度总表!$E$3:$E$1025,0)))</f>
        <v>软工</v>
      </c>
      <c r="D163" s="2" t="str">
        <f>IF(INDEX(学年度总表!$D$3:$D$1025,MATCH($E163,学年度总表!$E$3:$E$1025,0))="","",INDEX(学年度总表!$D$3:$D$1025,MATCH($E163,学年度总表!$E$3:$E$1025,0)))</f>
        <v>软工8班</v>
      </c>
      <c r="E163" s="2" t="s">
        <v>1010</v>
      </c>
      <c r="F163" s="2" t="str">
        <f>IF(INDEX(学年度总表!$F$3:$F$1025,MATCH($E163,学年度总表!$E$3:$E$1025,0))="","",INDEX(学年度总表!$F$3:$F$1025,MATCH($E163,学年度总表!$E$3:$E$1025,0)))</f>
        <v>肖显旸</v>
      </c>
      <c r="G163" s="3">
        <f>IF(INDEX(学年度总表!$G$3:$G$1025,MATCH($E163,学年度总表!$E$3:$E$1025,0))="","",INDEX(学年度总表!$G$3:$G$1025,MATCH($E163,学年度总表!$E$3:$E$1025,0)))</f>
        <v>9.8000000000000007</v>
      </c>
      <c r="H163" s="3">
        <f>IF(INDEX(学年度总表!$H$3:$H$1025,MATCH($E163,学年度总表!$E$3:$E$1025,0))="","",INDEX(学年度总表!$H$3:$H$1025,MATCH($E163,学年度总表!$E$3:$E$1025,0)))</f>
        <v>59.387755102040799</v>
      </c>
      <c r="I163" s="3">
        <f>IF(INDEX(学年度总表!$I$3:$I$1025,MATCH($E163,学年度总表!$E$3:$E$1025,0))="","",INDEX(学年度总表!$I$3:$I$1025,MATCH($E163,学年度总表!$E$3:$E$1025,0)))</f>
        <v>3</v>
      </c>
      <c r="J163" s="3">
        <f>IF(INDEX(学年度总表!$J$3:$J$1025,MATCH($E163,学年度总表!$E$3:$E$1025,0))="","",INDEX(学年度总表!$J$3:$J$1025,MATCH($E163,学年度总表!$E$3:$E$1025,0)))</f>
        <v>72.19</v>
      </c>
      <c r="K163" s="3">
        <f>IF(INDEX(学年度总表!$K$3:$K$1025,MATCH($E163,学年度总表!$E$3:$E$1025,0))="","",INDEX(学年度总表!$K$3:$K$1025,MATCH($E163,学年度总表!$E$3:$E$1025,0)))</f>
        <v>9.8000000000000007</v>
      </c>
      <c r="L163" s="3">
        <f>IF(INDEX(学年度总表!$L$3:$L$1025,MATCH($E163,学年度总表!$E$3:$E$1025,0))="","",INDEX(学年度总表!$L$3:$L$1025,MATCH($E163,学年度总表!$E$3:$E$1025,0)))</f>
        <v>55.31</v>
      </c>
      <c r="M163" s="3">
        <f>IF(INDEX(学年度总表!$M$3:$M$1025,MATCH($E163,学年度总表!$E$3:$E$1025,0))="","",INDEX(学年度总表!$M$3:$M$1025,MATCH($E163,学年度总表!$E$3:$E$1025,0)))</f>
        <v>3.5</v>
      </c>
      <c r="N163" s="3">
        <f>IF(INDEX(学年度总表!$N$3:$N$1025,MATCH($E163,学年度总表!$E$3:$E$1025,0))="","",INDEX(学年度总表!$N$3:$N$1025,MATCH($E163,学年度总表!$E$3:$E$1025,0)))</f>
        <v>68.61</v>
      </c>
      <c r="O163" s="3">
        <f>IF(INDEX(学年度总表!$O$3:$O$1025,MATCH($E163,学年度总表!$E$3:$E$1025,0))="","",INDEX(学年度总表!$O$3:$O$1025,MATCH($E163,学年度总表!$E$3:$E$1025,0)))</f>
        <v>140.80000000000001</v>
      </c>
      <c r="P163" s="2" t="str">
        <f>IF(INDEX(学年度总表!$P$3:$P$1025,MATCH($E163,学年度总表!$E$3:$E$1025,0))="","",INDEX(学年度总表!$P$3:$P$1025,MATCH($E163,学年度总表!$E$3:$E$1025,0)))</f>
        <v/>
      </c>
      <c r="Q163" s="5" t="str">
        <f>IF(INDEX(学年度总表!$Q$3:$Q$1025,MATCH($E163,学年度总表!$E$3:$E$1025,0))="","",INDEX(学年度总表!$Q$3:$Q$1025,MATCH($E163,学年度总表!$E$3:$E$1025,0)))</f>
        <v/>
      </c>
    </row>
    <row r="164" spans="1:17">
      <c r="A164" s="2">
        <f>IF(INDEX(学年度总表!$A$3:$A$1025,MATCH($E164,学年度总表!$E$3:$E$1025,0))="","",INDEX(学年度总表!$A$3:$A$1025,MATCH($E164,学年度总表!$E$3:$E$1025,0)))</f>
        <v>475</v>
      </c>
      <c r="B164" s="2">
        <f>IF(INDEX(学年度总表!$B$3:$B$1025,MATCH($E164,学年度总表!$E$3:$E$1025,0))="","",INDEX(学年度总表!$B$3:$B$1025,MATCH($E164,学年度总表!$E$3:$E$1025,0)))</f>
        <v>162</v>
      </c>
      <c r="C164" s="2" t="str">
        <f>IF(INDEX(学年度总表!$C$3:$C$1025,MATCH($E164,学年度总表!$E$3:$E$1025,0))="","",INDEX(学年度总表!$C$3:$C$1025,MATCH($E164,学年度总表!$E$3:$E$1025,0)))</f>
        <v>软工</v>
      </c>
      <c r="D164" s="2" t="str">
        <f>IF(INDEX(学年度总表!$D$3:$D$1025,MATCH($E164,学年度总表!$E$3:$E$1025,0))="","",INDEX(学年度总表!$D$3:$D$1025,MATCH($E164,学年度总表!$E$3:$E$1025,0)))</f>
        <v>软工13班</v>
      </c>
      <c r="E164" s="2" t="s">
        <v>1012</v>
      </c>
      <c r="F164" s="2" t="str">
        <f>IF(INDEX(学年度总表!$F$3:$F$1025,MATCH($E164,学年度总表!$E$3:$E$1025,0))="","",INDEX(学年度总表!$F$3:$F$1025,MATCH($E164,学年度总表!$E$3:$E$1025,0)))</f>
        <v>潘治樵</v>
      </c>
      <c r="G164" s="3">
        <f>IF(INDEX(学年度总表!$G$3:$G$1025,MATCH($E164,学年度总表!$E$3:$E$1025,0))="","",INDEX(学年度总表!$G$3:$G$1025,MATCH($E164,学年度总表!$E$3:$E$1025,0)))</f>
        <v>10</v>
      </c>
      <c r="H164" s="3">
        <f>IF(INDEX(学年度总表!$H$3:$H$1025,MATCH($E164,学年度总表!$E$3:$E$1025,0))="","",INDEX(学年度总表!$H$3:$H$1025,MATCH($E164,学年度总表!$E$3:$E$1025,0)))</f>
        <v>57.31</v>
      </c>
      <c r="I164" s="3">
        <f>IF(INDEX(学年度总表!$I$3:$I$1025,MATCH($E164,学年度总表!$E$3:$E$1025,0))="","",INDEX(学年度总表!$I$3:$I$1025,MATCH($E164,学年度总表!$E$3:$E$1025,0)))</f>
        <v>3</v>
      </c>
      <c r="J164" s="3">
        <f>IF(INDEX(学年度总表!$J$3:$J$1025,MATCH($E164,学年度总表!$E$3:$E$1025,0))="","",INDEX(学年度总表!$J$3:$J$1025,MATCH($E164,学年度总表!$E$3:$E$1025,0)))</f>
        <v>70.31</v>
      </c>
      <c r="K164" s="3">
        <f>IF(INDEX(学年度总表!$K$3:$K$1025,MATCH($E164,学年度总表!$E$3:$E$1025,0))="","",INDEX(学年度总表!$K$3:$K$1025,MATCH($E164,学年度总表!$E$3:$E$1025,0)))</f>
        <v>10</v>
      </c>
      <c r="L164" s="3">
        <f>IF(INDEX(学年度总表!$L$3:$L$1025,MATCH($E164,学年度总表!$E$3:$E$1025,0))="","",INDEX(学年度总表!$L$3:$L$1025,MATCH($E164,学年度总表!$E$3:$E$1025,0)))</f>
        <v>56.98</v>
      </c>
      <c r="M164" s="3">
        <f>IF(INDEX(学年度总表!$M$3:$M$1025,MATCH($E164,学年度总表!$E$3:$E$1025,0))="","",INDEX(学年度总表!$M$3:$M$1025,MATCH($E164,学年度总表!$E$3:$E$1025,0)))</f>
        <v>3.5</v>
      </c>
      <c r="N164" s="3">
        <f>IF(INDEX(学年度总表!$N$3:$N$1025,MATCH($E164,学年度总表!$E$3:$E$1025,0))="","",INDEX(学年度总表!$N$3:$N$1025,MATCH($E164,学年度总表!$E$3:$E$1025,0)))</f>
        <v>70.48</v>
      </c>
      <c r="O164" s="3">
        <f>IF(INDEX(学年度总表!$O$3:$O$1025,MATCH($E164,学年度总表!$E$3:$E$1025,0))="","",INDEX(学年度总表!$O$3:$O$1025,MATCH($E164,学年度总表!$E$3:$E$1025,0)))</f>
        <v>140.79</v>
      </c>
      <c r="P164" s="2" t="str">
        <f>IF(INDEX(学年度总表!$P$3:$P$1025,MATCH($E164,学年度总表!$E$3:$E$1025,0))="","",INDEX(学年度总表!$P$3:$P$1025,MATCH($E164,学年度总表!$E$3:$E$1025,0)))</f>
        <v/>
      </c>
      <c r="Q164" s="5" t="str">
        <f>IF(INDEX(学年度总表!$Q$3:$Q$1025,MATCH($E164,学年度总表!$E$3:$E$1025,0))="","",INDEX(学年度总表!$Q$3:$Q$1025,MATCH($E164,学年度总表!$E$3:$E$1025,0)))</f>
        <v/>
      </c>
    </row>
    <row r="165" spans="1:17">
      <c r="A165" s="2">
        <f>IF(INDEX(学年度总表!$A$3:$A$1025,MATCH($E165,学年度总表!$E$3:$E$1025,0))="","",INDEX(学年度总表!$A$3:$A$1025,MATCH($E165,学年度总表!$E$3:$E$1025,0)))</f>
        <v>476</v>
      </c>
      <c r="B165" s="2">
        <f>IF(INDEX(学年度总表!$B$3:$B$1025,MATCH($E165,学年度总表!$E$3:$E$1025,0))="","",INDEX(学年度总表!$B$3:$B$1025,MATCH($E165,学年度总表!$E$3:$E$1025,0)))</f>
        <v>163</v>
      </c>
      <c r="C165" s="2" t="str">
        <f>IF(INDEX(学年度总表!$C$3:$C$1025,MATCH($E165,学年度总表!$E$3:$E$1025,0))="","",INDEX(学年度总表!$C$3:$C$1025,MATCH($E165,学年度总表!$E$3:$E$1025,0)))</f>
        <v>软工</v>
      </c>
      <c r="D165" s="2" t="str">
        <f>IF(INDEX(学年度总表!$D$3:$D$1025,MATCH($E165,学年度总表!$E$3:$E$1025,0))="","",INDEX(学年度总表!$D$3:$D$1025,MATCH($E165,学年度总表!$E$3:$E$1025,0)))</f>
        <v>软工10班</v>
      </c>
      <c r="E165" s="2" t="s">
        <v>1014</v>
      </c>
      <c r="F165" s="2" t="str">
        <f>IF(INDEX(学年度总表!$F$3:$F$1025,MATCH($E165,学年度总表!$E$3:$E$1025,0))="","",INDEX(学年度总表!$F$3:$F$1025,MATCH($E165,学年度总表!$E$3:$E$1025,0)))</f>
        <v>倪士杰</v>
      </c>
      <c r="G165" s="3">
        <f>IF(INDEX(学年度总表!$G$3:$G$1025,MATCH($E165,学年度总表!$E$3:$E$1025,0))="","",INDEX(学年度总表!$G$3:$G$1025,MATCH($E165,学年度总表!$E$3:$E$1025,0)))</f>
        <v>10</v>
      </c>
      <c r="H165" s="3">
        <f>IF(INDEX(学年度总表!$H$3:$H$1025,MATCH($E165,学年度总表!$E$3:$E$1025,0))="","",INDEX(学年度总表!$H$3:$H$1025,MATCH($E165,学年度总表!$E$3:$E$1025,0)))</f>
        <v>62.88</v>
      </c>
      <c r="I165" s="3">
        <f>IF(INDEX(学年度总表!$I$3:$I$1025,MATCH($E165,学年度总表!$E$3:$E$1025,0))="","",INDEX(学年度总表!$I$3:$I$1025,MATCH($E165,学年度总表!$E$3:$E$1025,0)))</f>
        <v>3</v>
      </c>
      <c r="J165" s="3">
        <f>IF(INDEX(学年度总表!$J$3:$J$1025,MATCH($E165,学年度总表!$E$3:$E$1025,0))="","",INDEX(学年度总表!$J$3:$J$1025,MATCH($E165,学年度总表!$E$3:$E$1025,0)))</f>
        <v>75.88</v>
      </c>
      <c r="K165" s="3">
        <f>IF(INDEX(学年度总表!$K$3:$K$1025,MATCH($E165,学年度总表!$E$3:$E$1025,0))="","",INDEX(学年度总表!$K$3:$K$1025,MATCH($E165,学年度总表!$E$3:$E$1025,0)))</f>
        <v>10</v>
      </c>
      <c r="L165" s="3">
        <f>IF(INDEX(学年度总表!$L$3:$L$1025,MATCH($E165,学年度总表!$E$3:$E$1025,0))="","",INDEX(学年度总表!$L$3:$L$1025,MATCH($E165,学年度总表!$E$3:$E$1025,0)))</f>
        <v>51.89</v>
      </c>
      <c r="M165" s="3">
        <f>IF(INDEX(学年度总表!$M$3:$M$1025,MATCH($E165,学年度总表!$E$3:$E$1025,0))="","",INDEX(学年度总表!$M$3:$M$1025,MATCH($E165,学年度总表!$E$3:$E$1025,0)))</f>
        <v>3</v>
      </c>
      <c r="N165" s="3">
        <f>IF(INDEX(学年度总表!$N$3:$N$1025,MATCH($E165,学年度总表!$E$3:$E$1025,0))="","",INDEX(学年度总表!$N$3:$N$1025,MATCH($E165,学年度总表!$E$3:$E$1025,0)))</f>
        <v>64.89</v>
      </c>
      <c r="O165" s="3">
        <f>IF(INDEX(学年度总表!$O$3:$O$1025,MATCH($E165,学年度总表!$E$3:$E$1025,0))="","",INDEX(学年度总表!$O$3:$O$1025,MATCH($E165,学年度总表!$E$3:$E$1025,0)))</f>
        <v>140.77000000000001</v>
      </c>
      <c r="P165" s="2" t="str">
        <f>IF(INDEX(学年度总表!$P$3:$P$1025,MATCH($E165,学年度总表!$E$3:$E$1025,0))="","",INDEX(学年度总表!$P$3:$P$1025,MATCH($E165,学年度总表!$E$3:$E$1025,0)))</f>
        <v/>
      </c>
      <c r="Q165" s="5" t="str">
        <f>IF(INDEX(学年度总表!$Q$3:$Q$1025,MATCH($E165,学年度总表!$E$3:$E$1025,0))="","",INDEX(学年度总表!$Q$3:$Q$1025,MATCH($E165,学年度总表!$E$3:$E$1025,0)))</f>
        <v/>
      </c>
    </row>
    <row r="166" spans="1:17">
      <c r="A166" s="2">
        <f>IF(INDEX(学年度总表!$A$3:$A$1025,MATCH($E166,学年度总表!$E$3:$E$1025,0))="","",INDEX(学年度总表!$A$3:$A$1025,MATCH($E166,学年度总表!$E$3:$E$1025,0)))</f>
        <v>479</v>
      </c>
      <c r="B166" s="2">
        <f>IF(INDEX(学年度总表!$B$3:$B$1025,MATCH($E166,学年度总表!$E$3:$E$1025,0))="","",INDEX(学年度总表!$B$3:$B$1025,MATCH($E166,学年度总表!$E$3:$E$1025,0)))</f>
        <v>164</v>
      </c>
      <c r="C166" s="2" t="str">
        <f>IF(INDEX(学年度总表!$C$3:$C$1025,MATCH($E166,学年度总表!$E$3:$E$1025,0))="","",INDEX(学年度总表!$C$3:$C$1025,MATCH($E166,学年度总表!$E$3:$E$1025,0)))</f>
        <v>软工</v>
      </c>
      <c r="D166" s="2" t="str">
        <f>IF(INDEX(学年度总表!$D$3:$D$1025,MATCH($E166,学年度总表!$E$3:$E$1025,0))="","",INDEX(学年度总表!$D$3:$D$1025,MATCH($E166,学年度总表!$E$3:$E$1025,0)))</f>
        <v>软工8班</v>
      </c>
      <c r="E166" s="2" t="s">
        <v>1020</v>
      </c>
      <c r="F166" s="2" t="str">
        <f>IF(INDEX(学年度总表!$F$3:$F$1025,MATCH($E166,学年度总表!$E$3:$E$1025,0))="","",INDEX(学年度总表!$F$3:$F$1025,MATCH($E166,学年度总表!$E$3:$E$1025,0)))</f>
        <v>姜明秀</v>
      </c>
      <c r="G166" s="3">
        <f>IF(INDEX(学年度总表!$G$3:$G$1025,MATCH($E166,学年度总表!$E$3:$E$1025,0))="","",INDEX(学年度总表!$G$3:$G$1025,MATCH($E166,学年度总表!$E$3:$E$1025,0)))</f>
        <v>9.8000000000000007</v>
      </c>
      <c r="H166" s="3">
        <f>IF(INDEX(学年度总表!$H$3:$H$1025,MATCH($E166,学年度总表!$E$3:$E$1025,0))="","",INDEX(学年度总表!$H$3:$H$1025,MATCH($E166,学年度总表!$E$3:$E$1025,0)))</f>
        <v>58.653061224489797</v>
      </c>
      <c r="I166" s="3">
        <f>IF(INDEX(学年度总表!$I$3:$I$1025,MATCH($E166,学年度总表!$E$3:$E$1025,0))="","",INDEX(学年度总表!$I$3:$I$1025,MATCH($E166,学年度总表!$E$3:$E$1025,0)))</f>
        <v>3.7</v>
      </c>
      <c r="J166" s="3">
        <f>IF(INDEX(学年度总表!$J$3:$J$1025,MATCH($E166,学年度总表!$E$3:$E$1025,0))="","",INDEX(学年度总表!$J$3:$J$1025,MATCH($E166,学年度总表!$E$3:$E$1025,0)))</f>
        <v>72.150000000000006</v>
      </c>
      <c r="K166" s="3">
        <f>IF(INDEX(学年度总表!$K$3:$K$1025,MATCH($E166,学年度总表!$E$3:$E$1025,0))="","",INDEX(学年度总表!$K$3:$K$1025,MATCH($E166,学年度总表!$E$3:$E$1025,0)))</f>
        <v>9.8000000000000007</v>
      </c>
      <c r="L166" s="3">
        <f>IF(INDEX(学年度总表!$L$3:$L$1025,MATCH($E166,学年度总表!$E$3:$E$1025,0))="","",INDEX(学年度总表!$L$3:$L$1025,MATCH($E166,学年度总表!$E$3:$E$1025,0)))</f>
        <v>55.23</v>
      </c>
      <c r="M166" s="3">
        <f>IF(INDEX(学年度总表!$M$3:$M$1025,MATCH($E166,学年度总表!$E$3:$E$1025,0))="","",INDEX(学年度总表!$M$3:$M$1025,MATCH($E166,学年度总表!$E$3:$E$1025,0)))</f>
        <v>3.5</v>
      </c>
      <c r="N166" s="3">
        <f>IF(INDEX(学年度总表!$N$3:$N$1025,MATCH($E166,学年度总表!$E$3:$E$1025,0))="","",INDEX(学年度总表!$N$3:$N$1025,MATCH($E166,学年度总表!$E$3:$E$1025,0)))</f>
        <v>68.53</v>
      </c>
      <c r="O166" s="3">
        <f>IF(INDEX(学年度总表!$O$3:$O$1025,MATCH($E166,学年度总表!$E$3:$E$1025,0))="","",INDEX(学年度总表!$O$3:$O$1025,MATCH($E166,学年度总表!$E$3:$E$1025,0)))</f>
        <v>140.68</v>
      </c>
      <c r="P166" s="2" t="str">
        <f>IF(INDEX(学年度总表!$P$3:$P$1025,MATCH($E166,学年度总表!$E$3:$E$1025,0))="","",INDEX(学年度总表!$P$3:$P$1025,MATCH($E166,学年度总表!$E$3:$E$1025,0)))</f>
        <v/>
      </c>
      <c r="Q166" s="5" t="str">
        <f>IF(INDEX(学年度总表!$Q$3:$Q$1025,MATCH($E166,学年度总表!$E$3:$E$1025,0))="","",INDEX(学年度总表!$Q$3:$Q$1025,MATCH($E166,学年度总表!$E$3:$E$1025,0)))</f>
        <v/>
      </c>
    </row>
    <row r="167" spans="1:17">
      <c r="A167" s="2">
        <f>IF(INDEX(学年度总表!$A$3:$A$1025,MATCH($E167,学年度总表!$E$3:$E$1025,0))="","",INDEX(学年度总表!$A$3:$A$1025,MATCH($E167,学年度总表!$E$3:$E$1025,0)))</f>
        <v>480</v>
      </c>
      <c r="B167" s="2">
        <f>IF(INDEX(学年度总表!$B$3:$B$1025,MATCH($E167,学年度总表!$E$3:$E$1025,0))="","",INDEX(学年度总表!$B$3:$B$1025,MATCH($E167,学年度总表!$E$3:$E$1025,0)))</f>
        <v>165</v>
      </c>
      <c r="C167" s="2" t="str">
        <f>IF(INDEX(学年度总表!$C$3:$C$1025,MATCH($E167,学年度总表!$E$3:$E$1025,0))="","",INDEX(学年度总表!$C$3:$C$1025,MATCH($E167,学年度总表!$E$3:$E$1025,0)))</f>
        <v>软工</v>
      </c>
      <c r="D167" s="2" t="str">
        <f>IF(INDEX(学年度总表!$D$3:$D$1025,MATCH($E167,学年度总表!$E$3:$E$1025,0))="","",INDEX(学年度总表!$D$3:$D$1025,MATCH($E167,学年度总表!$E$3:$E$1025,0)))</f>
        <v>软工9班</v>
      </c>
      <c r="E167" s="2" t="s">
        <v>1022</v>
      </c>
      <c r="F167" s="2" t="str">
        <f>IF(INDEX(学年度总表!$F$3:$F$1025,MATCH($E167,学年度总表!$E$3:$E$1025,0))="","",INDEX(学年度总表!$F$3:$F$1025,MATCH($E167,学年度总表!$E$3:$E$1025,0)))</f>
        <v>尚香岐</v>
      </c>
      <c r="G167" s="3">
        <f>IF(INDEX(学年度总表!$G$3:$G$1025,MATCH($E167,学年度总表!$E$3:$E$1025,0))="","",INDEX(学年度总表!$G$3:$G$1025,MATCH($E167,学年度总表!$E$3:$E$1025,0)))</f>
        <v>10.6</v>
      </c>
      <c r="H167" s="3">
        <f>IF(INDEX(学年度总表!$H$3:$H$1025,MATCH($E167,学年度总表!$E$3:$E$1025,0))="","",INDEX(学年度总表!$H$3:$H$1025,MATCH($E167,学年度总表!$E$3:$E$1025,0)))</f>
        <v>57.265306122448997</v>
      </c>
      <c r="I167" s="3">
        <f>IF(INDEX(学年度总表!$I$3:$I$1025,MATCH($E167,学年度总表!$E$3:$E$1025,0))="","",INDEX(学年度总表!$I$3:$I$1025,MATCH($E167,学年度总表!$E$3:$E$1025,0)))</f>
        <v>4.5</v>
      </c>
      <c r="J167" s="3">
        <f>IF(INDEX(学年度总表!$J$3:$J$1025,MATCH($E167,学年度总表!$E$3:$E$1025,0))="","",INDEX(学年度总表!$J$3:$J$1025,MATCH($E167,学年度总表!$E$3:$E$1025,0)))</f>
        <v>72.37</v>
      </c>
      <c r="K167" s="3">
        <f>IF(INDEX(学年度总表!$K$3:$K$1025,MATCH($E167,学年度总表!$E$3:$E$1025,0))="","",INDEX(学年度总表!$K$3:$K$1025,MATCH($E167,学年度总表!$E$3:$E$1025,0)))</f>
        <v>9.8000000000000007</v>
      </c>
      <c r="L167" s="3">
        <f>IF(INDEX(学年度总表!$L$3:$L$1025,MATCH($E167,学年度总表!$E$3:$E$1025,0))="","",INDEX(学年度总表!$L$3:$L$1025,MATCH($E167,学年度总表!$E$3:$E$1025,0)))</f>
        <v>53.48</v>
      </c>
      <c r="M167" s="3">
        <f>IF(INDEX(学年度总表!$M$3:$M$1025,MATCH($E167,学年度总表!$E$3:$E$1025,0))="","",INDEX(学年度总表!$M$3:$M$1025,MATCH($E167,学年度总表!$E$3:$E$1025,0)))</f>
        <v>5</v>
      </c>
      <c r="N167" s="3">
        <f>IF(INDEX(学年度总表!$N$3:$N$1025,MATCH($E167,学年度总表!$E$3:$E$1025,0))="","",INDEX(学年度总表!$N$3:$N$1025,MATCH($E167,学年度总表!$E$3:$E$1025,0)))</f>
        <v>68.28</v>
      </c>
      <c r="O167" s="3">
        <f>IF(INDEX(学年度总表!$O$3:$O$1025,MATCH($E167,学年度总表!$E$3:$E$1025,0))="","",INDEX(学年度总表!$O$3:$O$1025,MATCH($E167,学年度总表!$E$3:$E$1025,0)))</f>
        <v>140.65</v>
      </c>
      <c r="P167" s="2" t="str">
        <f>IF(INDEX(学年度总表!$P$3:$P$1025,MATCH($E167,学年度总表!$E$3:$E$1025,0))="","",INDEX(学年度总表!$P$3:$P$1025,MATCH($E167,学年度总表!$E$3:$E$1025,0)))</f>
        <v/>
      </c>
      <c r="Q167" s="5" t="str">
        <f>IF(INDEX(学年度总表!$Q$3:$Q$1025,MATCH($E167,学年度总表!$E$3:$E$1025,0))="","",INDEX(学年度总表!$Q$3:$Q$1025,MATCH($E167,学年度总表!$E$3:$E$1025,0)))</f>
        <v/>
      </c>
    </row>
    <row r="168" spans="1:17">
      <c r="A168" s="2">
        <f>IF(INDEX(学年度总表!$A$3:$A$1025,MATCH($E168,学年度总表!$E$3:$E$1025,0))="","",INDEX(学年度总表!$A$3:$A$1025,MATCH($E168,学年度总表!$E$3:$E$1025,0)))</f>
        <v>484</v>
      </c>
      <c r="B168" s="2">
        <f>IF(INDEX(学年度总表!$B$3:$B$1025,MATCH($E168,学年度总表!$E$3:$E$1025,0))="","",INDEX(学年度总表!$B$3:$B$1025,MATCH($E168,学年度总表!$E$3:$E$1025,0)))</f>
        <v>166</v>
      </c>
      <c r="C168" s="2" t="str">
        <f>IF(INDEX(学年度总表!$C$3:$C$1025,MATCH($E168,学年度总表!$E$3:$E$1025,0))="","",INDEX(学年度总表!$C$3:$C$1025,MATCH($E168,学年度总表!$E$3:$E$1025,0)))</f>
        <v>软工</v>
      </c>
      <c r="D168" s="2" t="str">
        <f>IF(INDEX(学年度总表!$D$3:$D$1025,MATCH($E168,学年度总表!$E$3:$E$1025,0))="","",INDEX(学年度总表!$D$3:$D$1025,MATCH($E168,学年度总表!$E$3:$E$1025,0)))</f>
        <v>软工6班</v>
      </c>
      <c r="E168" s="2" t="s">
        <v>1030</v>
      </c>
      <c r="F168" s="2" t="str">
        <f>IF(INDEX(学年度总表!$F$3:$F$1025,MATCH($E168,学年度总表!$E$3:$E$1025,0))="","",INDEX(学年度总表!$F$3:$F$1025,MATCH($E168,学年度总表!$E$3:$E$1025,0)))</f>
        <v>张文馨</v>
      </c>
      <c r="G168" s="3">
        <f>IF(INDEX(学年度总表!$G$3:$G$1025,MATCH($E168,学年度总表!$E$3:$E$1025,0))="","",INDEX(学年度总表!$G$3:$G$1025,MATCH($E168,学年度总表!$E$3:$E$1025,0)))</f>
        <v>9.8000000000000007</v>
      </c>
      <c r="H168" s="3">
        <f>IF(INDEX(学年度总表!$H$3:$H$1025,MATCH($E168,学年度总表!$E$3:$E$1025,0))="","",INDEX(学年度总表!$H$3:$H$1025,MATCH($E168,学年度总表!$E$3:$E$1025,0)))</f>
        <v>55.533333333333303</v>
      </c>
      <c r="I168" s="3">
        <f>IF(INDEX(学年度总表!$I$3:$I$1025,MATCH($E168,学年度总表!$E$3:$E$1025,0))="","",INDEX(学年度总表!$I$3:$I$1025,MATCH($E168,学年度总表!$E$3:$E$1025,0)))</f>
        <v>4.4000000000000004</v>
      </c>
      <c r="J168" s="3">
        <f>IF(INDEX(学年度总表!$J$3:$J$1025,MATCH($E168,学年度总表!$E$3:$E$1025,0))="","",INDEX(学年度总表!$J$3:$J$1025,MATCH($E168,学年度总表!$E$3:$E$1025,0)))</f>
        <v>69.73</v>
      </c>
      <c r="K168" s="3">
        <f>IF(INDEX(学年度总表!$K$3:$K$1025,MATCH($E168,学年度总表!$E$3:$E$1025,0))="","",INDEX(学年度总表!$K$3:$K$1025,MATCH($E168,学年度总表!$E$3:$E$1025,0)))</f>
        <v>9.8000000000000007</v>
      </c>
      <c r="L168" s="3">
        <f>IF(INDEX(学年度总表!$L$3:$L$1025,MATCH($E168,学年度总表!$E$3:$E$1025,0))="","",INDEX(学年度总表!$L$3:$L$1025,MATCH($E168,学年度总表!$E$3:$E$1025,0)))</f>
        <v>55.82</v>
      </c>
      <c r="M168" s="3">
        <f>IF(INDEX(学年度总表!$M$3:$M$1025,MATCH($E168,学年度总表!$E$3:$E$1025,0))="","",INDEX(学年度总表!$M$3:$M$1025,MATCH($E168,学年度总表!$E$3:$E$1025,0)))</f>
        <v>5.0999999999999996</v>
      </c>
      <c r="N168" s="3">
        <f>IF(INDEX(学年度总表!$N$3:$N$1025,MATCH($E168,学年度总表!$E$3:$E$1025,0))="","",INDEX(学年度总表!$N$3:$N$1025,MATCH($E168,学年度总表!$E$3:$E$1025,0)))</f>
        <v>70.72</v>
      </c>
      <c r="O168" s="3">
        <f>IF(INDEX(学年度总表!$O$3:$O$1025,MATCH($E168,学年度总表!$E$3:$E$1025,0))="","",INDEX(学年度总表!$O$3:$O$1025,MATCH($E168,学年度总表!$E$3:$E$1025,0)))</f>
        <v>140.44999999999999</v>
      </c>
      <c r="P168" s="2" t="str">
        <f>IF(INDEX(学年度总表!$P$3:$P$1025,MATCH($E168,学年度总表!$E$3:$E$1025,0))="","",INDEX(学年度总表!$P$3:$P$1025,MATCH($E168,学年度总表!$E$3:$E$1025,0)))</f>
        <v/>
      </c>
      <c r="Q168" s="5" t="str">
        <f>IF(INDEX(学年度总表!$Q$3:$Q$1025,MATCH($E168,学年度总表!$E$3:$E$1025,0))="","",INDEX(学年度总表!$Q$3:$Q$1025,MATCH($E168,学年度总表!$E$3:$E$1025,0)))</f>
        <v/>
      </c>
    </row>
    <row r="169" spans="1:17">
      <c r="A169" s="2">
        <f>IF(INDEX(学年度总表!$A$3:$A$1025,MATCH($E169,学年度总表!$E$3:$E$1025,0))="","",INDEX(学年度总表!$A$3:$A$1025,MATCH($E169,学年度总表!$E$3:$E$1025,0)))</f>
        <v>488</v>
      </c>
      <c r="B169" s="2">
        <f>IF(INDEX(学年度总表!$B$3:$B$1025,MATCH($E169,学年度总表!$E$3:$E$1025,0))="","",INDEX(学年度总表!$B$3:$B$1025,MATCH($E169,学年度总表!$E$3:$E$1025,0)))</f>
        <v>167</v>
      </c>
      <c r="C169" s="2" t="str">
        <f>IF(INDEX(学年度总表!$C$3:$C$1025,MATCH($E169,学年度总表!$E$3:$E$1025,0))="","",INDEX(学年度总表!$C$3:$C$1025,MATCH($E169,学年度总表!$E$3:$E$1025,0)))</f>
        <v>软工</v>
      </c>
      <c r="D169" s="2" t="str">
        <f>IF(INDEX(学年度总表!$D$3:$D$1025,MATCH($E169,学年度总表!$E$3:$E$1025,0))="","",INDEX(学年度总表!$D$3:$D$1025,MATCH($E169,学年度总表!$E$3:$E$1025,0)))</f>
        <v>软工10班</v>
      </c>
      <c r="E169" s="2" t="s">
        <v>1038</v>
      </c>
      <c r="F169" s="2" t="str">
        <f>IF(INDEX(学年度总表!$F$3:$F$1025,MATCH($E169,学年度总表!$E$3:$E$1025,0))="","",INDEX(学年度总表!$F$3:$F$1025,MATCH($E169,学年度总表!$E$3:$E$1025,0)))</f>
        <v>邓博奥</v>
      </c>
      <c r="G169" s="3">
        <f>IF(INDEX(学年度总表!$G$3:$G$1025,MATCH($E169,学年度总表!$E$3:$E$1025,0))="","",INDEX(学年度总表!$G$3:$G$1025,MATCH($E169,学年度总表!$E$3:$E$1025,0)))</f>
        <v>10.5</v>
      </c>
      <c r="H169" s="3">
        <f>IF(INDEX(学年度总表!$H$3:$H$1025,MATCH($E169,学年度总表!$E$3:$E$1025,0))="","",INDEX(学年度总表!$H$3:$H$1025,MATCH($E169,学年度总表!$E$3:$E$1025,0)))</f>
        <v>59.95</v>
      </c>
      <c r="I169" s="3">
        <f>IF(INDEX(学年度总表!$I$3:$I$1025,MATCH($E169,学年度总表!$E$3:$E$1025,0))="","",INDEX(学年度总表!$I$3:$I$1025,MATCH($E169,学年度总表!$E$3:$E$1025,0)))</f>
        <v>3</v>
      </c>
      <c r="J169" s="3">
        <f>IF(INDEX(学年度总表!$J$3:$J$1025,MATCH($E169,学年度总表!$E$3:$E$1025,0))="","",INDEX(学年度总表!$J$3:$J$1025,MATCH($E169,学年度总表!$E$3:$E$1025,0)))</f>
        <v>73.45</v>
      </c>
      <c r="K169" s="3">
        <f>IF(INDEX(学年度总表!$K$3:$K$1025,MATCH($E169,学年度总表!$E$3:$E$1025,0))="","",INDEX(学年度总表!$K$3:$K$1025,MATCH($E169,学年度总表!$E$3:$E$1025,0)))</f>
        <v>10</v>
      </c>
      <c r="L169" s="3">
        <f>IF(INDEX(学年度总表!$L$3:$L$1025,MATCH($E169,学年度总表!$E$3:$E$1025,0))="","",INDEX(学年度总表!$L$3:$L$1025,MATCH($E169,学年度总表!$E$3:$E$1025,0)))</f>
        <v>52.2</v>
      </c>
      <c r="M169" s="3">
        <f>IF(INDEX(学年度总表!$M$3:$M$1025,MATCH($E169,学年度总表!$E$3:$E$1025,0))="","",INDEX(学年度总表!$M$3:$M$1025,MATCH($E169,学年度总表!$E$3:$E$1025,0)))</f>
        <v>4.7</v>
      </c>
      <c r="N169" s="3">
        <f>IF(INDEX(学年度总表!$N$3:$N$1025,MATCH($E169,学年度总表!$E$3:$E$1025,0))="","",INDEX(学年度总表!$N$3:$N$1025,MATCH($E169,学年度总表!$E$3:$E$1025,0)))</f>
        <v>66.900000000000006</v>
      </c>
      <c r="O169" s="3">
        <f>IF(INDEX(学年度总表!$O$3:$O$1025,MATCH($E169,学年度总表!$E$3:$E$1025,0))="","",INDEX(学年度总表!$O$3:$O$1025,MATCH($E169,学年度总表!$E$3:$E$1025,0)))</f>
        <v>140.35</v>
      </c>
      <c r="P169" s="2" t="str">
        <f>IF(INDEX(学年度总表!$P$3:$P$1025,MATCH($E169,学年度总表!$E$3:$E$1025,0))="","",INDEX(学年度总表!$P$3:$P$1025,MATCH($E169,学年度总表!$E$3:$E$1025,0)))</f>
        <v/>
      </c>
      <c r="Q169" s="5" t="str">
        <f>IF(INDEX(学年度总表!$Q$3:$Q$1025,MATCH($E169,学年度总表!$E$3:$E$1025,0))="","",INDEX(学年度总表!$Q$3:$Q$1025,MATCH($E169,学年度总表!$E$3:$E$1025,0)))</f>
        <v/>
      </c>
    </row>
    <row r="170" spans="1:17">
      <c r="A170" s="2">
        <f>IF(INDEX(学年度总表!$A$3:$A$1025,MATCH($E170,学年度总表!$E$3:$E$1025,0))="","",INDEX(学年度总表!$A$3:$A$1025,MATCH($E170,学年度总表!$E$3:$E$1025,0)))</f>
        <v>491</v>
      </c>
      <c r="B170" s="2">
        <f>IF(INDEX(学年度总表!$B$3:$B$1025,MATCH($E170,学年度总表!$E$3:$E$1025,0))="","",INDEX(学年度总表!$B$3:$B$1025,MATCH($E170,学年度总表!$E$3:$E$1025,0)))</f>
        <v>168</v>
      </c>
      <c r="C170" s="2" t="str">
        <f>IF(INDEX(学年度总表!$C$3:$C$1025,MATCH($E170,学年度总表!$E$3:$E$1025,0))="","",INDEX(学年度总表!$C$3:$C$1025,MATCH($E170,学年度总表!$E$3:$E$1025,0)))</f>
        <v>软工</v>
      </c>
      <c r="D170" s="2" t="str">
        <f>IF(INDEX(学年度总表!$D$3:$D$1025,MATCH($E170,学年度总表!$E$3:$E$1025,0))="","",INDEX(学年度总表!$D$3:$D$1025,MATCH($E170,学年度总表!$E$3:$E$1025,0)))</f>
        <v>软工13班</v>
      </c>
      <c r="E170" s="2" t="s">
        <v>1044</v>
      </c>
      <c r="F170" s="2" t="str">
        <f>IF(INDEX(学年度总表!$F$3:$F$1025,MATCH($E170,学年度总表!$E$3:$E$1025,0))="","",INDEX(学年度总表!$F$3:$F$1025,MATCH($E170,学年度总表!$E$3:$E$1025,0)))</f>
        <v>黄博</v>
      </c>
      <c r="G170" s="3">
        <f>IF(INDEX(学年度总表!$G$3:$G$1025,MATCH($E170,学年度总表!$E$3:$E$1025,0))="","",INDEX(学年度总表!$G$3:$G$1025,MATCH($E170,学年度总表!$E$3:$E$1025,0)))</f>
        <v>10</v>
      </c>
      <c r="H170" s="3">
        <f>IF(INDEX(学年度总表!$H$3:$H$1025,MATCH($E170,学年度总表!$E$3:$E$1025,0))="","",INDEX(学年度总表!$H$3:$H$1025,MATCH($E170,学年度总表!$E$3:$E$1025,0)))</f>
        <v>58.65</v>
      </c>
      <c r="I170" s="3">
        <f>IF(INDEX(学年度总表!$I$3:$I$1025,MATCH($E170,学年度总表!$E$3:$E$1025,0))="","",INDEX(学年度总表!$I$3:$I$1025,MATCH($E170,学年度总表!$E$3:$E$1025,0)))</f>
        <v>3</v>
      </c>
      <c r="J170" s="3">
        <f>IF(INDEX(学年度总表!$J$3:$J$1025,MATCH($E170,学年度总表!$E$3:$E$1025,0))="","",INDEX(学年度总表!$J$3:$J$1025,MATCH($E170,学年度总表!$E$3:$E$1025,0)))</f>
        <v>71.650000000000006</v>
      </c>
      <c r="K170" s="3">
        <f>IF(INDEX(学年度总表!$K$3:$K$1025,MATCH($E170,学年度总表!$E$3:$E$1025,0))="","",INDEX(学年度总表!$K$3:$K$1025,MATCH($E170,学年度总表!$E$3:$E$1025,0)))</f>
        <v>10</v>
      </c>
      <c r="L170" s="3">
        <f>IF(INDEX(学年度总表!$L$3:$L$1025,MATCH($E170,学年度总表!$E$3:$E$1025,0))="","",INDEX(学年度总表!$L$3:$L$1025,MATCH($E170,学年度总表!$E$3:$E$1025,0)))</f>
        <v>55.1</v>
      </c>
      <c r="M170" s="3">
        <f>IF(INDEX(学年度总表!$M$3:$M$1025,MATCH($E170,学年度总表!$E$3:$E$1025,0))="","",INDEX(学年度总表!$M$3:$M$1025,MATCH($E170,学年度总表!$E$3:$E$1025,0)))</f>
        <v>3.5</v>
      </c>
      <c r="N170" s="3">
        <f>IF(INDEX(学年度总表!$N$3:$N$1025,MATCH($E170,学年度总表!$E$3:$E$1025,0))="","",INDEX(学年度总表!$N$3:$N$1025,MATCH($E170,学年度总表!$E$3:$E$1025,0)))</f>
        <v>68.599999999999994</v>
      </c>
      <c r="O170" s="3">
        <f>IF(INDEX(学年度总表!$O$3:$O$1025,MATCH($E170,学年度总表!$E$3:$E$1025,0))="","",INDEX(学年度总表!$O$3:$O$1025,MATCH($E170,学年度总表!$E$3:$E$1025,0)))</f>
        <v>140.25</v>
      </c>
      <c r="P170" s="2" t="str">
        <f>IF(INDEX(学年度总表!$P$3:$P$1025,MATCH($E170,学年度总表!$E$3:$E$1025,0))="","",INDEX(学年度总表!$P$3:$P$1025,MATCH($E170,学年度总表!$E$3:$E$1025,0)))</f>
        <v/>
      </c>
      <c r="Q170" s="5" t="str">
        <f>IF(INDEX(学年度总表!$Q$3:$Q$1025,MATCH($E170,学年度总表!$E$3:$E$1025,0))="","",INDEX(学年度总表!$Q$3:$Q$1025,MATCH($E170,学年度总表!$E$3:$E$1025,0)))</f>
        <v/>
      </c>
    </row>
    <row r="171" spans="1:17">
      <c r="A171" s="2">
        <f>IF(INDEX(学年度总表!$A$3:$A$1025,MATCH($E171,学年度总表!$E$3:$E$1025,0))="","",INDEX(学年度总表!$A$3:$A$1025,MATCH($E171,学年度总表!$E$3:$E$1025,0)))</f>
        <v>496</v>
      </c>
      <c r="B171" s="2">
        <f>IF(INDEX(学年度总表!$B$3:$B$1025,MATCH($E171,学年度总表!$E$3:$E$1025,0))="","",INDEX(学年度总表!$B$3:$B$1025,MATCH($E171,学年度总表!$E$3:$E$1025,0)))</f>
        <v>169</v>
      </c>
      <c r="C171" s="2" t="str">
        <f>IF(INDEX(学年度总表!$C$3:$C$1025,MATCH($E171,学年度总表!$E$3:$E$1025,0))="","",INDEX(学年度总表!$C$3:$C$1025,MATCH($E171,学年度总表!$E$3:$E$1025,0)))</f>
        <v>软工</v>
      </c>
      <c r="D171" s="2" t="str">
        <f>IF(INDEX(学年度总表!$D$3:$D$1025,MATCH($E171,学年度总表!$E$3:$E$1025,0))="","",INDEX(学年度总表!$D$3:$D$1025,MATCH($E171,学年度总表!$E$3:$E$1025,0)))</f>
        <v>软工5班</v>
      </c>
      <c r="E171" s="2" t="s">
        <v>1054</v>
      </c>
      <c r="F171" s="2" t="str">
        <f>IF(INDEX(学年度总表!$F$3:$F$1025,MATCH($E171,学年度总表!$E$3:$E$1025,0))="","",INDEX(学年度总表!$F$3:$F$1025,MATCH($E171,学年度总表!$E$3:$E$1025,0)))</f>
        <v>张祥成</v>
      </c>
      <c r="G171" s="3">
        <f>IF(INDEX(学年度总表!$G$3:$G$1025,MATCH($E171,学年度总表!$E$3:$E$1025,0))="","",INDEX(学年度总表!$G$3:$G$1025,MATCH($E171,学年度总表!$E$3:$E$1025,0)))</f>
        <v>9.8000000000000007</v>
      </c>
      <c r="H171" s="3">
        <f>IF(INDEX(学年度总表!$H$3:$H$1025,MATCH($E171,学年度总表!$E$3:$E$1025,0))="","",INDEX(学年度总表!$H$3:$H$1025,MATCH($E171,学年度总表!$E$3:$E$1025,0)))</f>
        <v>59.66</v>
      </c>
      <c r="I171" s="3">
        <f>IF(INDEX(学年度总表!$I$3:$I$1025,MATCH($E171,学年度总表!$E$3:$E$1025,0))="","",INDEX(学年度总表!$I$3:$I$1025,MATCH($E171,学年度总表!$E$3:$E$1025,0)))</f>
        <v>3</v>
      </c>
      <c r="J171" s="3">
        <f>IF(INDEX(学年度总表!$J$3:$J$1025,MATCH($E171,学年度总表!$E$3:$E$1025,0))="","",INDEX(学年度总表!$J$3:$J$1025,MATCH($E171,学年度总表!$E$3:$E$1025,0)))</f>
        <v>72.459999999999994</v>
      </c>
      <c r="K171" s="3">
        <f>IF(INDEX(学年度总表!$K$3:$K$1025,MATCH($E171,学年度总表!$E$3:$E$1025,0))="","",INDEX(学年度总表!$K$3:$K$1025,MATCH($E171,学年度总表!$E$3:$E$1025,0)))</f>
        <v>9.4</v>
      </c>
      <c r="L171" s="3">
        <f>IF(INDEX(学年度总表!$L$3:$L$1025,MATCH($E171,学年度总表!$E$3:$E$1025,0))="","",INDEX(学年度总表!$L$3:$L$1025,MATCH($E171,学年度总表!$E$3:$E$1025,0)))</f>
        <v>54.67</v>
      </c>
      <c r="M171" s="3">
        <f>IF(INDEX(学年度总表!$M$3:$M$1025,MATCH($E171,学年度总表!$E$3:$E$1025,0))="","",INDEX(学年度总表!$M$3:$M$1025,MATCH($E171,学年度总表!$E$3:$E$1025,0)))</f>
        <v>3.5</v>
      </c>
      <c r="N171" s="3">
        <f>IF(INDEX(学年度总表!$N$3:$N$1025,MATCH($E171,学年度总表!$E$3:$E$1025,0))="","",INDEX(学年度总表!$N$3:$N$1025,MATCH($E171,学年度总表!$E$3:$E$1025,0)))</f>
        <v>67.569999999999993</v>
      </c>
      <c r="O171" s="3">
        <f>IF(INDEX(学年度总表!$O$3:$O$1025,MATCH($E171,学年度总表!$E$3:$E$1025,0))="","",INDEX(学年度总表!$O$3:$O$1025,MATCH($E171,学年度总表!$E$3:$E$1025,0)))</f>
        <v>140.03</v>
      </c>
      <c r="P171" s="2" t="str">
        <f>IF(INDEX(学年度总表!$P$3:$P$1025,MATCH($E171,学年度总表!$E$3:$E$1025,0))="","",INDEX(学年度总表!$P$3:$P$1025,MATCH($E171,学年度总表!$E$3:$E$1025,0)))</f>
        <v/>
      </c>
      <c r="Q171" s="5" t="str">
        <f>IF(INDEX(学年度总表!$Q$3:$Q$1025,MATCH($E171,学年度总表!$E$3:$E$1025,0))="","",INDEX(学年度总表!$Q$3:$Q$1025,MATCH($E171,学年度总表!$E$3:$E$1025,0)))</f>
        <v/>
      </c>
    </row>
    <row r="172" spans="1:17">
      <c r="A172" s="2">
        <f>IF(INDEX(学年度总表!$A$3:$A$1025,MATCH($E172,学年度总表!$E$3:$E$1025,0))="","",INDEX(学年度总表!$A$3:$A$1025,MATCH($E172,学年度总表!$E$3:$E$1025,0)))</f>
        <v>498</v>
      </c>
      <c r="B172" s="2">
        <f>IF(INDEX(学年度总表!$B$3:$B$1025,MATCH($E172,学年度总表!$E$3:$E$1025,0))="","",INDEX(学年度总表!$B$3:$B$1025,MATCH($E172,学年度总表!$E$3:$E$1025,0)))</f>
        <v>170</v>
      </c>
      <c r="C172" s="2" t="str">
        <f>IF(INDEX(学年度总表!$C$3:$C$1025,MATCH($E172,学年度总表!$E$3:$E$1025,0))="","",INDEX(学年度总表!$C$3:$C$1025,MATCH($E172,学年度总表!$E$3:$E$1025,0)))</f>
        <v>软工</v>
      </c>
      <c r="D172" s="2" t="str">
        <f>IF(INDEX(学年度总表!$D$3:$D$1025,MATCH($E172,学年度总表!$E$3:$E$1025,0))="","",INDEX(学年度总表!$D$3:$D$1025,MATCH($E172,学年度总表!$E$3:$E$1025,0)))</f>
        <v>软工7班</v>
      </c>
      <c r="E172" s="2" t="s">
        <v>1058</v>
      </c>
      <c r="F172" s="2" t="str">
        <f>IF(INDEX(学年度总表!$F$3:$F$1025,MATCH($E172,学年度总表!$E$3:$E$1025,0))="","",INDEX(学年度总表!$F$3:$F$1025,MATCH($E172,学年度总表!$E$3:$E$1025,0)))</f>
        <v>胡翊凡</v>
      </c>
      <c r="G172" s="3">
        <f>IF(INDEX(学年度总表!$G$3:$G$1025,MATCH($E172,学年度总表!$E$3:$E$1025,0))="","",INDEX(学年度总表!$G$3:$G$1025,MATCH($E172,学年度总表!$E$3:$E$1025,0)))</f>
        <v>10</v>
      </c>
      <c r="H172" s="3">
        <f>IF(INDEX(学年度总表!$H$3:$H$1025,MATCH($E172,学年度总表!$E$3:$E$1025,0))="","",INDEX(学年度总表!$H$3:$H$1025,MATCH($E172,学年度总表!$E$3:$E$1025,0)))</f>
        <v>62.18</v>
      </c>
      <c r="I172" s="3">
        <f>IF(INDEX(学年度总表!$I$3:$I$1025,MATCH($E172,学年度总表!$E$3:$E$1025,0))="","",INDEX(学年度总表!$I$3:$I$1025,MATCH($E172,学年度总表!$E$3:$E$1025,0)))</f>
        <v>3</v>
      </c>
      <c r="J172" s="3">
        <f>IF(INDEX(学年度总表!$J$3:$J$1025,MATCH($E172,学年度总表!$E$3:$E$1025,0))="","",INDEX(学年度总表!$J$3:$J$1025,MATCH($E172,学年度总表!$E$3:$E$1025,0)))</f>
        <v>75.180000000000007</v>
      </c>
      <c r="K172" s="3">
        <f>IF(INDEX(学年度总表!$K$3:$K$1025,MATCH($E172,学年度总表!$E$3:$E$1025,0))="","",INDEX(学年度总表!$K$3:$K$1025,MATCH($E172,学年度总表!$E$3:$E$1025,0)))</f>
        <v>7.5</v>
      </c>
      <c r="L172" s="3">
        <f>IF(INDEX(学年度总表!$L$3:$L$1025,MATCH($E172,学年度总表!$E$3:$E$1025,0))="","",INDEX(学年度总表!$L$3:$L$1025,MATCH($E172,学年度总表!$E$3:$E$1025,0)))</f>
        <v>54.34</v>
      </c>
      <c r="M172" s="3">
        <f>IF(INDEX(学年度总表!$M$3:$M$1025,MATCH($E172,学年度总表!$E$3:$E$1025,0))="","",INDEX(学年度总表!$M$3:$M$1025,MATCH($E172,学年度总表!$E$3:$E$1025,0)))</f>
        <v>3</v>
      </c>
      <c r="N172" s="3">
        <f>IF(INDEX(学年度总表!$N$3:$N$1025,MATCH($E172,学年度总表!$E$3:$E$1025,0))="","",INDEX(学年度总表!$N$3:$N$1025,MATCH($E172,学年度总表!$E$3:$E$1025,0)))</f>
        <v>64.84</v>
      </c>
      <c r="O172" s="3">
        <f>IF(INDEX(学年度总表!$O$3:$O$1025,MATCH($E172,学年度总表!$E$3:$E$1025,0))="","",INDEX(学年度总表!$O$3:$O$1025,MATCH($E172,学年度总表!$E$3:$E$1025,0)))</f>
        <v>140.02000000000001</v>
      </c>
      <c r="P172" s="2" t="str">
        <f>IF(INDEX(学年度总表!$P$3:$P$1025,MATCH($E172,学年度总表!$E$3:$E$1025,0))="","",INDEX(学年度总表!$P$3:$P$1025,MATCH($E172,学年度总表!$E$3:$E$1025,0)))</f>
        <v/>
      </c>
      <c r="Q172" s="5" t="str">
        <f>IF(INDEX(学年度总表!$Q$3:$Q$1025,MATCH($E172,学年度总表!$E$3:$E$1025,0))="","",INDEX(学年度总表!$Q$3:$Q$1025,MATCH($E172,学年度总表!$E$3:$E$1025,0)))</f>
        <v/>
      </c>
    </row>
    <row r="173" spans="1:17">
      <c r="A173" s="2">
        <f>IF(INDEX(学年度总表!$A$3:$A$1025,MATCH($E173,学年度总表!$E$3:$E$1025,0))="","",INDEX(学年度总表!$A$3:$A$1025,MATCH($E173,学年度总表!$E$3:$E$1025,0)))</f>
        <v>502</v>
      </c>
      <c r="B173" s="2">
        <f>IF(INDEX(学年度总表!$B$3:$B$1025,MATCH($E173,学年度总表!$E$3:$E$1025,0))="","",INDEX(学年度总表!$B$3:$B$1025,MATCH($E173,学年度总表!$E$3:$E$1025,0)))</f>
        <v>171</v>
      </c>
      <c r="C173" s="2" t="str">
        <f>IF(INDEX(学年度总表!$C$3:$C$1025,MATCH($E173,学年度总表!$E$3:$E$1025,0))="","",INDEX(学年度总表!$C$3:$C$1025,MATCH($E173,学年度总表!$E$3:$E$1025,0)))</f>
        <v>软工</v>
      </c>
      <c r="D173" s="2" t="str">
        <f>IF(INDEX(学年度总表!$D$3:$D$1025,MATCH($E173,学年度总表!$E$3:$E$1025,0))="","",INDEX(学年度总表!$D$3:$D$1025,MATCH($E173,学年度总表!$E$3:$E$1025,0)))</f>
        <v>软工13班</v>
      </c>
      <c r="E173" s="2" t="s">
        <v>1066</v>
      </c>
      <c r="F173" s="2" t="str">
        <f>IF(INDEX(学年度总表!$F$3:$F$1025,MATCH($E173,学年度总表!$E$3:$E$1025,0))="","",INDEX(学年度总表!$F$3:$F$1025,MATCH($E173,学年度总表!$E$3:$E$1025,0)))</f>
        <v>纪欣彤</v>
      </c>
      <c r="G173" s="3">
        <f>IF(INDEX(学年度总表!$G$3:$G$1025,MATCH($E173,学年度总表!$E$3:$E$1025,0))="","",INDEX(学年度总表!$G$3:$G$1025,MATCH($E173,学年度总表!$E$3:$E$1025,0)))</f>
        <v>10.3</v>
      </c>
      <c r="H173" s="3">
        <f>IF(INDEX(学年度总表!$H$3:$H$1025,MATCH($E173,学年度总表!$E$3:$E$1025,0))="","",INDEX(学年度总表!$H$3:$H$1025,MATCH($E173,学年度总表!$E$3:$E$1025,0)))</f>
        <v>58.64</v>
      </c>
      <c r="I173" s="3">
        <f>IF(INDEX(学年度总表!$I$3:$I$1025,MATCH($E173,学年度总表!$E$3:$E$1025,0))="","",INDEX(学年度总表!$I$3:$I$1025,MATCH($E173,学年度总表!$E$3:$E$1025,0)))</f>
        <v>4.5999999999999996</v>
      </c>
      <c r="J173" s="3">
        <f>IF(INDEX(学年度总表!$J$3:$J$1025,MATCH($E173,学年度总表!$E$3:$E$1025,0))="","",INDEX(学年度总表!$J$3:$J$1025,MATCH($E173,学年度总表!$E$3:$E$1025,0)))</f>
        <v>73.540000000000006</v>
      </c>
      <c r="K173" s="3">
        <f>IF(INDEX(学年度总表!$K$3:$K$1025,MATCH($E173,学年度总表!$E$3:$E$1025,0))="","",INDEX(学年度总表!$K$3:$K$1025,MATCH($E173,学年度总表!$E$3:$E$1025,0)))</f>
        <v>9.4</v>
      </c>
      <c r="L173" s="3">
        <f>IF(INDEX(学年度总表!$L$3:$L$1025,MATCH($E173,学年度总表!$E$3:$E$1025,0))="","",INDEX(学年度总表!$L$3:$L$1025,MATCH($E173,学年度总表!$E$3:$E$1025,0)))</f>
        <v>52.44</v>
      </c>
      <c r="M173" s="3">
        <f>IF(INDEX(学年度总表!$M$3:$M$1025,MATCH($E173,学年度总表!$E$3:$E$1025,0))="","",INDEX(学年度总表!$M$3:$M$1025,MATCH($E173,学年度总表!$E$3:$E$1025,0)))</f>
        <v>4.5</v>
      </c>
      <c r="N173" s="3">
        <f>IF(INDEX(学年度总表!$N$3:$N$1025,MATCH($E173,学年度总表!$E$3:$E$1025,0))="","",INDEX(学年度总表!$N$3:$N$1025,MATCH($E173,学年度总表!$E$3:$E$1025,0)))</f>
        <v>66.34</v>
      </c>
      <c r="O173" s="3">
        <f>IF(INDEX(学年度总表!$O$3:$O$1025,MATCH($E173,学年度总表!$E$3:$E$1025,0))="","",INDEX(学年度总表!$O$3:$O$1025,MATCH($E173,学年度总表!$E$3:$E$1025,0)))</f>
        <v>139.88</v>
      </c>
      <c r="P173" s="2" t="str">
        <f>IF(INDEX(学年度总表!$P$3:$P$1025,MATCH($E173,学年度总表!$E$3:$E$1025,0))="","",INDEX(学年度总表!$P$3:$P$1025,MATCH($E173,学年度总表!$E$3:$E$1025,0)))</f>
        <v/>
      </c>
      <c r="Q173" s="5" t="str">
        <f>IF(INDEX(学年度总表!$Q$3:$Q$1025,MATCH($E173,学年度总表!$E$3:$E$1025,0))="","",INDEX(学年度总表!$Q$3:$Q$1025,MATCH($E173,学年度总表!$E$3:$E$1025,0)))</f>
        <v/>
      </c>
    </row>
    <row r="174" spans="1:17">
      <c r="A174" s="2">
        <f>IF(INDEX(学年度总表!$A$3:$A$1025,MATCH($E174,学年度总表!$E$3:$E$1025,0))="","",INDEX(学年度总表!$A$3:$A$1025,MATCH($E174,学年度总表!$E$3:$E$1025,0)))</f>
        <v>503</v>
      </c>
      <c r="B174" s="2">
        <f>IF(INDEX(学年度总表!$B$3:$B$1025,MATCH($E174,学年度总表!$E$3:$E$1025,0))="","",INDEX(学年度总表!$B$3:$B$1025,MATCH($E174,学年度总表!$E$3:$E$1025,0)))</f>
        <v>172</v>
      </c>
      <c r="C174" s="2" t="str">
        <f>IF(INDEX(学年度总表!$C$3:$C$1025,MATCH($E174,学年度总表!$E$3:$E$1025,0))="","",INDEX(学年度总表!$C$3:$C$1025,MATCH($E174,学年度总表!$E$3:$E$1025,0)))</f>
        <v>软工</v>
      </c>
      <c r="D174" s="2" t="str">
        <f>IF(INDEX(学年度总表!$D$3:$D$1025,MATCH($E174,学年度总表!$E$3:$E$1025,0))="","",INDEX(学年度总表!$D$3:$D$1025,MATCH($E174,学年度总表!$E$3:$E$1025,0)))</f>
        <v>软工12班</v>
      </c>
      <c r="E174" s="2" t="s">
        <v>1068</v>
      </c>
      <c r="F174" s="2" t="str">
        <f>IF(INDEX(学年度总表!$F$3:$F$1025,MATCH($E174,学年度总表!$E$3:$E$1025,0))="","",INDEX(学年度总表!$F$3:$F$1025,MATCH($E174,学年度总表!$E$3:$E$1025,0)))</f>
        <v>于浩然</v>
      </c>
      <c r="G174" s="3">
        <f>IF(INDEX(学年度总表!$G$3:$G$1025,MATCH($E174,学年度总表!$E$3:$E$1025,0))="","",INDEX(学年度总表!$G$3:$G$1025,MATCH($E174,学年度总表!$E$3:$E$1025,0)))</f>
        <v>13.3</v>
      </c>
      <c r="H174" s="3">
        <f>IF(INDEX(学年度总表!$H$3:$H$1025,MATCH($E174,学年度总表!$E$3:$E$1025,0))="","",INDEX(学年度总表!$H$3:$H$1025,MATCH($E174,学年度总表!$E$3:$E$1025,0)))</f>
        <v>53.48</v>
      </c>
      <c r="I174" s="3">
        <f>IF(INDEX(学年度总表!$I$3:$I$1025,MATCH($E174,学年度总表!$E$3:$E$1025,0))="","",INDEX(学年度总表!$I$3:$I$1025,MATCH($E174,学年度总表!$E$3:$E$1025,0)))</f>
        <v>4.2</v>
      </c>
      <c r="J174" s="3">
        <f>IF(INDEX(学年度总表!$J$3:$J$1025,MATCH($E174,学年度总表!$E$3:$E$1025,0))="","",INDEX(学年度总表!$J$3:$J$1025,MATCH($E174,学年度总表!$E$3:$E$1025,0)))</f>
        <v>70.98</v>
      </c>
      <c r="K174" s="3">
        <f>IF(INDEX(学年度总表!$K$3:$K$1025,MATCH($E174,学年度总表!$E$3:$E$1025,0))="","",INDEX(学年度总表!$K$3:$K$1025,MATCH($E174,学年度总表!$E$3:$E$1025,0)))</f>
        <v>12.8</v>
      </c>
      <c r="L174" s="3">
        <f>IF(INDEX(学年度总表!$L$3:$L$1025,MATCH($E174,学年度总表!$E$3:$E$1025,0))="","",INDEX(学年度总表!$L$3:$L$1025,MATCH($E174,学年度总表!$E$3:$E$1025,0)))</f>
        <v>51.04</v>
      </c>
      <c r="M174" s="3">
        <f>IF(INDEX(学年度总表!$M$3:$M$1025,MATCH($E174,学年度总表!$E$3:$E$1025,0))="","",INDEX(学年度总表!$M$3:$M$1025,MATCH($E174,学年度总表!$E$3:$E$1025,0)))</f>
        <v>5</v>
      </c>
      <c r="N174" s="3">
        <f>IF(INDEX(学年度总表!$N$3:$N$1025,MATCH($E174,学年度总表!$E$3:$E$1025,0))="","",INDEX(学年度总表!$N$3:$N$1025,MATCH($E174,学年度总表!$E$3:$E$1025,0)))</f>
        <v>68.84</v>
      </c>
      <c r="O174" s="3">
        <f>IF(INDEX(学年度总表!$O$3:$O$1025,MATCH($E174,学年度总表!$E$3:$E$1025,0))="","",INDEX(学年度总表!$O$3:$O$1025,MATCH($E174,学年度总表!$E$3:$E$1025,0)))</f>
        <v>139.82</v>
      </c>
      <c r="P174" s="2" t="str">
        <f>IF(INDEX(学年度总表!$P$3:$P$1025,MATCH($E174,学年度总表!$E$3:$E$1025,0))="","",INDEX(学年度总表!$P$3:$P$1025,MATCH($E174,学年度总表!$E$3:$E$1025,0)))</f>
        <v/>
      </c>
      <c r="Q174" s="5" t="str">
        <f>IF(INDEX(学年度总表!$Q$3:$Q$1025,MATCH($E174,学年度总表!$E$3:$E$1025,0))="","",INDEX(学年度总表!$Q$3:$Q$1025,MATCH($E174,学年度总表!$E$3:$E$1025,0)))</f>
        <v/>
      </c>
    </row>
    <row r="175" spans="1:17">
      <c r="A175" s="2">
        <f>IF(INDEX(学年度总表!$A$3:$A$1025,MATCH($E175,学年度总表!$E$3:$E$1025,0))="","",INDEX(学年度总表!$A$3:$A$1025,MATCH($E175,学年度总表!$E$3:$E$1025,0)))</f>
        <v>506</v>
      </c>
      <c r="B175" s="2">
        <f>IF(INDEX(学年度总表!$B$3:$B$1025,MATCH($E175,学年度总表!$E$3:$E$1025,0))="","",INDEX(学年度总表!$B$3:$B$1025,MATCH($E175,学年度总表!$E$3:$E$1025,0)))</f>
        <v>173</v>
      </c>
      <c r="C175" s="2" t="str">
        <f>IF(INDEX(学年度总表!$C$3:$C$1025,MATCH($E175,学年度总表!$E$3:$E$1025,0))="","",INDEX(学年度总表!$C$3:$C$1025,MATCH($E175,学年度总表!$E$3:$E$1025,0)))</f>
        <v>软工</v>
      </c>
      <c r="D175" s="2" t="str">
        <f>IF(INDEX(学年度总表!$D$3:$D$1025,MATCH($E175,学年度总表!$E$3:$E$1025,0))="","",INDEX(学年度总表!$D$3:$D$1025,MATCH($E175,学年度总表!$E$3:$E$1025,0)))</f>
        <v>软工10班</v>
      </c>
      <c r="E175" s="2" t="s">
        <v>1074</v>
      </c>
      <c r="F175" s="2" t="str">
        <f>IF(INDEX(学年度总表!$F$3:$F$1025,MATCH($E175,学年度总表!$E$3:$E$1025,0))="","",INDEX(学年度总表!$F$3:$F$1025,MATCH($E175,学年度总表!$E$3:$E$1025,0)))</f>
        <v>孙道元</v>
      </c>
      <c r="G175" s="3">
        <f>IF(INDEX(学年度总表!$G$3:$G$1025,MATCH($E175,学年度总表!$E$3:$E$1025,0))="","",INDEX(学年度总表!$G$3:$G$1025,MATCH($E175,学年度总表!$E$3:$E$1025,0)))</f>
        <v>9.8000000000000007</v>
      </c>
      <c r="H175" s="3">
        <f>IF(INDEX(学年度总表!$H$3:$H$1025,MATCH($E175,学年度总表!$E$3:$E$1025,0))="","",INDEX(学年度总表!$H$3:$H$1025,MATCH($E175,学年度总表!$E$3:$E$1025,0)))</f>
        <v>58.77</v>
      </c>
      <c r="I175" s="3">
        <f>IF(INDEX(学年度总表!$I$3:$I$1025,MATCH($E175,学年度总表!$E$3:$E$1025,0))="","",INDEX(学年度总表!$I$3:$I$1025,MATCH($E175,学年度总表!$E$3:$E$1025,0)))</f>
        <v>3</v>
      </c>
      <c r="J175" s="3">
        <f>IF(INDEX(学年度总表!$J$3:$J$1025,MATCH($E175,学年度总表!$E$3:$E$1025,0))="","",INDEX(学年度总表!$J$3:$J$1025,MATCH($E175,学年度总表!$E$3:$E$1025,0)))</f>
        <v>71.569999999999993</v>
      </c>
      <c r="K175" s="3">
        <f>IF(INDEX(学年度总表!$K$3:$K$1025,MATCH($E175,学年度总表!$E$3:$E$1025,0))="","",INDEX(学年度总表!$K$3:$K$1025,MATCH($E175,学年度总表!$E$3:$E$1025,0)))</f>
        <v>9.8000000000000007</v>
      </c>
      <c r="L175" s="3">
        <f>IF(INDEX(学年度总表!$L$3:$L$1025,MATCH($E175,学年度总表!$E$3:$E$1025,0))="","",INDEX(学年度总表!$L$3:$L$1025,MATCH($E175,学年度总表!$E$3:$E$1025,0)))</f>
        <v>53.9</v>
      </c>
      <c r="M175" s="3">
        <f>IF(INDEX(学年度总表!$M$3:$M$1025,MATCH($E175,学年度总表!$E$3:$E$1025,0))="","",INDEX(学年度总表!$M$3:$M$1025,MATCH($E175,学年度总表!$E$3:$E$1025,0)))</f>
        <v>4.5</v>
      </c>
      <c r="N175" s="3">
        <f>IF(INDEX(学年度总表!$N$3:$N$1025,MATCH($E175,学年度总表!$E$3:$E$1025,0))="","",INDEX(学年度总表!$N$3:$N$1025,MATCH($E175,学年度总表!$E$3:$E$1025,0)))</f>
        <v>68.2</v>
      </c>
      <c r="O175" s="3">
        <f>IF(INDEX(学年度总表!$O$3:$O$1025,MATCH($E175,学年度总表!$E$3:$E$1025,0))="","",INDEX(学年度总表!$O$3:$O$1025,MATCH($E175,学年度总表!$E$3:$E$1025,0)))</f>
        <v>139.77000000000001</v>
      </c>
      <c r="P175" s="2" t="str">
        <f>IF(INDEX(学年度总表!$P$3:$P$1025,MATCH($E175,学年度总表!$E$3:$E$1025,0))="","",INDEX(学年度总表!$P$3:$P$1025,MATCH($E175,学年度总表!$E$3:$E$1025,0)))</f>
        <v/>
      </c>
      <c r="Q175" s="5" t="str">
        <f>IF(INDEX(学年度总表!$Q$3:$Q$1025,MATCH($E175,学年度总表!$E$3:$E$1025,0))="","",INDEX(学年度总表!$Q$3:$Q$1025,MATCH($E175,学年度总表!$E$3:$E$1025,0)))</f>
        <v/>
      </c>
    </row>
    <row r="176" spans="1:17">
      <c r="A176" s="2">
        <f>IF(INDEX(学年度总表!$A$3:$A$1025,MATCH($E176,学年度总表!$E$3:$E$1025,0))="","",INDEX(学年度总表!$A$3:$A$1025,MATCH($E176,学年度总表!$E$3:$E$1025,0)))</f>
        <v>507</v>
      </c>
      <c r="B176" s="2">
        <f>IF(INDEX(学年度总表!$B$3:$B$1025,MATCH($E176,学年度总表!$E$3:$E$1025,0))="","",INDEX(学年度总表!$B$3:$B$1025,MATCH($E176,学年度总表!$E$3:$E$1025,0)))</f>
        <v>174</v>
      </c>
      <c r="C176" s="2" t="str">
        <f>IF(INDEX(学年度总表!$C$3:$C$1025,MATCH($E176,学年度总表!$E$3:$E$1025,0))="","",INDEX(学年度总表!$C$3:$C$1025,MATCH($E176,学年度总表!$E$3:$E$1025,0)))</f>
        <v>软工</v>
      </c>
      <c r="D176" s="2" t="str">
        <f>IF(INDEX(学年度总表!$D$3:$D$1025,MATCH($E176,学年度总表!$E$3:$E$1025,0))="","",INDEX(学年度总表!$D$3:$D$1025,MATCH($E176,学年度总表!$E$3:$E$1025,0)))</f>
        <v>软工5班</v>
      </c>
      <c r="E176" s="2" t="s">
        <v>1076</v>
      </c>
      <c r="F176" s="2" t="str">
        <f>IF(INDEX(学年度总表!$F$3:$F$1025,MATCH($E176,学年度总表!$E$3:$E$1025,0))="","",INDEX(学年度总表!$F$3:$F$1025,MATCH($E176,学年度总表!$E$3:$E$1025,0)))</f>
        <v>张璐涵</v>
      </c>
      <c r="G176" s="3">
        <f>IF(INDEX(学年度总表!$G$3:$G$1025,MATCH($E176,学年度总表!$E$3:$E$1025,0))="","",INDEX(学年度总表!$G$3:$G$1025,MATCH($E176,学年度总表!$E$3:$E$1025,0)))</f>
        <v>9.8000000000000007</v>
      </c>
      <c r="H176" s="3">
        <f>IF(INDEX(学年度总表!$H$3:$H$1025,MATCH($E176,学年度总表!$E$3:$E$1025,0))="","",INDEX(学年度总表!$H$3:$H$1025,MATCH($E176,学年度总表!$E$3:$E$1025,0)))</f>
        <v>55.17</v>
      </c>
      <c r="I176" s="3">
        <f>IF(INDEX(学年度总表!$I$3:$I$1025,MATCH($E176,学年度总表!$E$3:$E$1025,0))="","",INDEX(学年度总表!$I$3:$I$1025,MATCH($E176,学年度总表!$E$3:$E$1025,0)))</f>
        <v>3.7</v>
      </c>
      <c r="J176" s="3">
        <f>IF(INDEX(学年度总表!$J$3:$J$1025,MATCH($E176,学年度总表!$E$3:$E$1025,0))="","",INDEX(学年度总表!$J$3:$J$1025,MATCH($E176,学年度总表!$E$3:$E$1025,0)))</f>
        <v>68.67</v>
      </c>
      <c r="K176" s="3">
        <f>IF(INDEX(学年度总表!$K$3:$K$1025,MATCH($E176,学年度总表!$E$3:$E$1025,0))="","",INDEX(学年度总表!$K$3:$K$1025,MATCH($E176,学年度总表!$E$3:$E$1025,0)))</f>
        <v>9.8000000000000007</v>
      </c>
      <c r="L176" s="3">
        <f>IF(INDEX(学年度总表!$L$3:$L$1025,MATCH($E176,学年度总表!$E$3:$E$1025,0))="","",INDEX(学年度总表!$L$3:$L$1025,MATCH($E176,学年度总表!$E$3:$E$1025,0)))</f>
        <v>56.94</v>
      </c>
      <c r="M176" s="3">
        <f>IF(INDEX(学年度总表!$M$3:$M$1025,MATCH($E176,学年度总表!$E$3:$E$1025,0))="","",INDEX(学年度总表!$M$3:$M$1025,MATCH($E176,学年度总表!$E$3:$E$1025,0)))</f>
        <v>4.3</v>
      </c>
      <c r="N176" s="3">
        <f>IF(INDEX(学年度总表!$N$3:$N$1025,MATCH($E176,学年度总表!$E$3:$E$1025,0))="","",INDEX(学年度总表!$N$3:$N$1025,MATCH($E176,学年度总表!$E$3:$E$1025,0)))</f>
        <v>71.040000000000006</v>
      </c>
      <c r="O176" s="3">
        <f>IF(INDEX(学年度总表!$O$3:$O$1025,MATCH($E176,学年度总表!$E$3:$E$1025,0))="","",INDEX(学年度总表!$O$3:$O$1025,MATCH($E176,学年度总表!$E$3:$E$1025,0)))</f>
        <v>139.71</v>
      </c>
      <c r="P176" s="2" t="str">
        <f>IF(INDEX(学年度总表!$P$3:$P$1025,MATCH($E176,学年度总表!$E$3:$E$1025,0))="","",INDEX(学年度总表!$P$3:$P$1025,MATCH($E176,学年度总表!$E$3:$E$1025,0)))</f>
        <v/>
      </c>
      <c r="Q176" s="5" t="str">
        <f>IF(INDEX(学年度总表!$Q$3:$Q$1025,MATCH($E176,学年度总表!$E$3:$E$1025,0))="","",INDEX(学年度总表!$Q$3:$Q$1025,MATCH($E176,学年度总表!$E$3:$E$1025,0)))</f>
        <v/>
      </c>
    </row>
    <row r="177" spans="1:17">
      <c r="A177" s="2">
        <f>IF(INDEX(学年度总表!$A$3:$A$1025,MATCH($E177,学年度总表!$E$3:$E$1025,0))="","",INDEX(学年度总表!$A$3:$A$1025,MATCH($E177,学年度总表!$E$3:$E$1025,0)))</f>
        <v>507</v>
      </c>
      <c r="B177" s="2">
        <f>IF(INDEX(学年度总表!$B$3:$B$1025,MATCH($E177,学年度总表!$E$3:$E$1025,0))="","",INDEX(学年度总表!$B$3:$B$1025,MATCH($E177,学年度总表!$E$3:$E$1025,0)))</f>
        <v>174</v>
      </c>
      <c r="C177" s="2" t="str">
        <f>IF(INDEX(学年度总表!$C$3:$C$1025,MATCH($E177,学年度总表!$E$3:$E$1025,0))="","",INDEX(学年度总表!$C$3:$C$1025,MATCH($E177,学年度总表!$E$3:$E$1025,0)))</f>
        <v>软工</v>
      </c>
      <c r="D177" s="2" t="str">
        <f>IF(INDEX(学年度总表!$D$3:$D$1025,MATCH($E177,学年度总表!$E$3:$E$1025,0))="","",INDEX(学年度总表!$D$3:$D$1025,MATCH($E177,学年度总表!$E$3:$E$1025,0)))</f>
        <v>软工14班</v>
      </c>
      <c r="E177" s="2" t="s">
        <v>1078</v>
      </c>
      <c r="F177" s="2" t="str">
        <f>IF(INDEX(学年度总表!$F$3:$F$1025,MATCH($E177,学年度总表!$E$3:$E$1025,0))="","",INDEX(学年度总表!$F$3:$F$1025,MATCH($E177,学年度总表!$E$3:$E$1025,0)))</f>
        <v>杜思妍</v>
      </c>
      <c r="G177" s="3">
        <f>IF(INDEX(学年度总表!$G$3:$G$1025,MATCH($E177,学年度总表!$E$3:$E$1025,0))="","",INDEX(学年度总表!$G$3:$G$1025,MATCH($E177,学年度总表!$E$3:$E$1025,0)))</f>
        <v>10</v>
      </c>
      <c r="H177" s="3">
        <f>IF(INDEX(学年度总表!$H$3:$H$1025,MATCH($E177,学年度总表!$E$3:$E$1025,0))="","",INDEX(学年度总表!$H$3:$H$1025,MATCH($E177,学年度总表!$E$3:$E$1025,0)))</f>
        <v>62.95</v>
      </c>
      <c r="I177" s="3">
        <f>IF(INDEX(学年度总表!$I$3:$I$1025,MATCH($E177,学年度总表!$E$3:$E$1025,0))="","",INDEX(学年度总表!$I$3:$I$1025,MATCH($E177,学年度总表!$E$3:$E$1025,0)))</f>
        <v>3.2</v>
      </c>
      <c r="J177" s="3">
        <f>IF(INDEX(学年度总表!$J$3:$J$1025,MATCH($E177,学年度总表!$E$3:$E$1025,0))="","",INDEX(学年度总表!$J$3:$J$1025,MATCH($E177,学年度总表!$E$3:$E$1025,0)))</f>
        <v>76.150000000000006</v>
      </c>
      <c r="K177" s="3">
        <f>IF(INDEX(学年度总表!$K$3:$K$1025,MATCH($E177,学年度总表!$E$3:$E$1025,0))="","",INDEX(学年度总表!$K$3:$K$1025,MATCH($E177,学年度总表!$E$3:$E$1025,0)))</f>
        <v>10</v>
      </c>
      <c r="L177" s="3">
        <f>IF(INDEX(学年度总表!$L$3:$L$1025,MATCH($E177,学年度总表!$E$3:$E$1025,0))="","",INDEX(学年度总表!$L$3:$L$1025,MATCH($E177,学年度总表!$E$3:$E$1025,0)))</f>
        <v>49.06</v>
      </c>
      <c r="M177" s="3">
        <f>IF(INDEX(学年度总表!$M$3:$M$1025,MATCH($E177,学年度总表!$E$3:$E$1025,0))="","",INDEX(学年度总表!$M$3:$M$1025,MATCH($E177,学年度总表!$E$3:$E$1025,0)))</f>
        <v>4.5</v>
      </c>
      <c r="N177" s="3">
        <f>IF(INDEX(学年度总表!$N$3:$N$1025,MATCH($E177,学年度总表!$E$3:$E$1025,0))="","",INDEX(学年度总表!$N$3:$N$1025,MATCH($E177,学年度总表!$E$3:$E$1025,0)))</f>
        <v>63.56</v>
      </c>
      <c r="O177" s="3">
        <f>IF(INDEX(学年度总表!$O$3:$O$1025,MATCH($E177,学年度总表!$E$3:$E$1025,0))="","",INDEX(学年度总表!$O$3:$O$1025,MATCH($E177,学年度总表!$E$3:$E$1025,0)))</f>
        <v>139.71</v>
      </c>
      <c r="P177" s="2" t="str">
        <f>IF(INDEX(学年度总表!$P$3:$P$1025,MATCH($E177,学年度总表!$E$3:$E$1025,0))="","",INDEX(学年度总表!$P$3:$P$1025,MATCH($E177,学年度总表!$E$3:$E$1025,0)))</f>
        <v/>
      </c>
      <c r="Q177" s="5" t="str">
        <f>IF(INDEX(学年度总表!$Q$3:$Q$1025,MATCH($E177,学年度总表!$E$3:$E$1025,0))="","",INDEX(学年度总表!$Q$3:$Q$1025,MATCH($E177,学年度总表!$E$3:$E$1025,0)))</f>
        <v/>
      </c>
    </row>
    <row r="178" spans="1:17">
      <c r="A178" s="2">
        <f>IF(INDEX(学年度总表!$A$3:$A$1025,MATCH($E178,学年度总表!$E$3:$E$1025,0))="","",INDEX(学年度总表!$A$3:$A$1025,MATCH($E178,学年度总表!$E$3:$E$1025,0)))</f>
        <v>509</v>
      </c>
      <c r="B178" s="2">
        <f>IF(INDEX(学年度总表!$B$3:$B$1025,MATCH($E178,学年度总表!$E$3:$E$1025,0))="","",INDEX(学年度总表!$B$3:$B$1025,MATCH($E178,学年度总表!$E$3:$E$1025,0)))</f>
        <v>176</v>
      </c>
      <c r="C178" s="2" t="str">
        <f>IF(INDEX(学年度总表!$C$3:$C$1025,MATCH($E178,学年度总表!$E$3:$E$1025,0))="","",INDEX(学年度总表!$C$3:$C$1025,MATCH($E178,学年度总表!$E$3:$E$1025,0)))</f>
        <v>软工</v>
      </c>
      <c r="D178" s="2" t="str">
        <f>IF(INDEX(学年度总表!$D$3:$D$1025,MATCH($E178,学年度总表!$E$3:$E$1025,0))="","",INDEX(学年度总表!$D$3:$D$1025,MATCH($E178,学年度总表!$E$3:$E$1025,0)))</f>
        <v>软工12班</v>
      </c>
      <c r="E178" s="2" t="s">
        <v>1080</v>
      </c>
      <c r="F178" s="2" t="str">
        <f>IF(INDEX(学年度总表!$F$3:$F$1025,MATCH($E178,学年度总表!$E$3:$E$1025,0))="","",INDEX(学年度总表!$F$3:$F$1025,MATCH($E178,学年度总表!$E$3:$E$1025,0)))</f>
        <v>毕城铭</v>
      </c>
      <c r="G178" s="3">
        <f>IF(INDEX(学年度总表!$G$3:$G$1025,MATCH($E178,学年度总表!$E$3:$E$1025,0))="","",INDEX(学年度总表!$G$3:$G$1025,MATCH($E178,学年度总表!$E$3:$E$1025,0)))</f>
        <v>10</v>
      </c>
      <c r="H178" s="3">
        <f>IF(INDEX(学年度总表!$H$3:$H$1025,MATCH($E178,学年度总表!$E$3:$E$1025,0))="","",INDEX(学年度总表!$H$3:$H$1025,MATCH($E178,学年度总表!$E$3:$E$1025,0)))</f>
        <v>55.99</v>
      </c>
      <c r="I178" s="3">
        <f>IF(INDEX(学年度总表!$I$3:$I$1025,MATCH($E178,学年度总表!$E$3:$E$1025,0))="","",INDEX(学年度总表!$I$3:$I$1025,MATCH($E178,学年度总表!$E$3:$E$1025,0)))</f>
        <v>3</v>
      </c>
      <c r="J178" s="3">
        <f>IF(INDEX(学年度总表!$J$3:$J$1025,MATCH($E178,学年度总表!$E$3:$E$1025,0))="","",INDEX(学年度总表!$J$3:$J$1025,MATCH($E178,学年度总表!$E$3:$E$1025,0)))</f>
        <v>68.989999999999995</v>
      </c>
      <c r="K178" s="3">
        <f>IF(INDEX(学年度总表!$K$3:$K$1025,MATCH($E178,学年度总表!$E$3:$E$1025,0))="","",INDEX(学年度总表!$K$3:$K$1025,MATCH($E178,学年度总表!$E$3:$E$1025,0)))</f>
        <v>9.8000000000000007</v>
      </c>
      <c r="L178" s="3">
        <f>IF(INDEX(学年度总表!$L$3:$L$1025,MATCH($E178,学年度总表!$E$3:$E$1025,0))="","",INDEX(学年度总表!$L$3:$L$1025,MATCH($E178,学年度总表!$E$3:$E$1025,0)))</f>
        <v>57.28</v>
      </c>
      <c r="M178" s="3">
        <f>IF(INDEX(学年度总表!$M$3:$M$1025,MATCH($E178,学年度总表!$E$3:$E$1025,0))="","",INDEX(学年度总表!$M$3:$M$1025,MATCH($E178,学年度总表!$E$3:$E$1025,0)))</f>
        <v>3.5</v>
      </c>
      <c r="N178" s="3">
        <f>IF(INDEX(学年度总表!$N$3:$N$1025,MATCH($E178,学年度总表!$E$3:$E$1025,0))="","",INDEX(学年度总表!$N$3:$N$1025,MATCH($E178,学年度总表!$E$3:$E$1025,0)))</f>
        <v>70.58</v>
      </c>
      <c r="O178" s="3">
        <f>IF(INDEX(学年度总表!$O$3:$O$1025,MATCH($E178,学年度总表!$E$3:$E$1025,0))="","",INDEX(学年度总表!$O$3:$O$1025,MATCH($E178,学年度总表!$E$3:$E$1025,0)))</f>
        <v>139.57</v>
      </c>
      <c r="P178" s="2" t="str">
        <f>IF(INDEX(学年度总表!$P$3:$P$1025,MATCH($E178,学年度总表!$E$3:$E$1025,0))="","",INDEX(学年度总表!$P$3:$P$1025,MATCH($E178,学年度总表!$E$3:$E$1025,0)))</f>
        <v/>
      </c>
      <c r="Q178" s="5" t="str">
        <f>IF(INDEX(学年度总表!$Q$3:$Q$1025,MATCH($E178,学年度总表!$E$3:$E$1025,0))="","",INDEX(学年度总表!$Q$3:$Q$1025,MATCH($E178,学年度总表!$E$3:$E$1025,0)))</f>
        <v/>
      </c>
    </row>
    <row r="179" spans="1:17">
      <c r="A179" s="2">
        <f>IF(INDEX(学年度总表!$A$3:$A$1025,MATCH($E179,学年度总表!$E$3:$E$1025,0))="","",INDEX(学年度总表!$A$3:$A$1025,MATCH($E179,学年度总表!$E$3:$E$1025,0)))</f>
        <v>510</v>
      </c>
      <c r="B179" s="2">
        <f>IF(INDEX(学年度总表!$B$3:$B$1025,MATCH($E179,学年度总表!$E$3:$E$1025,0))="","",INDEX(学年度总表!$B$3:$B$1025,MATCH($E179,学年度总表!$E$3:$E$1025,0)))</f>
        <v>177</v>
      </c>
      <c r="C179" s="2" t="str">
        <f>IF(INDEX(学年度总表!$C$3:$C$1025,MATCH($E179,学年度总表!$E$3:$E$1025,0))="","",INDEX(学年度总表!$C$3:$C$1025,MATCH($E179,学年度总表!$E$3:$E$1025,0)))</f>
        <v>软工</v>
      </c>
      <c r="D179" s="2" t="str">
        <f>IF(INDEX(学年度总表!$D$3:$D$1025,MATCH($E179,学年度总表!$E$3:$E$1025,0))="","",INDEX(学年度总表!$D$3:$D$1025,MATCH($E179,学年度总表!$E$3:$E$1025,0)))</f>
        <v>软工10班</v>
      </c>
      <c r="E179" s="2" t="s">
        <v>1082</v>
      </c>
      <c r="F179" s="2" t="str">
        <f>IF(INDEX(学年度总表!$F$3:$F$1025,MATCH($E179,学年度总表!$E$3:$E$1025,0))="","",INDEX(学年度总表!$F$3:$F$1025,MATCH($E179,学年度总表!$E$3:$E$1025,0)))</f>
        <v>李冰慧</v>
      </c>
      <c r="G179" s="3">
        <f>IF(INDEX(学年度总表!$G$3:$G$1025,MATCH($E179,学年度总表!$E$3:$E$1025,0))="","",INDEX(学年度总表!$G$3:$G$1025,MATCH($E179,学年度总表!$E$3:$E$1025,0)))</f>
        <v>10.3</v>
      </c>
      <c r="H179" s="3">
        <f>IF(INDEX(学年度总表!$H$3:$H$1025,MATCH($E179,学年度总表!$E$3:$E$1025,0))="","",INDEX(学年度总表!$H$3:$H$1025,MATCH($E179,学年度总表!$E$3:$E$1025,0)))</f>
        <v>61.74</v>
      </c>
      <c r="I179" s="3">
        <f>IF(INDEX(学年度总表!$I$3:$I$1025,MATCH($E179,学年度总表!$E$3:$E$1025,0))="","",INDEX(学年度总表!$I$3:$I$1025,MATCH($E179,学年度总表!$E$3:$E$1025,0)))</f>
        <v>3</v>
      </c>
      <c r="J179" s="3">
        <f>IF(INDEX(学年度总表!$J$3:$J$1025,MATCH($E179,学年度总表!$E$3:$E$1025,0))="","",INDEX(学年度总表!$J$3:$J$1025,MATCH($E179,学年度总表!$E$3:$E$1025,0)))</f>
        <v>75.040000000000006</v>
      </c>
      <c r="K179" s="3">
        <f>IF(INDEX(学年度总表!$K$3:$K$1025,MATCH($E179,学年度总表!$E$3:$E$1025,0))="","",INDEX(学年度总表!$K$3:$K$1025,MATCH($E179,学年度总表!$E$3:$E$1025,0)))</f>
        <v>9.4</v>
      </c>
      <c r="L179" s="3">
        <f>IF(INDEX(学年度总表!$L$3:$L$1025,MATCH($E179,学年度总表!$E$3:$E$1025,0))="","",INDEX(学年度总表!$L$3:$L$1025,MATCH($E179,学年度总表!$E$3:$E$1025,0)))</f>
        <v>50.62</v>
      </c>
      <c r="M179" s="3">
        <f>IF(INDEX(学年度总表!$M$3:$M$1025,MATCH($E179,学年度总表!$E$3:$E$1025,0))="","",INDEX(学年度总表!$M$3:$M$1025,MATCH($E179,学年度总表!$E$3:$E$1025,0)))</f>
        <v>4.5</v>
      </c>
      <c r="N179" s="3">
        <f>IF(INDEX(学年度总表!$N$3:$N$1025,MATCH($E179,学年度总表!$E$3:$E$1025,0))="","",INDEX(学年度总表!$N$3:$N$1025,MATCH($E179,学年度总表!$E$3:$E$1025,0)))</f>
        <v>64.52</v>
      </c>
      <c r="O179" s="3">
        <f>IF(INDEX(学年度总表!$O$3:$O$1025,MATCH($E179,学年度总表!$E$3:$E$1025,0))="","",INDEX(学年度总表!$O$3:$O$1025,MATCH($E179,学年度总表!$E$3:$E$1025,0)))</f>
        <v>139.56</v>
      </c>
      <c r="P179" s="2" t="str">
        <f>IF(INDEX(学年度总表!$P$3:$P$1025,MATCH($E179,学年度总表!$E$3:$E$1025,0))="","",INDEX(学年度总表!$P$3:$P$1025,MATCH($E179,学年度总表!$E$3:$E$1025,0)))</f>
        <v/>
      </c>
      <c r="Q179" s="5" t="str">
        <f>IF(INDEX(学年度总表!$Q$3:$Q$1025,MATCH($E179,学年度总表!$E$3:$E$1025,0))="","",INDEX(学年度总表!$Q$3:$Q$1025,MATCH($E179,学年度总表!$E$3:$E$1025,0)))</f>
        <v/>
      </c>
    </row>
    <row r="180" spans="1:17">
      <c r="A180" s="2">
        <f>IF(INDEX(学年度总表!$A$3:$A$1025,MATCH($E180,学年度总表!$E$3:$E$1025,0))="","",INDEX(学年度总表!$A$3:$A$1025,MATCH($E180,学年度总表!$E$3:$E$1025,0)))</f>
        <v>512</v>
      </c>
      <c r="B180" s="2">
        <f>IF(INDEX(学年度总表!$B$3:$B$1025,MATCH($E180,学年度总表!$E$3:$E$1025,0))="","",INDEX(学年度总表!$B$3:$B$1025,MATCH($E180,学年度总表!$E$3:$E$1025,0)))</f>
        <v>178</v>
      </c>
      <c r="C180" s="2" t="str">
        <f>IF(INDEX(学年度总表!$C$3:$C$1025,MATCH($E180,学年度总表!$E$3:$E$1025,0))="","",INDEX(学年度总表!$C$3:$C$1025,MATCH($E180,学年度总表!$E$3:$E$1025,0)))</f>
        <v>软工</v>
      </c>
      <c r="D180" s="2" t="str">
        <f>IF(INDEX(学年度总表!$D$3:$D$1025,MATCH($E180,学年度总表!$E$3:$E$1025,0))="","",INDEX(学年度总表!$D$3:$D$1025,MATCH($E180,学年度总表!$E$3:$E$1025,0)))</f>
        <v>软工5班</v>
      </c>
      <c r="E180" s="2" t="s">
        <v>1086</v>
      </c>
      <c r="F180" s="2" t="str">
        <f>IF(INDEX(学年度总表!$F$3:$F$1025,MATCH($E180,学年度总表!$E$3:$E$1025,0))="","",INDEX(学年度总表!$F$3:$F$1025,MATCH($E180,学年度总表!$E$3:$E$1025,0)))</f>
        <v>庄梓铭</v>
      </c>
      <c r="G180" s="3">
        <f>IF(INDEX(学年度总表!$G$3:$G$1025,MATCH($E180,学年度总表!$E$3:$E$1025,0))="","",INDEX(学年度总表!$G$3:$G$1025,MATCH($E180,学年度总表!$E$3:$E$1025,0)))</f>
        <v>10</v>
      </c>
      <c r="H180" s="3">
        <f>IF(INDEX(学年度总表!$H$3:$H$1025,MATCH($E180,学年度总表!$E$3:$E$1025,0))="","",INDEX(学年度总表!$H$3:$H$1025,MATCH($E180,学年度总表!$E$3:$E$1025,0)))</f>
        <v>56.5</v>
      </c>
      <c r="I180" s="3">
        <f>IF(INDEX(学年度总表!$I$3:$I$1025,MATCH($E180,学年度总表!$E$3:$E$1025,0))="","",INDEX(学年度总表!$I$3:$I$1025,MATCH($E180,学年度总表!$E$3:$E$1025,0)))</f>
        <v>4</v>
      </c>
      <c r="J180" s="3">
        <f>IF(INDEX(学年度总表!$J$3:$J$1025,MATCH($E180,学年度总表!$E$3:$E$1025,0))="","",INDEX(学年度总表!$J$3:$J$1025,MATCH($E180,学年度总表!$E$3:$E$1025,0)))</f>
        <v>70.5</v>
      </c>
      <c r="K180" s="3">
        <f>IF(INDEX(学年度总表!$K$3:$K$1025,MATCH($E180,学年度总表!$E$3:$E$1025,0))="","",INDEX(学年度总表!$K$3:$K$1025,MATCH($E180,学年度总表!$E$3:$E$1025,0)))</f>
        <v>10</v>
      </c>
      <c r="L180" s="3">
        <f>IF(INDEX(学年度总表!$L$3:$L$1025,MATCH($E180,学年度总表!$E$3:$E$1025,0))="","",INDEX(学年度总表!$L$3:$L$1025,MATCH($E180,学年度总表!$E$3:$E$1025,0)))</f>
        <v>54.33</v>
      </c>
      <c r="M180" s="3">
        <f>IF(INDEX(学年度总表!$M$3:$M$1025,MATCH($E180,学年度总表!$E$3:$E$1025,0))="","",INDEX(学年度总表!$M$3:$M$1025,MATCH($E180,学年度总表!$E$3:$E$1025,0)))</f>
        <v>4.5</v>
      </c>
      <c r="N180" s="3">
        <f>IF(INDEX(学年度总表!$N$3:$N$1025,MATCH($E180,学年度总表!$E$3:$E$1025,0))="","",INDEX(学年度总表!$N$3:$N$1025,MATCH($E180,学年度总表!$E$3:$E$1025,0)))</f>
        <v>68.83</v>
      </c>
      <c r="O180" s="3">
        <f>IF(INDEX(学年度总表!$O$3:$O$1025,MATCH($E180,学年度总表!$E$3:$E$1025,0))="","",INDEX(学年度总表!$O$3:$O$1025,MATCH($E180,学年度总表!$E$3:$E$1025,0)))</f>
        <v>139.33000000000001</v>
      </c>
      <c r="P180" s="2" t="str">
        <f>IF(INDEX(学年度总表!$P$3:$P$1025,MATCH($E180,学年度总表!$E$3:$E$1025,0))="","",INDEX(学年度总表!$P$3:$P$1025,MATCH($E180,学年度总表!$E$3:$E$1025,0)))</f>
        <v/>
      </c>
      <c r="Q180" s="5" t="str">
        <f>IF(INDEX(学年度总表!$Q$3:$Q$1025,MATCH($E180,学年度总表!$E$3:$E$1025,0))="","",INDEX(学年度总表!$Q$3:$Q$1025,MATCH($E180,学年度总表!$E$3:$E$1025,0)))</f>
        <v/>
      </c>
    </row>
    <row r="181" spans="1:17">
      <c r="A181" s="2">
        <f>IF(INDEX(学年度总表!$A$3:$A$1025,MATCH($E181,学年度总表!$E$3:$E$1025,0))="","",INDEX(学年度总表!$A$3:$A$1025,MATCH($E181,学年度总表!$E$3:$E$1025,0)))</f>
        <v>518</v>
      </c>
      <c r="B181" s="2">
        <f>IF(INDEX(学年度总表!$B$3:$B$1025,MATCH($E181,学年度总表!$E$3:$E$1025,0))="","",INDEX(学年度总表!$B$3:$B$1025,MATCH($E181,学年度总表!$E$3:$E$1025,0)))</f>
        <v>179</v>
      </c>
      <c r="C181" s="2" t="str">
        <f>IF(INDEX(学年度总表!$C$3:$C$1025,MATCH($E181,学年度总表!$E$3:$E$1025,0))="","",INDEX(学年度总表!$C$3:$C$1025,MATCH($E181,学年度总表!$E$3:$E$1025,0)))</f>
        <v>软工</v>
      </c>
      <c r="D181" s="2" t="str">
        <f>IF(INDEX(学年度总表!$D$3:$D$1025,MATCH($E181,学年度总表!$E$3:$E$1025,0))="","",INDEX(学年度总表!$D$3:$D$1025,MATCH($E181,学年度总表!$E$3:$E$1025,0)))</f>
        <v>软工11班</v>
      </c>
      <c r="E181" s="2" t="s">
        <v>1098</v>
      </c>
      <c r="F181" s="2" t="str">
        <f>IF(INDEX(学年度总表!$F$3:$F$1025,MATCH($E181,学年度总表!$E$3:$E$1025,0))="","",INDEX(学年度总表!$F$3:$F$1025,MATCH($E181,学年度总表!$E$3:$E$1025,0)))</f>
        <v>李抒晗</v>
      </c>
      <c r="G181" s="3">
        <f>IF(INDEX(学年度总表!$G$3:$G$1025,MATCH($E181,学年度总表!$E$3:$E$1025,0))="","",INDEX(学年度总表!$G$3:$G$1025,MATCH($E181,学年度总表!$E$3:$E$1025,0)))</f>
        <v>9.8000000000000007</v>
      </c>
      <c r="H181" s="3">
        <f>IF(INDEX(学年度总表!$H$3:$H$1025,MATCH($E181,学年度总表!$E$3:$E$1025,0))="","",INDEX(学年度总表!$H$3:$H$1025,MATCH($E181,学年度总表!$E$3:$E$1025,0)))</f>
        <v>61.87</v>
      </c>
      <c r="I181" s="3">
        <f>IF(INDEX(学年度总表!$I$3:$I$1025,MATCH($E181,学年度总表!$E$3:$E$1025,0))="","",INDEX(学年度总表!$I$3:$I$1025,MATCH($E181,学年度总表!$E$3:$E$1025,0)))</f>
        <v>3</v>
      </c>
      <c r="J181" s="3">
        <f>IF(INDEX(学年度总表!$J$3:$J$1025,MATCH($E181,学年度总表!$E$3:$E$1025,0))="","",INDEX(学年度总表!$J$3:$J$1025,MATCH($E181,学年度总表!$E$3:$E$1025,0)))</f>
        <v>74.67</v>
      </c>
      <c r="K181" s="3">
        <f>IF(INDEX(学年度总表!$K$3:$K$1025,MATCH($E181,学年度总表!$E$3:$E$1025,0))="","",INDEX(学年度总表!$K$3:$K$1025,MATCH($E181,学年度总表!$E$3:$E$1025,0)))</f>
        <v>10</v>
      </c>
      <c r="L181" s="3">
        <f>IF(INDEX(学年度总表!$L$3:$L$1025,MATCH($E181,学年度总表!$E$3:$E$1025,0))="","",INDEX(学年度总表!$L$3:$L$1025,MATCH($E181,学年度总表!$E$3:$E$1025,0)))</f>
        <v>51.5</v>
      </c>
      <c r="M181" s="3">
        <f>IF(INDEX(学年度总表!$M$3:$M$1025,MATCH($E181,学年度总表!$E$3:$E$1025,0))="","",INDEX(学年度总表!$M$3:$M$1025,MATCH($E181,学年度总表!$E$3:$E$1025,0)))</f>
        <v>3</v>
      </c>
      <c r="N181" s="3">
        <f>IF(INDEX(学年度总表!$N$3:$N$1025,MATCH($E181,学年度总表!$E$3:$E$1025,0))="","",INDEX(学年度总表!$N$3:$N$1025,MATCH($E181,学年度总表!$E$3:$E$1025,0)))</f>
        <v>64.5</v>
      </c>
      <c r="O181" s="3">
        <f>IF(INDEX(学年度总表!$O$3:$O$1025,MATCH($E181,学年度总表!$E$3:$E$1025,0))="","",INDEX(学年度总表!$O$3:$O$1025,MATCH($E181,学年度总表!$E$3:$E$1025,0)))</f>
        <v>139.16999999999999</v>
      </c>
      <c r="P181" s="2" t="str">
        <f>IF(INDEX(学年度总表!$P$3:$P$1025,MATCH($E181,学年度总表!$E$3:$E$1025,0))="","",INDEX(学年度总表!$P$3:$P$1025,MATCH($E181,学年度总表!$E$3:$E$1025,0)))</f>
        <v/>
      </c>
      <c r="Q181" s="5" t="str">
        <f>IF(INDEX(学年度总表!$Q$3:$Q$1025,MATCH($E181,学年度总表!$E$3:$E$1025,0))="","",INDEX(学年度总表!$Q$3:$Q$1025,MATCH($E181,学年度总表!$E$3:$E$1025,0)))</f>
        <v/>
      </c>
    </row>
    <row r="182" spans="1:17">
      <c r="A182" s="2">
        <f>IF(INDEX(学年度总表!$A$3:$A$1025,MATCH($E182,学年度总表!$E$3:$E$1025,0))="","",INDEX(学年度总表!$A$3:$A$1025,MATCH($E182,学年度总表!$E$3:$E$1025,0)))</f>
        <v>523</v>
      </c>
      <c r="B182" s="2">
        <f>IF(INDEX(学年度总表!$B$3:$B$1025,MATCH($E182,学年度总表!$E$3:$E$1025,0))="","",INDEX(学年度总表!$B$3:$B$1025,MATCH($E182,学年度总表!$E$3:$E$1025,0)))</f>
        <v>180</v>
      </c>
      <c r="C182" s="2" t="str">
        <f>IF(INDEX(学年度总表!$C$3:$C$1025,MATCH($E182,学年度总表!$E$3:$E$1025,0))="","",INDEX(学年度总表!$C$3:$C$1025,MATCH($E182,学年度总表!$E$3:$E$1025,0)))</f>
        <v>软工</v>
      </c>
      <c r="D182" s="2" t="str">
        <f>IF(INDEX(学年度总表!$D$3:$D$1025,MATCH($E182,学年度总表!$E$3:$E$1025,0))="","",INDEX(学年度总表!$D$3:$D$1025,MATCH($E182,学年度总表!$E$3:$E$1025,0)))</f>
        <v>软工10班</v>
      </c>
      <c r="E182" s="2" t="s">
        <v>1108</v>
      </c>
      <c r="F182" s="2" t="str">
        <f>IF(INDEX(学年度总表!$F$3:$F$1025,MATCH($E182,学年度总表!$E$3:$E$1025,0))="","",INDEX(学年度总表!$F$3:$F$1025,MATCH($E182,学年度总表!$E$3:$E$1025,0)))</f>
        <v>宋佳欣</v>
      </c>
      <c r="G182" s="3">
        <f>IF(INDEX(学年度总表!$G$3:$G$1025,MATCH($E182,学年度总表!$E$3:$E$1025,0))="","",INDEX(学年度总表!$G$3:$G$1025,MATCH($E182,学年度总表!$E$3:$E$1025,0)))</f>
        <v>10.5</v>
      </c>
      <c r="H182" s="3">
        <f>IF(INDEX(学年度总表!$H$3:$H$1025,MATCH($E182,学年度总表!$E$3:$E$1025,0))="","",INDEX(学年度总表!$H$3:$H$1025,MATCH($E182,学年度总表!$E$3:$E$1025,0)))</f>
        <v>61.25</v>
      </c>
      <c r="I182" s="3">
        <f>IF(INDEX(学年度总表!$I$3:$I$1025,MATCH($E182,学年度总表!$E$3:$E$1025,0))="","",INDEX(学年度总表!$I$3:$I$1025,MATCH($E182,学年度总表!$E$3:$E$1025,0)))</f>
        <v>4</v>
      </c>
      <c r="J182" s="3">
        <f>IF(INDEX(学年度总表!$J$3:$J$1025,MATCH($E182,学年度总表!$E$3:$E$1025,0))="","",INDEX(学年度总表!$J$3:$J$1025,MATCH($E182,学年度总表!$E$3:$E$1025,0)))</f>
        <v>75.75</v>
      </c>
      <c r="K182" s="3">
        <f>IF(INDEX(学年度总表!$K$3:$K$1025,MATCH($E182,学年度总表!$E$3:$E$1025,0))="","",INDEX(学年度总表!$K$3:$K$1025,MATCH($E182,学年度总表!$E$3:$E$1025,0)))</f>
        <v>10</v>
      </c>
      <c r="L182" s="3">
        <f>IF(INDEX(学年度总表!$L$3:$L$1025,MATCH($E182,学年度总表!$E$3:$E$1025,0))="","",INDEX(学年度总表!$L$3:$L$1025,MATCH($E182,学年度总表!$E$3:$E$1025,0)))</f>
        <v>49.52</v>
      </c>
      <c r="M182" s="3">
        <f>IF(INDEX(学年度总表!$M$3:$M$1025,MATCH($E182,学年度总表!$E$3:$E$1025,0))="","",INDEX(学年度总表!$M$3:$M$1025,MATCH($E182,学年度总表!$E$3:$E$1025,0)))</f>
        <v>3.7</v>
      </c>
      <c r="N182" s="3">
        <f>IF(INDEX(学年度总表!$N$3:$N$1025,MATCH($E182,学年度总表!$E$3:$E$1025,0))="","",INDEX(学年度总表!$N$3:$N$1025,MATCH($E182,学年度总表!$E$3:$E$1025,0)))</f>
        <v>63.22</v>
      </c>
      <c r="O182" s="3">
        <f>IF(INDEX(学年度总表!$O$3:$O$1025,MATCH($E182,学年度总表!$E$3:$E$1025,0))="","",INDEX(学年度总表!$O$3:$O$1025,MATCH($E182,学年度总表!$E$3:$E$1025,0)))</f>
        <v>138.97</v>
      </c>
      <c r="P182" s="2" t="str">
        <f>IF(INDEX(学年度总表!$P$3:$P$1025,MATCH($E182,学年度总表!$E$3:$E$1025,0))="","",INDEX(学年度总表!$P$3:$P$1025,MATCH($E182,学年度总表!$E$3:$E$1025,0)))</f>
        <v/>
      </c>
      <c r="Q182" s="5" t="str">
        <f>IF(INDEX(学年度总表!$Q$3:$Q$1025,MATCH($E182,学年度总表!$E$3:$E$1025,0))="","",INDEX(学年度总表!$Q$3:$Q$1025,MATCH($E182,学年度总表!$E$3:$E$1025,0)))</f>
        <v/>
      </c>
    </row>
    <row r="183" spans="1:17">
      <c r="A183" s="2">
        <f>IF(INDEX(学年度总表!$A$3:$A$1025,MATCH($E183,学年度总表!$E$3:$E$1025,0))="","",INDEX(学年度总表!$A$3:$A$1025,MATCH($E183,学年度总表!$E$3:$E$1025,0)))</f>
        <v>524</v>
      </c>
      <c r="B183" s="2">
        <f>IF(INDEX(学年度总表!$B$3:$B$1025,MATCH($E183,学年度总表!$E$3:$E$1025,0))="","",INDEX(学年度总表!$B$3:$B$1025,MATCH($E183,学年度总表!$E$3:$E$1025,0)))</f>
        <v>181</v>
      </c>
      <c r="C183" s="2" t="str">
        <f>IF(INDEX(学年度总表!$C$3:$C$1025,MATCH($E183,学年度总表!$E$3:$E$1025,0))="","",INDEX(学年度总表!$C$3:$C$1025,MATCH($E183,学年度总表!$E$3:$E$1025,0)))</f>
        <v>软工</v>
      </c>
      <c r="D183" s="2" t="str">
        <f>IF(INDEX(学年度总表!$D$3:$D$1025,MATCH($E183,学年度总表!$E$3:$E$1025,0))="","",INDEX(学年度总表!$D$3:$D$1025,MATCH($E183,学年度总表!$E$3:$E$1025,0)))</f>
        <v>软工9班</v>
      </c>
      <c r="E183" s="2" t="s">
        <v>1110</v>
      </c>
      <c r="F183" s="2" t="str">
        <f>IF(INDEX(学年度总表!$F$3:$F$1025,MATCH($E183,学年度总表!$E$3:$E$1025,0))="","",INDEX(学年度总表!$F$3:$F$1025,MATCH($E183,学年度总表!$E$3:$E$1025,0)))</f>
        <v>方恩灿</v>
      </c>
      <c r="G183" s="3">
        <f>IF(INDEX(学年度总表!$G$3:$G$1025,MATCH($E183,学年度总表!$E$3:$E$1025,0))="","",INDEX(学年度总表!$G$3:$G$1025,MATCH($E183,学年度总表!$E$3:$E$1025,0)))</f>
        <v>7.3</v>
      </c>
      <c r="H183" s="3">
        <f>IF(INDEX(学年度总表!$H$3:$H$1025,MATCH($E183,学年度总表!$E$3:$E$1025,0))="","",INDEX(学年度总表!$H$3:$H$1025,MATCH($E183,学年度总表!$E$3:$E$1025,0)))</f>
        <v>58.5</v>
      </c>
      <c r="I183" s="3">
        <f>IF(INDEX(学年度总表!$I$3:$I$1025,MATCH($E183,学年度总表!$E$3:$E$1025,0))="","",INDEX(学年度总表!$I$3:$I$1025,MATCH($E183,学年度总表!$E$3:$E$1025,0)))</f>
        <v>3</v>
      </c>
      <c r="J183" s="3">
        <f>IF(INDEX(学年度总表!$J$3:$J$1025,MATCH($E183,学年度总表!$E$3:$E$1025,0))="","",INDEX(学年度总表!$J$3:$J$1025,MATCH($E183,学年度总表!$E$3:$E$1025,0)))</f>
        <v>68.8</v>
      </c>
      <c r="K183" s="3">
        <f>IF(INDEX(学年度总表!$K$3:$K$1025,MATCH($E183,学年度总表!$E$3:$E$1025,0))="","",INDEX(学年度总表!$K$3:$K$1025,MATCH($E183,学年度总表!$E$3:$E$1025,0)))</f>
        <v>9.8000000000000007</v>
      </c>
      <c r="L183" s="3">
        <f>IF(INDEX(学年度总表!$L$3:$L$1025,MATCH($E183,学年度总表!$E$3:$E$1025,0))="","",INDEX(学年度总表!$L$3:$L$1025,MATCH($E183,学年度总表!$E$3:$E$1025,0)))</f>
        <v>56.85</v>
      </c>
      <c r="M183" s="3">
        <f>IF(INDEX(学年度总表!$M$3:$M$1025,MATCH($E183,学年度总表!$E$3:$E$1025,0))="","",INDEX(学年度总表!$M$3:$M$1025,MATCH($E183,学年度总表!$E$3:$E$1025,0)))</f>
        <v>3.5</v>
      </c>
      <c r="N183" s="3">
        <f>IF(INDEX(学年度总表!$N$3:$N$1025,MATCH($E183,学年度总表!$E$3:$E$1025,0))="","",INDEX(学年度总表!$N$3:$N$1025,MATCH($E183,学年度总表!$E$3:$E$1025,0)))</f>
        <v>70.150000000000006</v>
      </c>
      <c r="O183" s="3">
        <f>IF(INDEX(学年度总表!$O$3:$O$1025,MATCH($E183,学年度总表!$E$3:$E$1025,0))="","",INDEX(学年度总表!$O$3:$O$1025,MATCH($E183,学年度总表!$E$3:$E$1025,0)))</f>
        <v>138.94999999999999</v>
      </c>
      <c r="P183" s="2" t="str">
        <f>IF(INDEX(学年度总表!$P$3:$P$1025,MATCH($E183,学年度总表!$E$3:$E$1025,0))="","",INDEX(学年度总表!$P$3:$P$1025,MATCH($E183,学年度总表!$E$3:$E$1025,0)))</f>
        <v/>
      </c>
      <c r="Q183" s="5" t="str">
        <f>IF(INDEX(学年度总表!$Q$3:$Q$1025,MATCH($E183,学年度总表!$E$3:$E$1025,0))="","",INDEX(学年度总表!$Q$3:$Q$1025,MATCH($E183,学年度总表!$E$3:$E$1025,0)))</f>
        <v/>
      </c>
    </row>
    <row r="184" spans="1:17">
      <c r="A184" s="2">
        <f>IF(INDEX(学年度总表!$A$3:$A$1025,MATCH($E184,学年度总表!$E$3:$E$1025,0))="","",INDEX(学年度总表!$A$3:$A$1025,MATCH($E184,学年度总表!$E$3:$E$1025,0)))</f>
        <v>526</v>
      </c>
      <c r="B184" s="2">
        <f>IF(INDEX(学年度总表!$B$3:$B$1025,MATCH($E184,学年度总表!$E$3:$E$1025,0))="","",INDEX(学年度总表!$B$3:$B$1025,MATCH($E184,学年度总表!$E$3:$E$1025,0)))</f>
        <v>182</v>
      </c>
      <c r="C184" s="2" t="str">
        <f>IF(INDEX(学年度总表!$C$3:$C$1025,MATCH($E184,学年度总表!$E$3:$E$1025,0))="","",INDEX(学年度总表!$C$3:$C$1025,MATCH($E184,学年度总表!$E$3:$E$1025,0)))</f>
        <v>软工</v>
      </c>
      <c r="D184" s="2" t="str">
        <f>IF(INDEX(学年度总表!$D$3:$D$1025,MATCH($E184,学年度总表!$E$3:$E$1025,0))="","",INDEX(学年度总表!$D$3:$D$1025,MATCH($E184,学年度总表!$E$3:$E$1025,0)))</f>
        <v>软工13班</v>
      </c>
      <c r="E184" s="2" t="s">
        <v>1114</v>
      </c>
      <c r="F184" s="2" t="str">
        <f>IF(INDEX(学年度总表!$F$3:$F$1025,MATCH($E184,学年度总表!$E$3:$E$1025,0))="","",INDEX(学年度总表!$F$3:$F$1025,MATCH($E184,学年度总表!$E$3:$E$1025,0)))</f>
        <v>陈志颖</v>
      </c>
      <c r="G184" s="3">
        <f>IF(INDEX(学年度总表!$G$3:$G$1025,MATCH($E184,学年度总表!$E$3:$E$1025,0))="","",INDEX(学年度总表!$G$3:$G$1025,MATCH($E184,学年度总表!$E$3:$E$1025,0)))</f>
        <v>10</v>
      </c>
      <c r="H184" s="3">
        <f>IF(INDEX(学年度总表!$H$3:$H$1025,MATCH($E184,学年度总表!$E$3:$E$1025,0))="","",INDEX(学年度总表!$H$3:$H$1025,MATCH($E184,学年度总表!$E$3:$E$1025,0)))</f>
        <v>56.42</v>
      </c>
      <c r="I184" s="3">
        <f>IF(INDEX(学年度总表!$I$3:$I$1025,MATCH($E184,学年度总表!$E$3:$E$1025,0))="","",INDEX(学年度总表!$I$3:$I$1025,MATCH($E184,学年度总表!$E$3:$E$1025,0)))</f>
        <v>3.7</v>
      </c>
      <c r="J184" s="3">
        <f>IF(INDEX(学年度总表!$J$3:$J$1025,MATCH($E184,学年度总表!$E$3:$E$1025,0))="","",INDEX(学年度总表!$J$3:$J$1025,MATCH($E184,学年度总表!$E$3:$E$1025,0)))</f>
        <v>70.12</v>
      </c>
      <c r="K184" s="3">
        <f>IF(INDEX(学年度总表!$K$3:$K$1025,MATCH($E184,学年度总表!$E$3:$E$1025,0))="","",INDEX(学年度总表!$K$3:$K$1025,MATCH($E184,学年度总表!$E$3:$E$1025,0)))</f>
        <v>10</v>
      </c>
      <c r="L184" s="3">
        <f>IF(INDEX(学年度总表!$L$3:$L$1025,MATCH($E184,学年度总表!$E$3:$E$1025,0))="","",INDEX(学年度总表!$L$3:$L$1025,MATCH($E184,学年度总表!$E$3:$E$1025,0)))</f>
        <v>55.3</v>
      </c>
      <c r="M184" s="3">
        <f>IF(INDEX(学年度总表!$M$3:$M$1025,MATCH($E184,学年度总表!$E$3:$E$1025,0))="","",INDEX(学年度总表!$M$3:$M$1025,MATCH($E184,学年度总表!$E$3:$E$1025,0)))</f>
        <v>3.5</v>
      </c>
      <c r="N184" s="3">
        <f>IF(INDEX(学年度总表!$N$3:$N$1025,MATCH($E184,学年度总表!$E$3:$E$1025,0))="","",INDEX(学年度总表!$N$3:$N$1025,MATCH($E184,学年度总表!$E$3:$E$1025,0)))</f>
        <v>68.8</v>
      </c>
      <c r="O184" s="3">
        <f>IF(INDEX(学年度总表!$O$3:$O$1025,MATCH($E184,学年度总表!$E$3:$E$1025,0))="","",INDEX(学年度总表!$O$3:$O$1025,MATCH($E184,学年度总表!$E$3:$E$1025,0)))</f>
        <v>138.91999999999999</v>
      </c>
      <c r="P184" s="2" t="str">
        <f>IF(INDEX(学年度总表!$P$3:$P$1025,MATCH($E184,学年度总表!$E$3:$E$1025,0))="","",INDEX(学年度总表!$P$3:$P$1025,MATCH($E184,学年度总表!$E$3:$E$1025,0)))</f>
        <v/>
      </c>
      <c r="Q184" s="5" t="str">
        <f>IF(INDEX(学年度总表!$Q$3:$Q$1025,MATCH($E184,学年度总表!$E$3:$E$1025,0))="","",INDEX(学年度总表!$Q$3:$Q$1025,MATCH($E184,学年度总表!$E$3:$E$1025,0)))</f>
        <v/>
      </c>
    </row>
    <row r="185" spans="1:17">
      <c r="A185" s="2">
        <f>IF(INDEX(学年度总表!$A$3:$A$1025,MATCH($E185,学年度总表!$E$3:$E$1025,0))="","",INDEX(学年度总表!$A$3:$A$1025,MATCH($E185,学年度总表!$E$3:$E$1025,0)))</f>
        <v>533</v>
      </c>
      <c r="B185" s="2">
        <f>IF(INDEX(学年度总表!$B$3:$B$1025,MATCH($E185,学年度总表!$E$3:$E$1025,0))="","",INDEX(学年度总表!$B$3:$B$1025,MATCH($E185,学年度总表!$E$3:$E$1025,0)))</f>
        <v>183</v>
      </c>
      <c r="C185" s="2" t="str">
        <f>IF(INDEX(学年度总表!$C$3:$C$1025,MATCH($E185,学年度总表!$E$3:$E$1025,0))="","",INDEX(学年度总表!$C$3:$C$1025,MATCH($E185,学年度总表!$E$3:$E$1025,0)))</f>
        <v>软工</v>
      </c>
      <c r="D185" s="2" t="str">
        <f>IF(INDEX(学年度总表!$D$3:$D$1025,MATCH($E185,学年度总表!$E$3:$E$1025,0))="","",INDEX(学年度总表!$D$3:$D$1025,MATCH($E185,学年度总表!$E$3:$E$1025,0)))</f>
        <v>软工11班</v>
      </c>
      <c r="E185" s="2" t="s">
        <v>1128</v>
      </c>
      <c r="F185" s="2" t="str">
        <f>IF(INDEX(学年度总表!$F$3:$F$1025,MATCH($E185,学年度总表!$E$3:$E$1025,0))="","",INDEX(学年度总表!$F$3:$F$1025,MATCH($E185,学年度总表!$E$3:$E$1025,0)))</f>
        <v>洪伊蕙含</v>
      </c>
      <c r="G185" s="3">
        <f>IF(INDEX(学年度总表!$G$3:$G$1025,MATCH($E185,学年度总表!$E$3:$E$1025,0))="","",INDEX(学年度总表!$G$3:$G$1025,MATCH($E185,学年度总表!$E$3:$E$1025,0)))</f>
        <v>10</v>
      </c>
      <c r="H185" s="3">
        <f>IF(INDEX(学年度总表!$H$3:$H$1025,MATCH($E185,学年度总表!$E$3:$E$1025,0))="","",INDEX(学年度总表!$H$3:$H$1025,MATCH($E185,学年度总表!$E$3:$E$1025,0)))</f>
        <v>55.68</v>
      </c>
      <c r="I185" s="3">
        <f>IF(INDEX(学年度总表!$I$3:$I$1025,MATCH($E185,学年度总表!$E$3:$E$1025,0))="","",INDEX(学年度总表!$I$3:$I$1025,MATCH($E185,学年度总表!$E$3:$E$1025,0)))</f>
        <v>4.4000000000000004</v>
      </c>
      <c r="J185" s="3">
        <f>IF(INDEX(学年度总表!$J$3:$J$1025,MATCH($E185,学年度总表!$E$3:$E$1025,0))="","",INDEX(学年度总表!$J$3:$J$1025,MATCH($E185,学年度总表!$E$3:$E$1025,0)))</f>
        <v>70.08</v>
      </c>
      <c r="K185" s="3">
        <f>IF(INDEX(学年度总表!$K$3:$K$1025,MATCH($E185,学年度总表!$E$3:$E$1025,0))="","",INDEX(学年度总表!$K$3:$K$1025,MATCH($E185,学年度总表!$E$3:$E$1025,0)))</f>
        <v>10</v>
      </c>
      <c r="L185" s="3">
        <f>IF(INDEX(学年度总表!$L$3:$L$1025,MATCH($E185,学年度总表!$E$3:$E$1025,0))="","",INDEX(学年度总表!$L$3:$L$1025,MATCH($E185,学年度总表!$E$3:$E$1025,0)))</f>
        <v>54.08</v>
      </c>
      <c r="M185" s="3">
        <f>IF(INDEX(学年度总表!$M$3:$M$1025,MATCH($E185,学年度总表!$E$3:$E$1025,0))="","",INDEX(学年度总表!$M$3:$M$1025,MATCH($E185,学年度总表!$E$3:$E$1025,0)))</f>
        <v>4.5</v>
      </c>
      <c r="N185" s="3">
        <f>IF(INDEX(学年度总表!$N$3:$N$1025,MATCH($E185,学年度总表!$E$3:$E$1025,0))="","",INDEX(学年度总表!$N$3:$N$1025,MATCH($E185,学年度总表!$E$3:$E$1025,0)))</f>
        <v>68.58</v>
      </c>
      <c r="O185" s="3">
        <f>IF(INDEX(学年度总表!$O$3:$O$1025,MATCH($E185,学年度总表!$E$3:$E$1025,0))="","",INDEX(学年度总表!$O$3:$O$1025,MATCH($E185,学年度总表!$E$3:$E$1025,0)))</f>
        <v>138.66</v>
      </c>
      <c r="P185" s="2" t="str">
        <f>IF(INDEX(学年度总表!$P$3:$P$1025,MATCH($E185,学年度总表!$E$3:$E$1025,0))="","",INDEX(学年度总表!$P$3:$P$1025,MATCH($E185,学年度总表!$E$3:$E$1025,0)))</f>
        <v/>
      </c>
      <c r="Q185" s="5" t="str">
        <f>IF(INDEX(学年度总表!$Q$3:$Q$1025,MATCH($E185,学年度总表!$E$3:$E$1025,0))="","",INDEX(学年度总表!$Q$3:$Q$1025,MATCH($E185,学年度总表!$E$3:$E$1025,0)))</f>
        <v/>
      </c>
    </row>
    <row r="186" spans="1:17">
      <c r="A186" s="2">
        <f>IF(INDEX(学年度总表!$A$3:$A$1025,MATCH($E186,学年度总表!$E$3:$E$1025,0))="","",INDEX(学年度总表!$A$3:$A$1025,MATCH($E186,学年度总表!$E$3:$E$1025,0)))</f>
        <v>539</v>
      </c>
      <c r="B186" s="2">
        <f>IF(INDEX(学年度总表!$B$3:$B$1025,MATCH($E186,学年度总表!$E$3:$E$1025,0))="","",INDEX(学年度总表!$B$3:$B$1025,MATCH($E186,学年度总表!$E$3:$E$1025,0)))</f>
        <v>184</v>
      </c>
      <c r="C186" s="2" t="str">
        <f>IF(INDEX(学年度总表!$C$3:$C$1025,MATCH($E186,学年度总表!$E$3:$E$1025,0))="","",INDEX(学年度总表!$C$3:$C$1025,MATCH($E186,学年度总表!$E$3:$E$1025,0)))</f>
        <v>软工</v>
      </c>
      <c r="D186" s="2" t="str">
        <f>IF(INDEX(学年度总表!$D$3:$D$1025,MATCH($E186,学年度总表!$E$3:$E$1025,0))="","",INDEX(学年度总表!$D$3:$D$1025,MATCH($E186,学年度总表!$E$3:$E$1025,0)))</f>
        <v>软工6班</v>
      </c>
      <c r="E186" s="2" t="s">
        <v>1140</v>
      </c>
      <c r="F186" s="2" t="str">
        <f>IF(INDEX(学年度总表!$F$3:$F$1025,MATCH($E186,学年度总表!$E$3:$E$1025,0))="","",INDEX(学年度总表!$F$3:$F$1025,MATCH($E186,学年度总表!$E$3:$E$1025,0)))</f>
        <v>刘承霖</v>
      </c>
      <c r="G186" s="3">
        <f>IF(INDEX(学年度总表!$G$3:$G$1025,MATCH($E186,学年度总表!$E$3:$E$1025,0))="","",INDEX(学年度总表!$G$3:$G$1025,MATCH($E186,学年度总表!$E$3:$E$1025,0)))</f>
        <v>8.3000000000000007</v>
      </c>
      <c r="H186" s="3">
        <f>IF(INDEX(学年度总表!$H$3:$H$1025,MATCH($E186,学年度总表!$E$3:$E$1025,0))="","",INDEX(学年度总表!$H$3:$H$1025,MATCH($E186,学年度总表!$E$3:$E$1025,0)))</f>
        <v>52.877551020408198</v>
      </c>
      <c r="I186" s="3">
        <f>IF(INDEX(学年度总表!$I$3:$I$1025,MATCH($E186,学年度总表!$E$3:$E$1025,0))="","",INDEX(学年度总表!$I$3:$I$1025,MATCH($E186,学年度总表!$E$3:$E$1025,0)))</f>
        <v>5.8</v>
      </c>
      <c r="J186" s="3">
        <f>IF(INDEX(学年度总表!$J$3:$J$1025,MATCH($E186,学年度总表!$E$3:$E$1025,0))="","",INDEX(学年度总表!$J$3:$J$1025,MATCH($E186,学年度总表!$E$3:$E$1025,0)))</f>
        <v>66.98</v>
      </c>
      <c r="K186" s="3">
        <f>IF(INDEX(学年度总表!$K$3:$K$1025,MATCH($E186,学年度总表!$E$3:$E$1025,0))="","",INDEX(学年度总表!$K$3:$K$1025,MATCH($E186,学年度总表!$E$3:$E$1025,0)))</f>
        <v>10</v>
      </c>
      <c r="L186" s="3">
        <f>IF(INDEX(学年度总表!$L$3:$L$1025,MATCH($E186,学年度总表!$E$3:$E$1025,0))="","",INDEX(学年度总表!$L$3:$L$1025,MATCH($E186,学年度总表!$E$3:$E$1025,0)))</f>
        <v>54.78</v>
      </c>
      <c r="M186" s="3">
        <f>IF(INDEX(学年度总表!$M$3:$M$1025,MATCH($E186,学年度总表!$E$3:$E$1025,0))="","",INDEX(学年度总表!$M$3:$M$1025,MATCH($E186,学年度总表!$E$3:$E$1025,0)))</f>
        <v>6.8</v>
      </c>
      <c r="N186" s="3">
        <f>IF(INDEX(学年度总表!$N$3:$N$1025,MATCH($E186,学年度总表!$E$3:$E$1025,0))="","",INDEX(学年度总表!$N$3:$N$1025,MATCH($E186,学年度总表!$E$3:$E$1025,0)))</f>
        <v>71.58</v>
      </c>
      <c r="O186" s="3">
        <f>IF(INDEX(学年度总表!$O$3:$O$1025,MATCH($E186,学年度总表!$E$3:$E$1025,0))="","",INDEX(学年度总表!$O$3:$O$1025,MATCH($E186,学年度总表!$E$3:$E$1025,0)))</f>
        <v>138.56</v>
      </c>
      <c r="P186" s="2" t="str">
        <f>IF(INDEX(学年度总表!$P$3:$P$1025,MATCH($E186,学年度总表!$E$3:$E$1025,0))="","",INDEX(学年度总表!$P$3:$P$1025,MATCH($E186,学年度总表!$E$3:$E$1025,0)))</f>
        <v/>
      </c>
      <c r="Q186" s="5" t="str">
        <f>IF(INDEX(学年度总表!$Q$3:$Q$1025,MATCH($E186,学年度总表!$E$3:$E$1025,0))="","",INDEX(学年度总表!$Q$3:$Q$1025,MATCH($E186,学年度总表!$E$3:$E$1025,0)))</f>
        <v/>
      </c>
    </row>
    <row r="187" spans="1:17">
      <c r="A187" s="2">
        <f>IF(INDEX(学年度总表!$A$3:$A$1025,MATCH($E187,学年度总表!$E$3:$E$1025,0))="","",INDEX(学年度总表!$A$3:$A$1025,MATCH($E187,学年度总表!$E$3:$E$1025,0)))</f>
        <v>543</v>
      </c>
      <c r="B187" s="2">
        <f>IF(INDEX(学年度总表!$B$3:$B$1025,MATCH($E187,学年度总表!$E$3:$E$1025,0))="","",INDEX(学年度总表!$B$3:$B$1025,MATCH($E187,学年度总表!$E$3:$E$1025,0)))</f>
        <v>185</v>
      </c>
      <c r="C187" s="2" t="str">
        <f>IF(INDEX(学年度总表!$C$3:$C$1025,MATCH($E187,学年度总表!$E$3:$E$1025,0))="","",INDEX(学年度总表!$C$3:$C$1025,MATCH($E187,学年度总表!$E$3:$E$1025,0)))</f>
        <v>软工</v>
      </c>
      <c r="D187" s="2" t="str">
        <f>IF(INDEX(学年度总表!$D$3:$D$1025,MATCH($E187,学年度总表!$E$3:$E$1025,0))="","",INDEX(学年度总表!$D$3:$D$1025,MATCH($E187,学年度总表!$E$3:$E$1025,0)))</f>
        <v>软工13班</v>
      </c>
      <c r="E187" s="2" t="s">
        <v>1150</v>
      </c>
      <c r="F187" s="2" t="str">
        <f>IF(INDEX(学年度总表!$F$3:$F$1025,MATCH($E187,学年度总表!$E$3:$E$1025,0))="","",INDEX(学年度总表!$F$3:$F$1025,MATCH($E187,学年度总表!$E$3:$E$1025,0)))</f>
        <v>姜璎芮</v>
      </c>
      <c r="G187" s="3">
        <f>IF(INDEX(学年度总表!$G$3:$G$1025,MATCH($E187,学年度总表!$E$3:$E$1025,0))="","",INDEX(学年度总表!$G$3:$G$1025,MATCH($E187,学年度总表!$E$3:$E$1025,0)))</f>
        <v>10.3</v>
      </c>
      <c r="H187" s="3">
        <f>IF(INDEX(学年度总表!$H$3:$H$1025,MATCH($E187,学年度总表!$E$3:$E$1025,0))="","",INDEX(学年度总表!$H$3:$H$1025,MATCH($E187,学年度总表!$E$3:$E$1025,0)))</f>
        <v>53.31</v>
      </c>
      <c r="I187" s="3">
        <f>IF(INDEX(学年度总表!$I$3:$I$1025,MATCH($E187,学年度总表!$E$3:$E$1025,0))="","",INDEX(学年度总表!$I$3:$I$1025,MATCH($E187,学年度总表!$E$3:$E$1025,0)))</f>
        <v>3</v>
      </c>
      <c r="J187" s="3">
        <f>IF(INDEX(学年度总表!$J$3:$J$1025,MATCH($E187,学年度总表!$E$3:$E$1025,0))="","",INDEX(学年度总表!$J$3:$J$1025,MATCH($E187,学年度总表!$E$3:$E$1025,0)))</f>
        <v>66.61</v>
      </c>
      <c r="K187" s="3">
        <f>IF(INDEX(学年度总表!$K$3:$K$1025,MATCH($E187,学年度总表!$E$3:$E$1025,0))="","",INDEX(学年度总表!$K$3:$K$1025,MATCH($E187,学年度总表!$E$3:$E$1025,0)))</f>
        <v>9.8000000000000007</v>
      </c>
      <c r="L187" s="3">
        <f>IF(INDEX(学年度总表!$L$3:$L$1025,MATCH($E187,学年度总表!$E$3:$E$1025,0))="","",INDEX(学年度总表!$L$3:$L$1025,MATCH($E187,学年度总表!$E$3:$E$1025,0)))</f>
        <v>58.14</v>
      </c>
      <c r="M187" s="3">
        <f>IF(INDEX(学年度总表!$M$3:$M$1025,MATCH($E187,学年度总表!$E$3:$E$1025,0))="","",INDEX(学年度总表!$M$3:$M$1025,MATCH($E187,学年度总表!$E$3:$E$1025,0)))</f>
        <v>3.5</v>
      </c>
      <c r="N187" s="3">
        <f>IF(INDEX(学年度总表!$N$3:$N$1025,MATCH($E187,学年度总表!$E$3:$E$1025,0))="","",INDEX(学年度总表!$N$3:$N$1025,MATCH($E187,学年度总表!$E$3:$E$1025,0)))</f>
        <v>71.44</v>
      </c>
      <c r="O187" s="3">
        <f>IF(INDEX(学年度总表!$O$3:$O$1025,MATCH($E187,学年度总表!$E$3:$E$1025,0))="","",INDEX(学年度总表!$O$3:$O$1025,MATCH($E187,学年度总表!$E$3:$E$1025,0)))</f>
        <v>138.05000000000001</v>
      </c>
      <c r="P187" s="2" t="str">
        <f>IF(INDEX(学年度总表!$P$3:$P$1025,MATCH($E187,学年度总表!$E$3:$E$1025,0))="","",INDEX(学年度总表!$P$3:$P$1025,MATCH($E187,学年度总表!$E$3:$E$1025,0)))</f>
        <v/>
      </c>
      <c r="Q187" s="5" t="str">
        <f>IF(INDEX(学年度总表!$Q$3:$Q$1025,MATCH($E187,学年度总表!$E$3:$E$1025,0))="","",INDEX(学年度总表!$Q$3:$Q$1025,MATCH($E187,学年度总表!$E$3:$E$1025,0)))</f>
        <v/>
      </c>
    </row>
    <row r="188" spans="1:17">
      <c r="A188" s="2">
        <f>IF(INDEX(学年度总表!$A$3:$A$1025,MATCH($E188,学年度总表!$E$3:$E$1025,0))="","",INDEX(学年度总表!$A$3:$A$1025,MATCH($E188,学年度总表!$E$3:$E$1025,0)))</f>
        <v>548</v>
      </c>
      <c r="B188" s="2">
        <f>IF(INDEX(学年度总表!$B$3:$B$1025,MATCH($E188,学年度总表!$E$3:$E$1025,0))="","",INDEX(学年度总表!$B$3:$B$1025,MATCH($E188,学年度总表!$E$3:$E$1025,0)))</f>
        <v>186</v>
      </c>
      <c r="C188" s="2" t="str">
        <f>IF(INDEX(学年度总表!$C$3:$C$1025,MATCH($E188,学年度总表!$E$3:$E$1025,0))="","",INDEX(学年度总表!$C$3:$C$1025,MATCH($E188,学年度总表!$E$3:$E$1025,0)))</f>
        <v>软工</v>
      </c>
      <c r="D188" s="2" t="str">
        <f>IF(INDEX(学年度总表!$D$3:$D$1025,MATCH($E188,学年度总表!$E$3:$E$1025,0))="","",INDEX(学年度总表!$D$3:$D$1025,MATCH($E188,学年度总表!$E$3:$E$1025,0)))</f>
        <v>软工10班</v>
      </c>
      <c r="E188" s="2" t="s">
        <v>1158</v>
      </c>
      <c r="F188" s="2" t="str">
        <f>IF(INDEX(学年度总表!$F$3:$F$1025,MATCH($E188,学年度总表!$E$3:$E$1025,0))="","",INDEX(学年度总表!$F$3:$F$1025,MATCH($E188,学年度总表!$E$3:$E$1025,0)))</f>
        <v>张雨</v>
      </c>
      <c r="G188" s="3">
        <f>IF(INDEX(学年度总表!$G$3:$G$1025,MATCH($E188,学年度总表!$E$3:$E$1025,0))="","",INDEX(学年度总表!$G$3:$G$1025,MATCH($E188,学年度总表!$E$3:$E$1025,0)))</f>
        <v>9.8000000000000007</v>
      </c>
      <c r="H188" s="3">
        <f>IF(INDEX(学年度总表!$H$3:$H$1025,MATCH($E188,学年度总表!$E$3:$E$1025,0))="","",INDEX(学年度总表!$H$3:$H$1025,MATCH($E188,学年度总表!$E$3:$E$1025,0)))</f>
        <v>58.57</v>
      </c>
      <c r="I188" s="3">
        <f>IF(INDEX(学年度总表!$I$3:$I$1025,MATCH($E188,学年度总表!$E$3:$E$1025,0))="","",INDEX(学年度总表!$I$3:$I$1025,MATCH($E188,学年度总表!$E$3:$E$1025,0)))</f>
        <v>4.5</v>
      </c>
      <c r="J188" s="3">
        <f>IF(INDEX(学年度总表!$J$3:$J$1025,MATCH($E188,学年度总表!$E$3:$E$1025,0))="","",INDEX(学年度总表!$J$3:$J$1025,MATCH($E188,学年度总表!$E$3:$E$1025,0)))</f>
        <v>72.87</v>
      </c>
      <c r="K188" s="3">
        <f>IF(INDEX(学年度总表!$K$3:$K$1025,MATCH($E188,学年度总表!$E$3:$E$1025,0))="","",INDEX(学年度总表!$K$3:$K$1025,MATCH($E188,学年度总表!$E$3:$E$1025,0)))</f>
        <v>9.8000000000000007</v>
      </c>
      <c r="L188" s="3">
        <f>IF(INDEX(学年度总表!$L$3:$L$1025,MATCH($E188,学年度总表!$E$3:$E$1025,0))="","",INDEX(学年度总表!$L$3:$L$1025,MATCH($E188,学年度总表!$E$3:$E$1025,0)))</f>
        <v>50.5</v>
      </c>
      <c r="M188" s="3">
        <f>IF(INDEX(学年度总表!$M$3:$M$1025,MATCH($E188,学年度总表!$E$3:$E$1025,0))="","",INDEX(学年度总表!$M$3:$M$1025,MATCH($E188,学年度总表!$E$3:$E$1025,0)))</f>
        <v>4.7</v>
      </c>
      <c r="N188" s="3">
        <f>IF(INDEX(学年度总表!$N$3:$N$1025,MATCH($E188,学年度总表!$E$3:$E$1025,0))="","",INDEX(学年度总表!$N$3:$N$1025,MATCH($E188,学年度总表!$E$3:$E$1025,0)))</f>
        <v>65</v>
      </c>
      <c r="O188" s="3">
        <f>IF(INDEX(学年度总表!$O$3:$O$1025,MATCH($E188,学年度总表!$E$3:$E$1025,0))="","",INDEX(学年度总表!$O$3:$O$1025,MATCH($E188,学年度总表!$E$3:$E$1025,0)))</f>
        <v>137.87</v>
      </c>
      <c r="P188" s="2" t="str">
        <f>IF(INDEX(学年度总表!$P$3:$P$1025,MATCH($E188,学年度总表!$E$3:$E$1025,0))="","",INDEX(学年度总表!$P$3:$P$1025,MATCH($E188,学年度总表!$E$3:$E$1025,0)))</f>
        <v/>
      </c>
      <c r="Q188" s="5" t="str">
        <f>IF(INDEX(学年度总表!$Q$3:$Q$1025,MATCH($E188,学年度总表!$E$3:$E$1025,0))="","",INDEX(学年度总表!$Q$3:$Q$1025,MATCH($E188,学年度总表!$E$3:$E$1025,0)))</f>
        <v/>
      </c>
    </row>
    <row r="189" spans="1:17">
      <c r="A189" s="2">
        <f>IF(INDEX(学年度总表!$A$3:$A$1025,MATCH($E189,学年度总表!$E$3:$E$1025,0))="","",INDEX(学年度总表!$A$3:$A$1025,MATCH($E189,学年度总表!$E$3:$E$1025,0)))</f>
        <v>550</v>
      </c>
      <c r="B189" s="2">
        <f>IF(INDEX(学年度总表!$B$3:$B$1025,MATCH($E189,学年度总表!$E$3:$E$1025,0))="","",INDEX(学年度总表!$B$3:$B$1025,MATCH($E189,学年度总表!$E$3:$E$1025,0)))</f>
        <v>187</v>
      </c>
      <c r="C189" s="2" t="str">
        <f>IF(INDEX(学年度总表!$C$3:$C$1025,MATCH($E189,学年度总表!$E$3:$E$1025,0))="","",INDEX(学年度总表!$C$3:$C$1025,MATCH($E189,学年度总表!$E$3:$E$1025,0)))</f>
        <v>软工</v>
      </c>
      <c r="D189" s="2" t="str">
        <f>IF(INDEX(学年度总表!$D$3:$D$1025,MATCH($E189,学年度总表!$E$3:$E$1025,0))="","",INDEX(学年度总表!$D$3:$D$1025,MATCH($E189,学年度总表!$E$3:$E$1025,0)))</f>
        <v>软工13班</v>
      </c>
      <c r="E189" s="2" t="s">
        <v>1162</v>
      </c>
      <c r="F189" s="2" t="str">
        <f>IF(INDEX(学年度总表!$F$3:$F$1025,MATCH($E189,学年度总表!$E$3:$E$1025,0))="","",INDEX(学年度总表!$F$3:$F$1025,MATCH($E189,学年度总表!$E$3:$E$1025,0)))</f>
        <v>刘曦谣</v>
      </c>
      <c r="G189" s="3">
        <f>IF(INDEX(学年度总表!$G$3:$G$1025,MATCH($E189,学年度总表!$E$3:$E$1025,0))="","",INDEX(学年度总表!$G$3:$G$1025,MATCH($E189,学年度总表!$E$3:$E$1025,0)))</f>
        <v>9.8000000000000007</v>
      </c>
      <c r="H189" s="3">
        <f>IF(INDEX(学年度总表!$H$3:$H$1025,MATCH($E189,学年度总表!$E$3:$E$1025,0))="","",INDEX(学年度总表!$H$3:$H$1025,MATCH($E189,学年度总表!$E$3:$E$1025,0)))</f>
        <v>57.59</v>
      </c>
      <c r="I189" s="3">
        <f>IF(INDEX(学年度总表!$I$3:$I$1025,MATCH($E189,学年度总表!$E$3:$E$1025,0))="","",INDEX(学年度总表!$I$3:$I$1025,MATCH($E189,学年度总表!$E$3:$E$1025,0)))</f>
        <v>3</v>
      </c>
      <c r="J189" s="3">
        <f>IF(INDEX(学年度总表!$J$3:$J$1025,MATCH($E189,学年度总表!$E$3:$E$1025,0))="","",INDEX(学年度总表!$J$3:$J$1025,MATCH($E189,学年度总表!$E$3:$E$1025,0)))</f>
        <v>70.39</v>
      </c>
      <c r="K189" s="3">
        <f>IF(INDEX(学年度总表!$K$3:$K$1025,MATCH($E189,学年度总表!$E$3:$E$1025,0))="","",INDEX(学年度总表!$K$3:$K$1025,MATCH($E189,学年度总表!$E$3:$E$1025,0)))</f>
        <v>9.8000000000000007</v>
      </c>
      <c r="L189" s="3">
        <f>IF(INDEX(学年度总表!$L$3:$L$1025,MATCH($E189,学年度总表!$E$3:$E$1025,0))="","",INDEX(学年度总表!$L$3:$L$1025,MATCH($E189,学年度总表!$E$3:$E$1025,0)))</f>
        <v>54.11</v>
      </c>
      <c r="M189" s="3">
        <f>IF(INDEX(学年度总表!$M$3:$M$1025,MATCH($E189,学年度总表!$E$3:$E$1025,0))="","",INDEX(学年度总表!$M$3:$M$1025,MATCH($E189,学年度总表!$E$3:$E$1025,0)))</f>
        <v>3.5</v>
      </c>
      <c r="N189" s="3">
        <f>IF(INDEX(学年度总表!$N$3:$N$1025,MATCH($E189,学年度总表!$E$3:$E$1025,0))="","",INDEX(学年度总表!$N$3:$N$1025,MATCH($E189,学年度总表!$E$3:$E$1025,0)))</f>
        <v>67.41</v>
      </c>
      <c r="O189" s="3">
        <f>IF(INDEX(学年度总表!$O$3:$O$1025,MATCH($E189,学年度总表!$E$3:$E$1025,0))="","",INDEX(学年度总表!$O$3:$O$1025,MATCH($E189,学年度总表!$E$3:$E$1025,0)))</f>
        <v>137.80000000000001</v>
      </c>
      <c r="P189" s="2" t="str">
        <f>IF(INDEX(学年度总表!$P$3:$P$1025,MATCH($E189,学年度总表!$E$3:$E$1025,0))="","",INDEX(学年度总表!$P$3:$P$1025,MATCH($E189,学年度总表!$E$3:$E$1025,0)))</f>
        <v/>
      </c>
      <c r="Q189" s="5" t="str">
        <f>IF(INDEX(学年度总表!$Q$3:$Q$1025,MATCH($E189,学年度总表!$E$3:$E$1025,0))="","",INDEX(学年度总表!$Q$3:$Q$1025,MATCH($E189,学年度总表!$E$3:$E$1025,0)))</f>
        <v/>
      </c>
    </row>
    <row r="190" spans="1:17">
      <c r="A190" s="2">
        <f>IF(INDEX(学年度总表!$A$3:$A$1025,MATCH($E190,学年度总表!$E$3:$E$1025,0))="","",INDEX(学年度总表!$A$3:$A$1025,MATCH($E190,学年度总表!$E$3:$E$1025,0)))</f>
        <v>559</v>
      </c>
      <c r="B190" s="2">
        <f>IF(INDEX(学年度总表!$B$3:$B$1025,MATCH($E190,学年度总表!$E$3:$E$1025,0))="","",INDEX(学年度总表!$B$3:$B$1025,MATCH($E190,学年度总表!$E$3:$E$1025,0)))</f>
        <v>188</v>
      </c>
      <c r="C190" s="2" t="str">
        <f>IF(INDEX(学年度总表!$C$3:$C$1025,MATCH($E190,学年度总表!$E$3:$E$1025,0))="","",INDEX(学年度总表!$C$3:$C$1025,MATCH($E190,学年度总表!$E$3:$E$1025,0)))</f>
        <v>软工</v>
      </c>
      <c r="D190" s="2" t="str">
        <f>IF(INDEX(学年度总表!$D$3:$D$1025,MATCH($E190,学年度总表!$E$3:$E$1025,0))="","",INDEX(学年度总表!$D$3:$D$1025,MATCH($E190,学年度总表!$E$3:$E$1025,0)))</f>
        <v>软工12班</v>
      </c>
      <c r="E190" s="2" t="s">
        <v>1180</v>
      </c>
      <c r="F190" s="2" t="str">
        <f>IF(INDEX(学年度总表!$F$3:$F$1025,MATCH($E190,学年度总表!$E$3:$E$1025,0))="","",INDEX(学年度总表!$F$3:$F$1025,MATCH($E190,学年度总表!$E$3:$E$1025,0)))</f>
        <v>陈美汐</v>
      </c>
      <c r="G190" s="3">
        <f>IF(INDEX(学年度总表!$G$3:$G$1025,MATCH($E190,学年度总表!$E$3:$E$1025,0))="","",INDEX(学年度总表!$G$3:$G$1025,MATCH($E190,学年度总表!$E$3:$E$1025,0)))</f>
        <v>9.8000000000000007</v>
      </c>
      <c r="H190" s="3">
        <f>IF(INDEX(学年度总表!$H$3:$H$1025,MATCH($E190,学年度总表!$E$3:$E$1025,0))="","",INDEX(学年度总表!$H$3:$H$1025,MATCH($E190,学年度总表!$E$3:$E$1025,0)))</f>
        <v>62.54</v>
      </c>
      <c r="I190" s="3">
        <f>IF(INDEX(学年度总表!$I$3:$I$1025,MATCH($E190,学年度总表!$E$3:$E$1025,0))="","",INDEX(学年度总表!$I$3:$I$1025,MATCH($E190,学年度总表!$E$3:$E$1025,0)))</f>
        <v>4</v>
      </c>
      <c r="J190" s="3">
        <f>IF(INDEX(学年度总表!$J$3:$J$1025,MATCH($E190,学年度总表!$E$3:$E$1025,0))="","",INDEX(学年度总表!$J$3:$J$1025,MATCH($E190,学年度总表!$E$3:$E$1025,0)))</f>
        <v>76.34</v>
      </c>
      <c r="K190" s="3">
        <f>IF(INDEX(学年度总表!$K$3:$K$1025,MATCH($E190,学年度总表!$E$3:$E$1025,0))="","",INDEX(学年度总表!$K$3:$K$1025,MATCH($E190,学年度总表!$E$3:$E$1025,0)))</f>
        <v>9.8000000000000007</v>
      </c>
      <c r="L190" s="3">
        <f>IF(INDEX(学年度总表!$L$3:$L$1025,MATCH($E190,学年度总表!$E$3:$E$1025,0))="","",INDEX(学年度总表!$L$3:$L$1025,MATCH($E190,学年度总表!$E$3:$E$1025,0)))</f>
        <v>46.68</v>
      </c>
      <c r="M190" s="3">
        <f>IF(INDEX(学年度总表!$M$3:$M$1025,MATCH($E190,学年度总表!$E$3:$E$1025,0))="","",INDEX(学年度总表!$M$3:$M$1025,MATCH($E190,学年度总表!$E$3:$E$1025,0)))</f>
        <v>4.7</v>
      </c>
      <c r="N190" s="3">
        <f>IF(INDEX(学年度总表!$N$3:$N$1025,MATCH($E190,学年度总表!$E$3:$E$1025,0))="","",INDEX(学年度总表!$N$3:$N$1025,MATCH($E190,学年度总表!$E$3:$E$1025,0)))</f>
        <v>61.18</v>
      </c>
      <c r="O190" s="3">
        <f>IF(INDEX(学年度总表!$O$3:$O$1025,MATCH($E190,学年度总表!$E$3:$E$1025,0))="","",INDEX(学年度总表!$O$3:$O$1025,MATCH($E190,学年度总表!$E$3:$E$1025,0)))</f>
        <v>137.52000000000001</v>
      </c>
      <c r="P190" s="2" t="str">
        <f>IF(INDEX(学年度总表!$P$3:$P$1025,MATCH($E190,学年度总表!$E$3:$E$1025,0))="","",INDEX(学年度总表!$P$3:$P$1025,MATCH($E190,学年度总表!$E$3:$E$1025,0)))</f>
        <v/>
      </c>
      <c r="Q190" s="5" t="str">
        <f>IF(INDEX(学年度总表!$Q$3:$Q$1025,MATCH($E190,学年度总表!$E$3:$E$1025,0))="","",INDEX(学年度总表!$Q$3:$Q$1025,MATCH($E190,学年度总表!$E$3:$E$1025,0)))</f>
        <v/>
      </c>
    </row>
    <row r="191" spans="1:17">
      <c r="A191" s="2">
        <f>IF(INDEX(学年度总表!$A$3:$A$1025,MATCH($E191,学年度总表!$E$3:$E$1025,0))="","",INDEX(学年度总表!$A$3:$A$1025,MATCH($E191,学年度总表!$E$3:$E$1025,0)))</f>
        <v>561</v>
      </c>
      <c r="B191" s="2">
        <f>IF(INDEX(学年度总表!$B$3:$B$1025,MATCH($E191,学年度总表!$E$3:$E$1025,0))="","",INDEX(学年度总表!$B$3:$B$1025,MATCH($E191,学年度总表!$E$3:$E$1025,0)))</f>
        <v>189</v>
      </c>
      <c r="C191" s="2" t="str">
        <f>IF(INDEX(学年度总表!$C$3:$C$1025,MATCH($E191,学年度总表!$E$3:$E$1025,0))="","",INDEX(学年度总表!$C$3:$C$1025,MATCH($E191,学年度总表!$E$3:$E$1025,0)))</f>
        <v>软工</v>
      </c>
      <c r="D191" s="2" t="str">
        <f>IF(INDEX(学年度总表!$D$3:$D$1025,MATCH($E191,学年度总表!$E$3:$E$1025,0))="","",INDEX(学年度总表!$D$3:$D$1025,MATCH($E191,学年度总表!$E$3:$E$1025,0)))</f>
        <v>软工9班</v>
      </c>
      <c r="E191" s="2" t="s">
        <v>1184</v>
      </c>
      <c r="F191" s="2" t="str">
        <f>IF(INDEX(学年度总表!$F$3:$F$1025,MATCH($E191,学年度总表!$E$3:$E$1025,0))="","",INDEX(学年度总表!$F$3:$F$1025,MATCH($E191,学年度总表!$E$3:$E$1025,0)))</f>
        <v>张家源</v>
      </c>
      <c r="G191" s="3">
        <f>IF(INDEX(学年度总表!$G$3:$G$1025,MATCH($E191,学年度总表!$E$3:$E$1025,0))="","",INDEX(学年度总表!$G$3:$G$1025,MATCH($E191,学年度总表!$E$3:$E$1025,0)))</f>
        <v>10.3</v>
      </c>
      <c r="H191" s="3">
        <f>IF(INDEX(学年度总表!$H$3:$H$1025,MATCH($E191,学年度总表!$E$3:$E$1025,0))="","",INDEX(学年度总表!$H$3:$H$1025,MATCH($E191,学年度总表!$E$3:$E$1025,0)))</f>
        <v>51.918367346938801</v>
      </c>
      <c r="I191" s="3">
        <f>IF(INDEX(学年度总表!$I$3:$I$1025,MATCH($E191,学年度总表!$E$3:$E$1025,0))="","",INDEX(学年度总表!$I$3:$I$1025,MATCH($E191,学年度总表!$E$3:$E$1025,0)))</f>
        <v>6</v>
      </c>
      <c r="J191" s="3">
        <f>IF(INDEX(学年度总表!$J$3:$J$1025,MATCH($E191,学年度总表!$E$3:$E$1025,0))="","",INDEX(学年度总表!$J$3:$J$1025,MATCH($E191,学年度总表!$E$3:$E$1025,0)))</f>
        <v>68.22</v>
      </c>
      <c r="K191" s="3">
        <f>IF(INDEX(学年度总表!$K$3:$K$1025,MATCH($E191,学年度总表!$E$3:$E$1025,0))="","",INDEX(学年度总表!$K$3:$K$1025,MATCH($E191,学年度总表!$E$3:$E$1025,0)))</f>
        <v>9.8000000000000007</v>
      </c>
      <c r="L191" s="3">
        <f>IF(INDEX(学年度总表!$L$3:$L$1025,MATCH($E191,学年度总表!$E$3:$E$1025,0))="","",INDEX(学年度总表!$L$3:$L$1025,MATCH($E191,学年度总表!$E$3:$E$1025,0)))</f>
        <v>53.69</v>
      </c>
      <c r="M191" s="3">
        <f>IF(INDEX(学年度总表!$M$3:$M$1025,MATCH($E191,学年度总表!$E$3:$E$1025,0))="","",INDEX(学年度总表!$M$3:$M$1025,MATCH($E191,学年度总表!$E$3:$E$1025,0)))</f>
        <v>5.7</v>
      </c>
      <c r="N191" s="3">
        <f>IF(INDEX(学年度总表!$N$3:$N$1025,MATCH($E191,学年度总表!$E$3:$E$1025,0))="","",INDEX(学年度总表!$N$3:$N$1025,MATCH($E191,学年度总表!$E$3:$E$1025,0)))</f>
        <v>69.19</v>
      </c>
      <c r="O191" s="3">
        <f>IF(INDEX(学年度总表!$O$3:$O$1025,MATCH($E191,学年度总表!$E$3:$E$1025,0))="","",INDEX(学年度总表!$O$3:$O$1025,MATCH($E191,学年度总表!$E$3:$E$1025,0)))</f>
        <v>137.41</v>
      </c>
      <c r="P191" s="2" t="str">
        <f>IF(INDEX(学年度总表!$P$3:$P$1025,MATCH($E191,学年度总表!$E$3:$E$1025,0))="","",INDEX(学年度总表!$P$3:$P$1025,MATCH($E191,学年度总表!$E$3:$E$1025,0)))</f>
        <v/>
      </c>
      <c r="Q191" s="5" t="str">
        <f>IF(INDEX(学年度总表!$Q$3:$Q$1025,MATCH($E191,学年度总表!$E$3:$E$1025,0))="","",INDEX(学年度总表!$Q$3:$Q$1025,MATCH($E191,学年度总表!$E$3:$E$1025,0)))</f>
        <v/>
      </c>
    </row>
    <row r="192" spans="1:17">
      <c r="A192" s="2">
        <f>IF(INDEX(学年度总表!$A$3:$A$1025,MATCH($E192,学年度总表!$E$3:$E$1025,0))="","",INDEX(学年度总表!$A$3:$A$1025,MATCH($E192,学年度总表!$E$3:$E$1025,0)))</f>
        <v>564</v>
      </c>
      <c r="B192" s="2">
        <f>IF(INDEX(学年度总表!$B$3:$B$1025,MATCH($E192,学年度总表!$E$3:$E$1025,0))="","",INDEX(学年度总表!$B$3:$B$1025,MATCH($E192,学年度总表!$E$3:$E$1025,0)))</f>
        <v>190</v>
      </c>
      <c r="C192" s="2" t="str">
        <f>IF(INDEX(学年度总表!$C$3:$C$1025,MATCH($E192,学年度总表!$E$3:$E$1025,0))="","",INDEX(学年度总表!$C$3:$C$1025,MATCH($E192,学年度总表!$E$3:$E$1025,0)))</f>
        <v>软工</v>
      </c>
      <c r="D192" s="2" t="str">
        <f>IF(INDEX(学年度总表!$D$3:$D$1025,MATCH($E192,学年度总表!$E$3:$E$1025,0))="","",INDEX(学年度总表!$D$3:$D$1025,MATCH($E192,学年度总表!$E$3:$E$1025,0)))</f>
        <v>软工5班</v>
      </c>
      <c r="E192" s="2" t="s">
        <v>1190</v>
      </c>
      <c r="F192" s="2" t="str">
        <f>IF(INDEX(学年度总表!$F$3:$F$1025,MATCH($E192,学年度总表!$E$3:$E$1025,0))="","",INDEX(学年度总表!$F$3:$F$1025,MATCH($E192,学年度总表!$E$3:$E$1025,0)))</f>
        <v>张一诺</v>
      </c>
      <c r="G192" s="3">
        <f>IF(INDEX(学年度总表!$G$3:$G$1025,MATCH($E192,学年度总表!$E$3:$E$1025,0))="","",INDEX(学年度总表!$G$3:$G$1025,MATCH($E192,学年度总表!$E$3:$E$1025,0)))</f>
        <v>10</v>
      </c>
      <c r="H192" s="3">
        <f>IF(INDEX(学年度总表!$H$3:$H$1025,MATCH($E192,学年度总表!$E$3:$E$1025,0))="","",INDEX(学年度总表!$H$3:$H$1025,MATCH($E192,学年度总表!$E$3:$E$1025,0)))</f>
        <v>56.1</v>
      </c>
      <c r="I192" s="3">
        <f>IF(INDEX(学年度总表!$I$3:$I$1025,MATCH($E192,学年度总表!$E$3:$E$1025,0))="","",INDEX(学年度总表!$I$3:$I$1025,MATCH($E192,学年度总表!$E$3:$E$1025,0)))</f>
        <v>4</v>
      </c>
      <c r="J192" s="3">
        <f>IF(INDEX(学年度总表!$J$3:$J$1025,MATCH($E192,学年度总表!$E$3:$E$1025,0))="","",INDEX(学年度总表!$J$3:$J$1025,MATCH($E192,学年度总表!$E$3:$E$1025,0)))</f>
        <v>70.099999999999994</v>
      </c>
      <c r="K192" s="3">
        <f>IF(INDEX(学年度总表!$K$3:$K$1025,MATCH($E192,学年度总表!$E$3:$E$1025,0))="","",INDEX(学年度总表!$K$3:$K$1025,MATCH($E192,学年度总表!$E$3:$E$1025,0)))</f>
        <v>10</v>
      </c>
      <c r="L192" s="3">
        <f>IF(INDEX(学年度总表!$L$3:$L$1025,MATCH($E192,学年度总表!$E$3:$E$1025,0))="","",INDEX(学年度总表!$L$3:$L$1025,MATCH($E192,学年度总表!$E$3:$E$1025,0)))</f>
        <v>53.53</v>
      </c>
      <c r="M192" s="3">
        <f>IF(INDEX(学年度总表!$M$3:$M$1025,MATCH($E192,学年度总表!$E$3:$E$1025,0))="","",INDEX(学年度总表!$M$3:$M$1025,MATCH($E192,学年度总表!$E$3:$E$1025,0)))</f>
        <v>3.7</v>
      </c>
      <c r="N192" s="3">
        <f>IF(INDEX(学年度总表!$N$3:$N$1025,MATCH($E192,学年度总表!$E$3:$E$1025,0))="","",INDEX(学年度总表!$N$3:$N$1025,MATCH($E192,学年度总表!$E$3:$E$1025,0)))</f>
        <v>67.23</v>
      </c>
      <c r="O192" s="3">
        <f>IF(INDEX(学年度总表!$O$3:$O$1025,MATCH($E192,学年度总表!$E$3:$E$1025,0))="","",INDEX(学年度总表!$O$3:$O$1025,MATCH($E192,学年度总表!$E$3:$E$1025,0)))</f>
        <v>137.33000000000001</v>
      </c>
      <c r="P192" s="2" t="str">
        <f>IF(INDEX(学年度总表!$P$3:$P$1025,MATCH($E192,学年度总表!$E$3:$E$1025,0))="","",INDEX(学年度总表!$P$3:$P$1025,MATCH($E192,学年度总表!$E$3:$E$1025,0)))</f>
        <v/>
      </c>
      <c r="Q192" s="5" t="str">
        <f>IF(INDEX(学年度总表!$Q$3:$Q$1025,MATCH($E192,学年度总表!$E$3:$E$1025,0))="","",INDEX(学年度总表!$Q$3:$Q$1025,MATCH($E192,学年度总表!$E$3:$E$1025,0)))</f>
        <v/>
      </c>
    </row>
    <row r="193" spans="1:17">
      <c r="A193" s="2">
        <f>IF(INDEX(学年度总表!$A$3:$A$1025,MATCH($E193,学年度总表!$E$3:$E$1025,0))="","",INDEX(学年度总表!$A$3:$A$1025,MATCH($E193,学年度总表!$E$3:$E$1025,0)))</f>
        <v>567</v>
      </c>
      <c r="B193" s="2">
        <f>IF(INDEX(学年度总表!$B$3:$B$1025,MATCH($E193,学年度总表!$E$3:$E$1025,0))="","",INDEX(学年度总表!$B$3:$B$1025,MATCH($E193,学年度总表!$E$3:$E$1025,0)))</f>
        <v>191</v>
      </c>
      <c r="C193" s="2" t="str">
        <f>IF(INDEX(学年度总表!$C$3:$C$1025,MATCH($E193,学年度总表!$E$3:$E$1025,0))="","",INDEX(学年度总表!$C$3:$C$1025,MATCH($E193,学年度总表!$E$3:$E$1025,0)))</f>
        <v>软工</v>
      </c>
      <c r="D193" s="2" t="str">
        <f>IF(INDEX(学年度总表!$D$3:$D$1025,MATCH($E193,学年度总表!$E$3:$E$1025,0))="","",INDEX(学年度总表!$D$3:$D$1025,MATCH($E193,学年度总表!$E$3:$E$1025,0)))</f>
        <v>软工13班</v>
      </c>
      <c r="E193" s="2" t="s">
        <v>1195</v>
      </c>
      <c r="F193" s="2" t="str">
        <f>IF(INDEX(学年度总表!$F$3:$F$1025,MATCH($E193,学年度总表!$E$3:$E$1025,0))="","",INDEX(学年度总表!$F$3:$F$1025,MATCH($E193,学年度总表!$E$3:$E$1025,0)))</f>
        <v>李昕阳</v>
      </c>
      <c r="G193" s="3">
        <f>IF(INDEX(学年度总表!$G$3:$G$1025,MATCH($E193,学年度总表!$E$3:$E$1025,0))="","",INDEX(学年度总表!$G$3:$G$1025,MATCH($E193,学年度总表!$E$3:$E$1025,0)))</f>
        <v>10.3</v>
      </c>
      <c r="H193" s="3">
        <f>IF(INDEX(学年度总表!$H$3:$H$1025,MATCH($E193,学年度总表!$E$3:$E$1025,0))="","",INDEX(学年度总表!$H$3:$H$1025,MATCH($E193,学年度总表!$E$3:$E$1025,0)))</f>
        <v>57.55</v>
      </c>
      <c r="I193" s="3">
        <f>IF(INDEX(学年度总表!$I$3:$I$1025,MATCH($E193,学年度总表!$E$3:$E$1025,0))="","",INDEX(学年度总表!$I$3:$I$1025,MATCH($E193,学年度总表!$E$3:$E$1025,0)))</f>
        <v>3.8</v>
      </c>
      <c r="J193" s="3">
        <f>IF(INDEX(学年度总表!$J$3:$J$1025,MATCH($E193,学年度总表!$E$3:$E$1025,0))="","",INDEX(学年度总表!$J$3:$J$1025,MATCH($E193,学年度总表!$E$3:$E$1025,0)))</f>
        <v>71.650000000000006</v>
      </c>
      <c r="K193" s="3">
        <f>IF(INDEX(学年度总表!$K$3:$K$1025,MATCH($E193,学年度总表!$E$3:$E$1025,0))="","",INDEX(学年度总表!$K$3:$K$1025,MATCH($E193,学年度总表!$E$3:$E$1025,0)))</f>
        <v>9.4</v>
      </c>
      <c r="L193" s="3">
        <f>IF(INDEX(学年度总表!$L$3:$L$1025,MATCH($E193,学年度总表!$E$3:$E$1025,0))="","",INDEX(学年度总表!$L$3:$L$1025,MATCH($E193,学年度总表!$E$3:$E$1025,0)))</f>
        <v>52.65</v>
      </c>
      <c r="M193" s="3">
        <f>IF(INDEX(学年度总表!$M$3:$M$1025,MATCH($E193,学年度总表!$E$3:$E$1025,0))="","",INDEX(学年度总表!$M$3:$M$1025,MATCH($E193,学年度总表!$E$3:$E$1025,0)))</f>
        <v>3.5</v>
      </c>
      <c r="N193" s="3">
        <f>IF(INDEX(学年度总表!$N$3:$N$1025,MATCH($E193,学年度总表!$E$3:$E$1025,0))="","",INDEX(学年度总表!$N$3:$N$1025,MATCH($E193,学年度总表!$E$3:$E$1025,0)))</f>
        <v>65.55</v>
      </c>
      <c r="O193" s="3">
        <f>IF(INDEX(学年度总表!$O$3:$O$1025,MATCH($E193,学年度总表!$E$3:$E$1025,0))="","",INDEX(学年度总表!$O$3:$O$1025,MATCH($E193,学年度总表!$E$3:$E$1025,0)))</f>
        <v>137.19999999999999</v>
      </c>
      <c r="P193" s="2" t="str">
        <f>IF(INDEX(学年度总表!$P$3:$P$1025,MATCH($E193,学年度总表!$E$3:$E$1025,0))="","",INDEX(学年度总表!$P$3:$P$1025,MATCH($E193,学年度总表!$E$3:$E$1025,0)))</f>
        <v/>
      </c>
      <c r="Q193" s="5" t="str">
        <f>IF(INDEX(学年度总表!$Q$3:$Q$1025,MATCH($E193,学年度总表!$E$3:$E$1025,0))="","",INDEX(学年度总表!$Q$3:$Q$1025,MATCH($E193,学年度总表!$E$3:$E$1025,0)))</f>
        <v/>
      </c>
    </row>
    <row r="194" spans="1:17">
      <c r="A194" s="2">
        <f>IF(INDEX(学年度总表!$A$3:$A$1025,MATCH($E194,学年度总表!$E$3:$E$1025,0))="","",INDEX(学年度总表!$A$3:$A$1025,MATCH($E194,学年度总表!$E$3:$E$1025,0)))</f>
        <v>569</v>
      </c>
      <c r="B194" s="2">
        <f>IF(INDEX(学年度总表!$B$3:$B$1025,MATCH($E194,学年度总表!$E$3:$E$1025,0))="","",INDEX(学年度总表!$B$3:$B$1025,MATCH($E194,学年度总表!$E$3:$E$1025,0)))</f>
        <v>192</v>
      </c>
      <c r="C194" s="2" t="str">
        <f>IF(INDEX(学年度总表!$C$3:$C$1025,MATCH($E194,学年度总表!$E$3:$E$1025,0))="","",INDEX(学年度总表!$C$3:$C$1025,MATCH($E194,学年度总表!$E$3:$E$1025,0)))</f>
        <v>软工</v>
      </c>
      <c r="D194" s="2" t="str">
        <f>IF(INDEX(学年度总表!$D$3:$D$1025,MATCH($E194,学年度总表!$E$3:$E$1025,0))="","",INDEX(学年度总表!$D$3:$D$1025,MATCH($E194,学年度总表!$E$3:$E$1025,0)))</f>
        <v>软工10班</v>
      </c>
      <c r="E194" s="2" t="s">
        <v>1199</v>
      </c>
      <c r="F194" s="2" t="str">
        <f>IF(INDEX(学年度总表!$F$3:$F$1025,MATCH($E194,学年度总表!$E$3:$E$1025,0))="","",INDEX(学年度总表!$F$3:$F$1025,MATCH($E194,学年度总表!$E$3:$E$1025,0)))</f>
        <v>田德龙</v>
      </c>
      <c r="G194" s="3">
        <f>IF(INDEX(学年度总表!$G$3:$G$1025,MATCH($E194,学年度总表!$E$3:$E$1025,0))="","",INDEX(学年度总表!$G$3:$G$1025,MATCH($E194,学年度总表!$E$3:$E$1025,0)))</f>
        <v>9.8000000000000007</v>
      </c>
      <c r="H194" s="3">
        <f>IF(INDEX(学年度总表!$H$3:$H$1025,MATCH($E194,学年度总表!$E$3:$E$1025,0))="","",INDEX(学年度总表!$H$3:$H$1025,MATCH($E194,学年度总表!$E$3:$E$1025,0)))</f>
        <v>59.48</v>
      </c>
      <c r="I194" s="3">
        <f>IF(INDEX(学年度总表!$I$3:$I$1025,MATCH($E194,学年度总表!$E$3:$E$1025,0))="","",INDEX(学年度总表!$I$3:$I$1025,MATCH($E194,学年度总表!$E$3:$E$1025,0)))</f>
        <v>3</v>
      </c>
      <c r="J194" s="3">
        <f>IF(INDEX(学年度总表!$J$3:$J$1025,MATCH($E194,学年度总表!$E$3:$E$1025,0))="","",INDEX(学年度总表!$J$3:$J$1025,MATCH($E194,学年度总表!$E$3:$E$1025,0)))</f>
        <v>72.28</v>
      </c>
      <c r="K194" s="3">
        <f>IF(INDEX(学年度总表!$K$3:$K$1025,MATCH($E194,学年度总表!$E$3:$E$1025,0))="","",INDEX(学年度总表!$K$3:$K$1025,MATCH($E194,学年度总表!$E$3:$E$1025,0)))</f>
        <v>9.8000000000000007</v>
      </c>
      <c r="L194" s="3">
        <f>IF(INDEX(学年度总表!$L$3:$L$1025,MATCH($E194,学年度总表!$E$3:$E$1025,0))="","",INDEX(学年度总表!$L$3:$L$1025,MATCH($E194,学年度总表!$E$3:$E$1025,0)))</f>
        <v>51.87</v>
      </c>
      <c r="M194" s="3">
        <f>IF(INDEX(学年度总表!$M$3:$M$1025,MATCH($E194,学年度总表!$E$3:$E$1025,0))="","",INDEX(学年度总表!$M$3:$M$1025,MATCH($E194,学年度总表!$E$3:$E$1025,0)))</f>
        <v>3</v>
      </c>
      <c r="N194" s="3">
        <f>IF(INDEX(学年度总表!$N$3:$N$1025,MATCH($E194,学年度总表!$E$3:$E$1025,0))="","",INDEX(学年度总表!$N$3:$N$1025,MATCH($E194,学年度总表!$E$3:$E$1025,0)))</f>
        <v>64.67</v>
      </c>
      <c r="O194" s="3">
        <f>IF(INDEX(学年度总表!$O$3:$O$1025,MATCH($E194,学年度总表!$E$3:$E$1025,0))="","",INDEX(学年度总表!$O$3:$O$1025,MATCH($E194,学年度总表!$E$3:$E$1025,0)))</f>
        <v>136.94999999999999</v>
      </c>
      <c r="P194" s="2" t="str">
        <f>IF(INDEX(学年度总表!$P$3:$P$1025,MATCH($E194,学年度总表!$E$3:$E$1025,0))="","",INDEX(学年度总表!$P$3:$P$1025,MATCH($E194,学年度总表!$E$3:$E$1025,0)))</f>
        <v/>
      </c>
      <c r="Q194" s="5" t="str">
        <f>IF(INDEX(学年度总表!$Q$3:$Q$1025,MATCH($E194,学年度总表!$E$3:$E$1025,0))="","",INDEX(学年度总表!$Q$3:$Q$1025,MATCH($E194,学年度总表!$E$3:$E$1025,0)))</f>
        <v/>
      </c>
    </row>
    <row r="195" spans="1:17">
      <c r="A195" s="2">
        <f>IF(INDEX(学年度总表!$A$3:$A$1025,MATCH($E195,学年度总表!$E$3:$E$1025,0))="","",INDEX(学年度总表!$A$3:$A$1025,MATCH($E195,学年度总表!$E$3:$E$1025,0)))</f>
        <v>575</v>
      </c>
      <c r="B195" s="2">
        <f>IF(INDEX(学年度总表!$B$3:$B$1025,MATCH($E195,学年度总表!$E$3:$E$1025,0))="","",INDEX(学年度总表!$B$3:$B$1025,MATCH($E195,学年度总表!$E$3:$E$1025,0)))</f>
        <v>193</v>
      </c>
      <c r="C195" s="2" t="str">
        <f>IF(INDEX(学年度总表!$C$3:$C$1025,MATCH($E195,学年度总表!$E$3:$E$1025,0))="","",INDEX(学年度总表!$C$3:$C$1025,MATCH($E195,学年度总表!$E$3:$E$1025,0)))</f>
        <v>软工</v>
      </c>
      <c r="D195" s="2" t="str">
        <f>IF(INDEX(学年度总表!$D$3:$D$1025,MATCH($E195,学年度总表!$E$3:$E$1025,0))="","",INDEX(学年度总表!$D$3:$D$1025,MATCH($E195,学年度总表!$E$3:$E$1025,0)))</f>
        <v>软工6班</v>
      </c>
      <c r="E195" s="2" t="s">
        <v>1211</v>
      </c>
      <c r="F195" s="2" t="str">
        <f>IF(INDEX(学年度总表!$F$3:$F$1025,MATCH($E195,学年度总表!$E$3:$E$1025,0))="","",INDEX(学年度总表!$F$3:$F$1025,MATCH($E195,学年度总表!$E$3:$E$1025,0)))</f>
        <v>许宏宇</v>
      </c>
      <c r="G195" s="3">
        <f>IF(INDEX(学年度总表!$G$3:$G$1025,MATCH($E195,学年度总表!$E$3:$E$1025,0))="","",INDEX(学年度总表!$G$3:$G$1025,MATCH($E195,学年度总表!$E$3:$E$1025,0)))</f>
        <v>9.8000000000000007</v>
      </c>
      <c r="H195" s="3">
        <f>IF(INDEX(学年度总表!$H$3:$H$1025,MATCH($E195,学年度总表!$E$3:$E$1025,0))="","",INDEX(学年度总表!$H$3:$H$1025,MATCH($E195,学年度总表!$E$3:$E$1025,0)))</f>
        <v>56.112244897959201</v>
      </c>
      <c r="I195" s="3">
        <f>IF(INDEX(学年度总表!$I$3:$I$1025,MATCH($E195,学年度总表!$E$3:$E$1025,0))="","",INDEX(学年度总表!$I$3:$I$1025,MATCH($E195,学年度总表!$E$3:$E$1025,0)))</f>
        <v>3</v>
      </c>
      <c r="J195" s="3">
        <f>IF(INDEX(学年度总表!$J$3:$J$1025,MATCH($E195,学年度总表!$E$3:$E$1025,0))="","",INDEX(学年度总表!$J$3:$J$1025,MATCH($E195,学年度总表!$E$3:$E$1025,0)))</f>
        <v>68.91</v>
      </c>
      <c r="K195" s="3">
        <f>IF(INDEX(学年度总表!$K$3:$K$1025,MATCH($E195,学年度总表!$E$3:$E$1025,0))="","",INDEX(学年度总表!$K$3:$K$1025,MATCH($E195,学年度总表!$E$3:$E$1025,0)))</f>
        <v>9.8000000000000007</v>
      </c>
      <c r="L195" s="3">
        <f>IF(INDEX(学年度总表!$L$3:$L$1025,MATCH($E195,学年度总表!$E$3:$E$1025,0))="","",INDEX(学年度总表!$L$3:$L$1025,MATCH($E195,学年度总表!$E$3:$E$1025,0)))</f>
        <v>55.01</v>
      </c>
      <c r="M195" s="3">
        <f>IF(INDEX(学年度总表!$M$3:$M$1025,MATCH($E195,学年度总表!$E$3:$E$1025,0))="","",INDEX(学年度总表!$M$3:$M$1025,MATCH($E195,学年度总表!$E$3:$E$1025,0)))</f>
        <v>3</v>
      </c>
      <c r="N195" s="3">
        <f>IF(INDEX(学年度总表!$N$3:$N$1025,MATCH($E195,学年度总表!$E$3:$E$1025,0))="","",INDEX(学年度总表!$N$3:$N$1025,MATCH($E195,学年度总表!$E$3:$E$1025,0)))</f>
        <v>67.81</v>
      </c>
      <c r="O195" s="3">
        <f>IF(INDEX(学年度总表!$O$3:$O$1025,MATCH($E195,学年度总表!$E$3:$E$1025,0))="","",INDEX(学年度总表!$O$3:$O$1025,MATCH($E195,学年度总表!$E$3:$E$1025,0)))</f>
        <v>136.72</v>
      </c>
      <c r="P195" s="2" t="str">
        <f>IF(INDEX(学年度总表!$P$3:$P$1025,MATCH($E195,学年度总表!$E$3:$E$1025,0))="","",INDEX(学年度总表!$P$3:$P$1025,MATCH($E195,学年度总表!$E$3:$E$1025,0)))</f>
        <v/>
      </c>
      <c r="Q195" s="5" t="str">
        <f>IF(INDEX(学年度总表!$Q$3:$Q$1025,MATCH($E195,学年度总表!$E$3:$E$1025,0))="","",INDEX(学年度总表!$Q$3:$Q$1025,MATCH($E195,学年度总表!$E$3:$E$1025,0)))</f>
        <v/>
      </c>
    </row>
    <row r="196" spans="1:17">
      <c r="A196" s="2">
        <f>IF(INDEX(学年度总表!$A$3:$A$1025,MATCH($E196,学年度总表!$E$3:$E$1025,0))="","",INDEX(学年度总表!$A$3:$A$1025,MATCH($E196,学年度总表!$E$3:$E$1025,0)))</f>
        <v>575</v>
      </c>
      <c r="B196" s="2">
        <f>IF(INDEX(学年度总表!$B$3:$B$1025,MATCH($E196,学年度总表!$E$3:$E$1025,0))="","",INDEX(学年度总表!$B$3:$B$1025,MATCH($E196,学年度总表!$E$3:$E$1025,0)))</f>
        <v>193</v>
      </c>
      <c r="C196" s="2" t="str">
        <f>IF(INDEX(学年度总表!$C$3:$C$1025,MATCH($E196,学年度总表!$E$3:$E$1025,0))="","",INDEX(学年度总表!$C$3:$C$1025,MATCH($E196,学年度总表!$E$3:$E$1025,0)))</f>
        <v>软工</v>
      </c>
      <c r="D196" s="2" t="str">
        <f>IF(INDEX(学年度总表!$D$3:$D$1025,MATCH($E196,学年度总表!$E$3:$E$1025,0))="","",INDEX(学年度总表!$D$3:$D$1025,MATCH($E196,学年度总表!$E$3:$E$1025,0)))</f>
        <v>软工7班</v>
      </c>
      <c r="E196" s="2" t="s">
        <v>1213</v>
      </c>
      <c r="F196" s="2" t="str">
        <f>IF(INDEX(学年度总表!$F$3:$F$1025,MATCH($E196,学年度总表!$E$3:$E$1025,0))="","",INDEX(学年度总表!$F$3:$F$1025,MATCH($E196,学年度总表!$E$3:$E$1025,0)))</f>
        <v>郑丰阳</v>
      </c>
      <c r="G196" s="3">
        <f>IF(INDEX(学年度总表!$G$3:$G$1025,MATCH($E196,学年度总表!$E$3:$E$1025,0))="","",INDEX(学年度总表!$G$3:$G$1025,MATCH($E196,学年度总表!$E$3:$E$1025,0)))</f>
        <v>9.8000000000000007</v>
      </c>
      <c r="H196" s="3">
        <f>IF(INDEX(学年度总表!$H$3:$H$1025,MATCH($E196,学年度总表!$E$3:$E$1025,0))="","",INDEX(学年度总表!$H$3:$H$1025,MATCH($E196,学年度总表!$E$3:$E$1025,0)))</f>
        <v>60.77</v>
      </c>
      <c r="I196" s="3">
        <f>IF(INDEX(学年度总表!$I$3:$I$1025,MATCH($E196,学年度总表!$E$3:$E$1025,0))="","",INDEX(学年度总表!$I$3:$I$1025,MATCH($E196,学年度总表!$E$3:$E$1025,0)))</f>
        <v>3</v>
      </c>
      <c r="J196" s="3">
        <f>IF(INDEX(学年度总表!$J$3:$J$1025,MATCH($E196,学年度总表!$E$3:$E$1025,0))="","",INDEX(学年度总表!$J$3:$J$1025,MATCH($E196,学年度总表!$E$3:$E$1025,0)))</f>
        <v>73.569999999999993</v>
      </c>
      <c r="K196" s="3">
        <f>IF(INDEX(学年度总表!$K$3:$K$1025,MATCH($E196,学年度总表!$E$3:$E$1025,0))="","",INDEX(学年度总表!$K$3:$K$1025,MATCH($E196,学年度总表!$E$3:$E$1025,0)))</f>
        <v>7.3000000000000007</v>
      </c>
      <c r="L196" s="3">
        <f>IF(INDEX(学年度总表!$L$3:$L$1025,MATCH($E196,学年度总表!$E$3:$E$1025,0))="","",INDEX(学年度总表!$L$3:$L$1025,MATCH($E196,学年度总表!$E$3:$E$1025,0)))</f>
        <v>51.45</v>
      </c>
      <c r="M196" s="3">
        <f>IF(INDEX(学年度总表!$M$3:$M$1025,MATCH($E196,学年度总表!$E$3:$E$1025,0))="","",INDEX(学年度总表!$M$3:$M$1025,MATCH($E196,学年度总表!$E$3:$E$1025,0)))</f>
        <v>4.4000000000000004</v>
      </c>
      <c r="N196" s="3">
        <f>IF(INDEX(学年度总表!$N$3:$N$1025,MATCH($E196,学年度总表!$E$3:$E$1025,0))="","",INDEX(学年度总表!$N$3:$N$1025,MATCH($E196,学年度总表!$E$3:$E$1025,0)))</f>
        <v>63.15</v>
      </c>
      <c r="O196" s="3">
        <f>IF(INDEX(学年度总表!$O$3:$O$1025,MATCH($E196,学年度总表!$E$3:$E$1025,0))="","",INDEX(学年度总表!$O$3:$O$1025,MATCH($E196,学年度总表!$E$3:$E$1025,0)))</f>
        <v>136.72</v>
      </c>
      <c r="P196" s="2" t="str">
        <f>IF(INDEX(学年度总表!$P$3:$P$1025,MATCH($E196,学年度总表!$E$3:$E$1025,0))="","",INDEX(学年度总表!$P$3:$P$1025,MATCH($E196,学年度总表!$E$3:$E$1025,0)))</f>
        <v/>
      </c>
      <c r="Q196" s="5" t="str">
        <f>IF(INDEX(学年度总表!$Q$3:$Q$1025,MATCH($E196,学年度总表!$E$3:$E$1025,0))="","",INDEX(学年度总表!$Q$3:$Q$1025,MATCH($E196,学年度总表!$E$3:$E$1025,0)))</f>
        <v/>
      </c>
    </row>
    <row r="197" spans="1:17">
      <c r="A197" s="2">
        <f>IF(INDEX(学年度总表!$A$3:$A$1025,MATCH($E197,学年度总表!$E$3:$E$1025,0))="","",INDEX(学年度总表!$A$3:$A$1025,MATCH($E197,学年度总表!$E$3:$E$1025,0)))</f>
        <v>577</v>
      </c>
      <c r="B197" s="2">
        <f>IF(INDEX(学年度总表!$B$3:$B$1025,MATCH($E197,学年度总表!$E$3:$E$1025,0))="","",INDEX(学年度总表!$B$3:$B$1025,MATCH($E197,学年度总表!$E$3:$E$1025,0)))</f>
        <v>195</v>
      </c>
      <c r="C197" s="2" t="str">
        <f>IF(INDEX(学年度总表!$C$3:$C$1025,MATCH($E197,学年度总表!$E$3:$E$1025,0))="","",INDEX(学年度总表!$C$3:$C$1025,MATCH($E197,学年度总表!$E$3:$E$1025,0)))</f>
        <v>软工</v>
      </c>
      <c r="D197" s="2" t="str">
        <f>IF(INDEX(学年度总表!$D$3:$D$1025,MATCH($E197,学年度总表!$E$3:$E$1025,0))="","",INDEX(学年度总表!$D$3:$D$1025,MATCH($E197,学年度总表!$E$3:$E$1025,0)))</f>
        <v>软工9班</v>
      </c>
      <c r="E197" s="2" t="s">
        <v>1215</v>
      </c>
      <c r="F197" s="2" t="str">
        <f>IF(INDEX(学年度总表!$F$3:$F$1025,MATCH($E197,学年度总表!$E$3:$E$1025,0))="","",INDEX(学年度总表!$F$3:$F$1025,MATCH($E197,学年度总表!$E$3:$E$1025,0)))</f>
        <v>崔国轩</v>
      </c>
      <c r="G197" s="3">
        <f>IF(INDEX(学年度总表!$G$3:$G$1025,MATCH($E197,学年度总表!$E$3:$E$1025,0))="","",INDEX(学年度总表!$G$3:$G$1025,MATCH($E197,学年度总表!$E$3:$E$1025,0)))</f>
        <v>9.8000000000000007</v>
      </c>
      <c r="H197" s="3">
        <f>IF(INDEX(学年度总表!$H$3:$H$1025,MATCH($E197,学年度总表!$E$3:$E$1025,0))="","",INDEX(学年度总表!$H$3:$H$1025,MATCH($E197,学年度总表!$E$3:$E$1025,0)))</f>
        <v>57.3061224489796</v>
      </c>
      <c r="I197" s="3">
        <f>IF(INDEX(学年度总表!$I$3:$I$1025,MATCH($E197,学年度总表!$E$3:$E$1025,0))="","",INDEX(学年度总表!$I$3:$I$1025,MATCH($E197,学年度总表!$E$3:$E$1025,0)))</f>
        <v>3</v>
      </c>
      <c r="J197" s="3">
        <f>IF(INDEX(学年度总表!$J$3:$J$1025,MATCH($E197,学年度总表!$E$3:$E$1025,0))="","",INDEX(学年度总表!$J$3:$J$1025,MATCH($E197,学年度总表!$E$3:$E$1025,0)))</f>
        <v>70.11</v>
      </c>
      <c r="K197" s="3">
        <f>IF(INDEX(学年度总表!$K$3:$K$1025,MATCH($E197,学年度总表!$E$3:$E$1025,0))="","",INDEX(学年度总表!$K$3:$K$1025,MATCH($E197,学年度总表!$E$3:$E$1025,0)))</f>
        <v>7.3000000000000007</v>
      </c>
      <c r="L197" s="3">
        <f>IF(INDEX(学年度总表!$L$3:$L$1025,MATCH($E197,学年度总表!$E$3:$E$1025,0))="","",INDEX(学年度总表!$L$3:$L$1025,MATCH($E197,学年度总表!$E$3:$E$1025,0)))</f>
        <v>55.64</v>
      </c>
      <c r="M197" s="3">
        <f>IF(INDEX(学年度总表!$M$3:$M$1025,MATCH($E197,学年度总表!$E$3:$E$1025,0))="","",INDEX(学年度总表!$M$3:$M$1025,MATCH($E197,学年度总表!$E$3:$E$1025,0)))</f>
        <v>3.5</v>
      </c>
      <c r="N197" s="3">
        <f>IF(INDEX(学年度总表!$N$3:$N$1025,MATCH($E197,学年度总表!$E$3:$E$1025,0))="","",INDEX(学年度总表!$N$3:$N$1025,MATCH($E197,学年度总表!$E$3:$E$1025,0)))</f>
        <v>66.44</v>
      </c>
      <c r="O197" s="3">
        <f>IF(INDEX(学年度总表!$O$3:$O$1025,MATCH($E197,学年度总表!$E$3:$E$1025,0))="","",INDEX(学年度总表!$O$3:$O$1025,MATCH($E197,学年度总表!$E$3:$E$1025,0)))</f>
        <v>136.55000000000001</v>
      </c>
      <c r="P197" s="2" t="str">
        <f>IF(INDEX(学年度总表!$P$3:$P$1025,MATCH($E197,学年度总表!$E$3:$E$1025,0))="","",INDEX(学年度总表!$P$3:$P$1025,MATCH($E197,学年度总表!$E$3:$E$1025,0)))</f>
        <v/>
      </c>
      <c r="Q197" s="5" t="str">
        <f>IF(INDEX(学年度总表!$Q$3:$Q$1025,MATCH($E197,学年度总表!$E$3:$E$1025,0))="","",INDEX(学年度总表!$Q$3:$Q$1025,MATCH($E197,学年度总表!$E$3:$E$1025,0)))</f>
        <v/>
      </c>
    </row>
    <row r="198" spans="1:17">
      <c r="A198" s="2">
        <f>IF(INDEX(学年度总表!$A$3:$A$1025,MATCH($E198,学年度总表!$E$3:$E$1025,0))="","",INDEX(学年度总表!$A$3:$A$1025,MATCH($E198,学年度总表!$E$3:$E$1025,0)))</f>
        <v>580</v>
      </c>
      <c r="B198" s="2">
        <f>IF(INDEX(学年度总表!$B$3:$B$1025,MATCH($E198,学年度总表!$E$3:$E$1025,0))="","",INDEX(学年度总表!$B$3:$B$1025,MATCH($E198,学年度总表!$E$3:$E$1025,0)))</f>
        <v>196</v>
      </c>
      <c r="C198" s="2" t="str">
        <f>IF(INDEX(学年度总表!$C$3:$C$1025,MATCH($E198,学年度总表!$E$3:$E$1025,0))="","",INDEX(学年度总表!$C$3:$C$1025,MATCH($E198,学年度总表!$E$3:$E$1025,0)))</f>
        <v>软工</v>
      </c>
      <c r="D198" s="2" t="str">
        <f>IF(INDEX(学年度总表!$D$3:$D$1025,MATCH($E198,学年度总表!$E$3:$E$1025,0))="","",INDEX(学年度总表!$D$3:$D$1025,MATCH($E198,学年度总表!$E$3:$E$1025,0)))</f>
        <v>软工9班</v>
      </c>
      <c r="E198" s="2" t="s">
        <v>1221</v>
      </c>
      <c r="F198" s="2" t="str">
        <f>IF(INDEX(学年度总表!$F$3:$F$1025,MATCH($E198,学年度总表!$E$3:$E$1025,0))="","",INDEX(学年度总表!$F$3:$F$1025,MATCH($E198,学年度总表!$E$3:$E$1025,0)))</f>
        <v>徐端</v>
      </c>
      <c r="G198" s="3">
        <f>IF(INDEX(学年度总表!$G$3:$G$1025,MATCH($E198,学年度总表!$E$3:$E$1025,0))="","",INDEX(学年度总表!$G$3:$G$1025,MATCH($E198,学年度总表!$E$3:$E$1025,0)))</f>
        <v>9.8000000000000007</v>
      </c>
      <c r="H198" s="3">
        <f>IF(INDEX(学年度总表!$H$3:$H$1025,MATCH($E198,学年度总表!$E$3:$E$1025,0))="","",INDEX(学年度总表!$H$3:$H$1025,MATCH($E198,学年度总表!$E$3:$E$1025,0)))</f>
        <v>54.642857142857203</v>
      </c>
      <c r="I198" s="3">
        <f>IF(INDEX(学年度总表!$I$3:$I$1025,MATCH($E198,学年度总表!$E$3:$E$1025,0))="","",INDEX(学年度总表!$I$3:$I$1025,MATCH($E198,学年度总表!$E$3:$E$1025,0)))</f>
        <v>3</v>
      </c>
      <c r="J198" s="3">
        <f>IF(INDEX(学年度总表!$J$3:$J$1025,MATCH($E198,学年度总表!$E$3:$E$1025,0))="","",INDEX(学年度总表!$J$3:$J$1025,MATCH($E198,学年度总表!$E$3:$E$1025,0)))</f>
        <v>67.44</v>
      </c>
      <c r="K198" s="3">
        <f>IF(INDEX(学年度总表!$K$3:$K$1025,MATCH($E198,学年度总表!$E$3:$E$1025,0))="","",INDEX(学年度总表!$K$3:$K$1025,MATCH($E198,学年度总表!$E$3:$E$1025,0)))</f>
        <v>7.3000000000000007</v>
      </c>
      <c r="L198" s="3">
        <f>IF(INDEX(学年度总表!$L$3:$L$1025,MATCH($E198,学年度总表!$E$3:$E$1025,0))="","",INDEX(学年度总表!$L$3:$L$1025,MATCH($E198,学年度总表!$E$3:$E$1025,0)))</f>
        <v>58.08</v>
      </c>
      <c r="M198" s="3">
        <f>IF(INDEX(学年度总表!$M$3:$M$1025,MATCH($E198,学年度总表!$E$3:$E$1025,0))="","",INDEX(学年度总表!$M$3:$M$1025,MATCH($E198,学年度总表!$E$3:$E$1025,0)))</f>
        <v>3.5</v>
      </c>
      <c r="N198" s="3">
        <f>IF(INDEX(学年度总表!$N$3:$N$1025,MATCH($E198,学年度总表!$E$3:$E$1025,0))="","",INDEX(学年度总表!$N$3:$N$1025,MATCH($E198,学年度总表!$E$3:$E$1025,0)))</f>
        <v>68.88</v>
      </c>
      <c r="O198" s="3">
        <f>IF(INDEX(学年度总表!$O$3:$O$1025,MATCH($E198,学年度总表!$E$3:$E$1025,0))="","",INDEX(学年度总表!$O$3:$O$1025,MATCH($E198,学年度总表!$E$3:$E$1025,0)))</f>
        <v>136.32</v>
      </c>
      <c r="P198" s="2" t="str">
        <f>IF(INDEX(学年度总表!$P$3:$P$1025,MATCH($E198,学年度总表!$E$3:$E$1025,0))="","",INDEX(学年度总表!$P$3:$P$1025,MATCH($E198,学年度总表!$E$3:$E$1025,0)))</f>
        <v/>
      </c>
      <c r="Q198" s="5" t="str">
        <f>IF(INDEX(学年度总表!$Q$3:$Q$1025,MATCH($E198,学年度总表!$E$3:$E$1025,0))="","",INDEX(学年度总表!$Q$3:$Q$1025,MATCH($E198,学年度总表!$E$3:$E$1025,0)))</f>
        <v/>
      </c>
    </row>
    <row r="199" spans="1:17">
      <c r="A199" s="2">
        <f>IF(INDEX(学年度总表!$A$3:$A$1025,MATCH($E199,学年度总表!$E$3:$E$1025,0))="","",INDEX(学年度总表!$A$3:$A$1025,MATCH($E199,学年度总表!$E$3:$E$1025,0)))</f>
        <v>581</v>
      </c>
      <c r="B199" s="2">
        <f>IF(INDEX(学年度总表!$B$3:$B$1025,MATCH($E199,学年度总表!$E$3:$E$1025,0))="","",INDEX(学年度总表!$B$3:$B$1025,MATCH($E199,学年度总表!$E$3:$E$1025,0)))</f>
        <v>197</v>
      </c>
      <c r="C199" s="2" t="str">
        <f>IF(INDEX(学年度总表!$C$3:$C$1025,MATCH($E199,学年度总表!$E$3:$E$1025,0))="","",INDEX(学年度总表!$C$3:$C$1025,MATCH($E199,学年度总表!$E$3:$E$1025,0)))</f>
        <v>软工</v>
      </c>
      <c r="D199" s="2" t="str">
        <f>IF(INDEX(学年度总表!$D$3:$D$1025,MATCH($E199,学年度总表!$E$3:$E$1025,0))="","",INDEX(学年度总表!$D$3:$D$1025,MATCH($E199,学年度总表!$E$3:$E$1025,0)))</f>
        <v>软工9班</v>
      </c>
      <c r="E199" s="2" t="s">
        <v>1223</v>
      </c>
      <c r="F199" s="2" t="str">
        <f>IF(INDEX(学年度总表!$F$3:$F$1025,MATCH($E199,学年度总表!$E$3:$E$1025,0))="","",INDEX(学年度总表!$F$3:$F$1025,MATCH($E199,学年度总表!$E$3:$E$1025,0)))</f>
        <v>李喆垚</v>
      </c>
      <c r="G199" s="3">
        <f>IF(INDEX(学年度总表!$G$3:$G$1025,MATCH($E199,学年度总表!$E$3:$E$1025,0))="","",INDEX(学年度总表!$G$3:$G$1025,MATCH($E199,学年度总表!$E$3:$E$1025,0)))</f>
        <v>10.6</v>
      </c>
      <c r="H199" s="3">
        <f>IF(INDEX(学年度总表!$H$3:$H$1025,MATCH($E199,学年度总表!$E$3:$E$1025,0))="","",INDEX(学年度总表!$H$3:$H$1025,MATCH($E199,学年度总表!$E$3:$E$1025,0)))</f>
        <v>50.469387755101998</v>
      </c>
      <c r="I199" s="3">
        <f>IF(INDEX(学年度总表!$I$3:$I$1025,MATCH($E199,学年度总表!$E$3:$E$1025,0))="","",INDEX(学年度总表!$I$3:$I$1025,MATCH($E199,学年度总表!$E$3:$E$1025,0)))</f>
        <v>3</v>
      </c>
      <c r="J199" s="3">
        <f>IF(INDEX(学年度总表!$J$3:$J$1025,MATCH($E199,学年度总表!$E$3:$E$1025,0))="","",INDEX(学年度总表!$J$3:$J$1025,MATCH($E199,学年度总表!$E$3:$E$1025,0)))</f>
        <v>64.069999999999993</v>
      </c>
      <c r="K199" s="3">
        <f>IF(INDEX(学年度总表!$K$3:$K$1025,MATCH($E199,学年度总表!$E$3:$E$1025,0))="","",INDEX(学年度总表!$K$3:$K$1025,MATCH($E199,学年度总表!$E$3:$E$1025,0)))</f>
        <v>9.8000000000000007</v>
      </c>
      <c r="L199" s="3">
        <f>IF(INDEX(学年度总表!$L$3:$L$1025,MATCH($E199,学年度总表!$E$3:$E$1025,0))="","",INDEX(学年度总表!$L$3:$L$1025,MATCH($E199,学年度总表!$E$3:$E$1025,0)))</f>
        <v>57.94</v>
      </c>
      <c r="M199" s="3">
        <f>IF(INDEX(学年度总表!$M$3:$M$1025,MATCH($E199,学年度总表!$E$3:$E$1025,0))="","",INDEX(学年度总表!$M$3:$M$1025,MATCH($E199,学年度总表!$E$3:$E$1025,0)))</f>
        <v>4.5</v>
      </c>
      <c r="N199" s="3">
        <f>IF(INDEX(学年度总表!$N$3:$N$1025,MATCH($E199,学年度总表!$E$3:$E$1025,0))="","",INDEX(学年度总表!$N$3:$N$1025,MATCH($E199,学年度总表!$E$3:$E$1025,0)))</f>
        <v>72.239999999999995</v>
      </c>
      <c r="O199" s="3">
        <f>IF(INDEX(学年度总表!$O$3:$O$1025,MATCH($E199,学年度总表!$E$3:$E$1025,0))="","",INDEX(学年度总表!$O$3:$O$1025,MATCH($E199,学年度总表!$E$3:$E$1025,0)))</f>
        <v>136.31</v>
      </c>
      <c r="P199" s="2" t="str">
        <f>IF(INDEX(学年度总表!$P$3:$P$1025,MATCH($E199,学年度总表!$E$3:$E$1025,0))="","",INDEX(学年度总表!$P$3:$P$1025,MATCH($E199,学年度总表!$E$3:$E$1025,0)))</f>
        <v/>
      </c>
      <c r="Q199" s="5" t="str">
        <f>IF(INDEX(学年度总表!$Q$3:$Q$1025,MATCH($E199,学年度总表!$E$3:$E$1025,0))="","",INDEX(学年度总表!$Q$3:$Q$1025,MATCH($E199,学年度总表!$E$3:$E$1025,0)))</f>
        <v/>
      </c>
    </row>
    <row r="200" spans="1:17">
      <c r="A200" s="2">
        <f>IF(INDEX(学年度总表!$A$3:$A$1025,MATCH($E200,学年度总表!$E$3:$E$1025,0))="","",INDEX(学年度总表!$A$3:$A$1025,MATCH($E200,学年度总表!$E$3:$E$1025,0)))</f>
        <v>584</v>
      </c>
      <c r="B200" s="2">
        <f>IF(INDEX(学年度总表!$B$3:$B$1025,MATCH($E200,学年度总表!$E$3:$E$1025,0))="","",INDEX(学年度总表!$B$3:$B$1025,MATCH($E200,学年度总表!$E$3:$E$1025,0)))</f>
        <v>198</v>
      </c>
      <c r="C200" s="2" t="str">
        <f>IF(INDEX(学年度总表!$C$3:$C$1025,MATCH($E200,学年度总表!$E$3:$E$1025,0))="","",INDEX(学年度总表!$C$3:$C$1025,MATCH($E200,学年度总表!$E$3:$E$1025,0)))</f>
        <v>软工</v>
      </c>
      <c r="D200" s="2" t="str">
        <f>IF(INDEX(学年度总表!$D$3:$D$1025,MATCH($E200,学年度总表!$E$3:$E$1025,0))="","",INDEX(学年度总表!$D$3:$D$1025,MATCH($E200,学年度总表!$E$3:$E$1025,0)))</f>
        <v>软工11班</v>
      </c>
      <c r="E200" s="2" t="s">
        <v>1229</v>
      </c>
      <c r="F200" s="2" t="str">
        <f>IF(INDEX(学年度总表!$F$3:$F$1025,MATCH($E200,学年度总表!$E$3:$E$1025,0))="","",INDEX(学年度总表!$F$3:$F$1025,MATCH($E200,学年度总表!$E$3:$E$1025,0)))</f>
        <v>佟沛珊</v>
      </c>
      <c r="G200" s="3">
        <f>IF(INDEX(学年度总表!$G$3:$G$1025,MATCH($E200,学年度总表!$E$3:$E$1025,0))="","",INDEX(学年度总表!$G$3:$G$1025,MATCH($E200,学年度总表!$E$3:$E$1025,0)))</f>
        <v>9.8000000000000007</v>
      </c>
      <c r="H200" s="3">
        <f>IF(INDEX(学年度总表!$H$3:$H$1025,MATCH($E200,学年度总表!$E$3:$E$1025,0))="","",INDEX(学年度总表!$H$3:$H$1025,MATCH($E200,学年度总表!$E$3:$E$1025,0)))</f>
        <v>57.65</v>
      </c>
      <c r="I200" s="3">
        <f>IF(INDEX(学年度总表!$I$3:$I$1025,MATCH($E200,学年度总表!$E$3:$E$1025,0))="","",INDEX(学年度总表!$I$3:$I$1025,MATCH($E200,学年度总表!$E$3:$E$1025,0)))</f>
        <v>3</v>
      </c>
      <c r="J200" s="3">
        <f>IF(INDEX(学年度总表!$J$3:$J$1025,MATCH($E200,学年度总表!$E$3:$E$1025,0))="","",INDEX(学年度总表!$J$3:$J$1025,MATCH($E200,学年度总表!$E$3:$E$1025,0)))</f>
        <v>70.45</v>
      </c>
      <c r="K200" s="3">
        <f>IF(INDEX(学年度总表!$K$3:$K$1025,MATCH($E200,学年度总表!$E$3:$E$1025,0))="","",INDEX(学年度总表!$K$3:$K$1025,MATCH($E200,学年度总表!$E$3:$E$1025,0)))</f>
        <v>9.8000000000000007</v>
      </c>
      <c r="L200" s="3">
        <f>IF(INDEX(学年度总表!$L$3:$L$1025,MATCH($E200,学年度总表!$E$3:$E$1025,0))="","",INDEX(学年度总表!$L$3:$L$1025,MATCH($E200,学年度总表!$E$3:$E$1025,0)))</f>
        <v>52.98</v>
      </c>
      <c r="M200" s="3">
        <f>IF(INDEX(学年度总表!$M$3:$M$1025,MATCH($E200,学年度总表!$E$3:$E$1025,0))="","",INDEX(学年度总表!$M$3:$M$1025,MATCH($E200,学年度总表!$E$3:$E$1025,0)))</f>
        <v>3</v>
      </c>
      <c r="N200" s="3">
        <f>IF(INDEX(学年度总表!$N$3:$N$1025,MATCH($E200,学年度总表!$E$3:$E$1025,0))="","",INDEX(学年度总表!$N$3:$N$1025,MATCH($E200,学年度总表!$E$3:$E$1025,0)))</f>
        <v>65.78</v>
      </c>
      <c r="O200" s="3">
        <f>IF(INDEX(学年度总表!$O$3:$O$1025,MATCH($E200,学年度总表!$E$3:$E$1025,0))="","",INDEX(学年度总表!$O$3:$O$1025,MATCH($E200,学年度总表!$E$3:$E$1025,0)))</f>
        <v>136.22999999999999</v>
      </c>
      <c r="P200" s="2" t="str">
        <f>IF(INDEX(学年度总表!$P$3:$P$1025,MATCH($E200,学年度总表!$E$3:$E$1025,0))="","",INDEX(学年度总表!$P$3:$P$1025,MATCH($E200,学年度总表!$E$3:$E$1025,0)))</f>
        <v/>
      </c>
      <c r="Q200" s="5" t="str">
        <f>IF(INDEX(学年度总表!$Q$3:$Q$1025,MATCH($E200,学年度总表!$E$3:$E$1025,0))="","",INDEX(学年度总表!$Q$3:$Q$1025,MATCH($E200,学年度总表!$E$3:$E$1025,0)))</f>
        <v/>
      </c>
    </row>
    <row r="201" spans="1:17">
      <c r="A201" s="2">
        <f>IF(INDEX(学年度总表!$A$3:$A$1025,MATCH($E201,学年度总表!$E$3:$E$1025,0))="","",INDEX(学年度总表!$A$3:$A$1025,MATCH($E201,学年度总表!$E$3:$E$1025,0)))</f>
        <v>586</v>
      </c>
      <c r="B201" s="2">
        <f>IF(INDEX(学年度总表!$B$3:$B$1025,MATCH($E201,学年度总表!$E$3:$E$1025,0))="","",INDEX(学年度总表!$B$3:$B$1025,MATCH($E201,学年度总表!$E$3:$E$1025,0)))</f>
        <v>199</v>
      </c>
      <c r="C201" s="2" t="str">
        <f>IF(INDEX(学年度总表!$C$3:$C$1025,MATCH($E201,学年度总表!$E$3:$E$1025,0))="","",INDEX(学年度总表!$C$3:$C$1025,MATCH($E201,学年度总表!$E$3:$E$1025,0)))</f>
        <v>软工</v>
      </c>
      <c r="D201" s="2" t="str">
        <f>IF(INDEX(学年度总表!$D$3:$D$1025,MATCH($E201,学年度总表!$E$3:$E$1025,0))="","",INDEX(学年度总表!$D$3:$D$1025,MATCH($E201,学年度总表!$E$3:$E$1025,0)))</f>
        <v>软工6班</v>
      </c>
      <c r="E201" s="2" t="s">
        <v>1233</v>
      </c>
      <c r="F201" s="2" t="str">
        <f>IF(INDEX(学年度总表!$F$3:$F$1025,MATCH($E201,学年度总表!$E$3:$E$1025,0))="","",INDEX(学年度总表!$F$3:$F$1025,MATCH($E201,学年度总表!$E$3:$E$1025,0)))</f>
        <v>夏振博</v>
      </c>
      <c r="G201" s="3">
        <f>IF(INDEX(学年度总表!$G$3:$G$1025,MATCH($E201,学年度总表!$E$3:$E$1025,0))="","",INDEX(学年度总表!$G$3:$G$1025,MATCH($E201,学年度总表!$E$3:$E$1025,0)))</f>
        <v>9.8000000000000007</v>
      </c>
      <c r="H201" s="3">
        <f>IF(INDEX(学年度总表!$H$3:$H$1025,MATCH($E201,学年度总表!$E$3:$E$1025,0))="","",INDEX(学年度总表!$H$3:$H$1025,MATCH($E201,学年度总表!$E$3:$E$1025,0)))</f>
        <v>53.566666666666698</v>
      </c>
      <c r="I201" s="3">
        <f>IF(INDEX(学年度总表!$I$3:$I$1025,MATCH($E201,学年度总表!$E$3:$E$1025,0))="","",INDEX(学年度总表!$I$3:$I$1025,MATCH($E201,学年度总表!$E$3:$E$1025,0)))</f>
        <v>3</v>
      </c>
      <c r="J201" s="3">
        <f>IF(INDEX(学年度总表!$J$3:$J$1025,MATCH($E201,学年度总表!$E$3:$E$1025,0))="","",INDEX(学年度总表!$J$3:$J$1025,MATCH($E201,学年度总表!$E$3:$E$1025,0)))</f>
        <v>66.37</v>
      </c>
      <c r="K201" s="3">
        <f>IF(INDEX(学年度总表!$K$3:$K$1025,MATCH($E201,学年度总表!$E$3:$E$1025,0))="","",INDEX(学年度总表!$K$3:$K$1025,MATCH($E201,学年度总表!$E$3:$E$1025,0)))</f>
        <v>9.8000000000000007</v>
      </c>
      <c r="L201" s="3">
        <f>IF(INDEX(学年度总表!$L$3:$L$1025,MATCH($E201,学年度总表!$E$3:$E$1025,0))="","",INDEX(学年度总表!$L$3:$L$1025,MATCH($E201,学年度总表!$E$3:$E$1025,0)))</f>
        <v>55.8</v>
      </c>
      <c r="M201" s="3">
        <f>IF(INDEX(学年度总表!$M$3:$M$1025,MATCH($E201,学年度总表!$E$3:$E$1025,0))="","",INDEX(学年度总表!$M$3:$M$1025,MATCH($E201,学年度总表!$E$3:$E$1025,0)))</f>
        <v>4.0999999999999996</v>
      </c>
      <c r="N201" s="3">
        <f>IF(INDEX(学年度总表!$N$3:$N$1025,MATCH($E201,学年度总表!$E$3:$E$1025,0))="","",INDEX(学年度总表!$N$3:$N$1025,MATCH($E201,学年度总表!$E$3:$E$1025,0)))</f>
        <v>69.7</v>
      </c>
      <c r="O201" s="3">
        <f>IF(INDEX(学年度总表!$O$3:$O$1025,MATCH($E201,学年度总表!$E$3:$E$1025,0))="","",INDEX(学年度总表!$O$3:$O$1025,MATCH($E201,学年度总表!$E$3:$E$1025,0)))</f>
        <v>136.07</v>
      </c>
      <c r="P201" s="2" t="str">
        <f>IF(INDEX(学年度总表!$P$3:$P$1025,MATCH($E201,学年度总表!$E$3:$E$1025,0))="","",INDEX(学年度总表!$P$3:$P$1025,MATCH($E201,学年度总表!$E$3:$E$1025,0)))</f>
        <v/>
      </c>
      <c r="Q201" s="5" t="str">
        <f>IF(INDEX(学年度总表!$Q$3:$Q$1025,MATCH($E201,学年度总表!$E$3:$E$1025,0))="","",INDEX(学年度总表!$Q$3:$Q$1025,MATCH($E201,学年度总表!$E$3:$E$1025,0)))</f>
        <v/>
      </c>
    </row>
    <row r="202" spans="1:17">
      <c r="A202" s="2">
        <f>IF(INDEX(学年度总表!$A$3:$A$1025,MATCH($E202,学年度总表!$E$3:$E$1025,0))="","",INDEX(学年度总表!$A$3:$A$1025,MATCH($E202,学年度总表!$E$3:$E$1025,0)))</f>
        <v>589</v>
      </c>
      <c r="B202" s="2">
        <f>IF(INDEX(学年度总表!$B$3:$B$1025,MATCH($E202,学年度总表!$E$3:$E$1025,0))="","",INDEX(学年度总表!$B$3:$B$1025,MATCH($E202,学年度总表!$E$3:$E$1025,0)))</f>
        <v>200</v>
      </c>
      <c r="C202" s="2" t="str">
        <f>IF(INDEX(学年度总表!$C$3:$C$1025,MATCH($E202,学年度总表!$E$3:$E$1025,0))="","",INDEX(学年度总表!$C$3:$C$1025,MATCH($E202,学年度总表!$E$3:$E$1025,0)))</f>
        <v>软工</v>
      </c>
      <c r="D202" s="2" t="str">
        <f>IF(INDEX(学年度总表!$D$3:$D$1025,MATCH($E202,学年度总表!$E$3:$E$1025,0))="","",INDEX(学年度总表!$D$3:$D$1025,MATCH($E202,学年度总表!$E$3:$E$1025,0)))</f>
        <v>软工12班</v>
      </c>
      <c r="E202" s="2" t="s">
        <v>1239</v>
      </c>
      <c r="F202" s="2" t="str">
        <f>IF(INDEX(学年度总表!$F$3:$F$1025,MATCH($E202,学年度总表!$E$3:$E$1025,0))="","",INDEX(学年度总表!$F$3:$F$1025,MATCH($E202,学年度总表!$E$3:$E$1025,0)))</f>
        <v>沈派乐</v>
      </c>
      <c r="G202" s="3">
        <f>IF(INDEX(学年度总表!$G$3:$G$1025,MATCH($E202,学年度总表!$E$3:$E$1025,0))="","",INDEX(学年度总表!$G$3:$G$1025,MATCH($E202,学年度总表!$E$3:$E$1025,0)))</f>
        <v>9.4</v>
      </c>
      <c r="H202" s="3">
        <f>IF(INDEX(学年度总表!$H$3:$H$1025,MATCH($E202,学年度总表!$E$3:$E$1025,0))="","",INDEX(学年度总表!$H$3:$H$1025,MATCH($E202,学年度总表!$E$3:$E$1025,0)))</f>
        <v>57.12</v>
      </c>
      <c r="I202" s="3">
        <f>IF(INDEX(学年度总表!$I$3:$I$1025,MATCH($E202,学年度总表!$E$3:$E$1025,0))="","",INDEX(学年度总表!$I$3:$I$1025,MATCH($E202,学年度总表!$E$3:$E$1025,0)))</f>
        <v>3</v>
      </c>
      <c r="J202" s="3">
        <f>IF(INDEX(学年度总表!$J$3:$J$1025,MATCH($E202,学年度总表!$E$3:$E$1025,0))="","",INDEX(学年度总表!$J$3:$J$1025,MATCH($E202,学年度总表!$E$3:$E$1025,0)))</f>
        <v>69.52</v>
      </c>
      <c r="K202" s="3">
        <f>IF(INDEX(学年度总表!$K$3:$K$1025,MATCH($E202,学年度总表!$E$3:$E$1025,0))="","",INDEX(学年度总表!$K$3:$K$1025,MATCH($E202,学年度总表!$E$3:$E$1025,0)))</f>
        <v>9.8000000000000007</v>
      </c>
      <c r="L202" s="3">
        <f>IF(INDEX(学年度总表!$L$3:$L$1025,MATCH($E202,学年度总表!$E$3:$E$1025,0))="","",INDEX(学年度总表!$L$3:$L$1025,MATCH($E202,学年度总表!$E$3:$E$1025,0)))</f>
        <v>53.18</v>
      </c>
      <c r="M202" s="3">
        <f>IF(INDEX(学年度总表!$M$3:$M$1025,MATCH($E202,学年度总表!$E$3:$E$1025,0))="","",INDEX(学年度总表!$M$3:$M$1025,MATCH($E202,学年度总表!$E$3:$E$1025,0)))</f>
        <v>3.5</v>
      </c>
      <c r="N202" s="3">
        <f>IF(INDEX(学年度总表!$N$3:$N$1025,MATCH($E202,学年度总表!$E$3:$E$1025,0))="","",INDEX(学年度总表!$N$3:$N$1025,MATCH($E202,学年度总表!$E$3:$E$1025,0)))</f>
        <v>66.48</v>
      </c>
      <c r="O202" s="3">
        <f>IF(INDEX(学年度总表!$O$3:$O$1025,MATCH($E202,学年度总表!$E$3:$E$1025,0))="","",INDEX(学年度总表!$O$3:$O$1025,MATCH($E202,学年度总表!$E$3:$E$1025,0)))</f>
        <v>136</v>
      </c>
      <c r="P202" s="2" t="str">
        <f>IF(INDEX(学年度总表!$P$3:$P$1025,MATCH($E202,学年度总表!$E$3:$E$1025,0))="","",INDEX(学年度总表!$P$3:$P$1025,MATCH($E202,学年度总表!$E$3:$E$1025,0)))</f>
        <v/>
      </c>
      <c r="Q202" s="5" t="str">
        <f>IF(INDEX(学年度总表!$Q$3:$Q$1025,MATCH($E202,学年度总表!$E$3:$E$1025,0))="","",INDEX(学年度总表!$Q$3:$Q$1025,MATCH($E202,学年度总表!$E$3:$E$1025,0)))</f>
        <v/>
      </c>
    </row>
    <row r="203" spans="1:17">
      <c r="A203" s="2">
        <f>IF(INDEX(学年度总表!$A$3:$A$1025,MATCH($E203,学年度总表!$E$3:$E$1025,0))="","",INDEX(学年度总表!$A$3:$A$1025,MATCH($E203,学年度总表!$E$3:$E$1025,0)))</f>
        <v>592</v>
      </c>
      <c r="B203" s="2">
        <f>IF(INDEX(学年度总表!$B$3:$B$1025,MATCH($E203,学年度总表!$E$3:$E$1025,0))="","",INDEX(学年度总表!$B$3:$B$1025,MATCH($E203,学年度总表!$E$3:$E$1025,0)))</f>
        <v>201</v>
      </c>
      <c r="C203" s="2" t="str">
        <f>IF(INDEX(学年度总表!$C$3:$C$1025,MATCH($E203,学年度总表!$E$3:$E$1025,0))="","",INDEX(学年度总表!$C$3:$C$1025,MATCH($E203,学年度总表!$E$3:$E$1025,0)))</f>
        <v>软工</v>
      </c>
      <c r="D203" s="2" t="str">
        <f>IF(INDEX(学年度总表!$D$3:$D$1025,MATCH($E203,学年度总表!$E$3:$E$1025,0))="","",INDEX(学年度总表!$D$3:$D$1025,MATCH($E203,学年度总表!$E$3:$E$1025,0)))</f>
        <v>软工9班</v>
      </c>
      <c r="E203" s="2" t="s">
        <v>1245</v>
      </c>
      <c r="F203" s="2" t="str">
        <f>IF(INDEX(学年度总表!$F$3:$F$1025,MATCH($E203,学年度总表!$E$3:$E$1025,0))="","",INDEX(学年度总表!$F$3:$F$1025,MATCH($E203,学年度总表!$E$3:$E$1025,0)))</f>
        <v>李禹诺</v>
      </c>
      <c r="G203" s="3">
        <f>IF(INDEX(学年度总表!$G$3:$G$1025,MATCH($E203,学年度总表!$E$3:$E$1025,0))="","",INDEX(学年度总表!$G$3:$G$1025,MATCH($E203,学年度总表!$E$3:$E$1025,0)))</f>
        <v>9.8000000000000007</v>
      </c>
      <c r="H203" s="3">
        <f>IF(INDEX(学年度总表!$H$3:$H$1025,MATCH($E203,学年度总表!$E$3:$E$1025,0))="","",INDEX(学年度总表!$H$3:$H$1025,MATCH($E203,学年度总表!$E$3:$E$1025,0)))</f>
        <v>54.673469387755098</v>
      </c>
      <c r="I203" s="3">
        <f>IF(INDEX(学年度总表!$I$3:$I$1025,MATCH($E203,学年度总表!$E$3:$E$1025,0))="","",INDEX(学年度总表!$I$3:$I$1025,MATCH($E203,学年度总表!$E$3:$E$1025,0)))</f>
        <v>3</v>
      </c>
      <c r="J203" s="3">
        <f>IF(INDEX(学年度总表!$J$3:$J$1025,MATCH($E203,学年度总表!$E$3:$E$1025,0))="","",INDEX(学年度总表!$J$3:$J$1025,MATCH($E203,学年度总表!$E$3:$E$1025,0)))</f>
        <v>67.47</v>
      </c>
      <c r="K203" s="3">
        <f>IF(INDEX(学年度总表!$K$3:$K$1025,MATCH($E203,学年度总表!$E$3:$E$1025,0))="","",INDEX(学年度总表!$K$3:$K$1025,MATCH($E203,学年度总表!$E$3:$E$1025,0)))</f>
        <v>9.8000000000000007</v>
      </c>
      <c r="L203" s="3">
        <f>IF(INDEX(学年度总表!$L$3:$L$1025,MATCH($E203,学年度总表!$E$3:$E$1025,0))="","",INDEX(学年度总表!$L$3:$L$1025,MATCH($E203,学年度总表!$E$3:$E$1025,0)))</f>
        <v>55.14</v>
      </c>
      <c r="M203" s="3">
        <f>IF(INDEX(学年度总表!$M$3:$M$1025,MATCH($E203,学年度总表!$E$3:$E$1025,0))="","",INDEX(学年度总表!$M$3:$M$1025,MATCH($E203,学年度总表!$E$3:$E$1025,0)))</f>
        <v>3.5</v>
      </c>
      <c r="N203" s="3">
        <f>IF(INDEX(学年度总表!$N$3:$N$1025,MATCH($E203,学年度总表!$E$3:$E$1025,0))="","",INDEX(学年度总表!$N$3:$N$1025,MATCH($E203,学年度总表!$E$3:$E$1025,0)))</f>
        <v>68.44</v>
      </c>
      <c r="O203" s="3">
        <f>IF(INDEX(学年度总表!$O$3:$O$1025,MATCH($E203,学年度总表!$E$3:$E$1025,0))="","",INDEX(学年度总表!$O$3:$O$1025,MATCH($E203,学年度总表!$E$3:$E$1025,0)))</f>
        <v>135.91</v>
      </c>
      <c r="P203" s="2" t="str">
        <f>IF(INDEX(学年度总表!$P$3:$P$1025,MATCH($E203,学年度总表!$E$3:$E$1025,0))="","",INDEX(学年度总表!$P$3:$P$1025,MATCH($E203,学年度总表!$E$3:$E$1025,0)))</f>
        <v/>
      </c>
      <c r="Q203" s="5" t="str">
        <f>IF(INDEX(学年度总表!$Q$3:$Q$1025,MATCH($E203,学年度总表!$E$3:$E$1025,0))="","",INDEX(学年度总表!$Q$3:$Q$1025,MATCH($E203,学年度总表!$E$3:$E$1025,0)))</f>
        <v/>
      </c>
    </row>
    <row r="204" spans="1:17">
      <c r="A204" s="2">
        <f>IF(INDEX(学年度总表!$A$3:$A$1025,MATCH($E204,学年度总表!$E$3:$E$1025,0))="","",INDEX(学年度总表!$A$3:$A$1025,MATCH($E204,学年度总表!$E$3:$E$1025,0)))</f>
        <v>594</v>
      </c>
      <c r="B204" s="2">
        <f>IF(INDEX(学年度总表!$B$3:$B$1025,MATCH($E204,学年度总表!$E$3:$E$1025,0))="","",INDEX(学年度总表!$B$3:$B$1025,MATCH($E204,学年度总表!$E$3:$E$1025,0)))</f>
        <v>202</v>
      </c>
      <c r="C204" s="2" t="str">
        <f>IF(INDEX(学年度总表!$C$3:$C$1025,MATCH($E204,学年度总表!$E$3:$E$1025,0))="","",INDEX(学年度总表!$C$3:$C$1025,MATCH($E204,学年度总表!$E$3:$E$1025,0)))</f>
        <v>软工</v>
      </c>
      <c r="D204" s="2" t="str">
        <f>IF(INDEX(学年度总表!$D$3:$D$1025,MATCH($E204,学年度总表!$E$3:$E$1025,0))="","",INDEX(学年度总表!$D$3:$D$1025,MATCH($E204,学年度总表!$E$3:$E$1025,0)))</f>
        <v>软工13班</v>
      </c>
      <c r="E204" s="2" t="s">
        <v>1249</v>
      </c>
      <c r="F204" s="2" t="str">
        <f>IF(INDEX(学年度总表!$F$3:$F$1025,MATCH($E204,学年度总表!$E$3:$E$1025,0))="","",INDEX(学年度总表!$F$3:$F$1025,MATCH($E204,学年度总表!$E$3:$E$1025,0)))</f>
        <v>杨驰</v>
      </c>
      <c r="G204" s="3">
        <f>IF(INDEX(学年度总表!$G$3:$G$1025,MATCH($E204,学年度总表!$E$3:$E$1025,0))="","",INDEX(学年度总表!$G$3:$G$1025,MATCH($E204,学年度总表!$E$3:$E$1025,0)))</f>
        <v>10.3</v>
      </c>
      <c r="H204" s="3">
        <f>IF(INDEX(学年度总表!$H$3:$H$1025,MATCH($E204,学年度总表!$E$3:$E$1025,0))="","",INDEX(学年度总表!$H$3:$H$1025,MATCH($E204,学年度总表!$E$3:$E$1025,0)))</f>
        <v>59.18</v>
      </c>
      <c r="I204" s="3">
        <f>IF(INDEX(学年度总表!$I$3:$I$1025,MATCH($E204,学年度总表!$E$3:$E$1025,0))="","",INDEX(学年度总表!$I$3:$I$1025,MATCH($E204,学年度总表!$E$3:$E$1025,0)))</f>
        <v>3.7</v>
      </c>
      <c r="J204" s="3">
        <f>IF(INDEX(学年度总表!$J$3:$J$1025,MATCH($E204,学年度总表!$E$3:$E$1025,0))="","",INDEX(学年度总表!$J$3:$J$1025,MATCH($E204,学年度总表!$E$3:$E$1025,0)))</f>
        <v>73.180000000000007</v>
      </c>
      <c r="K204" s="3">
        <f>IF(INDEX(学年度总表!$K$3:$K$1025,MATCH($E204,学年度总表!$E$3:$E$1025,0))="","",INDEX(学年度总表!$K$3:$K$1025,MATCH($E204,学年度总表!$E$3:$E$1025,0)))</f>
        <v>9.4</v>
      </c>
      <c r="L204" s="3">
        <f>IF(INDEX(学年度总表!$L$3:$L$1025,MATCH($E204,学年度总表!$E$3:$E$1025,0))="","",INDEX(学年度总表!$L$3:$L$1025,MATCH($E204,学年度总表!$E$3:$E$1025,0)))</f>
        <v>50.32</v>
      </c>
      <c r="M204" s="3">
        <f>IF(INDEX(学年度总表!$M$3:$M$1025,MATCH($E204,学年度总表!$E$3:$E$1025,0))="","",INDEX(学年度总表!$M$3:$M$1025,MATCH($E204,学年度总表!$E$3:$E$1025,0)))</f>
        <v>3</v>
      </c>
      <c r="N204" s="3">
        <f>IF(INDEX(学年度总表!$N$3:$N$1025,MATCH($E204,学年度总表!$E$3:$E$1025,0))="","",INDEX(学年度总表!$N$3:$N$1025,MATCH($E204,学年度总表!$E$3:$E$1025,0)))</f>
        <v>62.72</v>
      </c>
      <c r="O204" s="3">
        <f>IF(INDEX(学年度总表!$O$3:$O$1025,MATCH($E204,学年度总表!$E$3:$E$1025,0))="","",INDEX(学年度总表!$O$3:$O$1025,MATCH($E204,学年度总表!$E$3:$E$1025,0)))</f>
        <v>135.9</v>
      </c>
      <c r="P204" s="2" t="str">
        <f>IF(INDEX(学年度总表!$P$3:$P$1025,MATCH($E204,学年度总表!$E$3:$E$1025,0))="","",INDEX(学年度总表!$P$3:$P$1025,MATCH($E204,学年度总表!$E$3:$E$1025,0)))</f>
        <v/>
      </c>
      <c r="Q204" s="5" t="str">
        <f>IF(INDEX(学年度总表!$Q$3:$Q$1025,MATCH($E204,学年度总表!$E$3:$E$1025,0))="","",INDEX(学年度总表!$Q$3:$Q$1025,MATCH($E204,学年度总表!$E$3:$E$1025,0)))</f>
        <v/>
      </c>
    </row>
    <row r="205" spans="1:17">
      <c r="A205" s="2">
        <f>IF(INDEX(学年度总表!$A$3:$A$1025,MATCH($E205,学年度总表!$E$3:$E$1025,0))="","",INDEX(学年度总表!$A$3:$A$1025,MATCH($E205,学年度总表!$E$3:$E$1025,0)))</f>
        <v>595</v>
      </c>
      <c r="B205" s="2">
        <f>IF(INDEX(学年度总表!$B$3:$B$1025,MATCH($E205,学年度总表!$E$3:$E$1025,0))="","",INDEX(学年度总表!$B$3:$B$1025,MATCH($E205,学年度总表!$E$3:$E$1025,0)))</f>
        <v>203</v>
      </c>
      <c r="C205" s="2" t="str">
        <f>IF(INDEX(学年度总表!$C$3:$C$1025,MATCH($E205,学年度总表!$E$3:$E$1025,0))="","",INDEX(学年度总表!$C$3:$C$1025,MATCH($E205,学年度总表!$E$3:$E$1025,0)))</f>
        <v>软工</v>
      </c>
      <c r="D205" s="2" t="str">
        <f>IF(INDEX(学年度总表!$D$3:$D$1025,MATCH($E205,学年度总表!$E$3:$E$1025,0))="","",INDEX(学年度总表!$D$3:$D$1025,MATCH($E205,学年度总表!$E$3:$E$1025,0)))</f>
        <v>软工8班</v>
      </c>
      <c r="E205" s="2" t="s">
        <v>1251</v>
      </c>
      <c r="F205" s="2" t="str">
        <f>IF(INDEX(学年度总表!$F$3:$F$1025,MATCH($E205,学年度总表!$E$3:$E$1025,0))="","",INDEX(学年度总表!$F$3:$F$1025,MATCH($E205,学年度总表!$E$3:$E$1025,0)))</f>
        <v>赵晟彤</v>
      </c>
      <c r="G205" s="3">
        <f>IF(INDEX(学年度总表!$G$3:$G$1025,MATCH($E205,学年度总表!$E$3:$E$1025,0))="","",INDEX(学年度总表!$G$3:$G$1025,MATCH($E205,学年度总表!$E$3:$E$1025,0)))</f>
        <v>7.3</v>
      </c>
      <c r="H205" s="3">
        <f>IF(INDEX(学年度总表!$H$3:$H$1025,MATCH($E205,学年度总表!$E$3:$E$1025,0))="","",INDEX(学年度总表!$H$3:$H$1025,MATCH($E205,学年度总表!$E$3:$E$1025,0)))</f>
        <v>56.663265306122398</v>
      </c>
      <c r="I205" s="3">
        <f>IF(INDEX(学年度总表!$I$3:$I$1025,MATCH($E205,学年度总表!$E$3:$E$1025,0))="","",INDEX(学年度总表!$I$3:$I$1025,MATCH($E205,学年度总表!$E$3:$E$1025,0)))</f>
        <v>3</v>
      </c>
      <c r="J205" s="3">
        <f>IF(INDEX(学年度总表!$J$3:$J$1025,MATCH($E205,学年度总表!$E$3:$E$1025,0))="","",INDEX(学年度总表!$J$3:$J$1025,MATCH($E205,学年度总表!$E$3:$E$1025,0)))</f>
        <v>66.959999999999994</v>
      </c>
      <c r="K205" s="3">
        <f>IF(INDEX(学年度总表!$K$3:$K$1025,MATCH($E205,学年度总表!$E$3:$E$1025,0))="","",INDEX(学年度总表!$K$3:$K$1025,MATCH($E205,学年度总表!$E$3:$E$1025,0)))</f>
        <v>9.4</v>
      </c>
      <c r="L205" s="3">
        <f>IF(INDEX(学年度总表!$L$3:$L$1025,MATCH($E205,学年度总表!$E$3:$E$1025,0))="","",INDEX(学年度总表!$L$3:$L$1025,MATCH($E205,学年度总表!$E$3:$E$1025,0)))</f>
        <v>56.03</v>
      </c>
      <c r="M205" s="3">
        <f>IF(INDEX(学年度总表!$M$3:$M$1025,MATCH($E205,学年度总表!$E$3:$E$1025,0))="","",INDEX(学年度总表!$M$3:$M$1025,MATCH($E205,学年度总表!$E$3:$E$1025,0)))</f>
        <v>3.5</v>
      </c>
      <c r="N205" s="3">
        <f>IF(INDEX(学年度总表!$N$3:$N$1025,MATCH($E205,学年度总表!$E$3:$E$1025,0))="","",INDEX(学年度总表!$N$3:$N$1025,MATCH($E205,学年度总表!$E$3:$E$1025,0)))</f>
        <v>68.930000000000007</v>
      </c>
      <c r="O205" s="3">
        <f>IF(INDEX(学年度总表!$O$3:$O$1025,MATCH($E205,学年度总表!$E$3:$E$1025,0))="","",INDEX(学年度总表!$O$3:$O$1025,MATCH($E205,学年度总表!$E$3:$E$1025,0)))</f>
        <v>135.88999999999999</v>
      </c>
      <c r="P205" s="2" t="str">
        <f>IF(INDEX(学年度总表!$P$3:$P$1025,MATCH($E205,学年度总表!$E$3:$E$1025,0))="","",INDEX(学年度总表!$P$3:$P$1025,MATCH($E205,学年度总表!$E$3:$E$1025,0)))</f>
        <v/>
      </c>
      <c r="Q205" s="5" t="str">
        <f>IF(INDEX(学年度总表!$Q$3:$Q$1025,MATCH($E205,学年度总表!$E$3:$E$1025,0))="","",INDEX(学年度总表!$Q$3:$Q$1025,MATCH($E205,学年度总表!$E$3:$E$1025,0)))</f>
        <v/>
      </c>
    </row>
    <row r="206" spans="1:17">
      <c r="A206" s="2">
        <f>IF(INDEX(学年度总表!$A$3:$A$1025,MATCH($E206,学年度总表!$E$3:$E$1025,0))="","",INDEX(学年度总表!$A$3:$A$1025,MATCH($E206,学年度总表!$E$3:$E$1025,0)))</f>
        <v>596</v>
      </c>
      <c r="B206" s="2">
        <f>IF(INDEX(学年度总表!$B$3:$B$1025,MATCH($E206,学年度总表!$E$3:$E$1025,0))="","",INDEX(学年度总表!$B$3:$B$1025,MATCH($E206,学年度总表!$E$3:$E$1025,0)))</f>
        <v>204</v>
      </c>
      <c r="C206" s="2" t="str">
        <f>IF(INDEX(学年度总表!$C$3:$C$1025,MATCH($E206,学年度总表!$E$3:$E$1025,0))="","",INDEX(学年度总表!$C$3:$C$1025,MATCH($E206,学年度总表!$E$3:$E$1025,0)))</f>
        <v>软工</v>
      </c>
      <c r="D206" s="2" t="str">
        <f>IF(INDEX(学年度总表!$D$3:$D$1025,MATCH($E206,学年度总表!$E$3:$E$1025,0))="","",INDEX(学年度总表!$D$3:$D$1025,MATCH($E206,学年度总表!$E$3:$E$1025,0)))</f>
        <v>软工8班</v>
      </c>
      <c r="E206" s="2" t="s">
        <v>1253</v>
      </c>
      <c r="F206" s="2" t="str">
        <f>IF(INDEX(学年度总表!$F$3:$F$1025,MATCH($E206,学年度总表!$E$3:$E$1025,0))="","",INDEX(学年度总表!$F$3:$F$1025,MATCH($E206,学年度总表!$E$3:$E$1025,0)))</f>
        <v>林航宇</v>
      </c>
      <c r="G206" s="3">
        <f>IF(INDEX(学年度总表!$G$3:$G$1025,MATCH($E206,学年度总表!$E$3:$E$1025,0))="","",INDEX(学年度总表!$G$3:$G$1025,MATCH($E206,学年度总表!$E$3:$E$1025,0)))</f>
        <v>10</v>
      </c>
      <c r="H206" s="3">
        <f>IF(INDEX(学年度总表!$H$3:$H$1025,MATCH($E206,学年度总表!$E$3:$E$1025,0))="","",INDEX(学年度总表!$H$3:$H$1025,MATCH($E206,学年度总表!$E$3:$E$1025,0)))</f>
        <v>57.191489361702097</v>
      </c>
      <c r="I206" s="3">
        <f>IF(INDEX(学年度总表!$I$3:$I$1025,MATCH($E206,学年度总表!$E$3:$E$1025,0))="","",INDEX(学年度总表!$I$3:$I$1025,MATCH($E206,学年度总表!$E$3:$E$1025,0)))</f>
        <v>3</v>
      </c>
      <c r="J206" s="3">
        <f>IF(INDEX(学年度总表!$J$3:$J$1025,MATCH($E206,学年度总表!$E$3:$E$1025,0))="","",INDEX(学年度总表!$J$3:$J$1025,MATCH($E206,学年度总表!$E$3:$E$1025,0)))</f>
        <v>70.19</v>
      </c>
      <c r="K206" s="3">
        <f>IF(INDEX(学年度总表!$K$3:$K$1025,MATCH($E206,学年度总表!$E$3:$E$1025,0))="","",INDEX(学年度总表!$K$3:$K$1025,MATCH($E206,学年度总表!$E$3:$E$1025,0)))</f>
        <v>10</v>
      </c>
      <c r="L206" s="3">
        <f>IF(INDEX(学年度总表!$L$3:$L$1025,MATCH($E206,学年度总表!$E$3:$E$1025,0))="","",INDEX(学年度总表!$L$3:$L$1025,MATCH($E206,学年度总表!$E$3:$E$1025,0)))</f>
        <v>52.19</v>
      </c>
      <c r="M206" s="3">
        <f>IF(INDEX(学年度总表!$M$3:$M$1025,MATCH($E206,学年度总表!$E$3:$E$1025,0))="","",INDEX(学年度总表!$M$3:$M$1025,MATCH($E206,学年度总表!$E$3:$E$1025,0)))</f>
        <v>3.5</v>
      </c>
      <c r="N206" s="3">
        <f>IF(INDEX(学年度总表!$N$3:$N$1025,MATCH($E206,学年度总表!$E$3:$E$1025,0))="","",INDEX(学年度总表!$N$3:$N$1025,MATCH($E206,学年度总表!$E$3:$E$1025,0)))</f>
        <v>65.69</v>
      </c>
      <c r="O206" s="3">
        <f>IF(INDEX(学年度总表!$O$3:$O$1025,MATCH($E206,学年度总表!$E$3:$E$1025,0))="","",INDEX(学年度总表!$O$3:$O$1025,MATCH($E206,学年度总表!$E$3:$E$1025,0)))</f>
        <v>135.88</v>
      </c>
      <c r="P206" s="2" t="str">
        <f>IF(INDEX(学年度总表!$P$3:$P$1025,MATCH($E206,学年度总表!$E$3:$E$1025,0))="","",INDEX(学年度总表!$P$3:$P$1025,MATCH($E206,学年度总表!$E$3:$E$1025,0)))</f>
        <v/>
      </c>
      <c r="Q206" s="5" t="str">
        <f>IF(INDEX(学年度总表!$Q$3:$Q$1025,MATCH($E206,学年度总表!$E$3:$E$1025,0))="","",INDEX(学年度总表!$Q$3:$Q$1025,MATCH($E206,学年度总表!$E$3:$E$1025,0)))</f>
        <v/>
      </c>
    </row>
    <row r="207" spans="1:17">
      <c r="A207" s="2">
        <f>IF(INDEX(学年度总表!$A$3:$A$1025,MATCH($E207,学年度总表!$E$3:$E$1025,0))="","",INDEX(学年度总表!$A$3:$A$1025,MATCH($E207,学年度总表!$E$3:$E$1025,0)))</f>
        <v>598</v>
      </c>
      <c r="B207" s="2">
        <f>IF(INDEX(学年度总表!$B$3:$B$1025,MATCH($E207,学年度总表!$E$3:$E$1025,0))="","",INDEX(学年度总表!$B$3:$B$1025,MATCH($E207,学年度总表!$E$3:$E$1025,0)))</f>
        <v>205</v>
      </c>
      <c r="C207" s="2" t="str">
        <f>IF(INDEX(学年度总表!$C$3:$C$1025,MATCH($E207,学年度总表!$E$3:$E$1025,0))="","",INDEX(学年度总表!$C$3:$C$1025,MATCH($E207,学年度总表!$E$3:$E$1025,0)))</f>
        <v>软工</v>
      </c>
      <c r="D207" s="2" t="str">
        <f>IF(INDEX(学年度总表!$D$3:$D$1025,MATCH($E207,学年度总表!$E$3:$E$1025,0))="","",INDEX(学年度总表!$D$3:$D$1025,MATCH($E207,学年度总表!$E$3:$E$1025,0)))</f>
        <v>软工12班</v>
      </c>
      <c r="E207" s="2" t="s">
        <v>1257</v>
      </c>
      <c r="F207" s="2" t="str">
        <f>IF(INDEX(学年度总表!$F$3:$F$1025,MATCH($E207,学年度总表!$E$3:$E$1025,0))="","",INDEX(学年度总表!$F$3:$F$1025,MATCH($E207,学年度总表!$E$3:$E$1025,0)))</f>
        <v>王俊熙</v>
      </c>
      <c r="G207" s="3">
        <f>IF(INDEX(学年度总表!$G$3:$G$1025,MATCH($E207,学年度总表!$E$3:$E$1025,0))="","",INDEX(学年度总表!$G$3:$G$1025,MATCH($E207,学年度总表!$E$3:$E$1025,0)))</f>
        <v>9.8000000000000007</v>
      </c>
      <c r="H207" s="3">
        <f>IF(INDEX(学年度总表!$H$3:$H$1025,MATCH($E207,学年度总表!$E$3:$E$1025,0))="","",INDEX(学年度总表!$H$3:$H$1025,MATCH($E207,学年度总表!$E$3:$E$1025,0)))</f>
        <v>55.43</v>
      </c>
      <c r="I207" s="3">
        <f>IF(INDEX(学年度总表!$I$3:$I$1025,MATCH($E207,学年度总表!$E$3:$E$1025,0))="","",INDEX(学年度总表!$I$3:$I$1025,MATCH($E207,学年度总表!$E$3:$E$1025,0)))</f>
        <v>4.5999999999999996</v>
      </c>
      <c r="J207" s="3">
        <f>IF(INDEX(学年度总表!$J$3:$J$1025,MATCH($E207,学年度总表!$E$3:$E$1025,0))="","",INDEX(学年度总表!$J$3:$J$1025,MATCH($E207,学年度总表!$E$3:$E$1025,0)))</f>
        <v>69.83</v>
      </c>
      <c r="K207" s="3">
        <f>IF(INDEX(学年度总表!$K$3:$K$1025,MATCH($E207,学年度总表!$E$3:$E$1025,0))="","",INDEX(学年度总表!$K$3:$K$1025,MATCH($E207,学年度总表!$E$3:$E$1025,0)))</f>
        <v>9.8000000000000007</v>
      </c>
      <c r="L207" s="3">
        <f>IF(INDEX(学年度总表!$L$3:$L$1025,MATCH($E207,学年度总表!$E$3:$E$1025,0))="","",INDEX(学年度总表!$L$3:$L$1025,MATCH($E207,学年度总表!$E$3:$E$1025,0)))</f>
        <v>51.36</v>
      </c>
      <c r="M207" s="3">
        <f>IF(INDEX(学年度总表!$M$3:$M$1025,MATCH($E207,学年度总表!$E$3:$E$1025,0))="","",INDEX(学年度总表!$M$3:$M$1025,MATCH($E207,学年度总表!$E$3:$E$1025,0)))</f>
        <v>4.5999999999999996</v>
      </c>
      <c r="N207" s="3">
        <f>IF(INDEX(学年度总表!$N$3:$N$1025,MATCH($E207,学年度总表!$E$3:$E$1025,0))="","",INDEX(学年度总表!$N$3:$N$1025,MATCH($E207,学年度总表!$E$3:$E$1025,0)))</f>
        <v>65.760000000000005</v>
      </c>
      <c r="O207" s="3">
        <f>IF(INDEX(学年度总表!$O$3:$O$1025,MATCH($E207,学年度总表!$E$3:$E$1025,0))="","",INDEX(学年度总表!$O$3:$O$1025,MATCH($E207,学年度总表!$E$3:$E$1025,0)))</f>
        <v>135.59</v>
      </c>
      <c r="P207" s="2" t="str">
        <f>IF(INDEX(学年度总表!$P$3:$P$1025,MATCH($E207,学年度总表!$E$3:$E$1025,0))="","",INDEX(学年度总表!$P$3:$P$1025,MATCH($E207,学年度总表!$E$3:$E$1025,0)))</f>
        <v/>
      </c>
      <c r="Q207" s="5" t="str">
        <f>IF(INDEX(学年度总表!$Q$3:$Q$1025,MATCH($E207,学年度总表!$E$3:$E$1025,0))="","",INDEX(学年度总表!$Q$3:$Q$1025,MATCH($E207,学年度总表!$E$3:$E$1025,0)))</f>
        <v/>
      </c>
    </row>
    <row r="208" spans="1:17">
      <c r="A208" s="2">
        <f>IF(INDEX(学年度总表!$A$3:$A$1025,MATCH($E208,学年度总表!$E$3:$E$1025,0))="","",INDEX(学年度总表!$A$3:$A$1025,MATCH($E208,学年度总表!$E$3:$E$1025,0)))</f>
        <v>601</v>
      </c>
      <c r="B208" s="2">
        <f>IF(INDEX(学年度总表!$B$3:$B$1025,MATCH($E208,学年度总表!$E$3:$E$1025,0))="","",INDEX(学年度总表!$B$3:$B$1025,MATCH($E208,学年度总表!$E$3:$E$1025,0)))</f>
        <v>206</v>
      </c>
      <c r="C208" s="2" t="str">
        <f>IF(INDEX(学年度总表!$C$3:$C$1025,MATCH($E208,学年度总表!$E$3:$E$1025,0))="","",INDEX(学年度总表!$C$3:$C$1025,MATCH($E208,学年度总表!$E$3:$E$1025,0)))</f>
        <v>软工</v>
      </c>
      <c r="D208" s="2" t="str">
        <f>IF(INDEX(学年度总表!$D$3:$D$1025,MATCH($E208,学年度总表!$E$3:$E$1025,0))="","",INDEX(学年度总表!$D$3:$D$1025,MATCH($E208,学年度总表!$E$3:$E$1025,0)))</f>
        <v>软工7班</v>
      </c>
      <c r="E208" s="2" t="s">
        <v>1263</v>
      </c>
      <c r="F208" s="2" t="str">
        <f>IF(INDEX(学年度总表!$F$3:$F$1025,MATCH($E208,学年度总表!$E$3:$E$1025,0))="","",INDEX(学年度总表!$F$3:$F$1025,MATCH($E208,学年度总表!$E$3:$E$1025,0)))</f>
        <v>于清林</v>
      </c>
      <c r="G208" s="3">
        <f>IF(INDEX(学年度总表!$G$3:$G$1025,MATCH($E208,学年度总表!$E$3:$E$1025,0))="","",INDEX(学年度总表!$G$3:$G$1025,MATCH($E208,学年度总表!$E$3:$E$1025,0)))</f>
        <v>9.8000000000000007</v>
      </c>
      <c r="H208" s="3">
        <f>IF(INDEX(学年度总表!$H$3:$H$1025,MATCH($E208,学年度总表!$E$3:$E$1025,0))="","",INDEX(学年度总表!$H$3:$H$1025,MATCH($E208,学年度总表!$E$3:$E$1025,0)))</f>
        <v>56.21</v>
      </c>
      <c r="I208" s="3">
        <f>IF(INDEX(学年度总表!$I$3:$I$1025,MATCH($E208,学年度总表!$E$3:$E$1025,0))="","",INDEX(学年度总表!$I$3:$I$1025,MATCH($E208,学年度总表!$E$3:$E$1025,0)))</f>
        <v>4</v>
      </c>
      <c r="J208" s="3">
        <f>IF(INDEX(学年度总表!$J$3:$J$1025,MATCH($E208,学年度总表!$E$3:$E$1025,0))="","",INDEX(学年度总表!$J$3:$J$1025,MATCH($E208,学年度总表!$E$3:$E$1025,0)))</f>
        <v>70.010000000000005</v>
      </c>
      <c r="K208" s="3">
        <f>IF(INDEX(学年度总表!$K$3:$K$1025,MATCH($E208,学年度总表!$E$3:$E$1025,0))="","",INDEX(学年度总表!$K$3:$K$1025,MATCH($E208,学年度总表!$E$3:$E$1025,0)))</f>
        <v>7.3000000000000007</v>
      </c>
      <c r="L208" s="3">
        <f>IF(INDEX(学年度总表!$L$3:$L$1025,MATCH($E208,学年度总表!$E$3:$E$1025,0))="","",INDEX(学年度总表!$L$3:$L$1025,MATCH($E208,学年度总表!$E$3:$E$1025,0)))</f>
        <v>54.18</v>
      </c>
      <c r="M208" s="3">
        <f>IF(INDEX(学年度总表!$M$3:$M$1025,MATCH($E208,学年度总表!$E$3:$E$1025,0))="","",INDEX(学年度总表!$M$3:$M$1025,MATCH($E208,学年度总表!$E$3:$E$1025,0)))</f>
        <v>4</v>
      </c>
      <c r="N208" s="3">
        <f>IF(INDEX(学年度总表!$N$3:$N$1025,MATCH($E208,学年度总表!$E$3:$E$1025,0))="","",INDEX(学年度总表!$N$3:$N$1025,MATCH($E208,学年度总表!$E$3:$E$1025,0)))</f>
        <v>65.48</v>
      </c>
      <c r="O208" s="3">
        <f>IF(INDEX(学年度总表!$O$3:$O$1025,MATCH($E208,学年度总表!$E$3:$E$1025,0))="","",INDEX(学年度总表!$O$3:$O$1025,MATCH($E208,学年度总表!$E$3:$E$1025,0)))</f>
        <v>135.49</v>
      </c>
      <c r="P208" s="2" t="str">
        <f>IF(INDEX(学年度总表!$P$3:$P$1025,MATCH($E208,学年度总表!$E$3:$E$1025,0))="","",INDEX(学年度总表!$P$3:$P$1025,MATCH($E208,学年度总表!$E$3:$E$1025,0)))</f>
        <v/>
      </c>
      <c r="Q208" s="5" t="str">
        <f>IF(INDEX(学年度总表!$Q$3:$Q$1025,MATCH($E208,学年度总表!$E$3:$E$1025,0))="","",INDEX(学年度总表!$Q$3:$Q$1025,MATCH($E208,学年度总表!$E$3:$E$1025,0)))</f>
        <v/>
      </c>
    </row>
    <row r="209" spans="1:17">
      <c r="A209" s="2">
        <f>IF(INDEX(学年度总表!$A$3:$A$1025,MATCH($E209,学年度总表!$E$3:$E$1025,0))="","",INDEX(学年度总表!$A$3:$A$1025,MATCH($E209,学年度总表!$E$3:$E$1025,0)))</f>
        <v>603</v>
      </c>
      <c r="B209" s="2">
        <f>IF(INDEX(学年度总表!$B$3:$B$1025,MATCH($E209,学年度总表!$E$3:$E$1025,0))="","",INDEX(学年度总表!$B$3:$B$1025,MATCH($E209,学年度总表!$E$3:$E$1025,0)))</f>
        <v>207</v>
      </c>
      <c r="C209" s="2" t="str">
        <f>IF(INDEX(学年度总表!$C$3:$C$1025,MATCH($E209,学年度总表!$E$3:$E$1025,0))="","",INDEX(学年度总表!$C$3:$C$1025,MATCH($E209,学年度总表!$E$3:$E$1025,0)))</f>
        <v>软工</v>
      </c>
      <c r="D209" s="2" t="str">
        <f>IF(INDEX(学年度总表!$D$3:$D$1025,MATCH($E209,学年度总表!$E$3:$E$1025,0))="","",INDEX(学年度总表!$D$3:$D$1025,MATCH($E209,学年度总表!$E$3:$E$1025,0)))</f>
        <v>软工8班</v>
      </c>
      <c r="E209" s="2" t="s">
        <v>1267</v>
      </c>
      <c r="F209" s="2" t="str">
        <f>IF(INDEX(学年度总表!$F$3:$F$1025,MATCH($E209,学年度总表!$E$3:$E$1025,0))="","",INDEX(学年度总表!$F$3:$F$1025,MATCH($E209,学年度总表!$E$3:$E$1025,0)))</f>
        <v>吕承洋</v>
      </c>
      <c r="G209" s="3">
        <f>IF(INDEX(学年度总表!$G$3:$G$1025,MATCH($E209,学年度总表!$E$3:$E$1025,0))="","",INDEX(学年度总表!$G$3:$G$1025,MATCH($E209,学年度总表!$E$3:$E$1025,0)))</f>
        <v>7.3</v>
      </c>
      <c r="H209" s="3">
        <f>IF(INDEX(学年度总表!$H$3:$H$1025,MATCH($E209,学年度总表!$E$3:$E$1025,0))="","",INDEX(学年度总表!$H$3:$H$1025,MATCH($E209,学年度总表!$E$3:$E$1025,0)))</f>
        <v>56.617647058823501</v>
      </c>
      <c r="I209" s="3">
        <f>IF(INDEX(学年度总表!$I$3:$I$1025,MATCH($E209,学年度总表!$E$3:$E$1025,0))="","",INDEX(学年度总表!$I$3:$I$1025,MATCH($E209,学年度总表!$E$3:$E$1025,0)))</f>
        <v>5</v>
      </c>
      <c r="J209" s="3">
        <f>IF(INDEX(学年度总表!$J$3:$J$1025,MATCH($E209,学年度总表!$E$3:$E$1025,0))="","",INDEX(学年度总表!$J$3:$J$1025,MATCH($E209,学年度总表!$E$3:$E$1025,0)))</f>
        <v>68.92</v>
      </c>
      <c r="K209" s="3">
        <f>IF(INDEX(学年度总表!$K$3:$K$1025,MATCH($E209,学年度总表!$E$3:$E$1025,0))="","",INDEX(学年度总表!$K$3:$K$1025,MATCH($E209,学年度总表!$E$3:$E$1025,0)))</f>
        <v>9.8000000000000007</v>
      </c>
      <c r="L209" s="3">
        <f>IF(INDEX(学年度总表!$L$3:$L$1025,MATCH($E209,学年度总表!$E$3:$E$1025,0))="","",INDEX(学年度总表!$L$3:$L$1025,MATCH($E209,学年度总表!$E$3:$E$1025,0)))</f>
        <v>51.25</v>
      </c>
      <c r="M209" s="3">
        <f>IF(INDEX(学年度总表!$M$3:$M$1025,MATCH($E209,学年度总表!$E$3:$E$1025,0))="","",INDEX(学年度总表!$M$3:$M$1025,MATCH($E209,学年度总表!$E$3:$E$1025,0)))</f>
        <v>5.5</v>
      </c>
      <c r="N209" s="3">
        <f>IF(INDEX(学年度总表!$N$3:$N$1025,MATCH($E209,学年度总表!$E$3:$E$1025,0))="","",INDEX(学年度总表!$N$3:$N$1025,MATCH($E209,学年度总表!$E$3:$E$1025,0)))</f>
        <v>66.55</v>
      </c>
      <c r="O209" s="3">
        <f>IF(INDEX(学年度总表!$O$3:$O$1025,MATCH($E209,学年度总表!$E$3:$E$1025,0))="","",INDEX(学年度总表!$O$3:$O$1025,MATCH($E209,学年度总表!$E$3:$E$1025,0)))</f>
        <v>135.47</v>
      </c>
      <c r="P209" s="2" t="str">
        <f>IF(INDEX(学年度总表!$P$3:$P$1025,MATCH($E209,学年度总表!$E$3:$E$1025,0))="","",INDEX(学年度总表!$P$3:$P$1025,MATCH($E209,学年度总表!$E$3:$E$1025,0)))</f>
        <v/>
      </c>
      <c r="Q209" s="5" t="str">
        <f>IF(INDEX(学年度总表!$Q$3:$Q$1025,MATCH($E209,学年度总表!$E$3:$E$1025,0))="","",INDEX(学年度总表!$Q$3:$Q$1025,MATCH($E209,学年度总表!$E$3:$E$1025,0)))</f>
        <v/>
      </c>
    </row>
    <row r="210" spans="1:17">
      <c r="A210" s="2">
        <f>IF(INDEX(学年度总表!$A$3:$A$1025,MATCH($E210,学年度总表!$E$3:$E$1025,0))="","",INDEX(学年度总表!$A$3:$A$1025,MATCH($E210,学年度总表!$E$3:$E$1025,0)))</f>
        <v>607</v>
      </c>
      <c r="B210" s="2">
        <f>IF(INDEX(学年度总表!$B$3:$B$1025,MATCH($E210,学年度总表!$E$3:$E$1025,0))="","",INDEX(学年度总表!$B$3:$B$1025,MATCH($E210,学年度总表!$E$3:$E$1025,0)))</f>
        <v>208</v>
      </c>
      <c r="C210" s="2" t="str">
        <f>IF(INDEX(学年度总表!$C$3:$C$1025,MATCH($E210,学年度总表!$E$3:$E$1025,0))="","",INDEX(学年度总表!$C$3:$C$1025,MATCH($E210,学年度总表!$E$3:$E$1025,0)))</f>
        <v>软工</v>
      </c>
      <c r="D210" s="2" t="str">
        <f>IF(INDEX(学年度总表!$D$3:$D$1025,MATCH($E210,学年度总表!$E$3:$E$1025,0))="","",INDEX(学年度总表!$D$3:$D$1025,MATCH($E210,学年度总表!$E$3:$E$1025,0)))</f>
        <v>软工8班</v>
      </c>
      <c r="E210" s="2" t="s">
        <v>1275</v>
      </c>
      <c r="F210" s="2" t="str">
        <f>IF(INDEX(学年度总表!$F$3:$F$1025,MATCH($E210,学年度总表!$E$3:$E$1025,0))="","",INDEX(学年度总表!$F$3:$F$1025,MATCH($E210,学年度总表!$E$3:$E$1025,0)))</f>
        <v>郭金璇</v>
      </c>
      <c r="G210" s="3">
        <f>IF(INDEX(学年度总表!$G$3:$G$1025,MATCH($E210,学年度总表!$E$3:$E$1025,0))="","",INDEX(学年度总表!$G$3:$G$1025,MATCH($E210,学年度总表!$E$3:$E$1025,0)))</f>
        <v>9.8000000000000007</v>
      </c>
      <c r="H210" s="3">
        <f>IF(INDEX(学年度总表!$H$3:$H$1025,MATCH($E210,学年度总表!$E$3:$E$1025,0))="","",INDEX(学年度总表!$H$3:$H$1025,MATCH($E210,学年度总表!$E$3:$E$1025,0)))</f>
        <v>55.959183673469397</v>
      </c>
      <c r="I210" s="3">
        <f>IF(INDEX(学年度总表!$I$3:$I$1025,MATCH($E210,学年度总表!$E$3:$E$1025,0))="","",INDEX(学年度总表!$I$3:$I$1025,MATCH($E210,学年度总表!$E$3:$E$1025,0)))</f>
        <v>3</v>
      </c>
      <c r="J210" s="3">
        <f>IF(INDEX(学年度总表!$J$3:$J$1025,MATCH($E210,学年度总表!$E$3:$E$1025,0))="","",INDEX(学年度总表!$J$3:$J$1025,MATCH($E210,学年度总表!$E$3:$E$1025,0)))</f>
        <v>68.760000000000005</v>
      </c>
      <c r="K210" s="3">
        <f>IF(INDEX(学年度总表!$K$3:$K$1025,MATCH($E210,学年度总表!$E$3:$E$1025,0))="","",INDEX(学年度总表!$K$3:$K$1025,MATCH($E210,学年度总表!$E$3:$E$1025,0)))</f>
        <v>9.8000000000000007</v>
      </c>
      <c r="L210" s="3">
        <f>IF(INDEX(学年度总表!$L$3:$L$1025,MATCH($E210,学年度总表!$E$3:$E$1025,0))="","",INDEX(学年度总表!$L$3:$L$1025,MATCH($E210,学年度总表!$E$3:$E$1025,0)))</f>
        <v>52.83</v>
      </c>
      <c r="M210" s="3">
        <f>IF(INDEX(学年度总表!$M$3:$M$1025,MATCH($E210,学年度总表!$E$3:$E$1025,0))="","",INDEX(学年度总表!$M$3:$M$1025,MATCH($E210,学年度总表!$E$3:$E$1025,0)))</f>
        <v>3.7</v>
      </c>
      <c r="N210" s="3">
        <f>IF(INDEX(学年度总表!$N$3:$N$1025,MATCH($E210,学年度总表!$E$3:$E$1025,0))="","",INDEX(学年度总表!$N$3:$N$1025,MATCH($E210,学年度总表!$E$3:$E$1025,0)))</f>
        <v>66.33</v>
      </c>
      <c r="O210" s="3">
        <f>IF(INDEX(学年度总表!$O$3:$O$1025,MATCH($E210,学年度总表!$E$3:$E$1025,0))="","",INDEX(学年度总表!$O$3:$O$1025,MATCH($E210,学年度总表!$E$3:$E$1025,0)))</f>
        <v>135.09</v>
      </c>
      <c r="P210" s="2" t="str">
        <f>IF(INDEX(学年度总表!$P$3:$P$1025,MATCH($E210,学年度总表!$E$3:$E$1025,0))="","",INDEX(学年度总表!$P$3:$P$1025,MATCH($E210,学年度总表!$E$3:$E$1025,0)))</f>
        <v/>
      </c>
      <c r="Q210" s="5" t="str">
        <f>IF(INDEX(学年度总表!$Q$3:$Q$1025,MATCH($E210,学年度总表!$E$3:$E$1025,0))="","",INDEX(学年度总表!$Q$3:$Q$1025,MATCH($E210,学年度总表!$E$3:$E$1025,0)))</f>
        <v/>
      </c>
    </row>
    <row r="211" spans="1:17">
      <c r="A211" s="2">
        <f>IF(INDEX(学年度总表!$A$3:$A$1025,MATCH($E211,学年度总表!$E$3:$E$1025,0))="","",INDEX(学年度总表!$A$3:$A$1025,MATCH($E211,学年度总表!$E$3:$E$1025,0)))</f>
        <v>613</v>
      </c>
      <c r="B211" s="2">
        <f>IF(INDEX(学年度总表!$B$3:$B$1025,MATCH($E211,学年度总表!$E$3:$E$1025,0))="","",INDEX(学年度总表!$B$3:$B$1025,MATCH($E211,学年度总表!$E$3:$E$1025,0)))</f>
        <v>209</v>
      </c>
      <c r="C211" s="2" t="str">
        <f>IF(INDEX(学年度总表!$C$3:$C$1025,MATCH($E211,学年度总表!$E$3:$E$1025,0))="","",INDEX(学年度总表!$C$3:$C$1025,MATCH($E211,学年度总表!$E$3:$E$1025,0)))</f>
        <v>软工</v>
      </c>
      <c r="D211" s="2" t="str">
        <f>IF(INDEX(学年度总表!$D$3:$D$1025,MATCH($E211,学年度总表!$E$3:$E$1025,0))="","",INDEX(学年度总表!$D$3:$D$1025,MATCH($E211,学年度总表!$E$3:$E$1025,0)))</f>
        <v>软工11班</v>
      </c>
      <c r="E211" s="2" t="s">
        <v>1287</v>
      </c>
      <c r="F211" s="2" t="str">
        <f>IF(INDEX(学年度总表!$F$3:$F$1025,MATCH($E211,学年度总表!$E$3:$E$1025,0))="","",INDEX(学年度总表!$F$3:$F$1025,MATCH($E211,学年度总表!$E$3:$E$1025,0)))</f>
        <v>孙浩桐</v>
      </c>
      <c r="G211" s="3">
        <f>IF(INDEX(学年度总表!$G$3:$G$1025,MATCH($E211,学年度总表!$E$3:$E$1025,0))="","",INDEX(学年度总表!$G$3:$G$1025,MATCH($E211,学年度总表!$E$3:$E$1025,0)))</f>
        <v>9.4</v>
      </c>
      <c r="H211" s="3">
        <f>IF(INDEX(学年度总表!$H$3:$H$1025,MATCH($E211,学年度总表!$E$3:$E$1025,0))="","",INDEX(学年度总表!$H$3:$H$1025,MATCH($E211,学年度总表!$E$3:$E$1025,0)))</f>
        <v>55.78</v>
      </c>
      <c r="I211" s="3">
        <f>IF(INDEX(学年度总表!$I$3:$I$1025,MATCH($E211,学年度总表!$E$3:$E$1025,0))="","",INDEX(学年度总表!$I$3:$I$1025,MATCH($E211,学年度总表!$E$3:$E$1025,0)))</f>
        <v>3</v>
      </c>
      <c r="J211" s="3">
        <f>IF(INDEX(学年度总表!$J$3:$J$1025,MATCH($E211,学年度总表!$E$3:$E$1025,0))="","",INDEX(学年度总表!$J$3:$J$1025,MATCH($E211,学年度总表!$E$3:$E$1025,0)))</f>
        <v>68.180000000000007</v>
      </c>
      <c r="K211" s="3">
        <f>IF(INDEX(学年度总表!$K$3:$K$1025,MATCH($E211,学年度总表!$E$3:$E$1025,0))="","",INDEX(学年度总表!$K$3:$K$1025,MATCH($E211,学年度总表!$E$3:$E$1025,0)))</f>
        <v>9.8000000000000007</v>
      </c>
      <c r="L211" s="3">
        <f>IF(INDEX(学年度总表!$L$3:$L$1025,MATCH($E211,学年度总表!$E$3:$E$1025,0))="","",INDEX(学年度总表!$L$3:$L$1025,MATCH($E211,学年度总表!$E$3:$E$1025,0)))</f>
        <v>53.64</v>
      </c>
      <c r="M211" s="3">
        <f>IF(INDEX(学年度总表!$M$3:$M$1025,MATCH($E211,学年度总表!$E$3:$E$1025,0))="","",INDEX(学年度总表!$M$3:$M$1025,MATCH($E211,学年度总表!$E$3:$E$1025,0)))</f>
        <v>3</v>
      </c>
      <c r="N211" s="3">
        <f>IF(INDEX(学年度总表!$N$3:$N$1025,MATCH($E211,学年度总表!$E$3:$E$1025,0))="","",INDEX(学年度总表!$N$3:$N$1025,MATCH($E211,学年度总表!$E$3:$E$1025,0)))</f>
        <v>66.44</v>
      </c>
      <c r="O211" s="3">
        <f>IF(INDEX(学年度总表!$O$3:$O$1025,MATCH($E211,学年度总表!$E$3:$E$1025,0))="","",INDEX(学年度总表!$O$3:$O$1025,MATCH($E211,学年度总表!$E$3:$E$1025,0)))</f>
        <v>134.62</v>
      </c>
      <c r="P211" s="2" t="str">
        <f>IF(INDEX(学年度总表!$P$3:$P$1025,MATCH($E211,学年度总表!$E$3:$E$1025,0))="","",INDEX(学年度总表!$P$3:$P$1025,MATCH($E211,学年度总表!$E$3:$E$1025,0)))</f>
        <v/>
      </c>
      <c r="Q211" s="5" t="str">
        <f>IF(INDEX(学年度总表!$Q$3:$Q$1025,MATCH($E211,学年度总表!$E$3:$E$1025,0))="","",INDEX(学年度总表!$Q$3:$Q$1025,MATCH($E211,学年度总表!$E$3:$E$1025,0)))</f>
        <v/>
      </c>
    </row>
    <row r="212" spans="1:17">
      <c r="A212" s="2">
        <f>IF(INDEX(学年度总表!$A$3:$A$1025,MATCH($E212,学年度总表!$E$3:$E$1025,0))="","",INDEX(学年度总表!$A$3:$A$1025,MATCH($E212,学年度总表!$E$3:$E$1025,0)))</f>
        <v>616</v>
      </c>
      <c r="B212" s="2">
        <f>IF(INDEX(学年度总表!$B$3:$B$1025,MATCH($E212,学年度总表!$E$3:$E$1025,0))="","",INDEX(学年度总表!$B$3:$B$1025,MATCH($E212,学年度总表!$E$3:$E$1025,0)))</f>
        <v>210</v>
      </c>
      <c r="C212" s="2" t="str">
        <f>IF(INDEX(学年度总表!$C$3:$C$1025,MATCH($E212,学年度总表!$E$3:$E$1025,0))="","",INDEX(学年度总表!$C$3:$C$1025,MATCH($E212,学年度总表!$E$3:$E$1025,0)))</f>
        <v>软工</v>
      </c>
      <c r="D212" s="2" t="str">
        <f>IF(INDEX(学年度总表!$D$3:$D$1025,MATCH($E212,学年度总表!$E$3:$E$1025,0))="","",INDEX(学年度总表!$D$3:$D$1025,MATCH($E212,学年度总表!$E$3:$E$1025,0)))</f>
        <v>软工14班</v>
      </c>
      <c r="E212" s="2" t="s">
        <v>1293</v>
      </c>
      <c r="F212" s="2" t="str">
        <f>IF(INDEX(学年度总表!$F$3:$F$1025,MATCH($E212,学年度总表!$E$3:$E$1025,0))="","",INDEX(学年度总表!$F$3:$F$1025,MATCH($E212,学年度总表!$E$3:$E$1025,0)))</f>
        <v>梁子聪</v>
      </c>
      <c r="G212" s="3">
        <f>IF(INDEX(学年度总表!$G$3:$G$1025,MATCH($E212,学年度总表!$E$3:$E$1025,0))="","",INDEX(学年度总表!$G$3:$G$1025,MATCH($E212,学年度总表!$E$3:$E$1025,0)))</f>
        <v>9.8000000000000007</v>
      </c>
      <c r="H212" s="3">
        <f>IF(INDEX(学年度总表!$H$3:$H$1025,MATCH($E212,学年度总表!$E$3:$E$1025,0))="","",INDEX(学年度总表!$H$3:$H$1025,MATCH($E212,学年度总表!$E$3:$E$1025,0)))</f>
        <v>58.71</v>
      </c>
      <c r="I212" s="3">
        <f>IF(INDEX(学年度总表!$I$3:$I$1025,MATCH($E212,学年度总表!$E$3:$E$1025,0))="","",INDEX(学年度总表!$I$3:$I$1025,MATCH($E212,学年度总表!$E$3:$E$1025,0)))</f>
        <v>4</v>
      </c>
      <c r="J212" s="3">
        <f>IF(INDEX(学年度总表!$J$3:$J$1025,MATCH($E212,学年度总表!$E$3:$E$1025,0))="","",INDEX(学年度总表!$J$3:$J$1025,MATCH($E212,学年度总表!$E$3:$E$1025,0)))</f>
        <v>72.510000000000005</v>
      </c>
      <c r="K212" s="3">
        <f>IF(INDEX(学年度总表!$K$3:$K$1025,MATCH($E212,学年度总表!$E$3:$E$1025,0))="","",INDEX(学年度总表!$K$3:$K$1025,MATCH($E212,学年度总表!$E$3:$E$1025,0)))</f>
        <v>9.8000000000000007</v>
      </c>
      <c r="L212" s="3">
        <f>IF(INDEX(学年度总表!$L$3:$L$1025,MATCH($E212,学年度总表!$E$3:$E$1025,0))="","",INDEX(学年度总表!$L$3:$L$1025,MATCH($E212,学年度总表!$E$3:$E$1025,0)))</f>
        <v>47.48</v>
      </c>
      <c r="M212" s="3">
        <f>IF(INDEX(学年度总表!$M$3:$M$1025,MATCH($E212,学年度总表!$E$3:$E$1025,0))="","",INDEX(学年度总表!$M$3:$M$1025,MATCH($E212,学年度总表!$E$3:$E$1025,0)))</f>
        <v>4.8</v>
      </c>
      <c r="N212" s="3">
        <f>IF(INDEX(学年度总表!$N$3:$N$1025,MATCH($E212,学年度总表!$E$3:$E$1025,0))="","",INDEX(学年度总表!$N$3:$N$1025,MATCH($E212,学年度总表!$E$3:$E$1025,0)))</f>
        <v>62.08</v>
      </c>
      <c r="O212" s="3">
        <f>IF(INDEX(学年度总表!$O$3:$O$1025,MATCH($E212,学年度总表!$E$3:$E$1025,0))="","",INDEX(学年度总表!$O$3:$O$1025,MATCH($E212,学年度总表!$E$3:$E$1025,0)))</f>
        <v>134.59</v>
      </c>
      <c r="P212" s="2" t="str">
        <f>IF(INDEX(学年度总表!$P$3:$P$1025,MATCH($E212,学年度总表!$E$3:$E$1025,0))="","",INDEX(学年度总表!$P$3:$P$1025,MATCH($E212,学年度总表!$E$3:$E$1025,0)))</f>
        <v/>
      </c>
      <c r="Q212" s="5" t="str">
        <f>IF(INDEX(学年度总表!$Q$3:$Q$1025,MATCH($E212,学年度总表!$E$3:$E$1025,0))="","",INDEX(学年度总表!$Q$3:$Q$1025,MATCH($E212,学年度总表!$E$3:$E$1025,0)))</f>
        <v/>
      </c>
    </row>
    <row r="213" spans="1:17">
      <c r="A213" s="2">
        <f>IF(INDEX(学年度总表!$A$3:$A$1025,MATCH($E213,学年度总表!$E$3:$E$1025,0))="","",INDEX(学年度总表!$A$3:$A$1025,MATCH($E213,学年度总表!$E$3:$E$1025,0)))</f>
        <v>617</v>
      </c>
      <c r="B213" s="2">
        <f>IF(INDEX(学年度总表!$B$3:$B$1025,MATCH($E213,学年度总表!$E$3:$E$1025,0))="","",INDEX(学年度总表!$B$3:$B$1025,MATCH($E213,学年度总表!$E$3:$E$1025,0)))</f>
        <v>211</v>
      </c>
      <c r="C213" s="2" t="str">
        <f>IF(INDEX(学年度总表!$C$3:$C$1025,MATCH($E213,学年度总表!$E$3:$E$1025,0))="","",INDEX(学年度总表!$C$3:$C$1025,MATCH($E213,学年度总表!$E$3:$E$1025,0)))</f>
        <v>软工</v>
      </c>
      <c r="D213" s="2" t="str">
        <f>IF(INDEX(学年度总表!$D$3:$D$1025,MATCH($E213,学年度总表!$E$3:$E$1025,0))="","",INDEX(学年度总表!$D$3:$D$1025,MATCH($E213,学年度总表!$E$3:$E$1025,0)))</f>
        <v>软工8班</v>
      </c>
      <c r="E213" s="2" t="s">
        <v>1295</v>
      </c>
      <c r="F213" s="2" t="str">
        <f>IF(INDEX(学年度总表!$F$3:$F$1025,MATCH($E213,学年度总表!$E$3:$E$1025,0))="","",INDEX(学年度总表!$F$3:$F$1025,MATCH($E213,学年度总表!$E$3:$E$1025,0)))</f>
        <v>卢冠语</v>
      </c>
      <c r="G213" s="3">
        <f>IF(INDEX(学年度总表!$G$3:$G$1025,MATCH($E213,学年度总表!$E$3:$E$1025,0))="","",INDEX(学年度总表!$G$3:$G$1025,MATCH($E213,学年度总表!$E$3:$E$1025,0)))</f>
        <v>9</v>
      </c>
      <c r="H213" s="3">
        <f>IF(INDEX(学年度总表!$H$3:$H$1025,MATCH($E213,学年度总表!$E$3:$E$1025,0))="","",INDEX(学年度总表!$H$3:$H$1025,MATCH($E213,学年度总表!$E$3:$E$1025,0)))</f>
        <v>56.936170212766001</v>
      </c>
      <c r="I213" s="3">
        <f>IF(INDEX(学年度总表!$I$3:$I$1025,MATCH($E213,学年度总表!$E$3:$E$1025,0))="","",INDEX(学年度总表!$I$3:$I$1025,MATCH($E213,学年度总表!$E$3:$E$1025,0)))</f>
        <v>3</v>
      </c>
      <c r="J213" s="3">
        <f>IF(INDEX(学年度总表!$J$3:$J$1025,MATCH($E213,学年度总表!$E$3:$E$1025,0))="","",INDEX(学年度总表!$J$3:$J$1025,MATCH($E213,学年度总表!$E$3:$E$1025,0)))</f>
        <v>68.94</v>
      </c>
      <c r="K213" s="3">
        <f>IF(INDEX(学年度总表!$K$3:$K$1025,MATCH($E213,学年度总表!$E$3:$E$1025,0))="","",INDEX(学年度总表!$K$3:$K$1025,MATCH($E213,学年度总表!$E$3:$E$1025,0)))</f>
        <v>7.3000000000000007</v>
      </c>
      <c r="L213" s="3">
        <f>IF(INDEX(学年度总表!$L$3:$L$1025,MATCH($E213,学年度总表!$E$3:$E$1025,0))="","",INDEX(学年度总表!$L$3:$L$1025,MATCH($E213,学年度总表!$E$3:$E$1025,0)))</f>
        <v>54.54</v>
      </c>
      <c r="M213" s="3">
        <f>IF(INDEX(学年度总表!$M$3:$M$1025,MATCH($E213,学年度总表!$E$3:$E$1025,0))="","",INDEX(学年度总表!$M$3:$M$1025,MATCH($E213,学年度总表!$E$3:$E$1025,0)))</f>
        <v>3.7</v>
      </c>
      <c r="N213" s="3">
        <f>IF(INDEX(学年度总表!$N$3:$N$1025,MATCH($E213,学年度总表!$E$3:$E$1025,0))="","",INDEX(学年度总表!$N$3:$N$1025,MATCH($E213,学年度总表!$E$3:$E$1025,0)))</f>
        <v>65.540000000000006</v>
      </c>
      <c r="O213" s="3">
        <f>IF(INDEX(学年度总表!$O$3:$O$1025,MATCH($E213,学年度总表!$E$3:$E$1025,0))="","",INDEX(学年度总表!$O$3:$O$1025,MATCH($E213,学年度总表!$E$3:$E$1025,0)))</f>
        <v>134.47999999999999</v>
      </c>
      <c r="P213" s="2" t="str">
        <f>IF(INDEX(学年度总表!$P$3:$P$1025,MATCH($E213,学年度总表!$E$3:$E$1025,0))="","",INDEX(学年度总表!$P$3:$P$1025,MATCH($E213,学年度总表!$E$3:$E$1025,0)))</f>
        <v/>
      </c>
      <c r="Q213" s="5" t="str">
        <f>IF(INDEX(学年度总表!$Q$3:$Q$1025,MATCH($E213,学年度总表!$E$3:$E$1025,0))="","",INDEX(学年度总表!$Q$3:$Q$1025,MATCH($E213,学年度总表!$E$3:$E$1025,0)))</f>
        <v/>
      </c>
    </row>
    <row r="214" spans="1:17">
      <c r="A214" s="2">
        <f>IF(INDEX(学年度总表!$A$3:$A$1025,MATCH($E214,学年度总表!$E$3:$E$1025,0))="","",INDEX(学年度总表!$A$3:$A$1025,MATCH($E214,学年度总表!$E$3:$E$1025,0)))</f>
        <v>618</v>
      </c>
      <c r="B214" s="2">
        <f>IF(INDEX(学年度总表!$B$3:$B$1025,MATCH($E214,学年度总表!$E$3:$E$1025,0))="","",INDEX(学年度总表!$B$3:$B$1025,MATCH($E214,学年度总表!$E$3:$E$1025,0)))</f>
        <v>212</v>
      </c>
      <c r="C214" s="2" t="str">
        <f>IF(INDEX(学年度总表!$C$3:$C$1025,MATCH($E214,学年度总表!$E$3:$E$1025,0))="","",INDEX(学年度总表!$C$3:$C$1025,MATCH($E214,学年度总表!$E$3:$E$1025,0)))</f>
        <v>软工</v>
      </c>
      <c r="D214" s="2" t="str">
        <f>IF(INDEX(学年度总表!$D$3:$D$1025,MATCH($E214,学年度总表!$E$3:$E$1025,0))="","",INDEX(学年度总表!$D$3:$D$1025,MATCH($E214,学年度总表!$E$3:$E$1025,0)))</f>
        <v>软工10班</v>
      </c>
      <c r="E214" s="2" t="s">
        <v>1297</v>
      </c>
      <c r="F214" s="2" t="str">
        <f>IF(INDEX(学年度总表!$F$3:$F$1025,MATCH($E214,学年度总表!$E$3:$E$1025,0))="","",INDEX(学年度总表!$F$3:$F$1025,MATCH($E214,学年度总表!$E$3:$E$1025,0)))</f>
        <v>姜兴源</v>
      </c>
      <c r="G214" s="3">
        <f>IF(INDEX(学年度总表!$G$3:$G$1025,MATCH($E214,学年度总表!$E$3:$E$1025,0))="","",INDEX(学年度总表!$G$3:$G$1025,MATCH($E214,学年度总表!$E$3:$E$1025,0)))</f>
        <v>9.8000000000000007</v>
      </c>
      <c r="H214" s="3">
        <f>IF(INDEX(学年度总表!$H$3:$H$1025,MATCH($E214,学年度总表!$E$3:$E$1025,0))="","",INDEX(学年度总表!$H$3:$H$1025,MATCH($E214,学年度总表!$E$3:$E$1025,0)))</f>
        <v>62.04</v>
      </c>
      <c r="I214" s="3">
        <f>IF(INDEX(学年度总表!$I$3:$I$1025,MATCH($E214,学年度总表!$E$3:$E$1025,0))="","",INDEX(学年度总表!$I$3:$I$1025,MATCH($E214,学年度总表!$E$3:$E$1025,0)))</f>
        <v>3</v>
      </c>
      <c r="J214" s="3">
        <f>IF(INDEX(学年度总表!$J$3:$J$1025,MATCH($E214,学年度总表!$E$3:$E$1025,0))="","",INDEX(学年度总表!$J$3:$J$1025,MATCH($E214,学年度总表!$E$3:$E$1025,0)))</f>
        <v>74.84</v>
      </c>
      <c r="K214" s="3">
        <f>IF(INDEX(学年度总表!$K$3:$K$1025,MATCH($E214,学年度总表!$E$3:$E$1025,0))="","",INDEX(学年度总表!$K$3:$K$1025,MATCH($E214,学年度总表!$E$3:$E$1025,0)))</f>
        <v>9.8000000000000007</v>
      </c>
      <c r="L214" s="3">
        <f>IF(INDEX(学年度总表!$L$3:$L$1025,MATCH($E214,学年度总表!$E$3:$E$1025,0))="","",INDEX(学年度总表!$L$3:$L$1025,MATCH($E214,学年度总表!$E$3:$E$1025,0)))</f>
        <v>45.73</v>
      </c>
      <c r="M214" s="3">
        <f>IF(INDEX(学年度总表!$M$3:$M$1025,MATCH($E214,学年度总表!$E$3:$E$1025,0))="","",INDEX(学年度总表!$M$3:$M$1025,MATCH($E214,学年度总表!$E$3:$E$1025,0)))</f>
        <v>4</v>
      </c>
      <c r="N214" s="3">
        <f>IF(INDEX(学年度总表!$N$3:$N$1025,MATCH($E214,学年度总表!$E$3:$E$1025,0))="","",INDEX(学年度总表!$N$3:$N$1025,MATCH($E214,学年度总表!$E$3:$E$1025,0)))</f>
        <v>59.53</v>
      </c>
      <c r="O214" s="3">
        <f>IF(INDEX(学年度总表!$O$3:$O$1025,MATCH($E214,学年度总表!$E$3:$E$1025,0))="","",INDEX(学年度总表!$O$3:$O$1025,MATCH($E214,学年度总表!$E$3:$E$1025,0)))</f>
        <v>134.37</v>
      </c>
      <c r="P214" s="2" t="str">
        <f>IF(INDEX(学年度总表!$P$3:$P$1025,MATCH($E214,学年度总表!$E$3:$E$1025,0))="","",INDEX(学年度总表!$P$3:$P$1025,MATCH($E214,学年度总表!$E$3:$E$1025,0)))</f>
        <v/>
      </c>
      <c r="Q214" s="5" t="str">
        <f>IF(INDEX(学年度总表!$Q$3:$Q$1025,MATCH($E214,学年度总表!$E$3:$E$1025,0))="","",INDEX(学年度总表!$Q$3:$Q$1025,MATCH($E214,学年度总表!$E$3:$E$1025,0)))</f>
        <v/>
      </c>
    </row>
    <row r="215" spans="1:17">
      <c r="A215" s="2">
        <f>IF(INDEX(学年度总表!$A$3:$A$1025,MATCH($E215,学年度总表!$E$3:$E$1025,0))="","",INDEX(学年度总表!$A$3:$A$1025,MATCH($E215,学年度总表!$E$3:$E$1025,0)))</f>
        <v>620</v>
      </c>
      <c r="B215" s="2">
        <f>IF(INDEX(学年度总表!$B$3:$B$1025,MATCH($E215,学年度总表!$E$3:$E$1025,0))="","",INDEX(学年度总表!$B$3:$B$1025,MATCH($E215,学年度总表!$E$3:$E$1025,0)))</f>
        <v>213</v>
      </c>
      <c r="C215" s="2" t="str">
        <f>IF(INDEX(学年度总表!$C$3:$C$1025,MATCH($E215,学年度总表!$E$3:$E$1025,0))="","",INDEX(学年度总表!$C$3:$C$1025,MATCH($E215,学年度总表!$E$3:$E$1025,0)))</f>
        <v>软工</v>
      </c>
      <c r="D215" s="2" t="str">
        <f>IF(INDEX(学年度总表!$D$3:$D$1025,MATCH($E215,学年度总表!$E$3:$E$1025,0))="","",INDEX(学年度总表!$D$3:$D$1025,MATCH($E215,学年度总表!$E$3:$E$1025,0)))</f>
        <v>软工7班</v>
      </c>
      <c r="E215" s="2" t="s">
        <v>1301</v>
      </c>
      <c r="F215" s="2" t="str">
        <f>IF(INDEX(学年度总表!$F$3:$F$1025,MATCH($E215,学年度总表!$E$3:$E$1025,0))="","",INDEX(学年度总表!$F$3:$F$1025,MATCH($E215,学年度总表!$E$3:$E$1025,0)))</f>
        <v>王馨悦</v>
      </c>
      <c r="G215" s="3">
        <f>IF(INDEX(学年度总表!$G$3:$G$1025,MATCH($E215,学年度总表!$E$3:$E$1025,0))="","",INDEX(学年度总表!$G$3:$G$1025,MATCH($E215,学年度总表!$E$3:$E$1025,0)))</f>
        <v>9.8000000000000007</v>
      </c>
      <c r="H215" s="3">
        <f>IF(INDEX(学年度总表!$H$3:$H$1025,MATCH($E215,学年度总表!$E$3:$E$1025,0))="","",INDEX(学年度总表!$H$3:$H$1025,MATCH($E215,学年度总表!$E$3:$E$1025,0)))</f>
        <v>50.4</v>
      </c>
      <c r="I215" s="3">
        <f>IF(INDEX(学年度总表!$I$3:$I$1025,MATCH($E215,学年度总表!$E$3:$E$1025,0))="","",INDEX(学年度总表!$I$3:$I$1025,MATCH($E215,学年度总表!$E$3:$E$1025,0)))</f>
        <v>4</v>
      </c>
      <c r="J215" s="3">
        <f>IF(INDEX(学年度总表!$J$3:$J$1025,MATCH($E215,学年度总表!$E$3:$E$1025,0))="","",INDEX(学年度总表!$J$3:$J$1025,MATCH($E215,学年度总表!$E$3:$E$1025,0)))</f>
        <v>64.2</v>
      </c>
      <c r="K215" s="3">
        <f>IF(INDEX(学年度总表!$K$3:$K$1025,MATCH($E215,学年度总表!$E$3:$E$1025,0))="","",INDEX(学年度总表!$K$3:$K$1025,MATCH($E215,学年度总表!$E$3:$E$1025,0)))</f>
        <v>9.8000000000000007</v>
      </c>
      <c r="L215" s="3">
        <f>IF(INDEX(学年度总表!$L$3:$L$1025,MATCH($E215,学年度总表!$E$3:$E$1025,0))="","",INDEX(学年度总表!$L$3:$L$1025,MATCH($E215,学年度总表!$E$3:$E$1025,0)))</f>
        <v>56.31</v>
      </c>
      <c r="M215" s="3">
        <f>IF(INDEX(学年度总表!$M$3:$M$1025,MATCH($E215,学年度总表!$E$3:$E$1025,0))="","",INDEX(学年度总表!$M$3:$M$1025,MATCH($E215,学年度总表!$E$3:$E$1025,0)))</f>
        <v>4</v>
      </c>
      <c r="N215" s="3">
        <f>IF(INDEX(学年度总表!$N$3:$N$1025,MATCH($E215,学年度总表!$E$3:$E$1025,0))="","",INDEX(学年度总表!$N$3:$N$1025,MATCH($E215,学年度总表!$E$3:$E$1025,0)))</f>
        <v>70.11</v>
      </c>
      <c r="O215" s="3">
        <f>IF(INDEX(学年度总表!$O$3:$O$1025,MATCH($E215,学年度总表!$E$3:$E$1025,0))="","",INDEX(学年度总表!$O$3:$O$1025,MATCH($E215,学年度总表!$E$3:$E$1025,0)))</f>
        <v>134.31</v>
      </c>
      <c r="P215" s="2" t="str">
        <f>IF(INDEX(学年度总表!$P$3:$P$1025,MATCH($E215,学年度总表!$E$3:$E$1025,0))="","",INDEX(学年度总表!$P$3:$P$1025,MATCH($E215,学年度总表!$E$3:$E$1025,0)))</f>
        <v/>
      </c>
      <c r="Q215" s="5" t="str">
        <f>IF(INDEX(学年度总表!$Q$3:$Q$1025,MATCH($E215,学年度总表!$E$3:$E$1025,0))="","",INDEX(学年度总表!$Q$3:$Q$1025,MATCH($E215,学年度总表!$E$3:$E$1025,0)))</f>
        <v/>
      </c>
    </row>
    <row r="216" spans="1:17">
      <c r="A216" s="2">
        <f>IF(INDEX(学年度总表!$A$3:$A$1025,MATCH($E216,学年度总表!$E$3:$E$1025,0))="","",INDEX(学年度总表!$A$3:$A$1025,MATCH($E216,学年度总表!$E$3:$E$1025,0)))</f>
        <v>626</v>
      </c>
      <c r="B216" s="2">
        <f>IF(INDEX(学年度总表!$B$3:$B$1025,MATCH($E216,学年度总表!$E$3:$E$1025,0))="","",INDEX(学年度总表!$B$3:$B$1025,MATCH($E216,学年度总表!$E$3:$E$1025,0)))</f>
        <v>214</v>
      </c>
      <c r="C216" s="2" t="str">
        <f>IF(INDEX(学年度总表!$C$3:$C$1025,MATCH($E216,学年度总表!$E$3:$E$1025,0))="","",INDEX(学年度总表!$C$3:$C$1025,MATCH($E216,学年度总表!$E$3:$E$1025,0)))</f>
        <v>软工</v>
      </c>
      <c r="D216" s="2" t="str">
        <f>IF(INDEX(学年度总表!$D$3:$D$1025,MATCH($E216,学年度总表!$E$3:$E$1025,0))="","",INDEX(学年度总表!$D$3:$D$1025,MATCH($E216,学年度总表!$E$3:$E$1025,0)))</f>
        <v>软工10班</v>
      </c>
      <c r="E216" s="2" t="s">
        <v>1313</v>
      </c>
      <c r="F216" s="2" t="str">
        <f>IF(INDEX(学年度总表!$F$3:$F$1025,MATCH($E216,学年度总表!$E$3:$E$1025,0))="","",INDEX(学年度总表!$F$3:$F$1025,MATCH($E216,学年度总表!$E$3:$E$1025,0)))</f>
        <v>姚泽旺</v>
      </c>
      <c r="G216" s="3">
        <f>IF(INDEX(学年度总表!$G$3:$G$1025,MATCH($E216,学年度总表!$E$3:$E$1025,0))="","",INDEX(学年度总表!$G$3:$G$1025,MATCH($E216,学年度总表!$E$3:$E$1025,0)))</f>
        <v>10</v>
      </c>
      <c r="H216" s="3">
        <f>IF(INDEX(学年度总表!$H$3:$H$1025,MATCH($E216,学年度总表!$E$3:$E$1025,0))="","",INDEX(学年度总表!$H$3:$H$1025,MATCH($E216,学年度总表!$E$3:$E$1025,0)))</f>
        <v>53.28</v>
      </c>
      <c r="I216" s="3">
        <f>IF(INDEX(学年度总表!$I$3:$I$1025,MATCH($E216,学年度总表!$E$3:$E$1025,0))="","",INDEX(学年度总表!$I$3:$I$1025,MATCH($E216,学年度总表!$E$3:$E$1025,0)))</f>
        <v>3.7</v>
      </c>
      <c r="J216" s="3">
        <f>IF(INDEX(学年度总表!$J$3:$J$1025,MATCH($E216,学年度总表!$E$3:$E$1025,0))="","",INDEX(学年度总表!$J$3:$J$1025,MATCH($E216,学年度总表!$E$3:$E$1025,0)))</f>
        <v>66.98</v>
      </c>
      <c r="K216" s="3">
        <f>IF(INDEX(学年度总表!$K$3:$K$1025,MATCH($E216,学年度总表!$E$3:$E$1025,0))="","",INDEX(学年度总表!$K$3:$K$1025,MATCH($E216,学年度总表!$E$3:$E$1025,0)))</f>
        <v>10</v>
      </c>
      <c r="L216" s="3">
        <f>IF(INDEX(学年度总表!$L$3:$L$1025,MATCH($E216,学年度总表!$E$3:$E$1025,0))="","",INDEX(学年度总表!$L$3:$L$1025,MATCH($E216,学年度总表!$E$3:$E$1025,0)))</f>
        <v>52.54</v>
      </c>
      <c r="M216" s="3">
        <f>IF(INDEX(学年度总表!$M$3:$M$1025,MATCH($E216,学年度总表!$E$3:$E$1025,0))="","",INDEX(学年度总表!$M$3:$M$1025,MATCH($E216,学年度总表!$E$3:$E$1025,0)))</f>
        <v>4.5999999999999996</v>
      </c>
      <c r="N216" s="3">
        <f>IF(INDEX(学年度总表!$N$3:$N$1025,MATCH($E216,学年度总表!$E$3:$E$1025,0))="","",INDEX(学年度总表!$N$3:$N$1025,MATCH($E216,学年度总表!$E$3:$E$1025,0)))</f>
        <v>67.14</v>
      </c>
      <c r="O216" s="3">
        <f>IF(INDEX(学年度总表!$O$3:$O$1025,MATCH($E216,学年度总表!$E$3:$E$1025,0))="","",INDEX(学年度总表!$O$3:$O$1025,MATCH($E216,学年度总表!$E$3:$E$1025,0)))</f>
        <v>134.12</v>
      </c>
      <c r="P216" s="2" t="str">
        <f>IF(INDEX(学年度总表!$P$3:$P$1025,MATCH($E216,学年度总表!$E$3:$E$1025,0))="","",INDEX(学年度总表!$P$3:$P$1025,MATCH($E216,学年度总表!$E$3:$E$1025,0)))</f>
        <v/>
      </c>
      <c r="Q216" s="5" t="str">
        <f>IF(INDEX(学年度总表!$Q$3:$Q$1025,MATCH($E216,学年度总表!$E$3:$E$1025,0))="","",INDEX(学年度总表!$Q$3:$Q$1025,MATCH($E216,学年度总表!$E$3:$E$1025,0)))</f>
        <v/>
      </c>
    </row>
    <row r="217" spans="1:17">
      <c r="A217" s="2">
        <f>IF(INDEX(学年度总表!$A$3:$A$1025,MATCH($E217,学年度总表!$E$3:$E$1025,0))="","",INDEX(学年度总表!$A$3:$A$1025,MATCH($E217,学年度总表!$E$3:$E$1025,0)))</f>
        <v>628</v>
      </c>
      <c r="B217" s="2">
        <f>IF(INDEX(学年度总表!$B$3:$B$1025,MATCH($E217,学年度总表!$E$3:$E$1025,0))="","",INDEX(学年度总表!$B$3:$B$1025,MATCH($E217,学年度总表!$E$3:$E$1025,0)))</f>
        <v>215</v>
      </c>
      <c r="C217" s="2" t="str">
        <f>IF(INDEX(学年度总表!$C$3:$C$1025,MATCH($E217,学年度总表!$E$3:$E$1025,0))="","",INDEX(学年度总表!$C$3:$C$1025,MATCH($E217,学年度总表!$E$3:$E$1025,0)))</f>
        <v>软工</v>
      </c>
      <c r="D217" s="2" t="str">
        <f>IF(INDEX(学年度总表!$D$3:$D$1025,MATCH($E217,学年度总表!$E$3:$E$1025,0))="","",INDEX(学年度总表!$D$3:$D$1025,MATCH($E217,学年度总表!$E$3:$E$1025,0)))</f>
        <v>软工12班</v>
      </c>
      <c r="E217" s="2" t="s">
        <v>1317</v>
      </c>
      <c r="F217" s="2" t="str">
        <f>IF(INDEX(学年度总表!$F$3:$F$1025,MATCH($E217,学年度总表!$E$3:$E$1025,0))="","",INDEX(学年度总表!$F$3:$F$1025,MATCH($E217,学年度总表!$E$3:$E$1025,0)))</f>
        <v>韩欣睿</v>
      </c>
      <c r="G217" s="3">
        <f>IF(INDEX(学年度总表!$G$3:$G$1025,MATCH($E217,学年度总表!$E$3:$E$1025,0))="","",INDEX(学年度总表!$G$3:$G$1025,MATCH($E217,学年度总表!$E$3:$E$1025,0)))</f>
        <v>9.6</v>
      </c>
      <c r="H217" s="3">
        <f>IF(INDEX(学年度总表!$H$3:$H$1025,MATCH($E217,学年度总表!$E$3:$E$1025,0))="","",INDEX(学年度总表!$H$3:$H$1025,MATCH($E217,学年度总表!$E$3:$E$1025,0)))</f>
        <v>51.21</v>
      </c>
      <c r="I217" s="3">
        <f>IF(INDEX(学年度总表!$I$3:$I$1025,MATCH($E217,学年度总表!$E$3:$E$1025,0))="","",INDEX(学年度总表!$I$3:$I$1025,MATCH($E217,学年度总表!$E$3:$E$1025,0)))</f>
        <v>3.6</v>
      </c>
      <c r="J217" s="3">
        <f>IF(INDEX(学年度总表!$J$3:$J$1025,MATCH($E217,学年度总表!$E$3:$E$1025,0))="","",INDEX(学年度总表!$J$3:$J$1025,MATCH($E217,学年度总表!$E$3:$E$1025,0)))</f>
        <v>64.41</v>
      </c>
      <c r="K217" s="3">
        <f>IF(INDEX(学年度总表!$K$3:$K$1025,MATCH($E217,学年度总表!$E$3:$E$1025,0))="","",INDEX(学年度总表!$K$3:$K$1025,MATCH($E217,学年度总表!$E$3:$E$1025,0)))</f>
        <v>10</v>
      </c>
      <c r="L217" s="3">
        <f>IF(INDEX(学年度总表!$L$3:$L$1025,MATCH($E217,学年度总表!$E$3:$E$1025,0))="","",INDEX(学年度总表!$L$3:$L$1025,MATCH($E217,学年度总表!$E$3:$E$1025,0)))</f>
        <v>54.95</v>
      </c>
      <c r="M217" s="3">
        <f>IF(INDEX(学年度总表!$M$3:$M$1025,MATCH($E217,学年度总表!$E$3:$E$1025,0))="","",INDEX(学年度总表!$M$3:$M$1025,MATCH($E217,学年度总表!$E$3:$E$1025,0)))</f>
        <v>4.7</v>
      </c>
      <c r="N217" s="3">
        <f>IF(INDEX(学年度总表!$N$3:$N$1025,MATCH($E217,学年度总表!$E$3:$E$1025,0))="","",INDEX(学年度总表!$N$3:$N$1025,MATCH($E217,学年度总表!$E$3:$E$1025,0)))</f>
        <v>69.650000000000006</v>
      </c>
      <c r="O217" s="3">
        <f>IF(INDEX(学年度总表!$O$3:$O$1025,MATCH($E217,学年度总表!$E$3:$E$1025,0))="","",INDEX(学年度总表!$O$3:$O$1025,MATCH($E217,学年度总表!$E$3:$E$1025,0)))</f>
        <v>134.06</v>
      </c>
      <c r="P217" s="2" t="str">
        <f>IF(INDEX(学年度总表!$P$3:$P$1025,MATCH($E217,学年度总表!$E$3:$E$1025,0))="","",INDEX(学年度总表!$P$3:$P$1025,MATCH($E217,学年度总表!$E$3:$E$1025,0)))</f>
        <v/>
      </c>
      <c r="Q217" s="5" t="str">
        <f>IF(INDEX(学年度总表!$Q$3:$Q$1025,MATCH($E217,学年度总表!$E$3:$E$1025,0))="","",INDEX(学年度总表!$Q$3:$Q$1025,MATCH($E217,学年度总表!$E$3:$E$1025,0)))</f>
        <v/>
      </c>
    </row>
    <row r="218" spans="1:17">
      <c r="A218" s="2">
        <f>IF(INDEX(学年度总表!$A$3:$A$1025,MATCH($E218,学年度总表!$E$3:$E$1025,0))="","",INDEX(学年度总表!$A$3:$A$1025,MATCH($E218,学年度总表!$E$3:$E$1025,0)))</f>
        <v>633</v>
      </c>
      <c r="B218" s="2">
        <f>IF(INDEX(学年度总表!$B$3:$B$1025,MATCH($E218,学年度总表!$E$3:$E$1025,0))="","",INDEX(学年度总表!$B$3:$B$1025,MATCH($E218,学年度总表!$E$3:$E$1025,0)))</f>
        <v>216</v>
      </c>
      <c r="C218" s="2" t="str">
        <f>IF(INDEX(学年度总表!$C$3:$C$1025,MATCH($E218,学年度总表!$E$3:$E$1025,0))="","",INDEX(学年度总表!$C$3:$C$1025,MATCH($E218,学年度总表!$E$3:$E$1025,0)))</f>
        <v>软工</v>
      </c>
      <c r="D218" s="2" t="str">
        <f>IF(INDEX(学年度总表!$D$3:$D$1025,MATCH($E218,学年度总表!$E$3:$E$1025,0))="","",INDEX(学年度总表!$D$3:$D$1025,MATCH($E218,学年度总表!$E$3:$E$1025,0)))</f>
        <v>软工9班</v>
      </c>
      <c r="E218" s="2" t="s">
        <v>1327</v>
      </c>
      <c r="F218" s="2" t="str">
        <f>IF(INDEX(学年度总表!$F$3:$F$1025,MATCH($E218,学年度总表!$E$3:$E$1025,0))="","",INDEX(学年度总表!$F$3:$F$1025,MATCH($E218,学年度总表!$E$3:$E$1025,0)))</f>
        <v>王俊楠</v>
      </c>
      <c r="G218" s="3">
        <f>IF(INDEX(学年度总表!$G$3:$G$1025,MATCH($E218,学年度总表!$E$3:$E$1025,0))="","",INDEX(学年度总表!$G$3:$G$1025,MATCH($E218,学年度总表!$E$3:$E$1025,0)))</f>
        <v>10</v>
      </c>
      <c r="H218" s="3">
        <f>IF(INDEX(学年度总表!$H$3:$H$1025,MATCH($E218,学年度总表!$E$3:$E$1025,0))="","",INDEX(学年度总表!$H$3:$H$1025,MATCH($E218,学年度总表!$E$3:$E$1025,0)))</f>
        <v>54.979591836734699</v>
      </c>
      <c r="I218" s="3">
        <f>IF(INDEX(学年度总表!$I$3:$I$1025,MATCH($E218,学年度总表!$E$3:$E$1025,0))="","",INDEX(学年度总表!$I$3:$I$1025,MATCH($E218,学年度总表!$E$3:$E$1025,0)))</f>
        <v>3</v>
      </c>
      <c r="J218" s="3">
        <f>IF(INDEX(学年度总表!$J$3:$J$1025,MATCH($E218,学年度总表!$E$3:$E$1025,0))="","",INDEX(学年度总表!$J$3:$J$1025,MATCH($E218,学年度总表!$E$3:$E$1025,0)))</f>
        <v>67.98</v>
      </c>
      <c r="K218" s="3">
        <f>IF(INDEX(学年度总表!$K$3:$K$1025,MATCH($E218,学年度总表!$E$3:$E$1025,0))="","",INDEX(学年度总表!$K$3:$K$1025,MATCH($E218,学年度总表!$E$3:$E$1025,0)))</f>
        <v>7.5</v>
      </c>
      <c r="L218" s="3">
        <f>IF(INDEX(学年度总表!$L$3:$L$1025,MATCH($E218,学年度总表!$E$3:$E$1025,0))="","",INDEX(学年度总表!$L$3:$L$1025,MATCH($E218,学年度总表!$E$3:$E$1025,0)))</f>
        <v>55</v>
      </c>
      <c r="M218" s="3">
        <f>IF(INDEX(学年度总表!$M$3:$M$1025,MATCH($E218,学年度总表!$E$3:$E$1025,0))="","",INDEX(学年度总表!$M$3:$M$1025,MATCH($E218,学年度总表!$E$3:$E$1025,0)))</f>
        <v>3.5</v>
      </c>
      <c r="N218" s="3">
        <f>IF(INDEX(学年度总表!$N$3:$N$1025,MATCH($E218,学年度总表!$E$3:$E$1025,0))="","",INDEX(学年度总表!$N$3:$N$1025,MATCH($E218,学年度总表!$E$3:$E$1025,0)))</f>
        <v>66</v>
      </c>
      <c r="O218" s="3">
        <f>IF(INDEX(学年度总表!$O$3:$O$1025,MATCH($E218,学年度总表!$E$3:$E$1025,0))="","",INDEX(学年度总表!$O$3:$O$1025,MATCH($E218,学年度总表!$E$3:$E$1025,0)))</f>
        <v>133.97999999999999</v>
      </c>
      <c r="P218" s="2" t="str">
        <f>IF(INDEX(学年度总表!$P$3:$P$1025,MATCH($E218,学年度总表!$E$3:$E$1025,0))="","",INDEX(学年度总表!$P$3:$P$1025,MATCH($E218,学年度总表!$E$3:$E$1025,0)))</f>
        <v/>
      </c>
      <c r="Q218" s="5" t="str">
        <f>IF(INDEX(学年度总表!$Q$3:$Q$1025,MATCH($E218,学年度总表!$E$3:$E$1025,0))="","",INDEX(学年度总表!$Q$3:$Q$1025,MATCH($E218,学年度总表!$E$3:$E$1025,0)))</f>
        <v/>
      </c>
    </row>
    <row r="219" spans="1:17">
      <c r="A219" s="2">
        <f>IF(INDEX(学年度总表!$A$3:$A$1025,MATCH($E219,学年度总表!$E$3:$E$1025,0))="","",INDEX(学年度总表!$A$3:$A$1025,MATCH($E219,学年度总表!$E$3:$E$1025,0)))</f>
        <v>636</v>
      </c>
      <c r="B219" s="2">
        <f>IF(INDEX(学年度总表!$B$3:$B$1025,MATCH($E219,学年度总表!$E$3:$E$1025,0))="","",INDEX(学年度总表!$B$3:$B$1025,MATCH($E219,学年度总表!$E$3:$E$1025,0)))</f>
        <v>217</v>
      </c>
      <c r="C219" s="2" t="str">
        <f>IF(INDEX(学年度总表!$C$3:$C$1025,MATCH($E219,学年度总表!$E$3:$E$1025,0))="","",INDEX(学年度总表!$C$3:$C$1025,MATCH($E219,学年度总表!$E$3:$E$1025,0)))</f>
        <v>软工</v>
      </c>
      <c r="D219" s="2" t="str">
        <f>IF(INDEX(学年度总表!$D$3:$D$1025,MATCH($E219,学年度总表!$E$3:$E$1025,0))="","",INDEX(学年度总表!$D$3:$D$1025,MATCH($E219,学年度总表!$E$3:$E$1025,0)))</f>
        <v>软工13班</v>
      </c>
      <c r="E219" s="2" t="s">
        <v>1333</v>
      </c>
      <c r="F219" s="2" t="str">
        <f>IF(INDEX(学年度总表!$F$3:$F$1025,MATCH($E219,学年度总表!$E$3:$E$1025,0))="","",INDEX(学年度总表!$F$3:$F$1025,MATCH($E219,学年度总表!$E$3:$E$1025,0)))</f>
        <v>刘金岳</v>
      </c>
      <c r="G219" s="3">
        <f>IF(INDEX(学年度总表!$G$3:$G$1025,MATCH($E219,学年度总表!$E$3:$E$1025,0))="","",INDEX(学年度总表!$G$3:$G$1025,MATCH($E219,学年度总表!$E$3:$E$1025,0)))</f>
        <v>9.8000000000000007</v>
      </c>
      <c r="H219" s="3">
        <f>IF(INDEX(学年度总表!$H$3:$H$1025,MATCH($E219,学年度总表!$E$3:$E$1025,0))="","",INDEX(学年度总表!$H$3:$H$1025,MATCH($E219,学年度总表!$E$3:$E$1025,0)))</f>
        <v>56.89</v>
      </c>
      <c r="I219" s="3">
        <f>IF(INDEX(学年度总表!$I$3:$I$1025,MATCH($E219,学年度总表!$E$3:$E$1025,0))="","",INDEX(学年度总表!$I$3:$I$1025,MATCH($E219,学年度总表!$E$3:$E$1025,0)))</f>
        <v>3.2</v>
      </c>
      <c r="J219" s="3">
        <f>IF(INDEX(学年度总表!$J$3:$J$1025,MATCH($E219,学年度总表!$E$3:$E$1025,0))="","",INDEX(学年度总表!$J$3:$J$1025,MATCH($E219,学年度总表!$E$3:$E$1025,0)))</f>
        <v>69.89</v>
      </c>
      <c r="K219" s="3">
        <f>IF(INDEX(学年度总表!$K$3:$K$1025,MATCH($E219,学年度总表!$E$3:$E$1025,0))="","",INDEX(学年度总表!$K$3:$K$1025,MATCH($E219,学年度总表!$E$3:$E$1025,0)))</f>
        <v>9.8000000000000007</v>
      </c>
      <c r="L219" s="3">
        <f>IF(INDEX(学年度总表!$L$3:$L$1025,MATCH($E219,学年度总表!$E$3:$E$1025,0))="","",INDEX(学年度总表!$L$3:$L$1025,MATCH($E219,学年度总表!$E$3:$E$1025,0)))</f>
        <v>50.63</v>
      </c>
      <c r="M219" s="3">
        <f>IF(INDEX(学年度总表!$M$3:$M$1025,MATCH($E219,学年度总表!$E$3:$E$1025,0))="","",INDEX(学年度总表!$M$3:$M$1025,MATCH($E219,学年度总表!$E$3:$E$1025,0)))</f>
        <v>3.5</v>
      </c>
      <c r="N219" s="3">
        <f>IF(INDEX(学年度总表!$N$3:$N$1025,MATCH($E219,学年度总表!$E$3:$E$1025,0))="","",INDEX(学年度总表!$N$3:$N$1025,MATCH($E219,学年度总表!$E$3:$E$1025,0)))</f>
        <v>63.93</v>
      </c>
      <c r="O219" s="3">
        <f>IF(INDEX(学年度总表!$O$3:$O$1025,MATCH($E219,学年度总表!$E$3:$E$1025,0))="","",INDEX(学年度总表!$O$3:$O$1025,MATCH($E219,学年度总表!$E$3:$E$1025,0)))</f>
        <v>133.82</v>
      </c>
      <c r="P219" s="2" t="str">
        <f>IF(INDEX(学年度总表!$P$3:$P$1025,MATCH($E219,学年度总表!$E$3:$E$1025,0))="","",INDEX(学年度总表!$P$3:$P$1025,MATCH($E219,学年度总表!$E$3:$E$1025,0)))</f>
        <v/>
      </c>
      <c r="Q219" s="5" t="str">
        <f>IF(INDEX(学年度总表!$Q$3:$Q$1025,MATCH($E219,学年度总表!$E$3:$E$1025,0))="","",INDEX(学年度总表!$Q$3:$Q$1025,MATCH($E219,学年度总表!$E$3:$E$1025,0)))</f>
        <v/>
      </c>
    </row>
    <row r="220" spans="1:17">
      <c r="A220" s="2">
        <f>IF(INDEX(学年度总表!$A$3:$A$1025,MATCH($E220,学年度总表!$E$3:$E$1025,0))="","",INDEX(学年度总表!$A$3:$A$1025,MATCH($E220,学年度总表!$E$3:$E$1025,0)))</f>
        <v>639</v>
      </c>
      <c r="B220" s="2">
        <f>IF(INDEX(学年度总表!$B$3:$B$1025,MATCH($E220,学年度总表!$E$3:$E$1025,0))="","",INDEX(学年度总表!$B$3:$B$1025,MATCH($E220,学年度总表!$E$3:$E$1025,0)))</f>
        <v>218</v>
      </c>
      <c r="C220" s="2" t="str">
        <f>IF(INDEX(学年度总表!$C$3:$C$1025,MATCH($E220,学年度总表!$E$3:$E$1025,0))="","",INDEX(学年度总表!$C$3:$C$1025,MATCH($E220,学年度总表!$E$3:$E$1025,0)))</f>
        <v>软工</v>
      </c>
      <c r="D220" s="2" t="str">
        <f>IF(INDEX(学年度总表!$D$3:$D$1025,MATCH($E220,学年度总表!$E$3:$E$1025,0))="","",INDEX(学年度总表!$D$3:$D$1025,MATCH($E220,学年度总表!$E$3:$E$1025,0)))</f>
        <v>软工10班</v>
      </c>
      <c r="E220" s="2" t="s">
        <v>1339</v>
      </c>
      <c r="F220" s="2" t="str">
        <f>IF(INDEX(学年度总表!$F$3:$F$1025,MATCH($E220,学年度总表!$E$3:$E$1025,0))="","",INDEX(学年度总表!$F$3:$F$1025,MATCH($E220,学年度总表!$E$3:$E$1025,0)))</f>
        <v>庞源</v>
      </c>
      <c r="G220" s="3">
        <f>IF(INDEX(学年度总表!$G$3:$G$1025,MATCH($E220,学年度总表!$E$3:$E$1025,0))="","",INDEX(学年度总表!$G$3:$G$1025,MATCH($E220,学年度总表!$E$3:$E$1025,0)))</f>
        <v>10</v>
      </c>
      <c r="H220" s="3">
        <f>IF(INDEX(学年度总表!$H$3:$H$1025,MATCH($E220,学年度总表!$E$3:$E$1025,0))="","",INDEX(学年度总表!$H$3:$H$1025,MATCH($E220,学年度总表!$E$3:$E$1025,0)))</f>
        <v>48.29</v>
      </c>
      <c r="I220" s="3">
        <f>IF(INDEX(学年度总表!$I$3:$I$1025,MATCH($E220,学年度总表!$E$3:$E$1025,0))="","",INDEX(学年度总表!$I$3:$I$1025,MATCH($E220,学年度总表!$E$3:$E$1025,0)))</f>
        <v>3.2</v>
      </c>
      <c r="J220" s="3">
        <f>IF(INDEX(学年度总表!$J$3:$J$1025,MATCH($E220,学年度总表!$E$3:$E$1025,0))="","",INDEX(学年度总表!$J$3:$J$1025,MATCH($E220,学年度总表!$E$3:$E$1025,0)))</f>
        <v>61.49</v>
      </c>
      <c r="K220" s="3">
        <f>IF(INDEX(学年度总表!$K$3:$K$1025,MATCH($E220,学年度总表!$E$3:$E$1025,0))="","",INDEX(学年度总表!$K$3:$K$1025,MATCH($E220,学年度总表!$E$3:$E$1025,0)))</f>
        <v>9.8000000000000007</v>
      </c>
      <c r="L220" s="3">
        <f>IF(INDEX(学年度总表!$L$3:$L$1025,MATCH($E220,学年度总表!$E$3:$E$1025,0))="","",INDEX(学年度总表!$L$3:$L$1025,MATCH($E220,学年度总表!$E$3:$E$1025,0)))</f>
        <v>58.91</v>
      </c>
      <c r="M220" s="3">
        <f>IF(INDEX(学年度总表!$M$3:$M$1025,MATCH($E220,学年度总表!$E$3:$E$1025,0))="","",INDEX(学年度总表!$M$3:$M$1025,MATCH($E220,学年度总表!$E$3:$E$1025,0)))</f>
        <v>3.5</v>
      </c>
      <c r="N220" s="3">
        <f>IF(INDEX(学年度总表!$N$3:$N$1025,MATCH($E220,学年度总表!$E$3:$E$1025,0))="","",INDEX(学年度总表!$N$3:$N$1025,MATCH($E220,学年度总表!$E$3:$E$1025,0)))</f>
        <v>72.209999999999994</v>
      </c>
      <c r="O220" s="3">
        <f>IF(INDEX(学年度总表!$O$3:$O$1025,MATCH($E220,学年度总表!$E$3:$E$1025,0))="","",INDEX(学年度总表!$O$3:$O$1025,MATCH($E220,学年度总表!$E$3:$E$1025,0)))</f>
        <v>133.69999999999999</v>
      </c>
      <c r="P220" s="2" t="str">
        <f>IF(INDEX(学年度总表!$P$3:$P$1025,MATCH($E220,学年度总表!$E$3:$E$1025,0))="","",INDEX(学年度总表!$P$3:$P$1025,MATCH($E220,学年度总表!$E$3:$E$1025,0)))</f>
        <v/>
      </c>
      <c r="Q220" s="5" t="str">
        <f>IF(INDEX(学年度总表!$Q$3:$Q$1025,MATCH($E220,学年度总表!$E$3:$E$1025,0))="","",INDEX(学年度总表!$Q$3:$Q$1025,MATCH($E220,学年度总表!$E$3:$E$1025,0)))</f>
        <v/>
      </c>
    </row>
    <row r="221" spans="1:17">
      <c r="A221" s="2">
        <f>IF(INDEX(学年度总表!$A$3:$A$1025,MATCH($E221,学年度总表!$E$3:$E$1025,0))="","",INDEX(学年度总表!$A$3:$A$1025,MATCH($E221,学年度总表!$E$3:$E$1025,0)))</f>
        <v>641</v>
      </c>
      <c r="B221" s="2">
        <f>IF(INDEX(学年度总表!$B$3:$B$1025,MATCH($E221,学年度总表!$E$3:$E$1025,0))="","",INDEX(学年度总表!$B$3:$B$1025,MATCH($E221,学年度总表!$E$3:$E$1025,0)))</f>
        <v>219</v>
      </c>
      <c r="C221" s="2" t="str">
        <f>IF(INDEX(学年度总表!$C$3:$C$1025,MATCH($E221,学年度总表!$E$3:$E$1025,0))="","",INDEX(学年度总表!$C$3:$C$1025,MATCH($E221,学年度总表!$E$3:$E$1025,0)))</f>
        <v>软工</v>
      </c>
      <c r="D221" s="2" t="str">
        <f>IF(INDEX(学年度总表!$D$3:$D$1025,MATCH($E221,学年度总表!$E$3:$E$1025,0))="","",INDEX(学年度总表!$D$3:$D$1025,MATCH($E221,学年度总表!$E$3:$E$1025,0)))</f>
        <v>软工7班</v>
      </c>
      <c r="E221" s="2" t="s">
        <v>1343</v>
      </c>
      <c r="F221" s="2" t="str">
        <f>IF(INDEX(学年度总表!$F$3:$F$1025,MATCH($E221,学年度总表!$E$3:$E$1025,0))="","",INDEX(学年度总表!$F$3:$F$1025,MATCH($E221,学年度总表!$E$3:$E$1025,0)))</f>
        <v>王安琦</v>
      </c>
      <c r="G221" s="3">
        <f>IF(INDEX(学年度总表!$G$3:$G$1025,MATCH($E221,学年度总表!$E$3:$E$1025,0))="","",INDEX(学年度总表!$G$3:$G$1025,MATCH($E221,学年度总表!$E$3:$E$1025,0)))</f>
        <v>9.8000000000000007</v>
      </c>
      <c r="H221" s="3">
        <f>IF(INDEX(学年度总表!$H$3:$H$1025,MATCH($E221,学年度总表!$E$3:$E$1025,0))="","",INDEX(学年度总表!$H$3:$H$1025,MATCH($E221,学年度总表!$E$3:$E$1025,0)))</f>
        <v>57.73</v>
      </c>
      <c r="I221" s="3">
        <f>IF(INDEX(学年度总表!$I$3:$I$1025,MATCH($E221,学年度总表!$E$3:$E$1025,0))="","",INDEX(学年度总表!$I$3:$I$1025,MATCH($E221,学年度总表!$E$3:$E$1025,0)))</f>
        <v>4</v>
      </c>
      <c r="J221" s="3">
        <f>IF(INDEX(学年度总表!$J$3:$J$1025,MATCH($E221,学年度总表!$E$3:$E$1025,0))="","",INDEX(学年度总表!$J$3:$J$1025,MATCH($E221,学年度总表!$E$3:$E$1025,0)))</f>
        <v>71.53</v>
      </c>
      <c r="K221" s="3">
        <f>IF(INDEX(学年度总表!$K$3:$K$1025,MATCH($E221,学年度总表!$E$3:$E$1025,0))="","",INDEX(学年度总表!$K$3:$K$1025,MATCH($E221,学年度总表!$E$3:$E$1025,0)))</f>
        <v>9.8000000000000007</v>
      </c>
      <c r="L221" s="3">
        <f>IF(INDEX(学年度总表!$L$3:$L$1025,MATCH($E221,学年度总表!$E$3:$E$1025,0))="","",INDEX(学年度总表!$L$3:$L$1025,MATCH($E221,学年度总表!$E$3:$E$1025,0)))</f>
        <v>49.28</v>
      </c>
      <c r="M221" s="3">
        <f>IF(INDEX(学年度总表!$M$3:$M$1025,MATCH($E221,学年度总表!$E$3:$E$1025,0))="","",INDEX(学年度总表!$M$3:$M$1025,MATCH($E221,学年度总表!$E$3:$E$1025,0)))</f>
        <v>3</v>
      </c>
      <c r="N221" s="3">
        <f>IF(INDEX(学年度总表!$N$3:$N$1025,MATCH($E221,学年度总表!$E$3:$E$1025,0))="","",INDEX(学年度总表!$N$3:$N$1025,MATCH($E221,学年度总表!$E$3:$E$1025,0)))</f>
        <v>62.08</v>
      </c>
      <c r="O221" s="3">
        <f>IF(INDEX(学年度总表!$O$3:$O$1025,MATCH($E221,学年度总表!$E$3:$E$1025,0))="","",INDEX(学年度总表!$O$3:$O$1025,MATCH($E221,学年度总表!$E$3:$E$1025,0)))</f>
        <v>133.61000000000001</v>
      </c>
      <c r="P221" s="2" t="str">
        <f>IF(INDEX(学年度总表!$P$3:$P$1025,MATCH($E221,学年度总表!$E$3:$E$1025,0))="","",INDEX(学年度总表!$P$3:$P$1025,MATCH($E221,学年度总表!$E$3:$E$1025,0)))</f>
        <v/>
      </c>
      <c r="Q221" s="5" t="str">
        <f>IF(INDEX(学年度总表!$Q$3:$Q$1025,MATCH($E221,学年度总表!$E$3:$E$1025,0))="","",INDEX(学年度总表!$Q$3:$Q$1025,MATCH($E221,学年度总表!$E$3:$E$1025,0)))</f>
        <v/>
      </c>
    </row>
    <row r="222" spans="1:17">
      <c r="A222" s="2">
        <f>IF(INDEX(学年度总表!$A$3:$A$1025,MATCH($E222,学年度总表!$E$3:$E$1025,0))="","",INDEX(学年度总表!$A$3:$A$1025,MATCH($E222,学年度总表!$E$3:$E$1025,0)))</f>
        <v>644</v>
      </c>
      <c r="B222" s="2">
        <f>IF(INDEX(学年度总表!$B$3:$B$1025,MATCH($E222,学年度总表!$E$3:$E$1025,0))="","",INDEX(学年度总表!$B$3:$B$1025,MATCH($E222,学年度总表!$E$3:$E$1025,0)))</f>
        <v>220</v>
      </c>
      <c r="C222" s="2" t="str">
        <f>IF(INDEX(学年度总表!$C$3:$C$1025,MATCH($E222,学年度总表!$E$3:$E$1025,0))="","",INDEX(学年度总表!$C$3:$C$1025,MATCH($E222,学年度总表!$E$3:$E$1025,0)))</f>
        <v>软工</v>
      </c>
      <c r="D222" s="2" t="str">
        <f>IF(INDEX(学年度总表!$D$3:$D$1025,MATCH($E222,学年度总表!$E$3:$E$1025,0))="","",INDEX(学年度总表!$D$3:$D$1025,MATCH($E222,学年度总表!$E$3:$E$1025,0)))</f>
        <v>软工12班</v>
      </c>
      <c r="E222" s="2" t="s">
        <v>1349</v>
      </c>
      <c r="F222" s="2" t="str">
        <f>IF(INDEX(学年度总表!$F$3:$F$1025,MATCH($E222,学年度总表!$E$3:$E$1025,0))="","",INDEX(学年度总表!$F$3:$F$1025,MATCH($E222,学年度总表!$E$3:$E$1025,0)))</f>
        <v>马溪彤</v>
      </c>
      <c r="G222" s="3">
        <f>IF(INDEX(学年度总表!$G$3:$G$1025,MATCH($E222,学年度总表!$E$3:$E$1025,0))="","",INDEX(学年度总表!$G$3:$G$1025,MATCH($E222,学年度总表!$E$3:$E$1025,0)))</f>
        <v>9.8000000000000007</v>
      </c>
      <c r="H222" s="3">
        <f>IF(INDEX(学年度总表!$H$3:$H$1025,MATCH($E222,学年度总表!$E$3:$E$1025,0))="","",INDEX(学年度总表!$H$3:$H$1025,MATCH($E222,学年度总表!$E$3:$E$1025,0)))</f>
        <v>54.15</v>
      </c>
      <c r="I222" s="3">
        <f>IF(INDEX(学年度总表!$I$3:$I$1025,MATCH($E222,学年度总表!$E$3:$E$1025,0))="","",INDEX(学年度总表!$I$3:$I$1025,MATCH($E222,学年度总表!$E$3:$E$1025,0)))</f>
        <v>4.3</v>
      </c>
      <c r="J222" s="3">
        <f>IF(INDEX(学年度总表!$J$3:$J$1025,MATCH($E222,学年度总表!$E$3:$E$1025,0))="","",INDEX(学年度总表!$J$3:$J$1025,MATCH($E222,学年度总表!$E$3:$E$1025,0)))</f>
        <v>68.25</v>
      </c>
      <c r="K222" s="3">
        <f>IF(INDEX(学年度总表!$K$3:$K$1025,MATCH($E222,学年度总表!$E$3:$E$1025,0))="","",INDEX(学年度总表!$K$3:$K$1025,MATCH($E222,学年度总表!$E$3:$E$1025,0)))</f>
        <v>9.8000000000000007</v>
      </c>
      <c r="L222" s="3">
        <f>IF(INDEX(学年度总表!$L$3:$L$1025,MATCH($E222,学年度总表!$E$3:$E$1025,0))="","",INDEX(学年度总表!$L$3:$L$1025,MATCH($E222,学年度总表!$E$3:$E$1025,0)))</f>
        <v>50.5</v>
      </c>
      <c r="M222" s="3">
        <f>IF(INDEX(学年度总表!$M$3:$M$1025,MATCH($E222,学年度总表!$E$3:$E$1025,0))="","",INDEX(学年度总表!$M$3:$M$1025,MATCH($E222,学年度总表!$E$3:$E$1025,0)))</f>
        <v>4.9000000000000004</v>
      </c>
      <c r="N222" s="3">
        <f>IF(INDEX(学年度总表!$N$3:$N$1025,MATCH($E222,学年度总表!$E$3:$E$1025,0))="","",INDEX(学年度总表!$N$3:$N$1025,MATCH($E222,学年度总表!$E$3:$E$1025,0)))</f>
        <v>65.2</v>
      </c>
      <c r="O222" s="3">
        <f>IF(INDEX(学年度总表!$O$3:$O$1025,MATCH($E222,学年度总表!$E$3:$E$1025,0))="","",INDEX(学年度总表!$O$3:$O$1025,MATCH($E222,学年度总表!$E$3:$E$1025,0)))</f>
        <v>133.44999999999999</v>
      </c>
      <c r="P222" s="2" t="str">
        <f>IF(INDEX(学年度总表!$P$3:$P$1025,MATCH($E222,学年度总表!$E$3:$E$1025,0))="","",INDEX(学年度总表!$P$3:$P$1025,MATCH($E222,学年度总表!$E$3:$E$1025,0)))</f>
        <v/>
      </c>
      <c r="Q222" s="5" t="str">
        <f>IF(INDEX(学年度总表!$Q$3:$Q$1025,MATCH($E222,学年度总表!$E$3:$E$1025,0))="","",INDEX(学年度总表!$Q$3:$Q$1025,MATCH($E222,学年度总表!$E$3:$E$1025,0)))</f>
        <v/>
      </c>
    </row>
    <row r="223" spans="1:17">
      <c r="A223" s="2">
        <f>IF(INDEX(学年度总表!$A$3:$A$1025,MATCH($E223,学年度总表!$E$3:$E$1025,0))="","",INDEX(学年度总表!$A$3:$A$1025,MATCH($E223,学年度总表!$E$3:$E$1025,0)))</f>
        <v>646</v>
      </c>
      <c r="B223" s="2">
        <f>IF(INDEX(学年度总表!$B$3:$B$1025,MATCH($E223,学年度总表!$E$3:$E$1025,0))="","",INDEX(学年度总表!$B$3:$B$1025,MATCH($E223,学年度总表!$E$3:$E$1025,0)))</f>
        <v>221</v>
      </c>
      <c r="C223" s="2" t="str">
        <f>IF(INDEX(学年度总表!$C$3:$C$1025,MATCH($E223,学年度总表!$E$3:$E$1025,0))="","",INDEX(学年度总表!$C$3:$C$1025,MATCH($E223,学年度总表!$E$3:$E$1025,0)))</f>
        <v>软工</v>
      </c>
      <c r="D223" s="2" t="str">
        <f>IF(INDEX(学年度总表!$D$3:$D$1025,MATCH($E223,学年度总表!$E$3:$E$1025,0))="","",INDEX(学年度总表!$D$3:$D$1025,MATCH($E223,学年度总表!$E$3:$E$1025,0)))</f>
        <v>软工8班</v>
      </c>
      <c r="E223" s="2" t="s">
        <v>1353</v>
      </c>
      <c r="F223" s="2" t="str">
        <f>IF(INDEX(学年度总表!$F$3:$F$1025,MATCH($E223,学年度总表!$E$3:$E$1025,0))="","",INDEX(学年度总表!$F$3:$F$1025,MATCH($E223,学年度总表!$E$3:$E$1025,0)))</f>
        <v>章宇航</v>
      </c>
      <c r="G223" s="3">
        <f>IF(INDEX(学年度总表!$G$3:$G$1025,MATCH($E223,学年度总表!$E$3:$E$1025,0))="","",INDEX(学年度总表!$G$3:$G$1025,MATCH($E223,学年度总表!$E$3:$E$1025,0)))</f>
        <v>9.8000000000000007</v>
      </c>
      <c r="H223" s="3">
        <f>IF(INDEX(学年度总表!$H$3:$H$1025,MATCH($E223,学年度总表!$E$3:$E$1025,0))="","",INDEX(学年度总表!$H$3:$H$1025,MATCH($E223,学年度总表!$E$3:$E$1025,0)))</f>
        <v>54.446808510638299</v>
      </c>
      <c r="I223" s="3">
        <f>IF(INDEX(学年度总表!$I$3:$I$1025,MATCH($E223,学年度总表!$E$3:$E$1025,0))="","",INDEX(学年度总表!$I$3:$I$1025,MATCH($E223,学年度总表!$E$3:$E$1025,0)))</f>
        <v>3</v>
      </c>
      <c r="J223" s="3">
        <f>IF(INDEX(学年度总表!$J$3:$J$1025,MATCH($E223,学年度总表!$E$3:$E$1025,0))="","",INDEX(学年度总表!$J$3:$J$1025,MATCH($E223,学年度总表!$E$3:$E$1025,0)))</f>
        <v>67.25</v>
      </c>
      <c r="K223" s="3">
        <f>IF(INDEX(学年度总表!$K$3:$K$1025,MATCH($E223,学年度总表!$E$3:$E$1025,0))="","",INDEX(学年度总表!$K$3:$K$1025,MATCH($E223,学年度总表!$E$3:$E$1025,0)))</f>
        <v>9.8000000000000007</v>
      </c>
      <c r="L223" s="3">
        <f>IF(INDEX(学年度总表!$L$3:$L$1025,MATCH($E223,学年度总表!$E$3:$E$1025,0))="","",INDEX(学年度总表!$L$3:$L$1025,MATCH($E223,学年度总表!$E$3:$E$1025,0)))</f>
        <v>51.81</v>
      </c>
      <c r="M223" s="3">
        <f>IF(INDEX(学年度总表!$M$3:$M$1025,MATCH($E223,学年度总表!$E$3:$E$1025,0))="","",INDEX(学年度总表!$M$3:$M$1025,MATCH($E223,学年度总表!$E$3:$E$1025,0)))</f>
        <v>4.5</v>
      </c>
      <c r="N223" s="3">
        <f>IF(INDEX(学年度总表!$N$3:$N$1025,MATCH($E223,学年度总表!$E$3:$E$1025,0))="","",INDEX(学年度总表!$N$3:$N$1025,MATCH($E223,学年度总表!$E$3:$E$1025,0)))</f>
        <v>66.11</v>
      </c>
      <c r="O223" s="3">
        <f>IF(INDEX(学年度总表!$O$3:$O$1025,MATCH($E223,学年度总表!$E$3:$E$1025,0))="","",INDEX(学年度总表!$O$3:$O$1025,MATCH($E223,学年度总表!$E$3:$E$1025,0)))</f>
        <v>133.36000000000001</v>
      </c>
      <c r="P223" s="2" t="str">
        <f>IF(INDEX(学年度总表!$P$3:$P$1025,MATCH($E223,学年度总表!$E$3:$E$1025,0))="","",INDEX(学年度总表!$P$3:$P$1025,MATCH($E223,学年度总表!$E$3:$E$1025,0)))</f>
        <v/>
      </c>
      <c r="Q223" s="5" t="str">
        <f>IF(INDEX(学年度总表!$Q$3:$Q$1025,MATCH($E223,学年度总表!$E$3:$E$1025,0))="","",INDEX(学年度总表!$Q$3:$Q$1025,MATCH($E223,学年度总表!$E$3:$E$1025,0)))</f>
        <v/>
      </c>
    </row>
    <row r="224" spans="1:17">
      <c r="A224" s="2">
        <f>IF(INDEX(学年度总表!$A$3:$A$1025,MATCH($E224,学年度总表!$E$3:$E$1025,0))="","",INDEX(学年度总表!$A$3:$A$1025,MATCH($E224,学年度总表!$E$3:$E$1025,0)))</f>
        <v>647</v>
      </c>
      <c r="B224" s="2">
        <f>IF(INDEX(学年度总表!$B$3:$B$1025,MATCH($E224,学年度总表!$E$3:$E$1025,0))="","",INDEX(学年度总表!$B$3:$B$1025,MATCH($E224,学年度总表!$E$3:$E$1025,0)))</f>
        <v>222</v>
      </c>
      <c r="C224" s="2" t="str">
        <f>IF(INDEX(学年度总表!$C$3:$C$1025,MATCH($E224,学年度总表!$E$3:$E$1025,0))="","",INDEX(学年度总表!$C$3:$C$1025,MATCH($E224,学年度总表!$E$3:$E$1025,0)))</f>
        <v>软工</v>
      </c>
      <c r="D224" s="2" t="str">
        <f>IF(INDEX(学年度总表!$D$3:$D$1025,MATCH($E224,学年度总表!$E$3:$E$1025,0))="","",INDEX(学年度总表!$D$3:$D$1025,MATCH($E224,学年度总表!$E$3:$E$1025,0)))</f>
        <v>软工12班</v>
      </c>
      <c r="E224" s="2" t="s">
        <v>1355</v>
      </c>
      <c r="F224" s="2" t="str">
        <f>IF(INDEX(学年度总表!$F$3:$F$1025,MATCH($E224,学年度总表!$E$3:$E$1025,0))="","",INDEX(学年度总表!$F$3:$F$1025,MATCH($E224,学年度总表!$E$3:$E$1025,0)))</f>
        <v>邓奕凡</v>
      </c>
      <c r="G224" s="3">
        <f>IF(INDEX(学年度总表!$G$3:$G$1025,MATCH($E224,学年度总表!$E$3:$E$1025,0))="","",INDEX(学年度总表!$G$3:$G$1025,MATCH($E224,学年度总表!$E$3:$E$1025,0)))</f>
        <v>11.5</v>
      </c>
      <c r="H224" s="3">
        <f>IF(INDEX(学年度总表!$H$3:$H$1025,MATCH($E224,学年度总表!$E$3:$E$1025,0))="","",INDEX(学年度总表!$H$3:$H$1025,MATCH($E224,学年度总表!$E$3:$E$1025,0)))</f>
        <v>54.67</v>
      </c>
      <c r="I224" s="3">
        <f>IF(INDEX(学年度总表!$I$3:$I$1025,MATCH($E224,学年度总表!$E$3:$E$1025,0))="","",INDEX(学年度总表!$I$3:$I$1025,MATCH($E224,学年度总表!$E$3:$E$1025,0)))</f>
        <v>3</v>
      </c>
      <c r="J224" s="3">
        <f>IF(INDEX(学年度总表!$J$3:$J$1025,MATCH($E224,学年度总表!$E$3:$E$1025,0))="","",INDEX(学年度总表!$J$3:$J$1025,MATCH($E224,学年度总表!$E$3:$E$1025,0)))</f>
        <v>69.17</v>
      </c>
      <c r="K224" s="3">
        <f>IF(INDEX(学年度总表!$K$3:$K$1025,MATCH($E224,学年度总表!$E$3:$E$1025,0))="","",INDEX(学年度总表!$K$3:$K$1025,MATCH($E224,学年度总表!$E$3:$E$1025,0)))</f>
        <v>10</v>
      </c>
      <c r="L224" s="3">
        <f>IF(INDEX(学年度总表!$L$3:$L$1025,MATCH($E224,学年度总表!$E$3:$E$1025,0))="","",INDEX(学年度总表!$L$3:$L$1025,MATCH($E224,学年度总表!$E$3:$E$1025,0)))</f>
        <v>50.62</v>
      </c>
      <c r="M224" s="3">
        <f>IF(INDEX(学年度总表!$M$3:$M$1025,MATCH($E224,学年度总表!$E$3:$E$1025,0))="","",INDEX(学年度总表!$M$3:$M$1025,MATCH($E224,学年度总表!$E$3:$E$1025,0)))</f>
        <v>3.5</v>
      </c>
      <c r="N224" s="3">
        <f>IF(INDEX(学年度总表!$N$3:$N$1025,MATCH($E224,学年度总表!$E$3:$E$1025,0))="","",INDEX(学年度总表!$N$3:$N$1025,MATCH($E224,学年度总表!$E$3:$E$1025,0)))</f>
        <v>64.12</v>
      </c>
      <c r="O224" s="3">
        <f>IF(INDEX(学年度总表!$O$3:$O$1025,MATCH($E224,学年度总表!$E$3:$E$1025,0))="","",INDEX(学年度总表!$O$3:$O$1025,MATCH($E224,学年度总表!$E$3:$E$1025,0)))</f>
        <v>133.29</v>
      </c>
      <c r="P224" s="2" t="str">
        <f>IF(INDEX(学年度总表!$P$3:$P$1025,MATCH($E224,学年度总表!$E$3:$E$1025,0))="","",INDEX(学年度总表!$P$3:$P$1025,MATCH($E224,学年度总表!$E$3:$E$1025,0)))</f>
        <v/>
      </c>
      <c r="Q224" s="5" t="str">
        <f>IF(INDEX(学年度总表!$Q$3:$Q$1025,MATCH($E224,学年度总表!$E$3:$E$1025,0))="","",INDEX(学年度总表!$Q$3:$Q$1025,MATCH($E224,学年度总表!$E$3:$E$1025,0)))</f>
        <v/>
      </c>
    </row>
    <row r="225" spans="1:17">
      <c r="A225" s="2">
        <f>IF(INDEX(学年度总表!$A$3:$A$1025,MATCH($E225,学年度总表!$E$3:$E$1025,0))="","",INDEX(学年度总表!$A$3:$A$1025,MATCH($E225,学年度总表!$E$3:$E$1025,0)))</f>
        <v>648</v>
      </c>
      <c r="B225" s="2">
        <f>IF(INDEX(学年度总表!$B$3:$B$1025,MATCH($E225,学年度总表!$E$3:$E$1025,0))="","",INDEX(学年度总表!$B$3:$B$1025,MATCH($E225,学年度总表!$E$3:$E$1025,0)))</f>
        <v>223</v>
      </c>
      <c r="C225" s="2" t="str">
        <f>IF(INDEX(学年度总表!$C$3:$C$1025,MATCH($E225,学年度总表!$E$3:$E$1025,0))="","",INDEX(学年度总表!$C$3:$C$1025,MATCH($E225,学年度总表!$E$3:$E$1025,0)))</f>
        <v>软工</v>
      </c>
      <c r="D225" s="2" t="str">
        <f>IF(INDEX(学年度总表!$D$3:$D$1025,MATCH($E225,学年度总表!$E$3:$E$1025,0))="","",INDEX(学年度总表!$D$3:$D$1025,MATCH($E225,学年度总表!$E$3:$E$1025,0)))</f>
        <v>软工7班</v>
      </c>
      <c r="E225" s="2" t="s">
        <v>1357</v>
      </c>
      <c r="F225" s="2" t="str">
        <f>IF(INDEX(学年度总表!$F$3:$F$1025,MATCH($E225,学年度总表!$E$3:$E$1025,0))="","",INDEX(学年度总表!$F$3:$F$1025,MATCH($E225,学年度总表!$E$3:$E$1025,0)))</f>
        <v>高梓源</v>
      </c>
      <c r="G225" s="3">
        <f>IF(INDEX(学年度总表!$G$3:$G$1025,MATCH($E225,学年度总表!$E$3:$E$1025,0))="","",INDEX(学年度总表!$G$3:$G$1025,MATCH($E225,学年度总表!$E$3:$E$1025,0)))</f>
        <v>9.4</v>
      </c>
      <c r="H225" s="3">
        <f>IF(INDEX(学年度总表!$H$3:$H$1025,MATCH($E225,学年度总表!$E$3:$E$1025,0))="","",INDEX(学年度总表!$H$3:$H$1025,MATCH($E225,学年度总表!$E$3:$E$1025,0)))</f>
        <v>55.56</v>
      </c>
      <c r="I225" s="3">
        <f>IF(INDEX(学年度总表!$I$3:$I$1025,MATCH($E225,学年度总表!$E$3:$E$1025,0))="","",INDEX(学年度总表!$I$3:$I$1025,MATCH($E225,学年度总表!$E$3:$E$1025,0)))</f>
        <v>3.2</v>
      </c>
      <c r="J225" s="3">
        <f>IF(INDEX(学年度总表!$J$3:$J$1025,MATCH($E225,学年度总表!$E$3:$E$1025,0))="","",INDEX(学年度总表!$J$3:$J$1025,MATCH($E225,学年度总表!$E$3:$E$1025,0)))</f>
        <v>68.16</v>
      </c>
      <c r="K225" s="3">
        <f>IF(INDEX(学年度总表!$K$3:$K$1025,MATCH($E225,学年度总表!$E$3:$E$1025,0))="","",INDEX(学年度总表!$K$3:$K$1025,MATCH($E225,学年度总表!$E$3:$E$1025,0)))</f>
        <v>7.3000000000000007</v>
      </c>
      <c r="L225" s="3">
        <f>IF(INDEX(学年度总表!$L$3:$L$1025,MATCH($E225,学年度总表!$E$3:$E$1025,0))="","",INDEX(学年度总表!$L$3:$L$1025,MATCH($E225,学年度总表!$E$3:$E$1025,0)))</f>
        <v>52.79</v>
      </c>
      <c r="M225" s="3">
        <f>IF(INDEX(学年度总表!$M$3:$M$1025,MATCH($E225,学年度总表!$E$3:$E$1025,0))="","",INDEX(学年度总表!$M$3:$M$1025,MATCH($E225,学年度总表!$E$3:$E$1025,0)))</f>
        <v>5</v>
      </c>
      <c r="N225" s="3">
        <f>IF(INDEX(学年度总表!$N$3:$N$1025,MATCH($E225,学年度总表!$E$3:$E$1025,0))="","",INDEX(学年度总表!$N$3:$N$1025,MATCH($E225,学年度总表!$E$3:$E$1025,0)))</f>
        <v>65.09</v>
      </c>
      <c r="O225" s="3">
        <f>IF(INDEX(学年度总表!$O$3:$O$1025,MATCH($E225,学年度总表!$E$3:$E$1025,0))="","",INDEX(学年度总表!$O$3:$O$1025,MATCH($E225,学年度总表!$E$3:$E$1025,0)))</f>
        <v>133.25</v>
      </c>
      <c r="P225" s="2" t="str">
        <f>IF(INDEX(学年度总表!$P$3:$P$1025,MATCH($E225,学年度总表!$E$3:$E$1025,0))="","",INDEX(学年度总表!$P$3:$P$1025,MATCH($E225,学年度总表!$E$3:$E$1025,0)))</f>
        <v/>
      </c>
      <c r="Q225" s="5" t="str">
        <f>IF(INDEX(学年度总表!$Q$3:$Q$1025,MATCH($E225,学年度总表!$E$3:$E$1025,0))="","",INDEX(学年度总表!$Q$3:$Q$1025,MATCH($E225,学年度总表!$E$3:$E$1025,0)))</f>
        <v/>
      </c>
    </row>
    <row r="226" spans="1:17">
      <c r="A226" s="2">
        <f>IF(INDEX(学年度总表!$A$3:$A$1025,MATCH($E226,学年度总表!$E$3:$E$1025,0))="","",INDEX(学年度总表!$A$3:$A$1025,MATCH($E226,学年度总表!$E$3:$E$1025,0)))</f>
        <v>654</v>
      </c>
      <c r="B226" s="2">
        <f>IF(INDEX(学年度总表!$B$3:$B$1025,MATCH($E226,学年度总表!$E$3:$E$1025,0))="","",INDEX(学年度总表!$B$3:$B$1025,MATCH($E226,学年度总表!$E$3:$E$1025,0)))</f>
        <v>224</v>
      </c>
      <c r="C226" s="2" t="str">
        <f>IF(INDEX(学年度总表!$C$3:$C$1025,MATCH($E226,学年度总表!$E$3:$E$1025,0))="","",INDEX(学年度总表!$C$3:$C$1025,MATCH($E226,学年度总表!$E$3:$E$1025,0)))</f>
        <v>软工</v>
      </c>
      <c r="D226" s="2" t="str">
        <f>IF(INDEX(学年度总表!$D$3:$D$1025,MATCH($E226,学年度总表!$E$3:$E$1025,0))="","",INDEX(学年度总表!$D$3:$D$1025,MATCH($E226,学年度总表!$E$3:$E$1025,0)))</f>
        <v>软工9班</v>
      </c>
      <c r="E226" s="2" t="s">
        <v>1369</v>
      </c>
      <c r="F226" s="2" t="str">
        <f>IF(INDEX(学年度总表!$F$3:$F$1025,MATCH($E226,学年度总表!$E$3:$E$1025,0))="","",INDEX(学年度总表!$F$3:$F$1025,MATCH($E226,学年度总表!$E$3:$E$1025,0)))</f>
        <v>马砚珩</v>
      </c>
      <c r="G226" s="3">
        <f>IF(INDEX(学年度总表!$G$3:$G$1025,MATCH($E226,学年度总表!$E$3:$E$1025,0))="","",INDEX(学年度总表!$G$3:$G$1025,MATCH($E226,学年度总表!$E$3:$E$1025,0)))</f>
        <v>9.8000000000000007</v>
      </c>
      <c r="H226" s="3">
        <f>IF(INDEX(学年度总表!$H$3:$H$1025,MATCH($E226,学年度总表!$E$3:$E$1025,0))="","",INDEX(学年度总表!$H$3:$H$1025,MATCH($E226,学年度总表!$E$3:$E$1025,0)))</f>
        <v>55.036363636363603</v>
      </c>
      <c r="I226" s="3">
        <f>IF(INDEX(学年度总表!$I$3:$I$1025,MATCH($E226,学年度总表!$E$3:$E$1025,0))="","",INDEX(学年度总表!$I$3:$I$1025,MATCH($E226,学年度总表!$E$3:$E$1025,0)))</f>
        <v>3</v>
      </c>
      <c r="J226" s="3">
        <f>IF(INDEX(学年度总表!$J$3:$J$1025,MATCH($E226,学年度总表!$E$3:$E$1025,0))="","",INDEX(学年度总表!$J$3:$J$1025,MATCH($E226,学年度总表!$E$3:$E$1025,0)))</f>
        <v>67.84</v>
      </c>
      <c r="K226" s="3">
        <f>IF(INDEX(学年度总表!$K$3:$K$1025,MATCH($E226,学年度总表!$E$3:$E$1025,0))="","",INDEX(学年度总表!$K$3:$K$1025,MATCH($E226,学年度总表!$E$3:$E$1025,0)))</f>
        <v>7.3000000000000007</v>
      </c>
      <c r="L226" s="3">
        <f>IF(INDEX(学年度总表!$L$3:$L$1025,MATCH($E226,学年度总表!$E$3:$E$1025,0))="","",INDEX(学年度总表!$L$3:$L$1025,MATCH($E226,学年度总表!$E$3:$E$1025,0)))</f>
        <v>54.24</v>
      </c>
      <c r="M226" s="3">
        <f>IF(INDEX(学年度总表!$M$3:$M$1025,MATCH($E226,学年度总表!$E$3:$E$1025,0))="","",INDEX(学年度总表!$M$3:$M$1025,MATCH($E226,学年度总表!$E$3:$E$1025,0)))</f>
        <v>3.5</v>
      </c>
      <c r="N226" s="3">
        <f>IF(INDEX(学年度总表!$N$3:$N$1025,MATCH($E226,学年度总表!$E$3:$E$1025,0))="","",INDEX(学年度总表!$N$3:$N$1025,MATCH($E226,学年度总表!$E$3:$E$1025,0)))</f>
        <v>65.040000000000006</v>
      </c>
      <c r="O226" s="3">
        <f>IF(INDEX(学年度总表!$O$3:$O$1025,MATCH($E226,学年度总表!$E$3:$E$1025,0))="","",INDEX(学年度总表!$O$3:$O$1025,MATCH($E226,学年度总表!$E$3:$E$1025,0)))</f>
        <v>132.88</v>
      </c>
      <c r="P226" s="2" t="str">
        <f>IF(INDEX(学年度总表!$P$3:$P$1025,MATCH($E226,学年度总表!$E$3:$E$1025,0))="","",INDEX(学年度总表!$P$3:$P$1025,MATCH($E226,学年度总表!$E$3:$E$1025,0)))</f>
        <v/>
      </c>
      <c r="Q226" s="5" t="str">
        <f>IF(INDEX(学年度总表!$Q$3:$Q$1025,MATCH($E226,学年度总表!$E$3:$E$1025,0))="","",INDEX(学年度总表!$Q$3:$Q$1025,MATCH($E226,学年度总表!$E$3:$E$1025,0)))</f>
        <v/>
      </c>
    </row>
    <row r="227" spans="1:17">
      <c r="A227" s="2">
        <f>IF(INDEX(学年度总表!$A$3:$A$1025,MATCH($E227,学年度总表!$E$3:$E$1025,0))="","",INDEX(学年度总表!$A$3:$A$1025,MATCH($E227,学年度总表!$E$3:$E$1025,0)))</f>
        <v>655</v>
      </c>
      <c r="B227" s="2">
        <f>IF(INDEX(学年度总表!$B$3:$B$1025,MATCH($E227,学年度总表!$E$3:$E$1025,0))="","",INDEX(学年度总表!$B$3:$B$1025,MATCH($E227,学年度总表!$E$3:$E$1025,0)))</f>
        <v>225</v>
      </c>
      <c r="C227" s="2" t="str">
        <f>IF(INDEX(学年度总表!$C$3:$C$1025,MATCH($E227,学年度总表!$E$3:$E$1025,0))="","",INDEX(学年度总表!$C$3:$C$1025,MATCH($E227,学年度总表!$E$3:$E$1025,0)))</f>
        <v>软工</v>
      </c>
      <c r="D227" s="2" t="str">
        <f>IF(INDEX(学年度总表!$D$3:$D$1025,MATCH($E227,学年度总表!$E$3:$E$1025,0))="","",INDEX(学年度总表!$D$3:$D$1025,MATCH($E227,学年度总表!$E$3:$E$1025,0)))</f>
        <v>软工14班</v>
      </c>
      <c r="E227" s="2" t="s">
        <v>1371</v>
      </c>
      <c r="F227" s="2" t="str">
        <f>IF(INDEX(学年度总表!$F$3:$F$1025,MATCH($E227,学年度总表!$E$3:$E$1025,0))="","",INDEX(学年度总表!$F$3:$F$1025,MATCH($E227,学年度总表!$E$3:$E$1025,0)))</f>
        <v>于铭涛</v>
      </c>
      <c r="G227" s="3">
        <f>IF(INDEX(学年度总表!$G$3:$G$1025,MATCH($E227,学年度总表!$E$3:$E$1025,0))="","",INDEX(学年度总表!$G$3:$G$1025,MATCH($E227,学年度总表!$E$3:$E$1025,0)))</f>
        <v>10</v>
      </c>
      <c r="H227" s="3">
        <f>IF(INDEX(学年度总表!$H$3:$H$1025,MATCH($E227,学年度总表!$E$3:$E$1025,0))="","",INDEX(学年度总表!$H$3:$H$1025,MATCH($E227,学年度总表!$E$3:$E$1025,0)))</f>
        <v>54.34</v>
      </c>
      <c r="I227" s="3">
        <f>IF(INDEX(学年度总表!$I$3:$I$1025,MATCH($E227,学年度总表!$E$3:$E$1025,0))="","",INDEX(学年度总表!$I$3:$I$1025,MATCH($E227,学年度总表!$E$3:$E$1025,0)))</f>
        <v>4.5999999999999996</v>
      </c>
      <c r="J227" s="3">
        <f>IF(INDEX(学年度总表!$J$3:$J$1025,MATCH($E227,学年度总表!$E$3:$E$1025,0))="","",INDEX(学年度总表!$J$3:$J$1025,MATCH($E227,学年度总表!$E$3:$E$1025,0)))</f>
        <v>68.94</v>
      </c>
      <c r="K227" s="3">
        <f>IF(INDEX(学年度总表!$K$3:$K$1025,MATCH($E227,学年度总表!$E$3:$E$1025,0))="","",INDEX(学年度总表!$K$3:$K$1025,MATCH($E227,学年度总表!$E$3:$E$1025,0)))</f>
        <v>7.5</v>
      </c>
      <c r="L227" s="3">
        <f>IF(INDEX(学年度总表!$L$3:$L$1025,MATCH($E227,学年度总表!$E$3:$E$1025,0))="","",INDEX(学年度总表!$L$3:$L$1025,MATCH($E227,学年度总表!$E$3:$E$1025,0)))</f>
        <v>51.03</v>
      </c>
      <c r="M227" s="3">
        <f>IF(INDEX(学年度总表!$M$3:$M$1025,MATCH($E227,学年度总表!$E$3:$E$1025,0))="","",INDEX(学年度总表!$M$3:$M$1025,MATCH($E227,学年度总表!$E$3:$E$1025,0)))</f>
        <v>5.4</v>
      </c>
      <c r="N227" s="3">
        <f>IF(INDEX(学年度总表!$N$3:$N$1025,MATCH($E227,学年度总表!$E$3:$E$1025,0))="","",INDEX(学年度总表!$N$3:$N$1025,MATCH($E227,学年度总表!$E$3:$E$1025,0)))</f>
        <v>63.93</v>
      </c>
      <c r="O227" s="3">
        <f>IF(INDEX(学年度总表!$O$3:$O$1025,MATCH($E227,学年度总表!$E$3:$E$1025,0))="","",INDEX(学年度总表!$O$3:$O$1025,MATCH($E227,学年度总表!$E$3:$E$1025,0)))</f>
        <v>132.87</v>
      </c>
      <c r="P227" s="2" t="str">
        <f>IF(INDEX(学年度总表!$P$3:$P$1025,MATCH($E227,学年度总表!$E$3:$E$1025,0))="","",INDEX(学年度总表!$P$3:$P$1025,MATCH($E227,学年度总表!$E$3:$E$1025,0)))</f>
        <v/>
      </c>
      <c r="Q227" s="5" t="str">
        <f>IF(INDEX(学年度总表!$Q$3:$Q$1025,MATCH($E227,学年度总表!$E$3:$E$1025,0))="","",INDEX(学年度总表!$Q$3:$Q$1025,MATCH($E227,学年度总表!$E$3:$E$1025,0)))</f>
        <v/>
      </c>
    </row>
    <row r="228" spans="1:17">
      <c r="A228" s="2">
        <f>IF(INDEX(学年度总表!$A$3:$A$1025,MATCH($E228,学年度总表!$E$3:$E$1025,0))="","",INDEX(学年度总表!$A$3:$A$1025,MATCH($E228,学年度总表!$E$3:$E$1025,0)))</f>
        <v>656</v>
      </c>
      <c r="B228" s="2">
        <f>IF(INDEX(学年度总表!$B$3:$B$1025,MATCH($E228,学年度总表!$E$3:$E$1025,0))="","",INDEX(学年度总表!$B$3:$B$1025,MATCH($E228,学年度总表!$E$3:$E$1025,0)))</f>
        <v>226</v>
      </c>
      <c r="C228" s="2" t="str">
        <f>IF(INDEX(学年度总表!$C$3:$C$1025,MATCH($E228,学年度总表!$E$3:$E$1025,0))="","",INDEX(学年度总表!$C$3:$C$1025,MATCH($E228,学年度总表!$E$3:$E$1025,0)))</f>
        <v>软工</v>
      </c>
      <c r="D228" s="2" t="str">
        <f>IF(INDEX(学年度总表!$D$3:$D$1025,MATCH($E228,学年度总表!$E$3:$E$1025,0))="","",INDEX(学年度总表!$D$3:$D$1025,MATCH($E228,学年度总表!$E$3:$E$1025,0)))</f>
        <v>软工6班</v>
      </c>
      <c r="E228" s="2" t="s">
        <v>1373</v>
      </c>
      <c r="F228" s="2" t="str">
        <f>IF(INDEX(学年度总表!$F$3:$F$1025,MATCH($E228,学年度总表!$E$3:$E$1025,0))="","",INDEX(学年度总表!$F$3:$F$1025,MATCH($E228,学年度总表!$E$3:$E$1025,0)))</f>
        <v>郎浙涵</v>
      </c>
      <c r="G228" s="3">
        <f>IF(INDEX(学年度总表!$G$3:$G$1025,MATCH($E228,学年度总表!$E$3:$E$1025,0))="","",INDEX(学年度总表!$G$3:$G$1025,MATCH($E228,学年度总表!$E$3:$E$1025,0)))</f>
        <v>9.8000000000000007</v>
      </c>
      <c r="H228" s="3">
        <f>IF(INDEX(学年度总表!$H$3:$H$1025,MATCH($E228,学年度总表!$E$3:$E$1025,0))="","",INDEX(学年度总表!$H$3:$H$1025,MATCH($E228,学年度总表!$E$3:$E$1025,0)))</f>
        <v>51.1666666666667</v>
      </c>
      <c r="I228" s="3">
        <f>IF(INDEX(学年度总表!$I$3:$I$1025,MATCH($E228,学年度总表!$E$3:$E$1025,0))="","",INDEX(学年度总表!$I$3:$I$1025,MATCH($E228,学年度总表!$E$3:$E$1025,0)))</f>
        <v>4.3</v>
      </c>
      <c r="J228" s="3">
        <f>IF(INDEX(学年度总表!$J$3:$J$1025,MATCH($E228,学年度总表!$E$3:$E$1025,0))="","",INDEX(学年度总表!$J$3:$J$1025,MATCH($E228,学年度总表!$E$3:$E$1025,0)))</f>
        <v>65.27</v>
      </c>
      <c r="K228" s="3">
        <f>IF(INDEX(学年度总表!$K$3:$K$1025,MATCH($E228,学年度总表!$E$3:$E$1025,0))="","",INDEX(学年度总表!$K$3:$K$1025,MATCH($E228,学年度总表!$E$3:$E$1025,0)))</f>
        <v>9.8000000000000007</v>
      </c>
      <c r="L228" s="3">
        <f>IF(INDEX(学年度总表!$L$3:$L$1025,MATCH($E228,学年度总表!$E$3:$E$1025,0))="","",INDEX(学年度总表!$L$3:$L$1025,MATCH($E228,学年度总表!$E$3:$E$1025,0)))</f>
        <v>53.93</v>
      </c>
      <c r="M228" s="3">
        <f>IF(INDEX(学年度总表!$M$3:$M$1025,MATCH($E228,学年度总表!$E$3:$E$1025,0))="","",INDEX(学年度总表!$M$3:$M$1025,MATCH($E228,学年度总表!$E$3:$E$1025,0)))</f>
        <v>3.8</v>
      </c>
      <c r="N228" s="3">
        <f>IF(INDEX(学年度总表!$N$3:$N$1025,MATCH($E228,学年度总表!$E$3:$E$1025,0))="","",INDEX(学年度总表!$N$3:$N$1025,MATCH($E228,学年度总表!$E$3:$E$1025,0)))</f>
        <v>67.53</v>
      </c>
      <c r="O228" s="3">
        <f>IF(INDEX(学年度总表!$O$3:$O$1025,MATCH($E228,学年度总表!$E$3:$E$1025,0))="","",INDEX(学年度总表!$O$3:$O$1025,MATCH($E228,学年度总表!$E$3:$E$1025,0)))</f>
        <v>132.80000000000001</v>
      </c>
      <c r="P228" s="2" t="str">
        <f>IF(INDEX(学年度总表!$P$3:$P$1025,MATCH($E228,学年度总表!$E$3:$E$1025,0))="","",INDEX(学年度总表!$P$3:$P$1025,MATCH($E228,学年度总表!$E$3:$E$1025,0)))</f>
        <v/>
      </c>
      <c r="Q228" s="5" t="str">
        <f>IF(INDEX(学年度总表!$Q$3:$Q$1025,MATCH($E228,学年度总表!$E$3:$E$1025,0))="","",INDEX(学年度总表!$Q$3:$Q$1025,MATCH($E228,学年度总表!$E$3:$E$1025,0)))</f>
        <v/>
      </c>
    </row>
    <row r="229" spans="1:17">
      <c r="A229" s="2">
        <f>IF(INDEX(学年度总表!$A$3:$A$1025,MATCH($E229,学年度总表!$E$3:$E$1025,0))="","",INDEX(学年度总表!$A$3:$A$1025,MATCH($E229,学年度总表!$E$3:$E$1025,0)))</f>
        <v>659</v>
      </c>
      <c r="B229" s="2">
        <f>IF(INDEX(学年度总表!$B$3:$B$1025,MATCH($E229,学年度总表!$E$3:$E$1025,0))="","",INDEX(学年度总表!$B$3:$B$1025,MATCH($E229,学年度总表!$E$3:$E$1025,0)))</f>
        <v>227</v>
      </c>
      <c r="C229" s="2" t="str">
        <f>IF(INDEX(学年度总表!$C$3:$C$1025,MATCH($E229,学年度总表!$E$3:$E$1025,0))="","",INDEX(学年度总表!$C$3:$C$1025,MATCH($E229,学年度总表!$E$3:$E$1025,0)))</f>
        <v>软工</v>
      </c>
      <c r="D229" s="2" t="str">
        <f>IF(INDEX(学年度总表!$D$3:$D$1025,MATCH($E229,学年度总表!$E$3:$E$1025,0))="","",INDEX(学年度总表!$D$3:$D$1025,MATCH($E229,学年度总表!$E$3:$E$1025,0)))</f>
        <v>软工11班</v>
      </c>
      <c r="E229" s="2" t="s">
        <v>1379</v>
      </c>
      <c r="F229" s="2" t="str">
        <f>IF(INDEX(学年度总表!$F$3:$F$1025,MATCH($E229,学年度总表!$E$3:$E$1025,0))="","",INDEX(学年度总表!$F$3:$F$1025,MATCH($E229,学年度总表!$E$3:$E$1025,0)))</f>
        <v>赵智浩</v>
      </c>
      <c r="G229" s="3">
        <f>IF(INDEX(学年度总表!$G$3:$G$1025,MATCH($E229,学年度总表!$E$3:$E$1025,0))="","",INDEX(学年度总表!$G$3:$G$1025,MATCH($E229,学年度总表!$E$3:$E$1025,0)))</f>
        <v>9.4</v>
      </c>
      <c r="H229" s="3">
        <f>IF(INDEX(学年度总表!$H$3:$H$1025,MATCH($E229,学年度总表!$E$3:$E$1025,0))="","",INDEX(学年度总表!$H$3:$H$1025,MATCH($E229,学年度总表!$E$3:$E$1025,0)))</f>
        <v>53.66</v>
      </c>
      <c r="I229" s="3">
        <f>IF(INDEX(学年度总表!$I$3:$I$1025,MATCH($E229,学年度总表!$E$3:$E$1025,0))="","",INDEX(学年度总表!$I$3:$I$1025,MATCH($E229,学年度总表!$E$3:$E$1025,0)))</f>
        <v>3</v>
      </c>
      <c r="J229" s="3">
        <f>IF(INDEX(学年度总表!$J$3:$J$1025,MATCH($E229,学年度总表!$E$3:$E$1025,0))="","",INDEX(学年度总表!$J$3:$J$1025,MATCH($E229,学年度总表!$E$3:$E$1025,0)))</f>
        <v>66.06</v>
      </c>
      <c r="K229" s="3">
        <f>IF(INDEX(学年度总表!$K$3:$K$1025,MATCH($E229,学年度总表!$E$3:$E$1025,0))="","",INDEX(学年度总表!$K$3:$K$1025,MATCH($E229,学年度总表!$E$3:$E$1025,0)))</f>
        <v>9.8000000000000007</v>
      </c>
      <c r="L229" s="3">
        <f>IF(INDEX(学年度总表!$L$3:$L$1025,MATCH($E229,学年度总表!$E$3:$E$1025,0))="","",INDEX(学年度总表!$L$3:$L$1025,MATCH($E229,学年度总表!$E$3:$E$1025,0)))</f>
        <v>53.6</v>
      </c>
      <c r="M229" s="3">
        <f>IF(INDEX(学年度总表!$M$3:$M$1025,MATCH($E229,学年度总表!$E$3:$E$1025,0))="","",INDEX(学年度总表!$M$3:$M$1025,MATCH($E229,学年度总表!$E$3:$E$1025,0)))</f>
        <v>3</v>
      </c>
      <c r="N229" s="3">
        <f>IF(INDEX(学年度总表!$N$3:$N$1025,MATCH($E229,学年度总表!$E$3:$E$1025,0))="","",INDEX(学年度总表!$N$3:$N$1025,MATCH($E229,学年度总表!$E$3:$E$1025,0)))</f>
        <v>66.400000000000006</v>
      </c>
      <c r="O229" s="3">
        <f>IF(INDEX(学年度总表!$O$3:$O$1025,MATCH($E229,学年度总表!$E$3:$E$1025,0))="","",INDEX(学年度总表!$O$3:$O$1025,MATCH($E229,学年度总表!$E$3:$E$1025,0)))</f>
        <v>132.46</v>
      </c>
      <c r="P229" s="2" t="str">
        <f>IF(INDEX(学年度总表!$P$3:$P$1025,MATCH($E229,学年度总表!$E$3:$E$1025,0))="","",INDEX(学年度总表!$P$3:$P$1025,MATCH($E229,学年度总表!$E$3:$E$1025,0)))</f>
        <v/>
      </c>
      <c r="Q229" s="5" t="str">
        <f>IF(INDEX(学年度总表!$Q$3:$Q$1025,MATCH($E229,学年度总表!$E$3:$E$1025,0))="","",INDEX(学年度总表!$Q$3:$Q$1025,MATCH($E229,学年度总表!$E$3:$E$1025,0)))</f>
        <v/>
      </c>
    </row>
    <row r="230" spans="1:17">
      <c r="A230" s="2">
        <f>IF(INDEX(学年度总表!$A$3:$A$1025,MATCH($E230,学年度总表!$E$3:$E$1025,0))="","",INDEX(学年度总表!$A$3:$A$1025,MATCH($E230,学年度总表!$E$3:$E$1025,0)))</f>
        <v>660</v>
      </c>
      <c r="B230" s="2">
        <f>IF(INDEX(学年度总表!$B$3:$B$1025,MATCH($E230,学年度总表!$E$3:$E$1025,0))="","",INDEX(学年度总表!$B$3:$B$1025,MATCH($E230,学年度总表!$E$3:$E$1025,0)))</f>
        <v>228</v>
      </c>
      <c r="C230" s="2" t="str">
        <f>IF(INDEX(学年度总表!$C$3:$C$1025,MATCH($E230,学年度总表!$E$3:$E$1025,0))="","",INDEX(学年度总表!$C$3:$C$1025,MATCH($E230,学年度总表!$E$3:$E$1025,0)))</f>
        <v>软工</v>
      </c>
      <c r="D230" s="2" t="str">
        <f>IF(INDEX(学年度总表!$D$3:$D$1025,MATCH($E230,学年度总表!$E$3:$E$1025,0))="","",INDEX(学年度总表!$D$3:$D$1025,MATCH($E230,学年度总表!$E$3:$E$1025,0)))</f>
        <v>软工8班</v>
      </c>
      <c r="E230" s="2" t="s">
        <v>1381</v>
      </c>
      <c r="F230" s="2" t="str">
        <f>IF(INDEX(学年度总表!$F$3:$F$1025,MATCH($E230,学年度总表!$E$3:$E$1025,0))="","",INDEX(学年度总表!$F$3:$F$1025,MATCH($E230,学年度总表!$E$3:$E$1025,0)))</f>
        <v>初昱含</v>
      </c>
      <c r="G230" s="3">
        <f>IF(INDEX(学年度总表!$G$3:$G$1025,MATCH($E230,学年度总表!$E$3:$E$1025,0))="","",INDEX(学年度总表!$G$3:$G$1025,MATCH($E230,学年度总表!$E$3:$E$1025,0)))</f>
        <v>7.5</v>
      </c>
      <c r="H230" s="3">
        <f>IF(INDEX(学年度总表!$H$3:$H$1025,MATCH($E230,学年度总表!$E$3:$E$1025,0))="","",INDEX(学年度总表!$H$3:$H$1025,MATCH($E230,学年度总表!$E$3:$E$1025,0)))</f>
        <v>56.840425531914903</v>
      </c>
      <c r="I230" s="3">
        <f>IF(INDEX(学年度总表!$I$3:$I$1025,MATCH($E230,学年度总表!$E$3:$E$1025,0))="","",INDEX(学年度总表!$I$3:$I$1025,MATCH($E230,学年度总表!$E$3:$E$1025,0)))</f>
        <v>3</v>
      </c>
      <c r="J230" s="3">
        <f>IF(INDEX(学年度总表!$J$3:$J$1025,MATCH($E230,学年度总表!$E$3:$E$1025,0))="","",INDEX(学年度总表!$J$3:$J$1025,MATCH($E230,学年度总表!$E$3:$E$1025,0)))</f>
        <v>67.34</v>
      </c>
      <c r="K230" s="3">
        <f>IF(INDEX(学年度总表!$K$3:$K$1025,MATCH($E230,学年度总表!$E$3:$E$1025,0))="","",INDEX(学年度总表!$K$3:$K$1025,MATCH($E230,学年度总表!$E$3:$E$1025,0)))</f>
        <v>9.6</v>
      </c>
      <c r="L230" s="3">
        <f>IF(INDEX(学年度总表!$L$3:$L$1025,MATCH($E230,学年度总表!$E$3:$E$1025,0))="","",INDEX(学年度总表!$L$3:$L$1025,MATCH($E230,学年度总表!$E$3:$E$1025,0)))</f>
        <v>51.96</v>
      </c>
      <c r="M230" s="3">
        <f>IF(INDEX(学年度总表!$M$3:$M$1025,MATCH($E230,学年度总表!$E$3:$E$1025,0))="","",INDEX(学年度总表!$M$3:$M$1025,MATCH($E230,学年度总表!$E$3:$E$1025,0)))</f>
        <v>3.5</v>
      </c>
      <c r="N230" s="3">
        <f>IF(INDEX(学年度总表!$N$3:$N$1025,MATCH($E230,学年度总表!$E$3:$E$1025,0))="","",INDEX(学年度总表!$N$3:$N$1025,MATCH($E230,学年度总表!$E$3:$E$1025,0)))</f>
        <v>65.06</v>
      </c>
      <c r="O230" s="3">
        <f>IF(INDEX(学年度总表!$O$3:$O$1025,MATCH($E230,学年度总表!$E$3:$E$1025,0))="","",INDEX(学年度总表!$O$3:$O$1025,MATCH($E230,学年度总表!$E$3:$E$1025,0)))</f>
        <v>132.4</v>
      </c>
      <c r="P230" s="2" t="str">
        <f>IF(INDEX(学年度总表!$P$3:$P$1025,MATCH($E230,学年度总表!$E$3:$E$1025,0))="","",INDEX(学年度总表!$P$3:$P$1025,MATCH($E230,学年度总表!$E$3:$E$1025,0)))</f>
        <v/>
      </c>
      <c r="Q230" s="5" t="str">
        <f>IF(INDEX(学年度总表!$Q$3:$Q$1025,MATCH($E230,学年度总表!$E$3:$E$1025,0))="","",INDEX(学年度总表!$Q$3:$Q$1025,MATCH($E230,学年度总表!$E$3:$E$1025,0)))</f>
        <v/>
      </c>
    </row>
    <row r="231" spans="1:17">
      <c r="A231" s="2">
        <f>IF(INDEX(学年度总表!$A$3:$A$1025,MATCH($E231,学年度总表!$E$3:$E$1025,0))="","",INDEX(学年度总表!$A$3:$A$1025,MATCH($E231,学年度总表!$E$3:$E$1025,0)))</f>
        <v>666</v>
      </c>
      <c r="B231" s="2">
        <f>IF(INDEX(学年度总表!$B$3:$B$1025,MATCH($E231,学年度总表!$E$3:$E$1025,0))="","",INDEX(学年度总表!$B$3:$B$1025,MATCH($E231,学年度总表!$E$3:$E$1025,0)))</f>
        <v>229</v>
      </c>
      <c r="C231" s="2" t="str">
        <f>IF(INDEX(学年度总表!$C$3:$C$1025,MATCH($E231,学年度总表!$E$3:$E$1025,0))="","",INDEX(学年度总表!$C$3:$C$1025,MATCH($E231,学年度总表!$E$3:$E$1025,0)))</f>
        <v>软工</v>
      </c>
      <c r="D231" s="2" t="str">
        <f>IF(INDEX(学年度总表!$D$3:$D$1025,MATCH($E231,学年度总表!$E$3:$E$1025,0))="","",INDEX(学年度总表!$D$3:$D$1025,MATCH($E231,学年度总表!$E$3:$E$1025,0)))</f>
        <v>软工11班</v>
      </c>
      <c r="E231" s="2" t="s">
        <v>1393</v>
      </c>
      <c r="F231" s="2" t="str">
        <f>IF(INDEX(学年度总表!$F$3:$F$1025,MATCH($E231,学年度总表!$E$3:$E$1025,0))="","",INDEX(学年度总表!$F$3:$F$1025,MATCH($E231,学年度总表!$E$3:$E$1025,0)))</f>
        <v>李泽盛</v>
      </c>
      <c r="G231" s="3">
        <f>IF(INDEX(学年度总表!$G$3:$G$1025,MATCH($E231,学年度总表!$E$3:$E$1025,0))="","",INDEX(学年度总表!$G$3:$G$1025,MATCH($E231,学年度总表!$E$3:$E$1025,0)))</f>
        <v>9.8000000000000007</v>
      </c>
      <c r="H231" s="3">
        <f>IF(INDEX(学年度总表!$H$3:$H$1025,MATCH($E231,学年度总表!$E$3:$E$1025,0))="","",INDEX(学年度总表!$H$3:$H$1025,MATCH($E231,学年度总表!$E$3:$E$1025,0)))</f>
        <v>53.61</v>
      </c>
      <c r="I231" s="3">
        <f>IF(INDEX(学年度总表!$I$3:$I$1025,MATCH($E231,学年度总表!$E$3:$E$1025,0))="","",INDEX(学年度总表!$I$3:$I$1025,MATCH($E231,学年度总表!$E$3:$E$1025,0)))</f>
        <v>3</v>
      </c>
      <c r="J231" s="3">
        <f>IF(INDEX(学年度总表!$J$3:$J$1025,MATCH($E231,学年度总表!$E$3:$E$1025,0))="","",INDEX(学年度总表!$J$3:$J$1025,MATCH($E231,学年度总表!$E$3:$E$1025,0)))</f>
        <v>66.41</v>
      </c>
      <c r="K231" s="3">
        <f>IF(INDEX(学年度总表!$K$3:$K$1025,MATCH($E231,学年度总表!$E$3:$E$1025,0))="","",INDEX(学年度总表!$K$3:$K$1025,MATCH($E231,学年度总表!$E$3:$E$1025,0)))</f>
        <v>9.4</v>
      </c>
      <c r="L231" s="3">
        <f>IF(INDEX(学年度总表!$L$3:$L$1025,MATCH($E231,学年度总表!$E$3:$E$1025,0))="","",INDEX(学年度总表!$L$3:$L$1025,MATCH($E231,学年度总表!$E$3:$E$1025,0)))</f>
        <v>53.45</v>
      </c>
      <c r="M231" s="3">
        <f>IF(INDEX(学年度总表!$M$3:$M$1025,MATCH($E231,学年度总表!$E$3:$E$1025,0))="","",INDEX(学年度总表!$M$3:$M$1025,MATCH($E231,学年度总表!$E$3:$E$1025,0)))</f>
        <v>3</v>
      </c>
      <c r="N231" s="3">
        <f>IF(INDEX(学年度总表!$N$3:$N$1025,MATCH($E231,学年度总表!$E$3:$E$1025,0))="","",INDEX(学年度总表!$N$3:$N$1025,MATCH($E231,学年度总表!$E$3:$E$1025,0)))</f>
        <v>65.849999999999994</v>
      </c>
      <c r="O231" s="3">
        <f>IF(INDEX(学年度总表!$O$3:$O$1025,MATCH($E231,学年度总表!$E$3:$E$1025,0))="","",INDEX(学年度总表!$O$3:$O$1025,MATCH($E231,学年度总表!$E$3:$E$1025,0)))</f>
        <v>132.26</v>
      </c>
      <c r="P231" s="2" t="str">
        <f>IF(INDEX(学年度总表!$P$3:$P$1025,MATCH($E231,学年度总表!$E$3:$E$1025,0))="","",INDEX(学年度总表!$P$3:$P$1025,MATCH($E231,学年度总表!$E$3:$E$1025,0)))</f>
        <v/>
      </c>
      <c r="Q231" s="5" t="str">
        <f>IF(INDEX(学年度总表!$Q$3:$Q$1025,MATCH($E231,学年度总表!$E$3:$E$1025,0))="","",INDEX(学年度总表!$Q$3:$Q$1025,MATCH($E231,学年度总表!$E$3:$E$1025,0)))</f>
        <v/>
      </c>
    </row>
    <row r="232" spans="1:17">
      <c r="A232" s="2">
        <f>IF(INDEX(学年度总表!$A$3:$A$1025,MATCH($E232,学年度总表!$E$3:$E$1025,0))="","",INDEX(学年度总表!$A$3:$A$1025,MATCH($E232,学年度总表!$E$3:$E$1025,0)))</f>
        <v>668</v>
      </c>
      <c r="B232" s="2">
        <f>IF(INDEX(学年度总表!$B$3:$B$1025,MATCH($E232,学年度总表!$E$3:$E$1025,0))="","",INDEX(学年度总表!$B$3:$B$1025,MATCH($E232,学年度总表!$E$3:$E$1025,0)))</f>
        <v>230</v>
      </c>
      <c r="C232" s="2" t="str">
        <f>IF(INDEX(学年度总表!$C$3:$C$1025,MATCH($E232,学年度总表!$E$3:$E$1025,0))="","",INDEX(学年度总表!$C$3:$C$1025,MATCH($E232,学年度总表!$E$3:$E$1025,0)))</f>
        <v>软工</v>
      </c>
      <c r="D232" s="2" t="str">
        <f>IF(INDEX(学年度总表!$D$3:$D$1025,MATCH($E232,学年度总表!$E$3:$E$1025,0))="","",INDEX(学年度总表!$D$3:$D$1025,MATCH($E232,学年度总表!$E$3:$E$1025,0)))</f>
        <v>软工8班</v>
      </c>
      <c r="E232" s="2" t="s">
        <v>1397</v>
      </c>
      <c r="F232" s="2" t="str">
        <f>IF(INDEX(学年度总表!$F$3:$F$1025,MATCH($E232,学年度总表!$E$3:$E$1025,0))="","",INDEX(学年度总表!$F$3:$F$1025,MATCH($E232,学年度总表!$E$3:$E$1025,0)))</f>
        <v>张琳</v>
      </c>
      <c r="G232" s="3">
        <f>IF(INDEX(学年度总表!$G$3:$G$1025,MATCH($E232,学年度总表!$E$3:$E$1025,0))="","",INDEX(学年度总表!$G$3:$G$1025,MATCH($E232,学年度总表!$E$3:$E$1025,0)))</f>
        <v>9.8000000000000007</v>
      </c>
      <c r="H232" s="3">
        <f>IF(INDEX(学年度总表!$H$3:$H$1025,MATCH($E232,学年度总表!$E$3:$E$1025,0))="","",INDEX(学年度总表!$H$3:$H$1025,MATCH($E232,学年度总表!$E$3:$E$1025,0)))</f>
        <v>57.414893617021299</v>
      </c>
      <c r="I232" s="3">
        <f>IF(INDEX(学年度总表!$I$3:$I$1025,MATCH($E232,学年度总表!$E$3:$E$1025,0))="","",INDEX(学年度总表!$I$3:$I$1025,MATCH($E232,学年度总表!$E$3:$E$1025,0)))</f>
        <v>3</v>
      </c>
      <c r="J232" s="3">
        <f>IF(INDEX(学年度总表!$J$3:$J$1025,MATCH($E232,学年度总表!$E$3:$E$1025,0))="","",INDEX(学年度总表!$J$3:$J$1025,MATCH($E232,学年度总表!$E$3:$E$1025,0)))</f>
        <v>70.209999999999994</v>
      </c>
      <c r="K232" s="3">
        <f>IF(INDEX(学年度总表!$K$3:$K$1025,MATCH($E232,学年度总表!$E$3:$E$1025,0))="","",INDEX(学年度总表!$K$3:$K$1025,MATCH($E232,学年度总表!$E$3:$E$1025,0)))</f>
        <v>9.8000000000000007</v>
      </c>
      <c r="L232" s="3">
        <f>IF(INDEX(学年度总表!$L$3:$L$1025,MATCH($E232,学年度总表!$E$3:$E$1025,0))="","",INDEX(学年度总表!$L$3:$L$1025,MATCH($E232,学年度总表!$E$3:$E$1025,0)))</f>
        <v>48.55</v>
      </c>
      <c r="M232" s="3">
        <f>IF(INDEX(学年度总表!$M$3:$M$1025,MATCH($E232,学年度总表!$E$3:$E$1025,0))="","",INDEX(学年度总表!$M$3:$M$1025,MATCH($E232,学年度总表!$E$3:$E$1025,0)))</f>
        <v>3.5</v>
      </c>
      <c r="N232" s="3">
        <f>IF(INDEX(学年度总表!$N$3:$N$1025,MATCH($E232,学年度总表!$E$3:$E$1025,0))="","",INDEX(学年度总表!$N$3:$N$1025,MATCH($E232,学年度总表!$E$3:$E$1025,0)))</f>
        <v>61.85</v>
      </c>
      <c r="O232" s="3">
        <f>IF(INDEX(学年度总表!$O$3:$O$1025,MATCH($E232,学年度总表!$E$3:$E$1025,0))="","",INDEX(学年度总表!$O$3:$O$1025,MATCH($E232,学年度总表!$E$3:$E$1025,0)))</f>
        <v>132.06</v>
      </c>
      <c r="P232" s="2" t="str">
        <f>IF(INDEX(学年度总表!$P$3:$P$1025,MATCH($E232,学年度总表!$E$3:$E$1025,0))="","",INDEX(学年度总表!$P$3:$P$1025,MATCH($E232,学年度总表!$E$3:$E$1025,0)))</f>
        <v/>
      </c>
      <c r="Q232" s="5" t="str">
        <f>IF(INDEX(学年度总表!$Q$3:$Q$1025,MATCH($E232,学年度总表!$E$3:$E$1025,0))="","",INDEX(学年度总表!$Q$3:$Q$1025,MATCH($E232,学年度总表!$E$3:$E$1025,0)))</f>
        <v/>
      </c>
    </row>
    <row r="233" spans="1:17">
      <c r="A233" s="2">
        <f>IF(INDEX(学年度总表!$A$3:$A$1025,MATCH($E233,学年度总表!$E$3:$E$1025,0))="","",INDEX(学年度总表!$A$3:$A$1025,MATCH($E233,学年度总表!$E$3:$E$1025,0)))</f>
        <v>674</v>
      </c>
      <c r="B233" s="2">
        <f>IF(INDEX(学年度总表!$B$3:$B$1025,MATCH($E233,学年度总表!$E$3:$E$1025,0))="","",INDEX(学年度总表!$B$3:$B$1025,MATCH($E233,学年度总表!$E$3:$E$1025,0)))</f>
        <v>231</v>
      </c>
      <c r="C233" s="2" t="str">
        <f>IF(INDEX(学年度总表!$C$3:$C$1025,MATCH($E233,学年度总表!$E$3:$E$1025,0))="","",INDEX(学年度总表!$C$3:$C$1025,MATCH($E233,学年度总表!$E$3:$E$1025,0)))</f>
        <v>软工</v>
      </c>
      <c r="D233" s="2" t="str">
        <f>IF(INDEX(学年度总表!$D$3:$D$1025,MATCH($E233,学年度总表!$E$3:$E$1025,0))="","",INDEX(学年度总表!$D$3:$D$1025,MATCH($E233,学年度总表!$E$3:$E$1025,0)))</f>
        <v>软工13班</v>
      </c>
      <c r="E233" s="2" t="s">
        <v>1409</v>
      </c>
      <c r="F233" s="2" t="str">
        <f>IF(INDEX(学年度总表!$F$3:$F$1025,MATCH($E233,学年度总表!$E$3:$E$1025,0))="","",INDEX(学年度总表!$F$3:$F$1025,MATCH($E233,学年度总表!$E$3:$E$1025,0)))</f>
        <v>任正</v>
      </c>
      <c r="G233" s="3">
        <f>IF(INDEX(学年度总表!$G$3:$G$1025,MATCH($E233,学年度总表!$E$3:$E$1025,0))="","",INDEX(学年度总表!$G$3:$G$1025,MATCH($E233,学年度总表!$E$3:$E$1025,0)))</f>
        <v>10.3</v>
      </c>
      <c r="H233" s="3">
        <f>IF(INDEX(学年度总表!$H$3:$H$1025,MATCH($E233,学年度总表!$E$3:$E$1025,0))="","",INDEX(学年度总表!$H$3:$H$1025,MATCH($E233,学年度总表!$E$3:$E$1025,0)))</f>
        <v>56.66</v>
      </c>
      <c r="I233" s="3">
        <f>IF(INDEX(学年度总表!$I$3:$I$1025,MATCH($E233,学年度总表!$E$3:$E$1025,0))="","",INDEX(学年度总表!$I$3:$I$1025,MATCH($E233,学年度总表!$E$3:$E$1025,0)))</f>
        <v>3</v>
      </c>
      <c r="J233" s="3">
        <f>IF(INDEX(学年度总表!$J$3:$J$1025,MATCH($E233,学年度总表!$E$3:$E$1025,0))="","",INDEX(学年度总表!$J$3:$J$1025,MATCH($E233,学年度总表!$E$3:$E$1025,0)))</f>
        <v>69.959999999999994</v>
      </c>
      <c r="K233" s="3">
        <f>IF(INDEX(学年度总表!$K$3:$K$1025,MATCH($E233,学年度总表!$E$3:$E$1025,0))="","",INDEX(学年度总表!$K$3:$K$1025,MATCH($E233,学年度总表!$E$3:$E$1025,0)))</f>
        <v>9.8000000000000007</v>
      </c>
      <c r="L233" s="3">
        <f>IF(INDEX(学年度总表!$L$3:$L$1025,MATCH($E233,学年度总表!$E$3:$E$1025,0))="","",INDEX(学年度总表!$L$3:$L$1025,MATCH($E233,学年度总表!$E$3:$E$1025,0)))</f>
        <v>48.44</v>
      </c>
      <c r="M233" s="3">
        <f>IF(INDEX(学年度总表!$M$3:$M$1025,MATCH($E233,学年度总表!$E$3:$E$1025,0))="","",INDEX(学年度总表!$M$3:$M$1025,MATCH($E233,学年度总表!$E$3:$E$1025,0)))</f>
        <v>3.5</v>
      </c>
      <c r="N233" s="3">
        <f>IF(INDEX(学年度总表!$N$3:$N$1025,MATCH($E233,学年度总表!$E$3:$E$1025,0))="","",INDEX(学年度总表!$N$3:$N$1025,MATCH($E233,学年度总表!$E$3:$E$1025,0)))</f>
        <v>61.74</v>
      </c>
      <c r="O233" s="3">
        <f>IF(INDEX(学年度总表!$O$3:$O$1025,MATCH($E233,学年度总表!$E$3:$E$1025,0))="","",INDEX(学年度总表!$O$3:$O$1025,MATCH($E233,学年度总表!$E$3:$E$1025,0)))</f>
        <v>131.69999999999999</v>
      </c>
      <c r="P233" s="2" t="str">
        <f>IF(INDEX(学年度总表!$P$3:$P$1025,MATCH($E233,学年度总表!$E$3:$E$1025,0))="","",INDEX(学年度总表!$P$3:$P$1025,MATCH($E233,学年度总表!$E$3:$E$1025,0)))</f>
        <v/>
      </c>
      <c r="Q233" s="5" t="str">
        <f>IF(INDEX(学年度总表!$Q$3:$Q$1025,MATCH($E233,学年度总表!$E$3:$E$1025,0))="","",INDEX(学年度总表!$Q$3:$Q$1025,MATCH($E233,学年度总表!$E$3:$E$1025,0)))</f>
        <v/>
      </c>
    </row>
    <row r="234" spans="1:17">
      <c r="A234" s="2">
        <f>IF(INDEX(学年度总表!$A$3:$A$1025,MATCH($E234,学年度总表!$E$3:$E$1025,0))="","",INDEX(学年度总表!$A$3:$A$1025,MATCH($E234,学年度总表!$E$3:$E$1025,0)))</f>
        <v>675</v>
      </c>
      <c r="B234" s="2">
        <f>IF(INDEX(学年度总表!$B$3:$B$1025,MATCH($E234,学年度总表!$E$3:$E$1025,0))="","",INDEX(学年度总表!$B$3:$B$1025,MATCH($E234,学年度总表!$E$3:$E$1025,0)))</f>
        <v>232</v>
      </c>
      <c r="C234" s="2" t="str">
        <f>IF(INDEX(学年度总表!$C$3:$C$1025,MATCH($E234,学年度总表!$E$3:$E$1025,0))="","",INDEX(学年度总表!$C$3:$C$1025,MATCH($E234,学年度总表!$E$3:$E$1025,0)))</f>
        <v>软工</v>
      </c>
      <c r="D234" s="2" t="str">
        <f>IF(INDEX(学年度总表!$D$3:$D$1025,MATCH($E234,学年度总表!$E$3:$E$1025,0))="","",INDEX(学年度总表!$D$3:$D$1025,MATCH($E234,学年度总表!$E$3:$E$1025,0)))</f>
        <v>软工7班</v>
      </c>
      <c r="E234" s="2" t="s">
        <v>1411</v>
      </c>
      <c r="F234" s="2" t="str">
        <f>IF(INDEX(学年度总表!$F$3:$F$1025,MATCH($E234,学年度总表!$E$3:$E$1025,0))="","",INDEX(学年度总表!$F$3:$F$1025,MATCH($E234,学年度总表!$E$3:$E$1025,0)))</f>
        <v>王天阔</v>
      </c>
      <c r="G234" s="3">
        <f>IF(INDEX(学年度总表!$G$3:$G$1025,MATCH($E234,学年度总表!$E$3:$E$1025,0))="","",INDEX(学年度总表!$G$3:$G$1025,MATCH($E234,学年度总表!$E$3:$E$1025,0)))</f>
        <v>9.8000000000000007</v>
      </c>
      <c r="H234" s="3">
        <f>IF(INDEX(学年度总表!$H$3:$H$1025,MATCH($E234,学年度总表!$E$3:$E$1025,0))="","",INDEX(学年度总表!$H$3:$H$1025,MATCH($E234,学年度总表!$E$3:$E$1025,0)))</f>
        <v>54.14</v>
      </c>
      <c r="I234" s="3">
        <f>IF(INDEX(学年度总表!$I$3:$I$1025,MATCH($E234,学年度总表!$E$3:$E$1025,0))="","",INDEX(学年度总表!$I$3:$I$1025,MATCH($E234,学年度总表!$E$3:$E$1025,0)))</f>
        <v>5</v>
      </c>
      <c r="J234" s="3">
        <f>IF(INDEX(学年度总表!$J$3:$J$1025,MATCH($E234,学年度总表!$E$3:$E$1025,0))="","",INDEX(学年度总表!$J$3:$J$1025,MATCH($E234,学年度总表!$E$3:$E$1025,0)))</f>
        <v>68.94</v>
      </c>
      <c r="K234" s="3">
        <f>IF(INDEX(学年度总表!$K$3:$K$1025,MATCH($E234,学年度总表!$E$3:$E$1025,0))="","",INDEX(学年度总表!$K$3:$K$1025,MATCH($E234,学年度总表!$E$3:$E$1025,0)))</f>
        <v>7.3000000000000007</v>
      </c>
      <c r="L234" s="3">
        <f>IF(INDEX(学年度总表!$L$3:$L$1025,MATCH($E234,学年度总表!$E$3:$E$1025,0))="","",INDEX(学年度总表!$L$3:$L$1025,MATCH($E234,学年度总表!$E$3:$E$1025,0)))</f>
        <v>50.4</v>
      </c>
      <c r="M234" s="3">
        <f>IF(INDEX(学年度总表!$M$3:$M$1025,MATCH($E234,学年度总表!$E$3:$E$1025,0))="","",INDEX(学年度总表!$M$3:$M$1025,MATCH($E234,学年度总表!$E$3:$E$1025,0)))</f>
        <v>5</v>
      </c>
      <c r="N234" s="3">
        <f>IF(INDEX(学年度总表!$N$3:$N$1025,MATCH($E234,学年度总表!$E$3:$E$1025,0))="","",INDEX(学年度总表!$N$3:$N$1025,MATCH($E234,学年度总表!$E$3:$E$1025,0)))</f>
        <v>62.7</v>
      </c>
      <c r="O234" s="3">
        <f>IF(INDEX(学年度总表!$O$3:$O$1025,MATCH($E234,学年度总表!$E$3:$E$1025,0))="","",INDEX(学年度总表!$O$3:$O$1025,MATCH($E234,学年度总表!$E$3:$E$1025,0)))</f>
        <v>131.63999999999999</v>
      </c>
      <c r="P234" s="2" t="str">
        <f>IF(INDEX(学年度总表!$P$3:$P$1025,MATCH($E234,学年度总表!$E$3:$E$1025,0))="","",INDEX(学年度总表!$P$3:$P$1025,MATCH($E234,学年度总表!$E$3:$E$1025,0)))</f>
        <v/>
      </c>
      <c r="Q234" s="5" t="str">
        <f>IF(INDEX(学年度总表!$Q$3:$Q$1025,MATCH($E234,学年度总表!$E$3:$E$1025,0))="","",INDEX(学年度总表!$Q$3:$Q$1025,MATCH($E234,学年度总表!$E$3:$E$1025,0)))</f>
        <v/>
      </c>
    </row>
    <row r="235" spans="1:17">
      <c r="A235" s="2">
        <f>IF(INDEX(学年度总表!$A$3:$A$1025,MATCH($E235,学年度总表!$E$3:$E$1025,0))="","",INDEX(学年度总表!$A$3:$A$1025,MATCH($E235,学年度总表!$E$3:$E$1025,0)))</f>
        <v>676</v>
      </c>
      <c r="B235" s="2">
        <f>IF(INDEX(学年度总表!$B$3:$B$1025,MATCH($E235,学年度总表!$E$3:$E$1025,0))="","",INDEX(学年度总表!$B$3:$B$1025,MATCH($E235,学年度总表!$E$3:$E$1025,0)))</f>
        <v>233</v>
      </c>
      <c r="C235" s="2" t="str">
        <f>IF(INDEX(学年度总表!$C$3:$C$1025,MATCH($E235,学年度总表!$E$3:$E$1025,0))="","",INDEX(学年度总表!$C$3:$C$1025,MATCH($E235,学年度总表!$E$3:$E$1025,0)))</f>
        <v>软工</v>
      </c>
      <c r="D235" s="2" t="str">
        <f>IF(INDEX(学年度总表!$D$3:$D$1025,MATCH($E235,学年度总表!$E$3:$E$1025,0))="","",INDEX(学年度总表!$D$3:$D$1025,MATCH($E235,学年度总表!$E$3:$E$1025,0)))</f>
        <v>软工11班</v>
      </c>
      <c r="E235" s="2" t="s">
        <v>1413</v>
      </c>
      <c r="F235" s="2" t="str">
        <f>IF(INDEX(学年度总表!$F$3:$F$1025,MATCH($E235,学年度总表!$E$3:$E$1025,0))="","",INDEX(学年度总表!$F$3:$F$1025,MATCH($E235,学年度总表!$E$3:$E$1025,0)))</f>
        <v>李佳桐</v>
      </c>
      <c r="G235" s="3">
        <f>IF(INDEX(学年度总表!$G$3:$G$1025,MATCH($E235,学年度总表!$E$3:$E$1025,0))="","",INDEX(学年度总表!$G$3:$G$1025,MATCH($E235,学年度总表!$E$3:$E$1025,0)))</f>
        <v>9.8000000000000007</v>
      </c>
      <c r="H235" s="3">
        <f>IF(INDEX(学年度总表!$H$3:$H$1025,MATCH($E235,学年度总表!$E$3:$E$1025,0))="","",INDEX(学年度总表!$H$3:$H$1025,MATCH($E235,学年度总表!$E$3:$E$1025,0)))</f>
        <v>55.04</v>
      </c>
      <c r="I235" s="3">
        <f>IF(INDEX(学年度总表!$I$3:$I$1025,MATCH($E235,学年度总表!$E$3:$E$1025,0))="","",INDEX(学年度总表!$I$3:$I$1025,MATCH($E235,学年度总表!$E$3:$E$1025,0)))</f>
        <v>3</v>
      </c>
      <c r="J235" s="3">
        <f>IF(INDEX(学年度总表!$J$3:$J$1025,MATCH($E235,学年度总表!$E$3:$E$1025,0))="","",INDEX(学年度总表!$J$3:$J$1025,MATCH($E235,学年度总表!$E$3:$E$1025,0)))</f>
        <v>67.84</v>
      </c>
      <c r="K235" s="3">
        <f>IF(INDEX(学年度总表!$K$3:$K$1025,MATCH($E235,学年度总表!$E$3:$E$1025,0))="","",INDEX(学年度总表!$K$3:$K$1025,MATCH($E235,学年度总表!$E$3:$E$1025,0)))</f>
        <v>9.8000000000000007</v>
      </c>
      <c r="L235" s="3">
        <f>IF(INDEX(学年度总表!$L$3:$L$1025,MATCH($E235,学年度总表!$E$3:$E$1025,0))="","",INDEX(学年度总表!$L$3:$L$1025,MATCH($E235,学年度总表!$E$3:$E$1025,0)))</f>
        <v>50.81</v>
      </c>
      <c r="M235" s="3">
        <f>IF(INDEX(学年度总表!$M$3:$M$1025,MATCH($E235,学年度总表!$E$3:$E$1025,0))="","",INDEX(学年度总表!$M$3:$M$1025,MATCH($E235,学年度总表!$E$3:$E$1025,0)))</f>
        <v>3</v>
      </c>
      <c r="N235" s="3">
        <f>IF(INDEX(学年度总表!$N$3:$N$1025,MATCH($E235,学年度总表!$E$3:$E$1025,0))="","",INDEX(学年度总表!$N$3:$N$1025,MATCH($E235,学年度总表!$E$3:$E$1025,0)))</f>
        <v>63.61</v>
      </c>
      <c r="O235" s="3">
        <f>IF(INDEX(学年度总表!$O$3:$O$1025,MATCH($E235,学年度总表!$E$3:$E$1025,0))="","",INDEX(学年度总表!$O$3:$O$1025,MATCH($E235,学年度总表!$E$3:$E$1025,0)))</f>
        <v>131.44999999999999</v>
      </c>
      <c r="P235" s="2" t="str">
        <f>IF(INDEX(学年度总表!$P$3:$P$1025,MATCH($E235,学年度总表!$E$3:$E$1025,0))="","",INDEX(学年度总表!$P$3:$P$1025,MATCH($E235,学年度总表!$E$3:$E$1025,0)))</f>
        <v/>
      </c>
      <c r="Q235" s="5" t="str">
        <f>IF(INDEX(学年度总表!$Q$3:$Q$1025,MATCH($E235,学年度总表!$E$3:$E$1025,0))="","",INDEX(学年度总表!$Q$3:$Q$1025,MATCH($E235,学年度总表!$E$3:$E$1025,0)))</f>
        <v/>
      </c>
    </row>
    <row r="236" spans="1:17">
      <c r="A236" s="2">
        <f>IF(INDEX(学年度总表!$A$3:$A$1025,MATCH($E236,学年度总表!$E$3:$E$1025,0))="","",INDEX(学年度总表!$A$3:$A$1025,MATCH($E236,学年度总表!$E$3:$E$1025,0)))</f>
        <v>678</v>
      </c>
      <c r="B236" s="2">
        <f>IF(INDEX(学年度总表!$B$3:$B$1025,MATCH($E236,学年度总表!$E$3:$E$1025,0))="","",INDEX(学年度总表!$B$3:$B$1025,MATCH($E236,学年度总表!$E$3:$E$1025,0)))</f>
        <v>234</v>
      </c>
      <c r="C236" s="2" t="str">
        <f>IF(INDEX(学年度总表!$C$3:$C$1025,MATCH($E236,学年度总表!$E$3:$E$1025,0))="","",INDEX(学年度总表!$C$3:$C$1025,MATCH($E236,学年度总表!$E$3:$E$1025,0)))</f>
        <v>软工</v>
      </c>
      <c r="D236" s="2" t="str">
        <f>IF(INDEX(学年度总表!$D$3:$D$1025,MATCH($E236,学年度总表!$E$3:$E$1025,0))="","",INDEX(学年度总表!$D$3:$D$1025,MATCH($E236,学年度总表!$E$3:$E$1025,0)))</f>
        <v>软工14班</v>
      </c>
      <c r="E236" s="2" t="s">
        <v>1417</v>
      </c>
      <c r="F236" s="2" t="str">
        <f>IF(INDEX(学年度总表!$F$3:$F$1025,MATCH($E236,学年度总表!$E$3:$E$1025,0))="","",INDEX(学年度总表!$F$3:$F$1025,MATCH($E236,学年度总表!$E$3:$E$1025,0)))</f>
        <v>刘佳成</v>
      </c>
      <c r="G236" s="3">
        <f>IF(INDEX(学年度总表!$G$3:$G$1025,MATCH($E236,学年度总表!$E$3:$E$1025,0))="","",INDEX(学年度总表!$G$3:$G$1025,MATCH($E236,学年度总表!$E$3:$E$1025,0)))</f>
        <v>9.8000000000000007</v>
      </c>
      <c r="H236" s="3">
        <f>IF(INDEX(学年度总表!$H$3:$H$1025,MATCH($E236,学年度总表!$E$3:$E$1025,0))="","",INDEX(学年度总表!$H$3:$H$1025,MATCH($E236,学年度总表!$E$3:$E$1025,0)))</f>
        <v>51.1</v>
      </c>
      <c r="I236" s="3">
        <f>IF(INDEX(学年度总表!$I$3:$I$1025,MATCH($E236,学年度总表!$E$3:$E$1025,0))="","",INDEX(学年度总表!$I$3:$I$1025,MATCH($E236,学年度总表!$E$3:$E$1025,0)))</f>
        <v>3</v>
      </c>
      <c r="J236" s="3">
        <f>IF(INDEX(学年度总表!$J$3:$J$1025,MATCH($E236,学年度总表!$E$3:$E$1025,0))="","",INDEX(学年度总表!$J$3:$J$1025,MATCH($E236,学年度总表!$E$3:$E$1025,0)))</f>
        <v>63.9</v>
      </c>
      <c r="K236" s="3">
        <f>IF(INDEX(学年度总表!$K$3:$K$1025,MATCH($E236,学年度总表!$E$3:$E$1025,0))="","",INDEX(学年度总表!$K$3:$K$1025,MATCH($E236,学年度总表!$E$3:$E$1025,0)))</f>
        <v>9.8000000000000007</v>
      </c>
      <c r="L236" s="3">
        <f>IF(INDEX(学年度总表!$L$3:$L$1025,MATCH($E236,学年度总表!$E$3:$E$1025,0))="","",INDEX(学年度总表!$L$3:$L$1025,MATCH($E236,学年度总表!$E$3:$E$1025,0)))</f>
        <v>54.09</v>
      </c>
      <c r="M236" s="3">
        <f>IF(INDEX(学年度总表!$M$3:$M$1025,MATCH($E236,学年度总表!$E$3:$E$1025,0))="","",INDEX(学年度总表!$M$3:$M$1025,MATCH($E236,学年度总表!$E$3:$E$1025,0)))</f>
        <v>3.5</v>
      </c>
      <c r="N236" s="3">
        <f>IF(INDEX(学年度总表!$N$3:$N$1025,MATCH($E236,学年度总表!$E$3:$E$1025,0))="","",INDEX(学年度总表!$N$3:$N$1025,MATCH($E236,学年度总表!$E$3:$E$1025,0)))</f>
        <v>67.39</v>
      </c>
      <c r="O236" s="3">
        <f>IF(INDEX(学年度总表!$O$3:$O$1025,MATCH($E236,学年度总表!$E$3:$E$1025,0))="","",INDEX(学年度总表!$O$3:$O$1025,MATCH($E236,学年度总表!$E$3:$E$1025,0)))</f>
        <v>131.29</v>
      </c>
      <c r="P236" s="2" t="str">
        <f>IF(INDEX(学年度总表!$P$3:$P$1025,MATCH($E236,学年度总表!$E$3:$E$1025,0))="","",INDEX(学年度总表!$P$3:$P$1025,MATCH($E236,学年度总表!$E$3:$E$1025,0)))</f>
        <v/>
      </c>
      <c r="Q236" s="5" t="str">
        <f>IF(INDEX(学年度总表!$Q$3:$Q$1025,MATCH($E236,学年度总表!$E$3:$E$1025,0))="","",INDEX(学年度总表!$Q$3:$Q$1025,MATCH($E236,学年度总表!$E$3:$E$1025,0)))</f>
        <v/>
      </c>
    </row>
    <row r="237" spans="1:17">
      <c r="A237" s="2">
        <f>IF(INDEX(学年度总表!$A$3:$A$1025,MATCH($E237,学年度总表!$E$3:$E$1025,0))="","",INDEX(学年度总表!$A$3:$A$1025,MATCH($E237,学年度总表!$E$3:$E$1025,0)))</f>
        <v>679</v>
      </c>
      <c r="B237" s="2">
        <f>IF(INDEX(学年度总表!$B$3:$B$1025,MATCH($E237,学年度总表!$E$3:$E$1025,0))="","",INDEX(学年度总表!$B$3:$B$1025,MATCH($E237,学年度总表!$E$3:$E$1025,0)))</f>
        <v>235</v>
      </c>
      <c r="C237" s="2" t="str">
        <f>IF(INDEX(学年度总表!$C$3:$C$1025,MATCH($E237,学年度总表!$E$3:$E$1025,0))="","",INDEX(学年度总表!$C$3:$C$1025,MATCH($E237,学年度总表!$E$3:$E$1025,0)))</f>
        <v>软工</v>
      </c>
      <c r="D237" s="2" t="str">
        <f>IF(INDEX(学年度总表!$D$3:$D$1025,MATCH($E237,学年度总表!$E$3:$E$1025,0))="","",INDEX(学年度总表!$D$3:$D$1025,MATCH($E237,学年度总表!$E$3:$E$1025,0)))</f>
        <v>软工9班</v>
      </c>
      <c r="E237" s="2" t="s">
        <v>1419</v>
      </c>
      <c r="F237" s="2" t="str">
        <f>IF(INDEX(学年度总表!$F$3:$F$1025,MATCH($E237,学年度总表!$E$3:$E$1025,0))="","",INDEX(学年度总表!$F$3:$F$1025,MATCH($E237,学年度总表!$E$3:$E$1025,0)))</f>
        <v>赵金成</v>
      </c>
      <c r="G237" s="3">
        <f>IF(INDEX(学年度总表!$G$3:$G$1025,MATCH($E237,学年度总表!$E$3:$E$1025,0))="","",INDEX(学年度总表!$G$3:$G$1025,MATCH($E237,学年度总表!$E$3:$E$1025,0)))</f>
        <v>9.8000000000000007</v>
      </c>
      <c r="H237" s="3">
        <f>IF(INDEX(学年度总表!$H$3:$H$1025,MATCH($E237,学年度总表!$E$3:$E$1025,0))="","",INDEX(学年度总表!$H$3:$H$1025,MATCH($E237,学年度总表!$E$3:$E$1025,0)))</f>
        <v>52.377551020408198</v>
      </c>
      <c r="I237" s="3">
        <f>IF(INDEX(学年度总表!$I$3:$I$1025,MATCH($E237,学年度总表!$E$3:$E$1025,0))="","",INDEX(学年度总表!$I$3:$I$1025,MATCH($E237,学年度总表!$E$3:$E$1025,0)))</f>
        <v>3</v>
      </c>
      <c r="J237" s="3">
        <f>IF(INDEX(学年度总表!$J$3:$J$1025,MATCH($E237,学年度总表!$E$3:$E$1025,0))="","",INDEX(学年度总表!$J$3:$J$1025,MATCH($E237,学年度总表!$E$3:$E$1025,0)))</f>
        <v>65.180000000000007</v>
      </c>
      <c r="K237" s="3">
        <f>IF(INDEX(学年度总表!$K$3:$K$1025,MATCH($E237,学年度总表!$E$3:$E$1025,0))="","",INDEX(学年度总表!$K$3:$K$1025,MATCH($E237,学年度总表!$E$3:$E$1025,0)))</f>
        <v>9.8000000000000007</v>
      </c>
      <c r="L237" s="3">
        <f>IF(INDEX(学年度总表!$L$3:$L$1025,MATCH($E237,学年度总表!$E$3:$E$1025,0))="","",INDEX(学年度总表!$L$3:$L$1025,MATCH($E237,学年度总表!$E$3:$E$1025,0)))</f>
        <v>52.73</v>
      </c>
      <c r="M237" s="3">
        <f>IF(INDEX(学年度总表!$M$3:$M$1025,MATCH($E237,学年度总表!$E$3:$E$1025,0))="","",INDEX(学年度总表!$M$3:$M$1025,MATCH($E237,学年度总表!$E$3:$E$1025,0)))</f>
        <v>3.5</v>
      </c>
      <c r="N237" s="3">
        <f>IF(INDEX(学年度总表!$N$3:$N$1025,MATCH($E237,学年度总表!$E$3:$E$1025,0))="","",INDEX(学年度总表!$N$3:$N$1025,MATCH($E237,学年度总表!$E$3:$E$1025,0)))</f>
        <v>66.03</v>
      </c>
      <c r="O237" s="3">
        <f>IF(INDEX(学年度总表!$O$3:$O$1025,MATCH($E237,学年度总表!$E$3:$E$1025,0))="","",INDEX(学年度总表!$O$3:$O$1025,MATCH($E237,学年度总表!$E$3:$E$1025,0)))</f>
        <v>131.21</v>
      </c>
      <c r="P237" s="2" t="str">
        <f>IF(INDEX(学年度总表!$P$3:$P$1025,MATCH($E237,学年度总表!$E$3:$E$1025,0))="","",INDEX(学年度总表!$P$3:$P$1025,MATCH($E237,学年度总表!$E$3:$E$1025,0)))</f>
        <v/>
      </c>
      <c r="Q237" s="5" t="str">
        <f>IF(INDEX(学年度总表!$Q$3:$Q$1025,MATCH($E237,学年度总表!$E$3:$E$1025,0))="","",INDEX(学年度总表!$Q$3:$Q$1025,MATCH($E237,学年度总表!$E$3:$E$1025,0)))</f>
        <v/>
      </c>
    </row>
    <row r="238" spans="1:17">
      <c r="A238" s="2">
        <f>IF(INDEX(学年度总表!$A$3:$A$1025,MATCH($E238,学年度总表!$E$3:$E$1025,0))="","",INDEX(学年度总表!$A$3:$A$1025,MATCH($E238,学年度总表!$E$3:$E$1025,0)))</f>
        <v>682</v>
      </c>
      <c r="B238" s="2">
        <f>IF(INDEX(学年度总表!$B$3:$B$1025,MATCH($E238,学年度总表!$E$3:$E$1025,0))="","",INDEX(学年度总表!$B$3:$B$1025,MATCH($E238,学年度总表!$E$3:$E$1025,0)))</f>
        <v>236</v>
      </c>
      <c r="C238" s="2" t="str">
        <f>IF(INDEX(学年度总表!$C$3:$C$1025,MATCH($E238,学年度总表!$E$3:$E$1025,0))="","",INDEX(学年度总表!$C$3:$C$1025,MATCH($E238,学年度总表!$E$3:$E$1025,0)))</f>
        <v>软工</v>
      </c>
      <c r="D238" s="2" t="str">
        <f>IF(INDEX(学年度总表!$D$3:$D$1025,MATCH($E238,学年度总表!$E$3:$E$1025,0))="","",INDEX(学年度总表!$D$3:$D$1025,MATCH($E238,学年度总表!$E$3:$E$1025,0)))</f>
        <v>软工11班</v>
      </c>
      <c r="E238" s="2" t="s">
        <v>1425</v>
      </c>
      <c r="F238" s="2" t="str">
        <f>IF(INDEX(学年度总表!$F$3:$F$1025,MATCH($E238,学年度总表!$E$3:$E$1025,0))="","",INDEX(学年度总表!$F$3:$F$1025,MATCH($E238,学年度总表!$E$3:$E$1025,0)))</f>
        <v>胡静涵</v>
      </c>
      <c r="G238" s="3">
        <f>IF(INDEX(学年度总表!$G$3:$G$1025,MATCH($E238,学年度总表!$E$3:$E$1025,0))="","",INDEX(学年度总表!$G$3:$G$1025,MATCH($E238,学年度总表!$E$3:$E$1025,0)))</f>
        <v>9.8000000000000007</v>
      </c>
      <c r="H238" s="3">
        <f>IF(INDEX(学年度总表!$H$3:$H$1025,MATCH($E238,学年度总表!$E$3:$E$1025,0))="","",INDEX(学年度总表!$H$3:$H$1025,MATCH($E238,学年度总表!$E$3:$E$1025,0)))</f>
        <v>52.31</v>
      </c>
      <c r="I238" s="3">
        <f>IF(INDEX(学年度总表!$I$3:$I$1025,MATCH($E238,学年度总表!$E$3:$E$1025,0))="","",INDEX(学年度总表!$I$3:$I$1025,MATCH($E238,学年度总表!$E$3:$E$1025,0)))</f>
        <v>3</v>
      </c>
      <c r="J238" s="3">
        <f>IF(INDEX(学年度总表!$J$3:$J$1025,MATCH($E238,学年度总表!$E$3:$E$1025,0))="","",INDEX(学年度总表!$J$3:$J$1025,MATCH($E238,学年度总表!$E$3:$E$1025,0)))</f>
        <v>65.11</v>
      </c>
      <c r="K238" s="3">
        <f>IF(INDEX(学年度总表!$K$3:$K$1025,MATCH($E238,学年度总表!$E$3:$E$1025,0))="","",INDEX(学年度总表!$K$3:$K$1025,MATCH($E238,学年度总表!$E$3:$E$1025,0)))</f>
        <v>9.8000000000000007</v>
      </c>
      <c r="L238" s="3">
        <f>IF(INDEX(学年度总表!$L$3:$L$1025,MATCH($E238,学年度总表!$E$3:$E$1025,0))="","",INDEX(学年度总表!$L$3:$L$1025,MATCH($E238,学年度总表!$E$3:$E$1025,0)))</f>
        <v>53.24</v>
      </c>
      <c r="M238" s="3">
        <f>IF(INDEX(学年度总表!$M$3:$M$1025,MATCH($E238,学年度总表!$E$3:$E$1025,0))="","",INDEX(学年度总表!$M$3:$M$1025,MATCH($E238,学年度总表!$E$3:$E$1025,0)))</f>
        <v>3</v>
      </c>
      <c r="N238" s="3">
        <f>IF(INDEX(学年度总表!$N$3:$N$1025,MATCH($E238,学年度总表!$E$3:$E$1025,0))="","",INDEX(学年度总表!$N$3:$N$1025,MATCH($E238,学年度总表!$E$3:$E$1025,0)))</f>
        <v>66.040000000000006</v>
      </c>
      <c r="O238" s="3">
        <f>IF(INDEX(学年度总表!$O$3:$O$1025,MATCH($E238,学年度总表!$E$3:$E$1025,0))="","",INDEX(学年度总表!$O$3:$O$1025,MATCH($E238,学年度总表!$E$3:$E$1025,0)))</f>
        <v>131.15</v>
      </c>
      <c r="P238" s="2" t="str">
        <f>IF(INDEX(学年度总表!$P$3:$P$1025,MATCH($E238,学年度总表!$E$3:$E$1025,0))="","",INDEX(学年度总表!$P$3:$P$1025,MATCH($E238,学年度总表!$E$3:$E$1025,0)))</f>
        <v/>
      </c>
      <c r="Q238" s="5" t="str">
        <f>IF(INDEX(学年度总表!$Q$3:$Q$1025,MATCH($E238,学年度总表!$E$3:$E$1025,0))="","",INDEX(学年度总表!$Q$3:$Q$1025,MATCH($E238,学年度总表!$E$3:$E$1025,0)))</f>
        <v/>
      </c>
    </row>
    <row r="239" spans="1:17">
      <c r="A239" s="2">
        <f>IF(INDEX(学年度总表!$A$3:$A$1025,MATCH($E239,学年度总表!$E$3:$E$1025,0))="","",INDEX(学年度总表!$A$3:$A$1025,MATCH($E239,学年度总表!$E$3:$E$1025,0)))</f>
        <v>685</v>
      </c>
      <c r="B239" s="2">
        <f>IF(INDEX(学年度总表!$B$3:$B$1025,MATCH($E239,学年度总表!$E$3:$E$1025,0))="","",INDEX(学年度总表!$B$3:$B$1025,MATCH($E239,学年度总表!$E$3:$E$1025,0)))</f>
        <v>237</v>
      </c>
      <c r="C239" s="2" t="str">
        <f>IF(INDEX(学年度总表!$C$3:$C$1025,MATCH($E239,学年度总表!$E$3:$E$1025,0))="","",INDEX(学年度总表!$C$3:$C$1025,MATCH($E239,学年度总表!$E$3:$E$1025,0)))</f>
        <v>软工</v>
      </c>
      <c r="D239" s="2" t="str">
        <f>IF(INDEX(学年度总表!$D$3:$D$1025,MATCH($E239,学年度总表!$E$3:$E$1025,0))="","",INDEX(学年度总表!$D$3:$D$1025,MATCH($E239,学年度总表!$E$3:$E$1025,0)))</f>
        <v>软工9班</v>
      </c>
      <c r="E239" s="2" t="s">
        <v>1431</v>
      </c>
      <c r="F239" s="2" t="str">
        <f>IF(INDEX(学年度总表!$F$3:$F$1025,MATCH($E239,学年度总表!$E$3:$E$1025,0))="","",INDEX(学年度总表!$F$3:$F$1025,MATCH($E239,学年度总表!$E$3:$E$1025,0)))</f>
        <v>张仁泽</v>
      </c>
      <c r="G239" s="3">
        <f>IF(INDEX(学年度总表!$G$3:$G$1025,MATCH($E239,学年度总表!$E$3:$E$1025,0))="","",INDEX(学年度总表!$G$3:$G$1025,MATCH($E239,学年度总表!$E$3:$E$1025,0)))</f>
        <v>9.8000000000000007</v>
      </c>
      <c r="H239" s="3">
        <f>IF(INDEX(学年度总表!$H$3:$H$1025,MATCH($E239,学年度总表!$E$3:$E$1025,0))="","",INDEX(学年度总表!$H$3:$H$1025,MATCH($E239,学年度总表!$E$3:$E$1025,0)))</f>
        <v>53.571428571428598</v>
      </c>
      <c r="I239" s="3">
        <f>IF(INDEX(学年度总表!$I$3:$I$1025,MATCH($E239,学年度总表!$E$3:$E$1025,0))="","",INDEX(学年度总表!$I$3:$I$1025,MATCH($E239,学年度总表!$E$3:$E$1025,0)))</f>
        <v>3</v>
      </c>
      <c r="J239" s="3">
        <f>IF(INDEX(学年度总表!$J$3:$J$1025,MATCH($E239,学年度总表!$E$3:$E$1025,0))="","",INDEX(学年度总表!$J$3:$J$1025,MATCH($E239,学年度总表!$E$3:$E$1025,0)))</f>
        <v>66.37</v>
      </c>
      <c r="K239" s="3">
        <f>IF(INDEX(学年度总表!$K$3:$K$1025,MATCH($E239,学年度总表!$E$3:$E$1025,0))="","",INDEX(学年度总表!$K$3:$K$1025,MATCH($E239,学年度总表!$E$3:$E$1025,0)))</f>
        <v>7.3000000000000007</v>
      </c>
      <c r="L239" s="3">
        <f>IF(INDEX(学年度总表!$L$3:$L$1025,MATCH($E239,学年度总表!$E$3:$E$1025,0))="","",INDEX(学年度总表!$L$3:$L$1025,MATCH($E239,学年度总表!$E$3:$E$1025,0)))</f>
        <v>53.93</v>
      </c>
      <c r="M239" s="3">
        <f>IF(INDEX(学年度总表!$M$3:$M$1025,MATCH($E239,学年度总表!$E$3:$E$1025,0))="","",INDEX(学年度总表!$M$3:$M$1025,MATCH($E239,学年度总表!$E$3:$E$1025,0)))</f>
        <v>3.5</v>
      </c>
      <c r="N239" s="3">
        <f>IF(INDEX(学年度总表!$N$3:$N$1025,MATCH($E239,学年度总表!$E$3:$E$1025,0))="","",INDEX(学年度总表!$N$3:$N$1025,MATCH($E239,学年度总表!$E$3:$E$1025,0)))</f>
        <v>64.73</v>
      </c>
      <c r="O239" s="3">
        <f>IF(INDEX(学年度总表!$O$3:$O$1025,MATCH($E239,学年度总表!$E$3:$E$1025,0))="","",INDEX(学年度总表!$O$3:$O$1025,MATCH($E239,学年度总表!$E$3:$E$1025,0)))</f>
        <v>131.1</v>
      </c>
      <c r="P239" s="2" t="str">
        <f>IF(INDEX(学年度总表!$P$3:$P$1025,MATCH($E239,学年度总表!$E$3:$E$1025,0))="","",INDEX(学年度总表!$P$3:$P$1025,MATCH($E239,学年度总表!$E$3:$E$1025,0)))</f>
        <v/>
      </c>
      <c r="Q239" s="5" t="str">
        <f>IF(INDEX(学年度总表!$Q$3:$Q$1025,MATCH($E239,学年度总表!$E$3:$E$1025,0))="","",INDEX(学年度总表!$Q$3:$Q$1025,MATCH($E239,学年度总表!$E$3:$E$1025,0)))</f>
        <v/>
      </c>
    </row>
    <row r="240" spans="1:17">
      <c r="A240" s="2">
        <f>IF(INDEX(学年度总表!$A$3:$A$1025,MATCH($E240,学年度总表!$E$3:$E$1025,0))="","",INDEX(学年度总表!$A$3:$A$1025,MATCH($E240,学年度总表!$E$3:$E$1025,0)))</f>
        <v>685</v>
      </c>
      <c r="B240" s="2">
        <f>IF(INDEX(学年度总表!$B$3:$B$1025,MATCH($E240,学年度总表!$E$3:$E$1025,0))="","",INDEX(学年度总表!$B$3:$B$1025,MATCH($E240,学年度总表!$E$3:$E$1025,0)))</f>
        <v>237</v>
      </c>
      <c r="C240" s="2" t="str">
        <f>IF(INDEX(学年度总表!$C$3:$C$1025,MATCH($E240,学年度总表!$E$3:$E$1025,0))="","",INDEX(学年度总表!$C$3:$C$1025,MATCH($E240,学年度总表!$E$3:$E$1025,0)))</f>
        <v>软工</v>
      </c>
      <c r="D240" s="2" t="str">
        <f>IF(INDEX(学年度总表!$D$3:$D$1025,MATCH($E240,学年度总表!$E$3:$E$1025,0))="","",INDEX(学年度总表!$D$3:$D$1025,MATCH($E240,学年度总表!$E$3:$E$1025,0)))</f>
        <v>软工10班</v>
      </c>
      <c r="E240" s="2" t="s">
        <v>1433</v>
      </c>
      <c r="F240" s="2" t="str">
        <f>IF(INDEX(学年度总表!$F$3:$F$1025,MATCH($E240,学年度总表!$E$3:$E$1025,0))="","",INDEX(学年度总表!$F$3:$F$1025,MATCH($E240,学年度总表!$E$3:$E$1025,0)))</f>
        <v>杨政达</v>
      </c>
      <c r="G240" s="3">
        <f>IF(INDEX(学年度总表!$G$3:$G$1025,MATCH($E240,学年度总表!$E$3:$E$1025,0))="","",INDEX(学年度总表!$G$3:$G$1025,MATCH($E240,学年度总表!$E$3:$E$1025,0)))</f>
        <v>9.4</v>
      </c>
      <c r="H240" s="3">
        <f>IF(INDEX(学年度总表!$H$3:$H$1025,MATCH($E240,学年度总表!$E$3:$E$1025,0))="","",INDEX(学年度总表!$H$3:$H$1025,MATCH($E240,学年度总表!$E$3:$E$1025,0)))</f>
        <v>57.65</v>
      </c>
      <c r="I240" s="3">
        <f>IF(INDEX(学年度总表!$I$3:$I$1025,MATCH($E240,学年度总表!$E$3:$E$1025,0))="","",INDEX(学年度总表!$I$3:$I$1025,MATCH($E240,学年度总表!$E$3:$E$1025,0)))</f>
        <v>3</v>
      </c>
      <c r="J240" s="3">
        <f>IF(INDEX(学年度总表!$J$3:$J$1025,MATCH($E240,学年度总表!$E$3:$E$1025,0))="","",INDEX(学年度总表!$J$3:$J$1025,MATCH($E240,学年度总表!$E$3:$E$1025,0)))</f>
        <v>70.05</v>
      </c>
      <c r="K240" s="3">
        <f>IF(INDEX(学年度总表!$K$3:$K$1025,MATCH($E240,学年度总表!$E$3:$E$1025,0))="","",INDEX(学年度总表!$K$3:$K$1025,MATCH($E240,学年度总表!$E$3:$E$1025,0)))</f>
        <v>9.4</v>
      </c>
      <c r="L240" s="3">
        <f>IF(INDEX(学年度总表!$L$3:$L$1025,MATCH($E240,学年度总表!$E$3:$E$1025,0))="","",INDEX(学年度总表!$L$3:$L$1025,MATCH($E240,学年度总表!$E$3:$E$1025,0)))</f>
        <v>48.65</v>
      </c>
      <c r="M240" s="3">
        <f>IF(INDEX(学年度总表!$M$3:$M$1025,MATCH($E240,学年度总表!$E$3:$E$1025,0))="","",INDEX(学年度总表!$M$3:$M$1025,MATCH($E240,学年度总表!$E$3:$E$1025,0)))</f>
        <v>3</v>
      </c>
      <c r="N240" s="3">
        <f>IF(INDEX(学年度总表!$N$3:$N$1025,MATCH($E240,学年度总表!$E$3:$E$1025,0))="","",INDEX(学年度总表!$N$3:$N$1025,MATCH($E240,学年度总表!$E$3:$E$1025,0)))</f>
        <v>61.05</v>
      </c>
      <c r="O240" s="3">
        <f>IF(INDEX(学年度总表!$O$3:$O$1025,MATCH($E240,学年度总表!$E$3:$E$1025,0))="","",INDEX(学年度总表!$O$3:$O$1025,MATCH($E240,学年度总表!$E$3:$E$1025,0)))</f>
        <v>131.1</v>
      </c>
      <c r="P240" s="2" t="str">
        <f>IF(INDEX(学年度总表!$P$3:$P$1025,MATCH($E240,学年度总表!$E$3:$E$1025,0))="","",INDEX(学年度总表!$P$3:$P$1025,MATCH($E240,学年度总表!$E$3:$E$1025,0)))</f>
        <v/>
      </c>
      <c r="Q240" s="5" t="str">
        <f>IF(INDEX(学年度总表!$Q$3:$Q$1025,MATCH($E240,学年度总表!$E$3:$E$1025,0))="","",INDEX(学年度总表!$Q$3:$Q$1025,MATCH($E240,学年度总表!$E$3:$E$1025,0)))</f>
        <v/>
      </c>
    </row>
    <row r="241" spans="1:17">
      <c r="A241" s="2">
        <f>IF(INDEX(学年度总表!$A$3:$A$1025,MATCH($E241,学年度总表!$E$3:$E$1025,0))="","",INDEX(学年度总表!$A$3:$A$1025,MATCH($E241,学年度总表!$E$3:$E$1025,0)))</f>
        <v>687</v>
      </c>
      <c r="B241" s="2">
        <f>IF(INDEX(学年度总表!$B$3:$B$1025,MATCH($E241,学年度总表!$E$3:$E$1025,0))="","",INDEX(学年度总表!$B$3:$B$1025,MATCH($E241,学年度总表!$E$3:$E$1025,0)))</f>
        <v>239</v>
      </c>
      <c r="C241" s="2" t="str">
        <f>IF(INDEX(学年度总表!$C$3:$C$1025,MATCH($E241,学年度总表!$E$3:$E$1025,0))="","",INDEX(学年度总表!$C$3:$C$1025,MATCH($E241,学年度总表!$E$3:$E$1025,0)))</f>
        <v>软工</v>
      </c>
      <c r="D241" s="2" t="str">
        <f>IF(INDEX(学年度总表!$D$3:$D$1025,MATCH($E241,学年度总表!$E$3:$E$1025,0))="","",INDEX(学年度总表!$D$3:$D$1025,MATCH($E241,学年度总表!$E$3:$E$1025,0)))</f>
        <v>软工5班</v>
      </c>
      <c r="E241" s="2" t="s">
        <v>1435</v>
      </c>
      <c r="F241" s="2" t="str">
        <f>IF(INDEX(学年度总表!$F$3:$F$1025,MATCH($E241,学年度总表!$E$3:$E$1025,0))="","",INDEX(学年度总表!$F$3:$F$1025,MATCH($E241,学年度总表!$E$3:$E$1025,0)))</f>
        <v>兰禹</v>
      </c>
      <c r="G241" s="3">
        <f>IF(INDEX(学年度总表!$G$3:$G$1025,MATCH($E241,学年度总表!$E$3:$E$1025,0))="","",INDEX(学年度总表!$G$3:$G$1025,MATCH($E241,学年度总表!$E$3:$E$1025,0)))</f>
        <v>9.5</v>
      </c>
      <c r="H241" s="3">
        <f>IF(INDEX(学年度总表!$H$3:$H$1025,MATCH($E241,学年度总表!$E$3:$E$1025,0))="","",INDEX(学年度总表!$H$3:$H$1025,MATCH($E241,学年度总表!$E$3:$E$1025,0)))</f>
        <v>50</v>
      </c>
      <c r="I241" s="3">
        <f>IF(INDEX(学年度总表!$I$3:$I$1025,MATCH($E241,学年度总表!$E$3:$E$1025,0))="","",INDEX(学年度总表!$I$3:$I$1025,MATCH($E241,学年度总表!$E$3:$E$1025,0)))</f>
        <v>3</v>
      </c>
      <c r="J241" s="3">
        <f>IF(INDEX(学年度总表!$J$3:$J$1025,MATCH($E241,学年度总表!$E$3:$E$1025,0))="","",INDEX(学年度总表!$J$3:$J$1025,MATCH($E241,学年度总表!$E$3:$E$1025,0)))</f>
        <v>62.5</v>
      </c>
      <c r="K241" s="3">
        <f>IF(INDEX(学年度总表!$K$3:$K$1025,MATCH($E241,学年度总表!$E$3:$E$1025,0))="","",INDEX(学年度总表!$K$3:$K$1025,MATCH($E241,学年度总表!$E$3:$E$1025,0)))</f>
        <v>9.4</v>
      </c>
      <c r="L241" s="3">
        <f>IF(INDEX(学年度总表!$L$3:$L$1025,MATCH($E241,学年度总表!$E$3:$E$1025,0))="","",INDEX(学年度总表!$L$3:$L$1025,MATCH($E241,学年度总表!$E$3:$E$1025,0)))</f>
        <v>55.57</v>
      </c>
      <c r="M241" s="3">
        <f>IF(INDEX(学年度总表!$M$3:$M$1025,MATCH($E241,学年度总表!$E$3:$E$1025,0))="","",INDEX(学年度总表!$M$3:$M$1025,MATCH($E241,学年度总表!$E$3:$E$1025,0)))</f>
        <v>3.5</v>
      </c>
      <c r="N241" s="3">
        <f>IF(INDEX(学年度总表!$N$3:$N$1025,MATCH($E241,学年度总表!$E$3:$E$1025,0))="","",INDEX(学年度总表!$N$3:$N$1025,MATCH($E241,学年度总表!$E$3:$E$1025,0)))</f>
        <v>68.47</v>
      </c>
      <c r="O241" s="3">
        <f>IF(INDEX(学年度总表!$O$3:$O$1025,MATCH($E241,学年度总表!$E$3:$E$1025,0))="","",INDEX(学年度总表!$O$3:$O$1025,MATCH($E241,学年度总表!$E$3:$E$1025,0)))</f>
        <v>130.97</v>
      </c>
      <c r="P241" s="2" t="str">
        <f>IF(INDEX(学年度总表!$P$3:$P$1025,MATCH($E241,学年度总表!$E$3:$E$1025,0))="","",INDEX(学年度总表!$P$3:$P$1025,MATCH($E241,学年度总表!$E$3:$E$1025,0)))</f>
        <v/>
      </c>
      <c r="Q241" s="5" t="str">
        <f>IF(INDEX(学年度总表!$Q$3:$Q$1025,MATCH($E241,学年度总表!$E$3:$E$1025,0))="","",INDEX(学年度总表!$Q$3:$Q$1025,MATCH($E241,学年度总表!$E$3:$E$1025,0)))</f>
        <v/>
      </c>
    </row>
    <row r="242" spans="1:17">
      <c r="A242" s="2">
        <f>IF(INDEX(学年度总表!$A$3:$A$1025,MATCH($E242,学年度总表!$E$3:$E$1025,0))="","",INDEX(学年度总表!$A$3:$A$1025,MATCH($E242,学年度总表!$E$3:$E$1025,0)))</f>
        <v>688</v>
      </c>
      <c r="B242" s="2">
        <f>IF(INDEX(学年度总表!$B$3:$B$1025,MATCH($E242,学年度总表!$E$3:$E$1025,0))="","",INDEX(学年度总表!$B$3:$B$1025,MATCH($E242,学年度总表!$E$3:$E$1025,0)))</f>
        <v>240</v>
      </c>
      <c r="C242" s="2" t="str">
        <f>IF(INDEX(学年度总表!$C$3:$C$1025,MATCH($E242,学年度总表!$E$3:$E$1025,0))="","",INDEX(学年度总表!$C$3:$C$1025,MATCH($E242,学年度总表!$E$3:$E$1025,0)))</f>
        <v>软工</v>
      </c>
      <c r="D242" s="2" t="str">
        <f>IF(INDEX(学年度总表!$D$3:$D$1025,MATCH($E242,学年度总表!$E$3:$E$1025,0))="","",INDEX(学年度总表!$D$3:$D$1025,MATCH($E242,学年度总表!$E$3:$E$1025,0)))</f>
        <v>软工7班</v>
      </c>
      <c r="E242" s="2" t="s">
        <v>1437</v>
      </c>
      <c r="F242" s="2" t="str">
        <f>IF(INDEX(学年度总表!$F$3:$F$1025,MATCH($E242,学年度总表!$E$3:$E$1025,0))="","",INDEX(学年度总表!$F$3:$F$1025,MATCH($E242,学年度总表!$E$3:$E$1025,0)))</f>
        <v>施一凡</v>
      </c>
      <c r="G242" s="3">
        <f>IF(INDEX(学年度总表!$G$3:$G$1025,MATCH($E242,学年度总表!$E$3:$E$1025,0))="","",INDEX(学年度总表!$G$3:$G$1025,MATCH($E242,学年度总表!$E$3:$E$1025,0)))</f>
        <v>9.8000000000000007</v>
      </c>
      <c r="H242" s="3">
        <f>IF(INDEX(学年度总表!$H$3:$H$1025,MATCH($E242,学年度总表!$E$3:$E$1025,0))="","",INDEX(学年度总表!$H$3:$H$1025,MATCH($E242,学年度总表!$E$3:$E$1025,0)))</f>
        <v>56.27</v>
      </c>
      <c r="I242" s="3">
        <f>IF(INDEX(学年度总表!$I$3:$I$1025,MATCH($E242,学年度总表!$E$3:$E$1025,0))="","",INDEX(学年度总表!$I$3:$I$1025,MATCH($E242,学年度总表!$E$3:$E$1025,0)))</f>
        <v>3</v>
      </c>
      <c r="J242" s="3">
        <f>IF(INDEX(学年度总表!$J$3:$J$1025,MATCH($E242,学年度总表!$E$3:$E$1025,0))="","",INDEX(学年度总表!$J$3:$J$1025,MATCH($E242,学年度总表!$E$3:$E$1025,0)))</f>
        <v>69.069999999999993</v>
      </c>
      <c r="K242" s="3">
        <f>IF(INDEX(学年度总表!$K$3:$K$1025,MATCH($E242,学年度总表!$E$3:$E$1025,0))="","",INDEX(学年度总表!$K$3:$K$1025,MATCH($E242,学年度总表!$E$3:$E$1025,0)))</f>
        <v>9.8000000000000007</v>
      </c>
      <c r="L242" s="3">
        <f>IF(INDEX(学年度总表!$L$3:$L$1025,MATCH($E242,学年度总表!$E$3:$E$1025,0))="","",INDEX(学年度总表!$L$3:$L$1025,MATCH($E242,学年度总表!$E$3:$E$1025,0)))</f>
        <v>47.65</v>
      </c>
      <c r="M242" s="3">
        <f>IF(INDEX(学年度总表!$M$3:$M$1025,MATCH($E242,学年度总表!$E$3:$E$1025,0))="","",INDEX(学年度总表!$M$3:$M$1025,MATCH($E242,学年度总表!$E$3:$E$1025,0)))</f>
        <v>4.4000000000000004</v>
      </c>
      <c r="N242" s="3">
        <f>IF(INDEX(学年度总表!$N$3:$N$1025,MATCH($E242,学年度总表!$E$3:$E$1025,0))="","",INDEX(学年度总表!$N$3:$N$1025,MATCH($E242,学年度总表!$E$3:$E$1025,0)))</f>
        <v>61.85</v>
      </c>
      <c r="O242" s="3">
        <f>IF(INDEX(学年度总表!$O$3:$O$1025,MATCH($E242,学年度总表!$E$3:$E$1025,0))="","",INDEX(学年度总表!$O$3:$O$1025,MATCH($E242,学年度总表!$E$3:$E$1025,0)))</f>
        <v>130.91999999999999</v>
      </c>
      <c r="P242" s="2" t="str">
        <f>IF(INDEX(学年度总表!$P$3:$P$1025,MATCH($E242,学年度总表!$E$3:$E$1025,0))="","",INDEX(学年度总表!$P$3:$P$1025,MATCH($E242,学年度总表!$E$3:$E$1025,0)))</f>
        <v/>
      </c>
      <c r="Q242" s="5" t="str">
        <f>IF(INDEX(学年度总表!$Q$3:$Q$1025,MATCH($E242,学年度总表!$E$3:$E$1025,0))="","",INDEX(学年度总表!$Q$3:$Q$1025,MATCH($E242,学年度总表!$E$3:$E$1025,0)))</f>
        <v/>
      </c>
    </row>
    <row r="243" spans="1:17">
      <c r="A243" s="2">
        <f>IF(INDEX(学年度总表!$A$3:$A$1025,MATCH($E243,学年度总表!$E$3:$E$1025,0))="","",INDEX(学年度总表!$A$3:$A$1025,MATCH($E243,学年度总表!$E$3:$E$1025,0)))</f>
        <v>689</v>
      </c>
      <c r="B243" s="2">
        <f>IF(INDEX(学年度总表!$B$3:$B$1025,MATCH($E243,学年度总表!$E$3:$E$1025,0))="","",INDEX(学年度总表!$B$3:$B$1025,MATCH($E243,学年度总表!$E$3:$E$1025,0)))</f>
        <v>241</v>
      </c>
      <c r="C243" s="2" t="str">
        <f>IF(INDEX(学年度总表!$C$3:$C$1025,MATCH($E243,学年度总表!$E$3:$E$1025,0))="","",INDEX(学年度总表!$C$3:$C$1025,MATCH($E243,学年度总表!$E$3:$E$1025,0)))</f>
        <v>软工</v>
      </c>
      <c r="D243" s="2" t="str">
        <f>IF(INDEX(学年度总表!$D$3:$D$1025,MATCH($E243,学年度总表!$E$3:$E$1025,0))="","",INDEX(学年度总表!$D$3:$D$1025,MATCH($E243,学年度总表!$E$3:$E$1025,0)))</f>
        <v>软工14班</v>
      </c>
      <c r="E243" s="2" t="s">
        <v>1439</v>
      </c>
      <c r="F243" s="2" t="str">
        <f>IF(INDEX(学年度总表!$F$3:$F$1025,MATCH($E243,学年度总表!$E$3:$E$1025,0))="","",INDEX(学年度总表!$F$3:$F$1025,MATCH($E243,学年度总表!$E$3:$E$1025,0)))</f>
        <v>陈恩策</v>
      </c>
      <c r="G243" s="3">
        <f>IF(INDEX(学年度总表!$G$3:$G$1025,MATCH($E243,学年度总表!$E$3:$E$1025,0))="","",INDEX(学年度总表!$G$3:$G$1025,MATCH($E243,学年度总表!$E$3:$E$1025,0)))</f>
        <v>9.8000000000000007</v>
      </c>
      <c r="H243" s="3">
        <f>IF(INDEX(学年度总表!$H$3:$H$1025,MATCH($E243,学年度总表!$E$3:$E$1025,0))="","",INDEX(学年度总表!$H$3:$H$1025,MATCH($E243,学年度总表!$E$3:$E$1025,0)))</f>
        <v>49.57</v>
      </c>
      <c r="I243" s="3">
        <f>IF(INDEX(学年度总表!$I$3:$I$1025,MATCH($E243,学年度总表!$E$3:$E$1025,0))="","",INDEX(学年度总表!$I$3:$I$1025,MATCH($E243,学年度总表!$E$3:$E$1025,0)))</f>
        <v>3</v>
      </c>
      <c r="J243" s="3">
        <f>IF(INDEX(学年度总表!$J$3:$J$1025,MATCH($E243,学年度总表!$E$3:$E$1025,0))="","",INDEX(学年度总表!$J$3:$J$1025,MATCH($E243,学年度总表!$E$3:$E$1025,0)))</f>
        <v>62.37</v>
      </c>
      <c r="K243" s="3">
        <f>IF(INDEX(学年度总表!$K$3:$K$1025,MATCH($E243,学年度总表!$E$3:$E$1025,0))="","",INDEX(学年度总表!$K$3:$K$1025,MATCH($E243,学年度总表!$E$3:$E$1025,0)))</f>
        <v>9.8000000000000007</v>
      </c>
      <c r="L243" s="3">
        <f>IF(INDEX(学年度总表!$L$3:$L$1025,MATCH($E243,学年度总表!$E$3:$E$1025,0))="","",INDEX(学年度总表!$L$3:$L$1025,MATCH($E243,学年度总表!$E$3:$E$1025,0)))</f>
        <v>54.35</v>
      </c>
      <c r="M243" s="3">
        <f>IF(INDEX(学年度总表!$M$3:$M$1025,MATCH($E243,学年度总表!$E$3:$E$1025,0))="","",INDEX(学年度总表!$M$3:$M$1025,MATCH($E243,学年度总表!$E$3:$E$1025,0)))</f>
        <v>4.3</v>
      </c>
      <c r="N243" s="3">
        <f>IF(INDEX(学年度总表!$N$3:$N$1025,MATCH($E243,学年度总表!$E$3:$E$1025,0))="","",INDEX(学年度总表!$N$3:$N$1025,MATCH($E243,学年度总表!$E$3:$E$1025,0)))</f>
        <v>68.45</v>
      </c>
      <c r="O243" s="3">
        <f>IF(INDEX(学年度总表!$O$3:$O$1025,MATCH($E243,学年度总表!$E$3:$E$1025,0))="","",INDEX(学年度总表!$O$3:$O$1025,MATCH($E243,学年度总表!$E$3:$E$1025,0)))</f>
        <v>130.82</v>
      </c>
      <c r="P243" s="2" t="str">
        <f>IF(INDEX(学年度总表!$P$3:$P$1025,MATCH($E243,学年度总表!$E$3:$E$1025,0))="","",INDEX(学年度总表!$P$3:$P$1025,MATCH($E243,学年度总表!$E$3:$E$1025,0)))</f>
        <v/>
      </c>
      <c r="Q243" s="5" t="str">
        <f>IF(INDEX(学年度总表!$Q$3:$Q$1025,MATCH($E243,学年度总表!$E$3:$E$1025,0))="","",INDEX(学年度总表!$Q$3:$Q$1025,MATCH($E243,学年度总表!$E$3:$E$1025,0)))</f>
        <v/>
      </c>
    </row>
    <row r="244" spans="1:17">
      <c r="A244" s="2">
        <f>IF(INDEX(学年度总表!$A$3:$A$1025,MATCH($E244,学年度总表!$E$3:$E$1025,0))="","",INDEX(学年度总表!$A$3:$A$1025,MATCH($E244,学年度总表!$E$3:$E$1025,0)))</f>
        <v>691</v>
      </c>
      <c r="B244" s="2">
        <f>IF(INDEX(学年度总表!$B$3:$B$1025,MATCH($E244,学年度总表!$E$3:$E$1025,0))="","",INDEX(学年度总表!$B$3:$B$1025,MATCH($E244,学年度总表!$E$3:$E$1025,0)))</f>
        <v>242</v>
      </c>
      <c r="C244" s="2" t="str">
        <f>IF(INDEX(学年度总表!$C$3:$C$1025,MATCH($E244,学年度总表!$E$3:$E$1025,0))="","",INDEX(学年度总表!$C$3:$C$1025,MATCH($E244,学年度总表!$E$3:$E$1025,0)))</f>
        <v>软工</v>
      </c>
      <c r="D244" s="2" t="str">
        <f>IF(INDEX(学年度总表!$D$3:$D$1025,MATCH($E244,学年度总表!$E$3:$E$1025,0))="","",INDEX(学年度总表!$D$3:$D$1025,MATCH($E244,学年度总表!$E$3:$E$1025,0)))</f>
        <v>软工5班</v>
      </c>
      <c r="E244" s="2" t="s">
        <v>1443</v>
      </c>
      <c r="F244" s="2" t="str">
        <f>IF(INDEX(学年度总表!$F$3:$F$1025,MATCH($E244,学年度总表!$E$3:$E$1025,0))="","",INDEX(学年度总表!$F$3:$F$1025,MATCH($E244,学年度总表!$E$3:$E$1025,0)))</f>
        <v>于金卉</v>
      </c>
      <c r="G244" s="3">
        <f>IF(INDEX(学年度总表!$G$3:$G$1025,MATCH($E244,学年度总表!$E$3:$E$1025,0))="","",INDEX(学年度总表!$G$3:$G$1025,MATCH($E244,学年度总表!$E$3:$E$1025,0)))</f>
        <v>9.8000000000000007</v>
      </c>
      <c r="H244" s="3">
        <f>IF(INDEX(学年度总表!$H$3:$H$1025,MATCH($E244,学年度总表!$E$3:$E$1025,0))="","",INDEX(学年度总表!$H$3:$H$1025,MATCH($E244,学年度总表!$E$3:$E$1025,0)))</f>
        <v>51.06</v>
      </c>
      <c r="I244" s="3">
        <f>IF(INDEX(学年度总表!$I$3:$I$1025,MATCH($E244,学年度总表!$E$3:$E$1025,0))="","",INDEX(学年度总表!$I$3:$I$1025,MATCH($E244,学年度总表!$E$3:$E$1025,0)))</f>
        <v>3.9</v>
      </c>
      <c r="J244" s="3">
        <f>IF(INDEX(学年度总表!$J$3:$J$1025,MATCH($E244,学年度总表!$E$3:$E$1025,0))="","",INDEX(学年度总表!$J$3:$J$1025,MATCH($E244,学年度总表!$E$3:$E$1025,0)))</f>
        <v>64.760000000000005</v>
      </c>
      <c r="K244" s="3">
        <f>IF(INDEX(学年度总表!$K$3:$K$1025,MATCH($E244,学年度总表!$E$3:$E$1025,0))="","",INDEX(学年度总表!$K$3:$K$1025,MATCH($E244,学年度总表!$E$3:$E$1025,0)))</f>
        <v>9.8000000000000007</v>
      </c>
      <c r="L244" s="3">
        <f>IF(INDEX(学年度总表!$L$3:$L$1025,MATCH($E244,学年度总表!$E$3:$E$1025,0))="","",INDEX(学年度总表!$L$3:$L$1025,MATCH($E244,学年度总表!$E$3:$E$1025,0)))</f>
        <v>51.82</v>
      </c>
      <c r="M244" s="3">
        <f>IF(INDEX(学年度总表!$M$3:$M$1025,MATCH($E244,学年度总表!$E$3:$E$1025,0))="","",INDEX(学年度总表!$M$3:$M$1025,MATCH($E244,学年度总表!$E$3:$E$1025,0)))</f>
        <v>4.4000000000000004</v>
      </c>
      <c r="N244" s="3">
        <f>IF(INDEX(学年度总表!$N$3:$N$1025,MATCH($E244,学年度总表!$E$3:$E$1025,0))="","",INDEX(学年度总表!$N$3:$N$1025,MATCH($E244,学年度总表!$E$3:$E$1025,0)))</f>
        <v>66.02</v>
      </c>
      <c r="O244" s="3">
        <f>IF(INDEX(学年度总表!$O$3:$O$1025,MATCH($E244,学年度总表!$E$3:$E$1025,0))="","",INDEX(学年度总表!$O$3:$O$1025,MATCH($E244,学年度总表!$E$3:$E$1025,0)))</f>
        <v>130.78</v>
      </c>
      <c r="P244" s="2" t="str">
        <f>IF(INDEX(学年度总表!$P$3:$P$1025,MATCH($E244,学年度总表!$E$3:$E$1025,0))="","",INDEX(学年度总表!$P$3:$P$1025,MATCH($E244,学年度总表!$E$3:$E$1025,0)))</f>
        <v/>
      </c>
      <c r="Q244" s="5" t="str">
        <f>IF(INDEX(学年度总表!$Q$3:$Q$1025,MATCH($E244,学年度总表!$E$3:$E$1025,0))="","",INDEX(学年度总表!$Q$3:$Q$1025,MATCH($E244,学年度总表!$E$3:$E$1025,0)))</f>
        <v/>
      </c>
    </row>
    <row r="245" spans="1:17">
      <c r="A245" s="2">
        <f>IF(INDEX(学年度总表!$A$3:$A$1025,MATCH($E245,学年度总表!$E$3:$E$1025,0))="","",INDEX(学年度总表!$A$3:$A$1025,MATCH($E245,学年度总表!$E$3:$E$1025,0)))</f>
        <v>692</v>
      </c>
      <c r="B245" s="2">
        <f>IF(INDEX(学年度总表!$B$3:$B$1025,MATCH($E245,学年度总表!$E$3:$E$1025,0))="","",INDEX(学年度总表!$B$3:$B$1025,MATCH($E245,学年度总表!$E$3:$E$1025,0)))</f>
        <v>243</v>
      </c>
      <c r="C245" s="2" t="str">
        <f>IF(INDEX(学年度总表!$C$3:$C$1025,MATCH($E245,学年度总表!$E$3:$E$1025,0))="","",INDEX(学年度总表!$C$3:$C$1025,MATCH($E245,学年度总表!$E$3:$E$1025,0)))</f>
        <v>软工</v>
      </c>
      <c r="D245" s="2" t="str">
        <f>IF(INDEX(学年度总表!$D$3:$D$1025,MATCH($E245,学年度总表!$E$3:$E$1025,0))="","",INDEX(学年度总表!$D$3:$D$1025,MATCH($E245,学年度总表!$E$3:$E$1025,0)))</f>
        <v>软工10班</v>
      </c>
      <c r="E245" s="2" t="s">
        <v>1445</v>
      </c>
      <c r="F245" s="2" t="str">
        <f>IF(INDEX(学年度总表!$F$3:$F$1025,MATCH($E245,学年度总表!$E$3:$E$1025,0))="","",INDEX(学年度总表!$F$3:$F$1025,MATCH($E245,学年度总表!$E$3:$E$1025,0)))</f>
        <v>李沐朗</v>
      </c>
      <c r="G245" s="3">
        <f>IF(INDEX(学年度总表!$G$3:$G$1025,MATCH($E245,学年度总表!$E$3:$E$1025,0))="","",INDEX(学年度总表!$G$3:$G$1025,MATCH($E245,学年度总表!$E$3:$E$1025,0)))</f>
        <v>9.8000000000000007</v>
      </c>
      <c r="H245" s="3">
        <f>IF(INDEX(学年度总表!$H$3:$H$1025,MATCH($E245,学年度总表!$E$3:$E$1025,0))="","",INDEX(学年度总表!$H$3:$H$1025,MATCH($E245,学年度总表!$E$3:$E$1025,0)))</f>
        <v>55.48</v>
      </c>
      <c r="I245" s="3">
        <f>IF(INDEX(学年度总表!$I$3:$I$1025,MATCH($E245,学年度总表!$E$3:$E$1025,0))="","",INDEX(学年度总表!$I$3:$I$1025,MATCH($E245,学年度总表!$E$3:$E$1025,0)))</f>
        <v>3.65</v>
      </c>
      <c r="J245" s="3">
        <f>IF(INDEX(学年度总表!$J$3:$J$1025,MATCH($E245,学年度总表!$E$3:$E$1025,0))="","",INDEX(学年度总表!$J$3:$J$1025,MATCH($E245,学年度总表!$E$3:$E$1025,0)))</f>
        <v>68.930000000000007</v>
      </c>
      <c r="K245" s="3">
        <f>IF(INDEX(学年度总表!$K$3:$K$1025,MATCH($E245,学年度总表!$E$3:$E$1025,0))="","",INDEX(学年度总表!$K$3:$K$1025,MATCH($E245,学年度总表!$E$3:$E$1025,0)))</f>
        <v>9.8000000000000007</v>
      </c>
      <c r="L245" s="3">
        <f>IF(INDEX(学年度总表!$L$3:$L$1025,MATCH($E245,学年度总表!$E$3:$E$1025,0))="","",INDEX(学年度总表!$L$3:$L$1025,MATCH($E245,学年度总表!$E$3:$E$1025,0)))</f>
        <v>48.77</v>
      </c>
      <c r="M245" s="3">
        <f>IF(INDEX(学年度总表!$M$3:$M$1025,MATCH($E245,学年度总表!$E$3:$E$1025,0))="","",INDEX(学年度总表!$M$3:$M$1025,MATCH($E245,学年度总表!$E$3:$E$1025,0)))</f>
        <v>3.2</v>
      </c>
      <c r="N245" s="3">
        <f>IF(INDEX(学年度总表!$N$3:$N$1025,MATCH($E245,学年度总表!$E$3:$E$1025,0))="","",INDEX(学年度总表!$N$3:$N$1025,MATCH($E245,学年度总表!$E$3:$E$1025,0)))</f>
        <v>61.77</v>
      </c>
      <c r="O245" s="3">
        <f>IF(INDEX(学年度总表!$O$3:$O$1025,MATCH($E245,学年度总表!$E$3:$E$1025,0))="","",INDEX(学年度总表!$O$3:$O$1025,MATCH($E245,学年度总表!$E$3:$E$1025,0)))</f>
        <v>130.69999999999999</v>
      </c>
      <c r="P245" s="2" t="str">
        <f>IF(INDEX(学年度总表!$P$3:$P$1025,MATCH($E245,学年度总表!$E$3:$E$1025,0))="","",INDEX(学年度总表!$P$3:$P$1025,MATCH($E245,学年度总表!$E$3:$E$1025,0)))</f>
        <v/>
      </c>
      <c r="Q245" s="5" t="str">
        <f>IF(INDEX(学年度总表!$Q$3:$Q$1025,MATCH($E245,学年度总表!$E$3:$E$1025,0))="","",INDEX(学年度总表!$Q$3:$Q$1025,MATCH($E245,学年度总表!$E$3:$E$1025,0)))</f>
        <v/>
      </c>
    </row>
    <row r="246" spans="1:17">
      <c r="A246" s="2">
        <f>IF(INDEX(学年度总表!$A$3:$A$1025,MATCH($E246,学年度总表!$E$3:$E$1025,0))="","",INDEX(学年度总表!$A$3:$A$1025,MATCH($E246,学年度总表!$E$3:$E$1025,0)))</f>
        <v>697</v>
      </c>
      <c r="B246" s="2">
        <f>IF(INDEX(学年度总表!$B$3:$B$1025,MATCH($E246,学年度总表!$E$3:$E$1025,0))="","",INDEX(学年度总表!$B$3:$B$1025,MATCH($E246,学年度总表!$E$3:$E$1025,0)))</f>
        <v>244</v>
      </c>
      <c r="C246" s="2" t="str">
        <f>IF(INDEX(学年度总表!$C$3:$C$1025,MATCH($E246,学年度总表!$E$3:$E$1025,0))="","",INDEX(学年度总表!$C$3:$C$1025,MATCH($E246,学年度总表!$E$3:$E$1025,0)))</f>
        <v>软工</v>
      </c>
      <c r="D246" s="2" t="str">
        <f>IF(INDEX(学年度总表!$D$3:$D$1025,MATCH($E246,学年度总表!$E$3:$E$1025,0))="","",INDEX(学年度总表!$D$3:$D$1025,MATCH($E246,学年度总表!$E$3:$E$1025,0)))</f>
        <v>软工14班</v>
      </c>
      <c r="E246" s="2" t="s">
        <v>1455</v>
      </c>
      <c r="F246" s="2" t="str">
        <f>IF(INDEX(学年度总表!$F$3:$F$1025,MATCH($E246,学年度总表!$E$3:$E$1025,0))="","",INDEX(学年度总表!$F$3:$F$1025,MATCH($E246,学年度总表!$E$3:$E$1025,0)))</f>
        <v>林茂泽</v>
      </c>
      <c r="G246" s="3">
        <f>IF(INDEX(学年度总表!$G$3:$G$1025,MATCH($E246,学年度总表!$E$3:$E$1025,0))="","",INDEX(学年度总表!$G$3:$G$1025,MATCH($E246,学年度总表!$E$3:$E$1025,0)))</f>
        <v>9.8000000000000007</v>
      </c>
      <c r="H246" s="3">
        <f>IF(INDEX(学年度总表!$H$3:$H$1025,MATCH($E246,学年度总表!$E$3:$E$1025,0))="","",INDEX(学年度总表!$H$3:$H$1025,MATCH($E246,学年度总表!$E$3:$E$1025,0)))</f>
        <v>52.56</v>
      </c>
      <c r="I246" s="3">
        <f>IF(INDEX(学年度总表!$I$3:$I$1025,MATCH($E246,学年度总表!$E$3:$E$1025,0))="","",INDEX(学年度总表!$I$3:$I$1025,MATCH($E246,学年度总表!$E$3:$E$1025,0)))</f>
        <v>3</v>
      </c>
      <c r="J246" s="3">
        <f>IF(INDEX(学年度总表!$J$3:$J$1025,MATCH($E246,学年度总表!$E$3:$E$1025,0))="","",INDEX(学年度总表!$J$3:$J$1025,MATCH($E246,学年度总表!$E$3:$E$1025,0)))</f>
        <v>65.36</v>
      </c>
      <c r="K246" s="3">
        <f>IF(INDEX(学年度总表!$K$3:$K$1025,MATCH($E246,学年度总表!$E$3:$E$1025,0))="","",INDEX(学年度总表!$K$3:$K$1025,MATCH($E246,学年度总表!$E$3:$E$1025,0)))</f>
        <v>9.8000000000000007</v>
      </c>
      <c r="L246" s="3">
        <f>IF(INDEX(学年度总表!$L$3:$L$1025,MATCH($E246,学年度总表!$E$3:$E$1025,0))="","",INDEX(学年度总表!$L$3:$L$1025,MATCH($E246,学年度总表!$E$3:$E$1025,0)))</f>
        <v>51.82</v>
      </c>
      <c r="M246" s="3">
        <f>IF(INDEX(学年度总表!$M$3:$M$1025,MATCH($E246,学年度总表!$E$3:$E$1025,0))="","",INDEX(学年度总表!$M$3:$M$1025,MATCH($E246,学年度总表!$E$3:$E$1025,0)))</f>
        <v>3.35</v>
      </c>
      <c r="N246" s="3">
        <f>IF(INDEX(学年度总表!$N$3:$N$1025,MATCH($E246,学年度总表!$E$3:$E$1025,0))="","",INDEX(学年度总表!$N$3:$N$1025,MATCH($E246,学年度总表!$E$3:$E$1025,0)))</f>
        <v>64.97</v>
      </c>
      <c r="O246" s="3">
        <f>IF(INDEX(学年度总表!$O$3:$O$1025,MATCH($E246,学年度总表!$E$3:$E$1025,0))="","",INDEX(学年度总表!$O$3:$O$1025,MATCH($E246,学年度总表!$E$3:$E$1025,0)))</f>
        <v>130.33000000000001</v>
      </c>
      <c r="P246" s="2" t="str">
        <f>IF(INDEX(学年度总表!$P$3:$P$1025,MATCH($E246,学年度总表!$E$3:$E$1025,0))="","",INDEX(学年度总表!$P$3:$P$1025,MATCH($E246,学年度总表!$E$3:$E$1025,0)))</f>
        <v/>
      </c>
      <c r="Q246" s="5" t="str">
        <f>IF(INDEX(学年度总表!$Q$3:$Q$1025,MATCH($E246,学年度总表!$E$3:$E$1025,0))="","",INDEX(学年度总表!$Q$3:$Q$1025,MATCH($E246,学年度总表!$E$3:$E$1025,0)))</f>
        <v/>
      </c>
    </row>
    <row r="247" spans="1:17">
      <c r="A247" s="2">
        <f>IF(INDEX(学年度总表!$A$3:$A$1025,MATCH($E247,学年度总表!$E$3:$E$1025,0))="","",INDEX(学年度总表!$A$3:$A$1025,MATCH($E247,学年度总表!$E$3:$E$1025,0)))</f>
        <v>706</v>
      </c>
      <c r="B247" s="2">
        <f>IF(INDEX(学年度总表!$B$3:$B$1025,MATCH($E247,学年度总表!$E$3:$E$1025,0))="","",INDEX(学年度总表!$B$3:$B$1025,MATCH($E247,学年度总表!$E$3:$E$1025,0)))</f>
        <v>245</v>
      </c>
      <c r="C247" s="2" t="str">
        <f>IF(INDEX(学年度总表!$C$3:$C$1025,MATCH($E247,学年度总表!$E$3:$E$1025,0))="","",INDEX(学年度总表!$C$3:$C$1025,MATCH($E247,学年度总表!$E$3:$E$1025,0)))</f>
        <v>软工</v>
      </c>
      <c r="D247" s="2" t="str">
        <f>IF(INDEX(学年度总表!$D$3:$D$1025,MATCH($E247,学年度总表!$E$3:$E$1025,0))="","",INDEX(学年度总表!$D$3:$D$1025,MATCH($E247,学年度总表!$E$3:$E$1025,0)))</f>
        <v>软工10班</v>
      </c>
      <c r="E247" s="2" t="s">
        <v>1473</v>
      </c>
      <c r="F247" s="2" t="str">
        <f>IF(INDEX(学年度总表!$F$3:$F$1025,MATCH($E247,学年度总表!$E$3:$E$1025,0))="","",INDEX(学年度总表!$F$3:$F$1025,MATCH($E247,学年度总表!$E$3:$E$1025,0)))</f>
        <v>李芃霖</v>
      </c>
      <c r="G247" s="3">
        <f>IF(INDEX(学年度总表!$G$3:$G$1025,MATCH($E247,学年度总表!$E$3:$E$1025,0))="","",INDEX(学年度总表!$G$3:$G$1025,MATCH($E247,学年度总表!$E$3:$E$1025,0)))</f>
        <v>9.8000000000000007</v>
      </c>
      <c r="H247" s="3">
        <f>IF(INDEX(学年度总表!$H$3:$H$1025,MATCH($E247,学年度总表!$E$3:$E$1025,0))="","",INDEX(学年度总表!$H$3:$H$1025,MATCH($E247,学年度总表!$E$3:$E$1025,0)))</f>
        <v>57.6</v>
      </c>
      <c r="I247" s="3">
        <f>IF(INDEX(学年度总表!$I$3:$I$1025,MATCH($E247,学年度总表!$E$3:$E$1025,0))="","",INDEX(学年度总表!$I$3:$I$1025,MATCH($E247,学年度总表!$E$3:$E$1025,0)))</f>
        <v>3</v>
      </c>
      <c r="J247" s="3">
        <f>IF(INDEX(学年度总表!$J$3:$J$1025,MATCH($E247,学年度总表!$E$3:$E$1025,0))="","",INDEX(学年度总表!$J$3:$J$1025,MATCH($E247,学年度总表!$E$3:$E$1025,0)))</f>
        <v>70.400000000000006</v>
      </c>
      <c r="K247" s="3">
        <f>IF(INDEX(学年度总表!$K$3:$K$1025,MATCH($E247,学年度总表!$E$3:$E$1025,0))="","",INDEX(学年度总表!$K$3:$K$1025,MATCH($E247,学年度总表!$E$3:$E$1025,0)))</f>
        <v>9.8000000000000007</v>
      </c>
      <c r="L247" s="3">
        <f>IF(INDEX(学年度总表!$L$3:$L$1025,MATCH($E247,学年度总表!$E$3:$E$1025,0))="","",INDEX(学年度总表!$L$3:$L$1025,MATCH($E247,学年度总表!$E$3:$E$1025,0)))</f>
        <v>46.14</v>
      </c>
      <c r="M247" s="3">
        <f>IF(INDEX(学年度总表!$M$3:$M$1025,MATCH($E247,学年度总表!$E$3:$E$1025,0))="","",INDEX(学年度总表!$M$3:$M$1025,MATCH($E247,学年度总表!$E$3:$E$1025,0)))</f>
        <v>3.5</v>
      </c>
      <c r="N247" s="3">
        <f>IF(INDEX(学年度总表!$N$3:$N$1025,MATCH($E247,学年度总表!$E$3:$E$1025,0))="","",INDEX(学年度总表!$N$3:$N$1025,MATCH($E247,学年度总表!$E$3:$E$1025,0)))</f>
        <v>59.44</v>
      </c>
      <c r="O247" s="3">
        <f>IF(INDEX(学年度总表!$O$3:$O$1025,MATCH($E247,学年度总表!$E$3:$E$1025,0))="","",INDEX(学年度总表!$O$3:$O$1025,MATCH($E247,学年度总表!$E$3:$E$1025,0)))</f>
        <v>129.84</v>
      </c>
      <c r="P247" s="2" t="str">
        <f>IF(INDEX(学年度总表!$P$3:$P$1025,MATCH($E247,学年度总表!$E$3:$E$1025,0))="","",INDEX(学年度总表!$P$3:$P$1025,MATCH($E247,学年度总表!$E$3:$E$1025,0)))</f>
        <v/>
      </c>
      <c r="Q247" s="5" t="str">
        <f>IF(INDEX(学年度总表!$Q$3:$Q$1025,MATCH($E247,学年度总表!$E$3:$E$1025,0))="","",INDEX(学年度总表!$Q$3:$Q$1025,MATCH($E247,学年度总表!$E$3:$E$1025,0)))</f>
        <v/>
      </c>
    </row>
    <row r="248" spans="1:17">
      <c r="A248" s="2">
        <f>IF(INDEX(学年度总表!$A$3:$A$1025,MATCH($E248,学年度总表!$E$3:$E$1025,0))="","",INDEX(学年度总表!$A$3:$A$1025,MATCH($E248,学年度总表!$E$3:$E$1025,0)))</f>
        <v>708</v>
      </c>
      <c r="B248" s="2">
        <f>IF(INDEX(学年度总表!$B$3:$B$1025,MATCH($E248,学年度总表!$E$3:$E$1025,0))="","",INDEX(学年度总表!$B$3:$B$1025,MATCH($E248,学年度总表!$E$3:$E$1025,0)))</f>
        <v>246</v>
      </c>
      <c r="C248" s="2" t="str">
        <f>IF(INDEX(学年度总表!$C$3:$C$1025,MATCH($E248,学年度总表!$E$3:$E$1025,0))="","",INDEX(学年度总表!$C$3:$C$1025,MATCH($E248,学年度总表!$E$3:$E$1025,0)))</f>
        <v>软工</v>
      </c>
      <c r="D248" s="2" t="str">
        <f>IF(INDEX(学年度总表!$D$3:$D$1025,MATCH($E248,学年度总表!$E$3:$E$1025,0))="","",INDEX(学年度总表!$D$3:$D$1025,MATCH($E248,学年度总表!$E$3:$E$1025,0)))</f>
        <v>软工10班</v>
      </c>
      <c r="E248" s="2" t="s">
        <v>1477</v>
      </c>
      <c r="F248" s="2" t="str">
        <f>IF(INDEX(学年度总表!$F$3:$F$1025,MATCH($E248,学年度总表!$E$3:$E$1025,0))="","",INDEX(学年度总表!$F$3:$F$1025,MATCH($E248,学年度总表!$E$3:$E$1025,0)))</f>
        <v>陶柏旭</v>
      </c>
      <c r="G248" s="3">
        <f>IF(INDEX(学年度总表!$G$3:$G$1025,MATCH($E248,学年度总表!$E$3:$E$1025,0))="","",INDEX(学年度总表!$G$3:$G$1025,MATCH($E248,学年度总表!$E$3:$E$1025,0)))</f>
        <v>9.8000000000000007</v>
      </c>
      <c r="H248" s="3">
        <f>IF(INDEX(学年度总表!$H$3:$H$1025,MATCH($E248,学年度总表!$E$3:$E$1025,0))="","",INDEX(学年度总表!$H$3:$H$1025,MATCH($E248,学年度总表!$E$3:$E$1025,0)))</f>
        <v>56.21</v>
      </c>
      <c r="I248" s="3">
        <f>IF(INDEX(学年度总表!$I$3:$I$1025,MATCH($E248,学年度总表!$E$3:$E$1025,0))="","",INDEX(学年度总表!$I$3:$I$1025,MATCH($E248,学年度总表!$E$3:$E$1025,0)))</f>
        <v>3</v>
      </c>
      <c r="J248" s="3">
        <f>IF(INDEX(学年度总表!$J$3:$J$1025,MATCH($E248,学年度总表!$E$3:$E$1025,0))="","",INDEX(学年度总表!$J$3:$J$1025,MATCH($E248,学年度总表!$E$3:$E$1025,0)))</f>
        <v>69.010000000000005</v>
      </c>
      <c r="K248" s="3">
        <f>IF(INDEX(学年度总表!$K$3:$K$1025,MATCH($E248,学年度总表!$E$3:$E$1025,0))="","",INDEX(学年度总表!$K$3:$K$1025,MATCH($E248,学年度总表!$E$3:$E$1025,0)))</f>
        <v>9.8000000000000007</v>
      </c>
      <c r="L248" s="3">
        <f>IF(INDEX(学年度总表!$L$3:$L$1025,MATCH($E248,学年度总表!$E$3:$E$1025,0))="","",INDEX(学年度总表!$L$3:$L$1025,MATCH($E248,学年度总表!$E$3:$E$1025,0)))</f>
        <v>47.46</v>
      </c>
      <c r="M248" s="3">
        <f>IF(INDEX(学年度总表!$M$3:$M$1025,MATCH($E248,学年度总表!$E$3:$E$1025,0))="","",INDEX(学年度总表!$M$3:$M$1025,MATCH($E248,学年度总表!$E$3:$E$1025,0)))</f>
        <v>3.5</v>
      </c>
      <c r="N248" s="3">
        <f>IF(INDEX(学年度总表!$N$3:$N$1025,MATCH($E248,学年度总表!$E$3:$E$1025,0))="","",INDEX(学年度总表!$N$3:$N$1025,MATCH($E248,学年度总表!$E$3:$E$1025,0)))</f>
        <v>60.76</v>
      </c>
      <c r="O248" s="3">
        <f>IF(INDEX(学年度总表!$O$3:$O$1025,MATCH($E248,学年度总表!$E$3:$E$1025,0))="","",INDEX(学年度总表!$O$3:$O$1025,MATCH($E248,学年度总表!$E$3:$E$1025,0)))</f>
        <v>129.77000000000001</v>
      </c>
      <c r="P248" s="2" t="str">
        <f>IF(INDEX(学年度总表!$P$3:$P$1025,MATCH($E248,学年度总表!$E$3:$E$1025,0))="","",INDEX(学年度总表!$P$3:$P$1025,MATCH($E248,学年度总表!$E$3:$E$1025,0)))</f>
        <v/>
      </c>
      <c r="Q248" s="5" t="str">
        <f>IF(INDEX(学年度总表!$Q$3:$Q$1025,MATCH($E248,学年度总表!$E$3:$E$1025,0))="","",INDEX(学年度总表!$Q$3:$Q$1025,MATCH($E248,学年度总表!$E$3:$E$1025,0)))</f>
        <v/>
      </c>
    </row>
    <row r="249" spans="1:17">
      <c r="A249" s="2">
        <f>IF(INDEX(学年度总表!$A$3:$A$1025,MATCH($E249,学年度总表!$E$3:$E$1025,0))="","",INDEX(学年度总表!$A$3:$A$1025,MATCH($E249,学年度总表!$E$3:$E$1025,0)))</f>
        <v>710</v>
      </c>
      <c r="B249" s="2">
        <f>IF(INDEX(学年度总表!$B$3:$B$1025,MATCH($E249,学年度总表!$E$3:$E$1025,0))="","",INDEX(学年度总表!$B$3:$B$1025,MATCH($E249,学年度总表!$E$3:$E$1025,0)))</f>
        <v>247</v>
      </c>
      <c r="C249" s="2" t="str">
        <f>IF(INDEX(学年度总表!$C$3:$C$1025,MATCH($E249,学年度总表!$E$3:$E$1025,0))="","",INDEX(学年度总表!$C$3:$C$1025,MATCH($E249,学年度总表!$E$3:$E$1025,0)))</f>
        <v>软工</v>
      </c>
      <c r="D249" s="2" t="str">
        <f>IF(INDEX(学年度总表!$D$3:$D$1025,MATCH($E249,学年度总表!$E$3:$E$1025,0))="","",INDEX(学年度总表!$D$3:$D$1025,MATCH($E249,学年度总表!$E$3:$E$1025,0)))</f>
        <v>软工6班</v>
      </c>
      <c r="E249" s="2" t="s">
        <v>1483</v>
      </c>
      <c r="F249" s="2" t="str">
        <f>IF(INDEX(学年度总表!$F$3:$F$1025,MATCH($E249,学年度总表!$E$3:$E$1025,0))="","",INDEX(学年度总表!$F$3:$F$1025,MATCH($E249,学年度总表!$E$3:$E$1025,0)))</f>
        <v>高薪颜</v>
      </c>
      <c r="G249" s="3">
        <f>IF(INDEX(学年度总表!$G$3:$G$1025,MATCH($E249,学年度总表!$E$3:$E$1025,0))="","",INDEX(学年度总表!$G$3:$G$1025,MATCH($E249,学年度总表!$E$3:$E$1025,0)))</f>
        <v>10</v>
      </c>
      <c r="H249" s="3">
        <f>IF(INDEX(学年度总表!$H$3:$H$1025,MATCH($E249,学年度总表!$E$3:$E$1025,0))="","",INDEX(学年度总表!$H$3:$H$1025,MATCH($E249,学年度总表!$E$3:$E$1025,0)))</f>
        <v>53.336734693877602</v>
      </c>
      <c r="I249" s="3">
        <f>IF(INDEX(学年度总表!$I$3:$I$1025,MATCH($E249,学年度总表!$E$3:$E$1025,0))="","",INDEX(学年度总表!$I$3:$I$1025,MATCH($E249,学年度总表!$E$3:$E$1025,0)))</f>
        <v>3.6</v>
      </c>
      <c r="J249" s="3">
        <f>IF(INDEX(学年度总表!$J$3:$J$1025,MATCH($E249,学年度总表!$E$3:$E$1025,0))="","",INDEX(学年度总表!$J$3:$J$1025,MATCH($E249,学年度总表!$E$3:$E$1025,0)))</f>
        <v>66.94</v>
      </c>
      <c r="K249" s="3">
        <f>IF(INDEX(学年度总表!$K$3:$K$1025,MATCH($E249,学年度总表!$E$3:$E$1025,0))="","",INDEX(学年度总表!$K$3:$K$1025,MATCH($E249,学年度总表!$E$3:$E$1025,0)))</f>
        <v>10</v>
      </c>
      <c r="L249" s="3">
        <f>IF(INDEX(学年度总表!$L$3:$L$1025,MATCH($E249,学年度总表!$E$3:$E$1025,0))="","",INDEX(学年度总表!$L$3:$L$1025,MATCH($E249,学年度总表!$E$3:$E$1025,0)))</f>
        <v>49.8</v>
      </c>
      <c r="M249" s="3">
        <f>IF(INDEX(学年度总表!$M$3:$M$1025,MATCH($E249,学年度总表!$E$3:$E$1025,0))="","",INDEX(学年度总表!$M$3:$M$1025,MATCH($E249,学年度总表!$E$3:$E$1025,0)))</f>
        <v>3</v>
      </c>
      <c r="N249" s="3">
        <f>IF(INDEX(学年度总表!$N$3:$N$1025,MATCH($E249,学年度总表!$E$3:$E$1025,0))="","",INDEX(学年度总表!$N$3:$N$1025,MATCH($E249,学年度总表!$E$3:$E$1025,0)))</f>
        <v>62.8</v>
      </c>
      <c r="O249" s="3">
        <f>IF(INDEX(学年度总表!$O$3:$O$1025,MATCH($E249,学年度总表!$E$3:$E$1025,0))="","",INDEX(学年度总表!$O$3:$O$1025,MATCH($E249,学年度总表!$E$3:$E$1025,0)))</f>
        <v>129.74</v>
      </c>
      <c r="P249" s="2" t="str">
        <f>IF(INDEX(学年度总表!$P$3:$P$1025,MATCH($E249,学年度总表!$E$3:$E$1025,0))="","",INDEX(学年度总表!$P$3:$P$1025,MATCH($E249,学年度总表!$E$3:$E$1025,0)))</f>
        <v/>
      </c>
      <c r="Q249" s="5" t="str">
        <f>IF(INDEX(学年度总表!$Q$3:$Q$1025,MATCH($E249,学年度总表!$E$3:$E$1025,0))="","",INDEX(学年度总表!$Q$3:$Q$1025,MATCH($E249,学年度总表!$E$3:$E$1025,0)))</f>
        <v/>
      </c>
    </row>
    <row r="250" spans="1:17">
      <c r="A250" s="2">
        <f>IF(INDEX(学年度总表!$A$3:$A$1025,MATCH($E250,学年度总表!$E$3:$E$1025,0))="","",INDEX(学年度总表!$A$3:$A$1025,MATCH($E250,学年度总表!$E$3:$E$1025,0)))</f>
        <v>714</v>
      </c>
      <c r="B250" s="2">
        <f>IF(INDEX(学年度总表!$B$3:$B$1025,MATCH($E250,学年度总表!$E$3:$E$1025,0))="","",INDEX(学年度总表!$B$3:$B$1025,MATCH($E250,学年度总表!$E$3:$E$1025,0)))</f>
        <v>248</v>
      </c>
      <c r="C250" s="2" t="str">
        <f>IF(INDEX(学年度总表!$C$3:$C$1025,MATCH($E250,学年度总表!$E$3:$E$1025,0))="","",INDEX(学年度总表!$C$3:$C$1025,MATCH($E250,学年度总表!$E$3:$E$1025,0)))</f>
        <v>软工</v>
      </c>
      <c r="D250" s="2" t="str">
        <f>IF(INDEX(学年度总表!$D$3:$D$1025,MATCH($E250,学年度总表!$E$3:$E$1025,0))="","",INDEX(学年度总表!$D$3:$D$1025,MATCH($E250,学年度总表!$E$3:$E$1025,0)))</f>
        <v>软工9班</v>
      </c>
      <c r="E250" s="2" t="s">
        <v>1489</v>
      </c>
      <c r="F250" s="2" t="str">
        <f>IF(INDEX(学年度总表!$F$3:$F$1025,MATCH($E250,学年度总表!$E$3:$E$1025,0))="","",INDEX(学年度总表!$F$3:$F$1025,MATCH($E250,学年度总表!$E$3:$E$1025,0)))</f>
        <v>杨埔茵</v>
      </c>
      <c r="G250" s="3">
        <f>IF(INDEX(学年度总表!$G$3:$G$1025,MATCH($E250,学年度总表!$E$3:$E$1025,0))="","",INDEX(学年度总表!$G$3:$G$1025,MATCH($E250,学年度总表!$E$3:$E$1025,0)))</f>
        <v>10</v>
      </c>
      <c r="H250" s="3">
        <f>IF(INDEX(学年度总表!$H$3:$H$1025,MATCH($E250,学年度总表!$E$3:$E$1025,0))="","",INDEX(学年度总表!$H$3:$H$1025,MATCH($E250,学年度总表!$E$3:$E$1025,0)))</f>
        <v>48.617647058823501</v>
      </c>
      <c r="I250" s="3">
        <f>IF(INDEX(学年度总表!$I$3:$I$1025,MATCH($E250,学年度总表!$E$3:$E$1025,0))="","",INDEX(学年度总表!$I$3:$I$1025,MATCH($E250,学年度总表!$E$3:$E$1025,0)))</f>
        <v>3</v>
      </c>
      <c r="J250" s="3">
        <f>IF(INDEX(学年度总表!$J$3:$J$1025,MATCH($E250,学年度总表!$E$3:$E$1025,0))="","",INDEX(学年度总表!$J$3:$J$1025,MATCH($E250,学年度总表!$E$3:$E$1025,0)))</f>
        <v>61.62</v>
      </c>
      <c r="K250" s="3">
        <f>IF(INDEX(学年度总表!$K$3:$K$1025,MATCH($E250,学年度总表!$E$3:$E$1025,0))="","",INDEX(学年度总表!$K$3:$K$1025,MATCH($E250,学年度总表!$E$3:$E$1025,0)))</f>
        <v>10</v>
      </c>
      <c r="L250" s="3">
        <f>IF(INDEX(学年度总表!$L$3:$L$1025,MATCH($E250,学年度总表!$E$3:$E$1025,0))="","",INDEX(学年度总表!$L$3:$L$1025,MATCH($E250,学年度总表!$E$3:$E$1025,0)))</f>
        <v>54.45</v>
      </c>
      <c r="M250" s="3">
        <f>IF(INDEX(学年度总表!$M$3:$M$1025,MATCH($E250,学年度总表!$E$3:$E$1025,0))="","",INDEX(学年度总表!$M$3:$M$1025,MATCH($E250,学年度总表!$E$3:$E$1025,0)))</f>
        <v>3.5</v>
      </c>
      <c r="N250" s="3">
        <f>IF(INDEX(学年度总表!$N$3:$N$1025,MATCH($E250,学年度总表!$E$3:$E$1025,0))="","",INDEX(学年度总表!$N$3:$N$1025,MATCH($E250,学年度总表!$E$3:$E$1025,0)))</f>
        <v>67.95</v>
      </c>
      <c r="O250" s="3">
        <f>IF(INDEX(学年度总表!$O$3:$O$1025,MATCH($E250,学年度总表!$E$3:$E$1025,0))="","",INDEX(学年度总表!$O$3:$O$1025,MATCH($E250,学年度总表!$E$3:$E$1025,0)))</f>
        <v>129.57</v>
      </c>
      <c r="P250" s="2" t="str">
        <f>IF(INDEX(学年度总表!$P$3:$P$1025,MATCH($E250,学年度总表!$E$3:$E$1025,0))="","",INDEX(学年度总表!$P$3:$P$1025,MATCH($E250,学年度总表!$E$3:$E$1025,0)))</f>
        <v/>
      </c>
      <c r="Q250" s="5" t="str">
        <f>IF(INDEX(学年度总表!$Q$3:$Q$1025,MATCH($E250,学年度总表!$E$3:$E$1025,0))="","",INDEX(学年度总表!$Q$3:$Q$1025,MATCH($E250,学年度总表!$E$3:$E$1025,0)))</f>
        <v/>
      </c>
    </row>
    <row r="251" spans="1:17">
      <c r="A251" s="2">
        <f>IF(INDEX(学年度总表!$A$3:$A$1025,MATCH($E251,学年度总表!$E$3:$E$1025,0))="","",INDEX(学年度总表!$A$3:$A$1025,MATCH($E251,学年度总表!$E$3:$E$1025,0)))</f>
        <v>714</v>
      </c>
      <c r="B251" s="2">
        <f>IF(INDEX(学年度总表!$B$3:$B$1025,MATCH($E251,学年度总表!$E$3:$E$1025,0))="","",INDEX(学年度总表!$B$3:$B$1025,MATCH($E251,学年度总表!$E$3:$E$1025,0)))</f>
        <v>248</v>
      </c>
      <c r="C251" s="2" t="str">
        <f>IF(INDEX(学年度总表!$C$3:$C$1025,MATCH($E251,学年度总表!$E$3:$E$1025,0))="","",INDEX(学年度总表!$C$3:$C$1025,MATCH($E251,学年度总表!$E$3:$E$1025,0)))</f>
        <v>软工</v>
      </c>
      <c r="D251" s="2" t="str">
        <f>IF(INDEX(学年度总表!$D$3:$D$1025,MATCH($E251,学年度总表!$E$3:$E$1025,0))="","",INDEX(学年度总表!$D$3:$D$1025,MATCH($E251,学年度总表!$E$3:$E$1025,0)))</f>
        <v>软工12班</v>
      </c>
      <c r="E251" s="2" t="s">
        <v>1491</v>
      </c>
      <c r="F251" s="2" t="str">
        <f>IF(INDEX(学年度总表!$F$3:$F$1025,MATCH($E251,学年度总表!$E$3:$E$1025,0))="","",INDEX(学年度总表!$F$3:$F$1025,MATCH($E251,学年度总表!$E$3:$E$1025,0)))</f>
        <v>王鑫</v>
      </c>
      <c r="G251" s="3">
        <f>IF(INDEX(学年度总表!$G$3:$G$1025,MATCH($E251,学年度总表!$E$3:$E$1025,0))="","",INDEX(学年度总表!$G$3:$G$1025,MATCH($E251,学年度总表!$E$3:$E$1025,0)))</f>
        <v>9.8000000000000007</v>
      </c>
      <c r="H251" s="3">
        <f>IF(INDEX(学年度总表!$H$3:$H$1025,MATCH($E251,学年度总表!$E$3:$E$1025,0))="","",INDEX(学年度总表!$H$3:$H$1025,MATCH($E251,学年度总表!$E$3:$E$1025,0)))</f>
        <v>51.71</v>
      </c>
      <c r="I251" s="3">
        <f>IF(INDEX(学年度总表!$I$3:$I$1025,MATCH($E251,学年度总表!$E$3:$E$1025,0))="","",INDEX(学年度总表!$I$3:$I$1025,MATCH($E251,学年度总表!$E$3:$E$1025,0)))</f>
        <v>3</v>
      </c>
      <c r="J251" s="3">
        <f>IF(INDEX(学年度总表!$J$3:$J$1025,MATCH($E251,学年度总表!$E$3:$E$1025,0))="","",INDEX(学年度总表!$J$3:$J$1025,MATCH($E251,学年度总表!$E$3:$E$1025,0)))</f>
        <v>64.510000000000005</v>
      </c>
      <c r="K251" s="3">
        <f>IF(INDEX(学年度总表!$K$3:$K$1025,MATCH($E251,学年度总表!$E$3:$E$1025,0))="","",INDEX(学年度总表!$K$3:$K$1025,MATCH($E251,学年度总表!$E$3:$E$1025,0)))</f>
        <v>9.8000000000000007</v>
      </c>
      <c r="L251" s="3">
        <f>IF(INDEX(学年度总表!$L$3:$L$1025,MATCH($E251,学年度总表!$E$3:$E$1025,0))="","",INDEX(学年度总表!$L$3:$L$1025,MATCH($E251,学年度总表!$E$3:$E$1025,0)))</f>
        <v>51.76</v>
      </c>
      <c r="M251" s="3">
        <f>IF(INDEX(学年度总表!$M$3:$M$1025,MATCH($E251,学年度总表!$E$3:$E$1025,0))="","",INDEX(学年度总表!$M$3:$M$1025,MATCH($E251,学年度总表!$E$3:$E$1025,0)))</f>
        <v>3.5</v>
      </c>
      <c r="N251" s="3">
        <f>IF(INDEX(学年度总表!$N$3:$N$1025,MATCH($E251,学年度总表!$E$3:$E$1025,0))="","",INDEX(学年度总表!$N$3:$N$1025,MATCH($E251,学年度总表!$E$3:$E$1025,0)))</f>
        <v>65.06</v>
      </c>
      <c r="O251" s="3">
        <f>IF(INDEX(学年度总表!$O$3:$O$1025,MATCH($E251,学年度总表!$E$3:$E$1025,0))="","",INDEX(学年度总表!$O$3:$O$1025,MATCH($E251,学年度总表!$E$3:$E$1025,0)))</f>
        <v>129.57</v>
      </c>
      <c r="P251" s="2" t="str">
        <f>IF(INDEX(学年度总表!$P$3:$P$1025,MATCH($E251,学年度总表!$E$3:$E$1025,0))="","",INDEX(学年度总表!$P$3:$P$1025,MATCH($E251,学年度总表!$E$3:$E$1025,0)))</f>
        <v/>
      </c>
      <c r="Q251" s="5" t="str">
        <f>IF(INDEX(学年度总表!$Q$3:$Q$1025,MATCH($E251,学年度总表!$E$3:$E$1025,0))="","",INDEX(学年度总表!$Q$3:$Q$1025,MATCH($E251,学年度总表!$E$3:$E$1025,0)))</f>
        <v/>
      </c>
    </row>
    <row r="252" spans="1:17">
      <c r="A252" s="2">
        <f>IF(INDEX(学年度总表!$A$3:$A$1025,MATCH($E252,学年度总表!$E$3:$E$1025,0))="","",INDEX(学年度总表!$A$3:$A$1025,MATCH($E252,学年度总表!$E$3:$E$1025,0)))</f>
        <v>717</v>
      </c>
      <c r="B252" s="2">
        <f>IF(INDEX(学年度总表!$B$3:$B$1025,MATCH($E252,学年度总表!$E$3:$E$1025,0))="","",INDEX(学年度总表!$B$3:$B$1025,MATCH($E252,学年度总表!$E$3:$E$1025,0)))</f>
        <v>250</v>
      </c>
      <c r="C252" s="2" t="str">
        <f>IF(INDEX(学年度总表!$C$3:$C$1025,MATCH($E252,学年度总表!$E$3:$E$1025,0))="","",INDEX(学年度总表!$C$3:$C$1025,MATCH($E252,学年度总表!$E$3:$E$1025,0)))</f>
        <v>软工</v>
      </c>
      <c r="D252" s="2" t="str">
        <f>IF(INDEX(学年度总表!$D$3:$D$1025,MATCH($E252,学年度总表!$E$3:$E$1025,0))="","",INDEX(学年度总表!$D$3:$D$1025,MATCH($E252,学年度总表!$E$3:$E$1025,0)))</f>
        <v>软工11班</v>
      </c>
      <c r="E252" s="2" t="s">
        <v>1495</v>
      </c>
      <c r="F252" s="2" t="str">
        <f>IF(INDEX(学年度总表!$F$3:$F$1025,MATCH($E252,学年度总表!$E$3:$E$1025,0))="","",INDEX(学年度总表!$F$3:$F$1025,MATCH($E252,学年度总表!$E$3:$E$1025,0)))</f>
        <v>张一帆</v>
      </c>
      <c r="G252" s="3">
        <f>IF(INDEX(学年度总表!$G$3:$G$1025,MATCH($E252,学年度总表!$E$3:$E$1025,0))="","",INDEX(学年度总表!$G$3:$G$1025,MATCH($E252,学年度总表!$E$3:$E$1025,0)))</f>
        <v>9.8000000000000007</v>
      </c>
      <c r="H252" s="3">
        <f>IF(INDEX(学年度总表!$H$3:$H$1025,MATCH($E252,学年度总表!$E$3:$E$1025,0))="","",INDEX(学年度总表!$H$3:$H$1025,MATCH($E252,学年度总表!$E$3:$E$1025,0)))</f>
        <v>54.54</v>
      </c>
      <c r="I252" s="3">
        <f>IF(INDEX(学年度总表!$I$3:$I$1025,MATCH($E252,学年度总表!$E$3:$E$1025,0))="","",INDEX(学年度总表!$I$3:$I$1025,MATCH($E252,学年度总表!$E$3:$E$1025,0)))</f>
        <v>3</v>
      </c>
      <c r="J252" s="3">
        <f>IF(INDEX(学年度总表!$J$3:$J$1025,MATCH($E252,学年度总表!$E$3:$E$1025,0))="","",INDEX(学年度总表!$J$3:$J$1025,MATCH($E252,学年度总表!$E$3:$E$1025,0)))</f>
        <v>67.34</v>
      </c>
      <c r="K252" s="3">
        <f>IF(INDEX(学年度总表!$K$3:$K$1025,MATCH($E252,学年度总表!$E$3:$E$1025,0))="","",INDEX(学年度总表!$K$3:$K$1025,MATCH($E252,学年度总表!$E$3:$E$1025,0)))</f>
        <v>9.8000000000000007</v>
      </c>
      <c r="L252" s="3">
        <f>IF(INDEX(学年度总表!$L$3:$L$1025,MATCH($E252,学年度总表!$E$3:$E$1025,0))="","",INDEX(学年度总表!$L$3:$L$1025,MATCH($E252,学年度总表!$E$3:$E$1025,0)))</f>
        <v>49.35</v>
      </c>
      <c r="M252" s="3">
        <f>IF(INDEX(学年度总表!$M$3:$M$1025,MATCH($E252,学年度总表!$E$3:$E$1025,0))="","",INDEX(学年度总表!$M$3:$M$1025,MATCH($E252,学年度总表!$E$3:$E$1025,0)))</f>
        <v>3</v>
      </c>
      <c r="N252" s="3">
        <f>IF(INDEX(学年度总表!$N$3:$N$1025,MATCH($E252,学年度总表!$E$3:$E$1025,0))="","",INDEX(学年度总表!$N$3:$N$1025,MATCH($E252,学年度总表!$E$3:$E$1025,0)))</f>
        <v>62.15</v>
      </c>
      <c r="O252" s="3">
        <f>IF(INDEX(学年度总表!$O$3:$O$1025,MATCH($E252,学年度总表!$E$3:$E$1025,0))="","",INDEX(学年度总表!$O$3:$O$1025,MATCH($E252,学年度总表!$E$3:$E$1025,0)))</f>
        <v>129.49</v>
      </c>
      <c r="P252" s="2" t="str">
        <f>IF(INDEX(学年度总表!$P$3:$P$1025,MATCH($E252,学年度总表!$E$3:$E$1025,0))="","",INDEX(学年度总表!$P$3:$P$1025,MATCH($E252,学年度总表!$E$3:$E$1025,0)))</f>
        <v/>
      </c>
      <c r="Q252" s="5" t="str">
        <f>IF(INDEX(学年度总表!$Q$3:$Q$1025,MATCH($E252,学年度总表!$E$3:$E$1025,0))="","",INDEX(学年度总表!$Q$3:$Q$1025,MATCH($E252,学年度总表!$E$3:$E$1025,0)))</f>
        <v/>
      </c>
    </row>
    <row r="253" spans="1:17">
      <c r="A253" s="2">
        <f>IF(INDEX(学年度总表!$A$3:$A$1025,MATCH($E253,学年度总表!$E$3:$E$1025,0))="","",INDEX(学年度总表!$A$3:$A$1025,MATCH($E253,学年度总表!$E$3:$E$1025,0)))</f>
        <v>719</v>
      </c>
      <c r="B253" s="2">
        <f>IF(INDEX(学年度总表!$B$3:$B$1025,MATCH($E253,学年度总表!$E$3:$E$1025,0))="","",INDEX(学年度总表!$B$3:$B$1025,MATCH($E253,学年度总表!$E$3:$E$1025,0)))</f>
        <v>251</v>
      </c>
      <c r="C253" s="2" t="str">
        <f>IF(INDEX(学年度总表!$C$3:$C$1025,MATCH($E253,学年度总表!$E$3:$E$1025,0))="","",INDEX(学年度总表!$C$3:$C$1025,MATCH($E253,学年度总表!$E$3:$E$1025,0)))</f>
        <v>软工</v>
      </c>
      <c r="D253" s="2" t="str">
        <f>IF(INDEX(学年度总表!$D$3:$D$1025,MATCH($E253,学年度总表!$E$3:$E$1025,0))="","",INDEX(学年度总表!$D$3:$D$1025,MATCH($E253,学年度总表!$E$3:$E$1025,0)))</f>
        <v>软工11班</v>
      </c>
      <c r="E253" s="2" t="s">
        <v>1499</v>
      </c>
      <c r="F253" s="2" t="str">
        <f>IF(INDEX(学年度总表!$F$3:$F$1025,MATCH($E253,学年度总表!$E$3:$E$1025,0))="","",INDEX(学年度总表!$F$3:$F$1025,MATCH($E253,学年度总表!$E$3:$E$1025,0)))</f>
        <v>刘展成</v>
      </c>
      <c r="G253" s="3">
        <f>IF(INDEX(学年度总表!$G$3:$G$1025,MATCH($E253,学年度总表!$E$3:$E$1025,0))="","",INDEX(学年度总表!$G$3:$G$1025,MATCH($E253,学年度总表!$E$3:$E$1025,0)))</f>
        <v>10</v>
      </c>
      <c r="H253" s="3">
        <f>IF(INDEX(学年度总表!$H$3:$H$1025,MATCH($E253,学年度总表!$E$3:$E$1025,0))="","",INDEX(学年度总表!$H$3:$H$1025,MATCH($E253,学年度总表!$E$3:$E$1025,0)))</f>
        <v>52.17</v>
      </c>
      <c r="I253" s="3">
        <f>IF(INDEX(学年度总表!$I$3:$I$1025,MATCH($E253,学年度总表!$E$3:$E$1025,0))="","",INDEX(学年度总表!$I$3:$I$1025,MATCH($E253,学年度总表!$E$3:$E$1025,0)))</f>
        <v>6.4</v>
      </c>
      <c r="J253" s="3">
        <f>IF(INDEX(学年度总表!$J$3:$J$1025,MATCH($E253,学年度总表!$E$3:$E$1025,0))="","",INDEX(学年度总表!$J$3:$J$1025,MATCH($E253,学年度总表!$E$3:$E$1025,0)))</f>
        <v>68.569999999999993</v>
      </c>
      <c r="K253" s="3">
        <f>IF(INDEX(学年度总表!$K$3:$K$1025,MATCH($E253,学年度总表!$E$3:$E$1025,0))="","",INDEX(学年度总表!$K$3:$K$1025,MATCH($E253,学年度总表!$E$3:$E$1025,0)))</f>
        <v>10</v>
      </c>
      <c r="L253" s="3">
        <f>IF(INDEX(学年度总表!$L$3:$L$1025,MATCH($E253,学年度总表!$E$3:$E$1025,0))="","",INDEX(学年度总表!$L$3:$L$1025,MATCH($E253,学年度总表!$E$3:$E$1025,0)))</f>
        <v>41.84</v>
      </c>
      <c r="M253" s="3">
        <f>IF(INDEX(学年度总表!$M$3:$M$1025,MATCH($E253,学年度总表!$E$3:$E$1025,0))="","",INDEX(学年度总表!$M$3:$M$1025,MATCH($E253,学年度总表!$E$3:$E$1025,0)))</f>
        <v>9</v>
      </c>
      <c r="N253" s="3">
        <f>IF(INDEX(学年度总表!$N$3:$N$1025,MATCH($E253,学年度总表!$E$3:$E$1025,0))="","",INDEX(学年度总表!$N$3:$N$1025,MATCH($E253,学年度总表!$E$3:$E$1025,0)))</f>
        <v>60.84</v>
      </c>
      <c r="O253" s="3">
        <f>IF(INDEX(学年度总表!$O$3:$O$1025,MATCH($E253,学年度总表!$E$3:$E$1025,0))="","",INDEX(学年度总表!$O$3:$O$1025,MATCH($E253,学年度总表!$E$3:$E$1025,0)))</f>
        <v>129.41</v>
      </c>
      <c r="P253" s="2" t="str">
        <f>IF(INDEX(学年度总表!$P$3:$P$1025,MATCH($E253,学年度总表!$E$3:$E$1025,0))="","",INDEX(学年度总表!$P$3:$P$1025,MATCH($E253,学年度总表!$E$3:$E$1025,0)))</f>
        <v/>
      </c>
      <c r="Q253" s="5" t="str">
        <f>IF(INDEX(学年度总表!$Q$3:$Q$1025,MATCH($E253,学年度总表!$E$3:$E$1025,0))="","",INDEX(学年度总表!$Q$3:$Q$1025,MATCH($E253,学年度总表!$E$3:$E$1025,0)))</f>
        <v/>
      </c>
    </row>
    <row r="254" spans="1:17">
      <c r="A254" s="2">
        <f>IF(INDEX(学年度总表!$A$3:$A$1025,MATCH($E254,学年度总表!$E$3:$E$1025,0))="","",INDEX(学年度总表!$A$3:$A$1025,MATCH($E254,学年度总表!$E$3:$E$1025,0)))</f>
        <v>720</v>
      </c>
      <c r="B254" s="2">
        <f>IF(INDEX(学年度总表!$B$3:$B$1025,MATCH($E254,学年度总表!$E$3:$E$1025,0))="","",INDEX(学年度总表!$B$3:$B$1025,MATCH($E254,学年度总表!$E$3:$E$1025,0)))</f>
        <v>252</v>
      </c>
      <c r="C254" s="2" t="str">
        <f>IF(INDEX(学年度总表!$C$3:$C$1025,MATCH($E254,学年度总表!$E$3:$E$1025,0))="","",INDEX(学年度总表!$C$3:$C$1025,MATCH($E254,学年度总表!$E$3:$E$1025,0)))</f>
        <v>软工</v>
      </c>
      <c r="D254" s="2" t="str">
        <f>IF(INDEX(学年度总表!$D$3:$D$1025,MATCH($E254,学年度总表!$E$3:$E$1025,0))="","",INDEX(学年度总表!$D$3:$D$1025,MATCH($E254,学年度总表!$E$3:$E$1025,0)))</f>
        <v>软工6班</v>
      </c>
      <c r="E254" s="2" t="s">
        <v>1501</v>
      </c>
      <c r="F254" s="2" t="str">
        <f>IF(INDEX(学年度总表!$F$3:$F$1025,MATCH($E254,学年度总表!$E$3:$E$1025,0))="","",INDEX(学年度总表!$F$3:$F$1025,MATCH($E254,学年度总表!$E$3:$E$1025,0)))</f>
        <v>魏浩然</v>
      </c>
      <c r="G254" s="3">
        <f>IF(INDEX(学年度总表!$G$3:$G$1025,MATCH($E254,学年度总表!$E$3:$E$1025,0))="","",INDEX(学年度总表!$G$3:$G$1025,MATCH($E254,学年度总表!$E$3:$E$1025,0)))</f>
        <v>9.8000000000000007</v>
      </c>
      <c r="H254" s="3">
        <f>IF(INDEX(学年度总表!$H$3:$H$1025,MATCH($E254,学年度总表!$E$3:$E$1025,0))="","",INDEX(学年度总表!$H$3:$H$1025,MATCH($E254,学年度总表!$E$3:$E$1025,0)))</f>
        <v>55.591836734693899</v>
      </c>
      <c r="I254" s="3">
        <f>IF(INDEX(学年度总表!$I$3:$I$1025,MATCH($E254,学年度总表!$E$3:$E$1025,0))="","",INDEX(学年度总表!$I$3:$I$1025,MATCH($E254,学年度总表!$E$3:$E$1025,0)))</f>
        <v>4</v>
      </c>
      <c r="J254" s="3">
        <f>IF(INDEX(学年度总表!$J$3:$J$1025,MATCH($E254,学年度总表!$E$3:$E$1025,0))="","",INDEX(学年度总表!$J$3:$J$1025,MATCH($E254,学年度总表!$E$3:$E$1025,0)))</f>
        <v>69.39</v>
      </c>
      <c r="K254" s="3">
        <f>IF(INDEX(学年度总表!$K$3:$K$1025,MATCH($E254,学年度总表!$E$3:$E$1025,0))="","",INDEX(学年度总表!$K$3:$K$1025,MATCH($E254,学年度总表!$E$3:$E$1025,0)))</f>
        <v>9.8000000000000007</v>
      </c>
      <c r="L254" s="3">
        <f>IF(INDEX(学年度总表!$L$3:$L$1025,MATCH($E254,学年度总表!$E$3:$E$1025,0))="","",INDEX(学年度总表!$L$3:$L$1025,MATCH($E254,学年度总表!$E$3:$E$1025,0)))</f>
        <v>46.64</v>
      </c>
      <c r="M254" s="3">
        <f>IF(INDEX(学年度总表!$M$3:$M$1025,MATCH($E254,学年度总表!$E$3:$E$1025,0))="","",INDEX(学年度总表!$M$3:$M$1025,MATCH($E254,学年度总表!$E$3:$E$1025,0)))</f>
        <v>3.5</v>
      </c>
      <c r="N254" s="3">
        <f>IF(INDEX(学年度总表!$N$3:$N$1025,MATCH($E254,学年度总表!$E$3:$E$1025,0))="","",INDEX(学年度总表!$N$3:$N$1025,MATCH($E254,学年度总表!$E$3:$E$1025,0)))</f>
        <v>59.94</v>
      </c>
      <c r="O254" s="3">
        <f>IF(INDEX(学年度总表!$O$3:$O$1025,MATCH($E254,学年度总表!$E$3:$E$1025,0))="","",INDEX(学年度总表!$O$3:$O$1025,MATCH($E254,学年度总表!$E$3:$E$1025,0)))</f>
        <v>129.33000000000001</v>
      </c>
      <c r="P254" s="2" t="str">
        <f>IF(INDEX(学年度总表!$P$3:$P$1025,MATCH($E254,学年度总表!$E$3:$E$1025,0))="","",INDEX(学年度总表!$P$3:$P$1025,MATCH($E254,学年度总表!$E$3:$E$1025,0)))</f>
        <v/>
      </c>
      <c r="Q254" s="5" t="str">
        <f>IF(INDEX(学年度总表!$Q$3:$Q$1025,MATCH($E254,学年度总表!$E$3:$E$1025,0))="","",INDEX(学年度总表!$Q$3:$Q$1025,MATCH($E254,学年度总表!$E$3:$E$1025,0)))</f>
        <v/>
      </c>
    </row>
    <row r="255" spans="1:17">
      <c r="A255" s="2">
        <f>IF(INDEX(学年度总表!$A$3:$A$1025,MATCH($E255,学年度总表!$E$3:$E$1025,0))="","",INDEX(学年度总表!$A$3:$A$1025,MATCH($E255,学年度总表!$E$3:$E$1025,0)))</f>
        <v>720</v>
      </c>
      <c r="B255" s="2">
        <f>IF(INDEX(学年度总表!$B$3:$B$1025,MATCH($E255,学年度总表!$E$3:$E$1025,0))="","",INDEX(学年度总表!$B$3:$B$1025,MATCH($E255,学年度总表!$E$3:$E$1025,0)))</f>
        <v>252</v>
      </c>
      <c r="C255" s="2" t="str">
        <f>IF(INDEX(学年度总表!$C$3:$C$1025,MATCH($E255,学年度总表!$E$3:$E$1025,0))="","",INDEX(学年度总表!$C$3:$C$1025,MATCH($E255,学年度总表!$E$3:$E$1025,0)))</f>
        <v>软工</v>
      </c>
      <c r="D255" s="2" t="str">
        <f>IF(INDEX(学年度总表!$D$3:$D$1025,MATCH($E255,学年度总表!$E$3:$E$1025,0))="","",INDEX(学年度总表!$D$3:$D$1025,MATCH($E255,学年度总表!$E$3:$E$1025,0)))</f>
        <v>软工12班</v>
      </c>
      <c r="E255" s="2" t="s">
        <v>1503</v>
      </c>
      <c r="F255" s="2" t="str">
        <f>IF(INDEX(学年度总表!$F$3:$F$1025,MATCH($E255,学年度总表!$E$3:$E$1025,0))="","",INDEX(学年度总表!$F$3:$F$1025,MATCH($E255,学年度总表!$E$3:$E$1025,0)))</f>
        <v>郑竣泽</v>
      </c>
      <c r="G255" s="3">
        <f>IF(INDEX(学年度总表!$G$3:$G$1025,MATCH($E255,学年度总表!$E$3:$E$1025,0))="","",INDEX(学年度总表!$G$3:$G$1025,MATCH($E255,学年度总表!$E$3:$E$1025,0)))</f>
        <v>9.8000000000000007</v>
      </c>
      <c r="H255" s="3">
        <f>IF(INDEX(学年度总表!$H$3:$H$1025,MATCH($E255,学年度总表!$E$3:$E$1025,0))="","",INDEX(学年度总表!$H$3:$H$1025,MATCH($E255,学年度总表!$E$3:$E$1025,0)))</f>
        <v>56.88</v>
      </c>
      <c r="I255" s="3">
        <f>IF(INDEX(学年度总表!$I$3:$I$1025,MATCH($E255,学年度总表!$E$3:$E$1025,0))="","",INDEX(学年度总表!$I$3:$I$1025,MATCH($E255,学年度总表!$E$3:$E$1025,0)))</f>
        <v>3</v>
      </c>
      <c r="J255" s="3">
        <f>IF(INDEX(学年度总表!$J$3:$J$1025,MATCH($E255,学年度总表!$E$3:$E$1025,0))="","",INDEX(学年度总表!$J$3:$J$1025,MATCH($E255,学年度总表!$E$3:$E$1025,0)))</f>
        <v>69.680000000000007</v>
      </c>
      <c r="K255" s="3">
        <f>IF(INDEX(学年度总表!$K$3:$K$1025,MATCH($E255,学年度总表!$E$3:$E$1025,0))="","",INDEX(学年度总表!$K$3:$K$1025,MATCH($E255,学年度总表!$E$3:$E$1025,0)))</f>
        <v>9.8000000000000007</v>
      </c>
      <c r="L255" s="3">
        <f>IF(INDEX(学年度总表!$L$3:$L$1025,MATCH($E255,学年度总表!$E$3:$E$1025,0))="","",INDEX(学年度总表!$L$3:$L$1025,MATCH($E255,学年度总表!$E$3:$E$1025,0)))</f>
        <v>46.35</v>
      </c>
      <c r="M255" s="3">
        <f>IF(INDEX(学年度总表!$M$3:$M$1025,MATCH($E255,学年度总表!$E$3:$E$1025,0))="","",INDEX(学年度总表!$M$3:$M$1025,MATCH($E255,学年度总表!$E$3:$E$1025,0)))</f>
        <v>3.5</v>
      </c>
      <c r="N255" s="3">
        <f>IF(INDEX(学年度总表!$N$3:$N$1025,MATCH($E255,学年度总表!$E$3:$E$1025,0))="","",INDEX(学年度总表!$N$3:$N$1025,MATCH($E255,学年度总表!$E$3:$E$1025,0)))</f>
        <v>59.65</v>
      </c>
      <c r="O255" s="3">
        <f>IF(INDEX(学年度总表!$O$3:$O$1025,MATCH($E255,学年度总表!$E$3:$E$1025,0))="","",INDEX(学年度总表!$O$3:$O$1025,MATCH($E255,学年度总表!$E$3:$E$1025,0)))</f>
        <v>129.33000000000001</v>
      </c>
      <c r="P255" s="2" t="str">
        <f>IF(INDEX(学年度总表!$P$3:$P$1025,MATCH($E255,学年度总表!$E$3:$E$1025,0))="","",INDEX(学年度总表!$P$3:$P$1025,MATCH($E255,学年度总表!$E$3:$E$1025,0)))</f>
        <v/>
      </c>
      <c r="Q255" s="5" t="str">
        <f>IF(INDEX(学年度总表!$Q$3:$Q$1025,MATCH($E255,学年度总表!$E$3:$E$1025,0))="","",INDEX(学年度总表!$Q$3:$Q$1025,MATCH($E255,学年度总表!$E$3:$E$1025,0)))</f>
        <v/>
      </c>
    </row>
    <row r="256" spans="1:17">
      <c r="A256" s="2">
        <f>IF(INDEX(学年度总表!$A$3:$A$1025,MATCH($E256,学年度总表!$E$3:$E$1025,0))="","",INDEX(学年度总表!$A$3:$A$1025,MATCH($E256,学年度总表!$E$3:$E$1025,0)))</f>
        <v>724</v>
      </c>
      <c r="B256" s="2">
        <f>IF(INDEX(学年度总表!$B$3:$B$1025,MATCH($E256,学年度总表!$E$3:$E$1025,0))="","",INDEX(学年度总表!$B$3:$B$1025,MATCH($E256,学年度总表!$E$3:$E$1025,0)))</f>
        <v>254</v>
      </c>
      <c r="C256" s="2" t="str">
        <f>IF(INDEX(学年度总表!$C$3:$C$1025,MATCH($E256,学年度总表!$E$3:$E$1025,0))="","",INDEX(学年度总表!$C$3:$C$1025,MATCH($E256,学年度总表!$E$3:$E$1025,0)))</f>
        <v>软工</v>
      </c>
      <c r="D256" s="2" t="str">
        <f>IF(INDEX(学年度总表!$D$3:$D$1025,MATCH($E256,学年度总表!$E$3:$E$1025,0))="","",INDEX(学年度总表!$D$3:$D$1025,MATCH($E256,学年度总表!$E$3:$E$1025,0)))</f>
        <v>软工5班</v>
      </c>
      <c r="E256" s="2" t="s">
        <v>1509</v>
      </c>
      <c r="F256" s="2" t="str">
        <f>IF(INDEX(学年度总表!$F$3:$F$1025,MATCH($E256,学年度总表!$E$3:$E$1025,0))="","",INDEX(学年度总表!$F$3:$F$1025,MATCH($E256,学年度总表!$E$3:$E$1025,0)))</f>
        <v>芦佳士奇</v>
      </c>
      <c r="G256" s="3">
        <f>IF(INDEX(学年度总表!$G$3:$G$1025,MATCH($E256,学年度总表!$E$3:$E$1025,0))="","",INDEX(学年度总表!$G$3:$G$1025,MATCH($E256,学年度总表!$E$3:$E$1025,0)))</f>
        <v>7.3</v>
      </c>
      <c r="H256" s="3">
        <f>IF(INDEX(学年度总表!$H$3:$H$1025,MATCH($E256,学年度总表!$E$3:$E$1025,0))="","",INDEX(学年度总表!$H$3:$H$1025,MATCH($E256,学年度总表!$E$3:$E$1025,0)))</f>
        <v>56.66</v>
      </c>
      <c r="I256" s="3">
        <f>IF(INDEX(学年度总表!$I$3:$I$1025,MATCH($E256,学年度总表!$E$3:$E$1025,0))="","",INDEX(学年度总表!$I$3:$I$1025,MATCH($E256,学年度总表!$E$3:$E$1025,0)))</f>
        <v>3</v>
      </c>
      <c r="J256" s="3">
        <f>IF(INDEX(学年度总表!$J$3:$J$1025,MATCH($E256,学年度总表!$E$3:$E$1025,0))="","",INDEX(学年度总表!$J$3:$J$1025,MATCH($E256,学年度总表!$E$3:$E$1025,0)))</f>
        <v>66.959999999999994</v>
      </c>
      <c r="K256" s="3">
        <f>IF(INDEX(学年度总表!$K$3:$K$1025,MATCH($E256,学年度总表!$E$3:$E$1025,0))="","",INDEX(学年度总表!$K$3:$K$1025,MATCH($E256,学年度总表!$E$3:$E$1025,0)))</f>
        <v>7.3000000000000007</v>
      </c>
      <c r="L256" s="3">
        <f>IF(INDEX(学年度总表!$L$3:$L$1025,MATCH($E256,学年度总表!$E$3:$E$1025,0))="","",INDEX(学年度总表!$L$3:$L$1025,MATCH($E256,学年度总表!$E$3:$E$1025,0)))</f>
        <v>51.38</v>
      </c>
      <c r="M256" s="3">
        <f>IF(INDEX(学年度总表!$M$3:$M$1025,MATCH($E256,学年度总表!$E$3:$E$1025,0))="","",INDEX(学年度总表!$M$3:$M$1025,MATCH($E256,学年度总表!$E$3:$E$1025,0)))</f>
        <v>3.5</v>
      </c>
      <c r="N256" s="3">
        <f>IF(INDEX(学年度总表!$N$3:$N$1025,MATCH($E256,学年度总表!$E$3:$E$1025,0))="","",INDEX(学年度总表!$N$3:$N$1025,MATCH($E256,学年度总表!$E$3:$E$1025,0)))</f>
        <v>62.18</v>
      </c>
      <c r="O256" s="3">
        <f>IF(INDEX(学年度总表!$O$3:$O$1025,MATCH($E256,学年度总表!$E$3:$E$1025,0))="","",INDEX(学年度总表!$O$3:$O$1025,MATCH($E256,学年度总表!$E$3:$E$1025,0)))</f>
        <v>129.13999999999999</v>
      </c>
      <c r="P256" s="2" t="str">
        <f>IF(INDEX(学年度总表!$P$3:$P$1025,MATCH($E256,学年度总表!$E$3:$E$1025,0))="","",INDEX(学年度总表!$P$3:$P$1025,MATCH($E256,学年度总表!$E$3:$E$1025,0)))</f>
        <v/>
      </c>
      <c r="Q256" s="5" t="str">
        <f>IF(INDEX(学年度总表!$Q$3:$Q$1025,MATCH($E256,学年度总表!$E$3:$E$1025,0))="","",INDEX(学年度总表!$Q$3:$Q$1025,MATCH($E256,学年度总表!$E$3:$E$1025,0)))</f>
        <v/>
      </c>
    </row>
    <row r="257" spans="1:17">
      <c r="A257" s="2">
        <f>IF(INDEX(学年度总表!$A$3:$A$1025,MATCH($E257,学年度总表!$E$3:$E$1025,0))="","",INDEX(学年度总表!$A$3:$A$1025,MATCH($E257,学年度总表!$E$3:$E$1025,0)))</f>
        <v>727</v>
      </c>
      <c r="B257" s="2">
        <f>IF(INDEX(学年度总表!$B$3:$B$1025,MATCH($E257,学年度总表!$E$3:$E$1025,0))="","",INDEX(学年度总表!$B$3:$B$1025,MATCH($E257,学年度总表!$E$3:$E$1025,0)))</f>
        <v>255</v>
      </c>
      <c r="C257" s="2" t="str">
        <f>IF(INDEX(学年度总表!$C$3:$C$1025,MATCH($E257,学年度总表!$E$3:$E$1025,0))="","",INDEX(学年度总表!$C$3:$C$1025,MATCH($E257,学年度总表!$E$3:$E$1025,0)))</f>
        <v>软工</v>
      </c>
      <c r="D257" s="2" t="str">
        <f>IF(INDEX(学年度总表!$D$3:$D$1025,MATCH($E257,学年度总表!$E$3:$E$1025,0))="","",INDEX(学年度总表!$D$3:$D$1025,MATCH($E257,学年度总表!$E$3:$E$1025,0)))</f>
        <v>软工7班</v>
      </c>
      <c r="E257" s="2" t="s">
        <v>1515</v>
      </c>
      <c r="F257" s="2" t="str">
        <f>IF(INDEX(学年度总表!$F$3:$F$1025,MATCH($E257,学年度总表!$E$3:$E$1025,0))="","",INDEX(学年度总表!$F$3:$F$1025,MATCH($E257,学年度总表!$E$3:$E$1025,0)))</f>
        <v>郭姝仪</v>
      </c>
      <c r="G257" s="3">
        <f>IF(INDEX(学年度总表!$G$3:$G$1025,MATCH($E257,学年度总表!$E$3:$E$1025,0))="","",INDEX(学年度总表!$G$3:$G$1025,MATCH($E257,学年度总表!$E$3:$E$1025,0)))</f>
        <v>9.8000000000000007</v>
      </c>
      <c r="H257" s="3">
        <f>IF(INDEX(学年度总表!$H$3:$H$1025,MATCH($E257,学年度总表!$E$3:$E$1025,0))="","",INDEX(学年度总表!$H$3:$H$1025,MATCH($E257,学年度总表!$E$3:$E$1025,0)))</f>
        <v>53.36</v>
      </c>
      <c r="I257" s="3">
        <f>IF(INDEX(学年度总表!$I$3:$I$1025,MATCH($E257,学年度总表!$E$3:$E$1025,0))="","",INDEX(学年度总表!$I$3:$I$1025,MATCH($E257,学年度总表!$E$3:$E$1025,0)))</f>
        <v>4</v>
      </c>
      <c r="J257" s="3">
        <f>IF(INDEX(学年度总表!$J$3:$J$1025,MATCH($E257,学年度总表!$E$3:$E$1025,0))="","",INDEX(学年度总表!$J$3:$J$1025,MATCH($E257,学年度总表!$E$3:$E$1025,0)))</f>
        <v>67.16</v>
      </c>
      <c r="K257" s="3">
        <f>IF(INDEX(学年度总表!$K$3:$K$1025,MATCH($E257,学年度总表!$E$3:$E$1025,0))="","",INDEX(学年度总表!$K$3:$K$1025,MATCH($E257,学年度总表!$E$3:$E$1025,0)))</f>
        <v>9.8000000000000007</v>
      </c>
      <c r="L257" s="3">
        <f>IF(INDEX(学年度总表!$L$3:$L$1025,MATCH($E257,学年度总表!$E$3:$E$1025,0))="","",INDEX(学年度总表!$L$3:$L$1025,MATCH($E257,学年度总表!$E$3:$E$1025,0)))</f>
        <v>49.05</v>
      </c>
      <c r="M257" s="3">
        <f>IF(INDEX(学年度总表!$M$3:$M$1025,MATCH($E257,学年度总表!$E$3:$E$1025,0))="","",INDEX(学年度总表!$M$3:$M$1025,MATCH($E257,学年度总表!$E$3:$E$1025,0)))</f>
        <v>3</v>
      </c>
      <c r="N257" s="3">
        <f>IF(INDEX(学年度总表!$N$3:$N$1025,MATCH($E257,学年度总表!$E$3:$E$1025,0))="","",INDEX(学年度总表!$N$3:$N$1025,MATCH($E257,学年度总表!$E$3:$E$1025,0)))</f>
        <v>61.85</v>
      </c>
      <c r="O257" s="3">
        <f>IF(INDEX(学年度总表!$O$3:$O$1025,MATCH($E257,学年度总表!$E$3:$E$1025,0))="","",INDEX(学年度总表!$O$3:$O$1025,MATCH($E257,学年度总表!$E$3:$E$1025,0)))</f>
        <v>129.01</v>
      </c>
      <c r="P257" s="2" t="str">
        <f>IF(INDEX(学年度总表!$P$3:$P$1025,MATCH($E257,学年度总表!$E$3:$E$1025,0))="","",INDEX(学年度总表!$P$3:$P$1025,MATCH($E257,学年度总表!$E$3:$E$1025,0)))</f>
        <v/>
      </c>
      <c r="Q257" s="5" t="str">
        <f>IF(INDEX(学年度总表!$Q$3:$Q$1025,MATCH($E257,学年度总表!$E$3:$E$1025,0))="","",INDEX(学年度总表!$Q$3:$Q$1025,MATCH($E257,学年度总表!$E$3:$E$1025,0)))</f>
        <v/>
      </c>
    </row>
    <row r="258" spans="1:17">
      <c r="A258" s="2">
        <f>IF(INDEX(学年度总表!$A$3:$A$1025,MATCH($E258,学年度总表!$E$3:$E$1025,0))="","",INDEX(学年度总表!$A$3:$A$1025,MATCH($E258,学年度总表!$E$3:$E$1025,0)))</f>
        <v>735</v>
      </c>
      <c r="B258" s="2">
        <f>IF(INDEX(学年度总表!$B$3:$B$1025,MATCH($E258,学年度总表!$E$3:$E$1025,0))="","",INDEX(学年度总表!$B$3:$B$1025,MATCH($E258,学年度总表!$E$3:$E$1025,0)))</f>
        <v>256</v>
      </c>
      <c r="C258" s="2" t="str">
        <f>IF(INDEX(学年度总表!$C$3:$C$1025,MATCH($E258,学年度总表!$E$3:$E$1025,0))="","",INDEX(学年度总表!$C$3:$C$1025,MATCH($E258,学年度总表!$E$3:$E$1025,0)))</f>
        <v>软工</v>
      </c>
      <c r="D258" s="2" t="str">
        <f>IF(INDEX(学年度总表!$D$3:$D$1025,MATCH($E258,学年度总表!$E$3:$E$1025,0))="","",INDEX(学年度总表!$D$3:$D$1025,MATCH($E258,学年度总表!$E$3:$E$1025,0)))</f>
        <v>软工7班</v>
      </c>
      <c r="E258" s="2" t="s">
        <v>1531</v>
      </c>
      <c r="F258" s="2" t="str">
        <f>IF(INDEX(学年度总表!$F$3:$F$1025,MATCH($E258,学年度总表!$E$3:$E$1025,0))="","",INDEX(学年度总表!$F$3:$F$1025,MATCH($E258,学年度总表!$E$3:$E$1025,0)))</f>
        <v>汤凯文</v>
      </c>
      <c r="G258" s="3">
        <f>IF(INDEX(学年度总表!$G$3:$G$1025,MATCH($E258,学年度总表!$E$3:$E$1025,0))="","",INDEX(学年度总表!$G$3:$G$1025,MATCH($E258,学年度总表!$E$3:$E$1025,0)))</f>
        <v>9.8000000000000007</v>
      </c>
      <c r="H258" s="3">
        <f>IF(INDEX(学年度总表!$H$3:$H$1025,MATCH($E258,学年度总表!$E$3:$E$1025,0))="","",INDEX(学年度总表!$H$3:$H$1025,MATCH($E258,学年度总表!$E$3:$E$1025,0)))</f>
        <v>55.3</v>
      </c>
      <c r="I258" s="3">
        <f>IF(INDEX(学年度总表!$I$3:$I$1025,MATCH($E258,学年度总表!$E$3:$E$1025,0))="","",INDEX(学年度总表!$I$3:$I$1025,MATCH($E258,学年度总表!$E$3:$E$1025,0)))</f>
        <v>3</v>
      </c>
      <c r="J258" s="3">
        <f>IF(INDEX(学年度总表!$J$3:$J$1025,MATCH($E258,学年度总表!$E$3:$E$1025,0))="","",INDEX(学年度总表!$J$3:$J$1025,MATCH($E258,学年度总表!$E$3:$E$1025,0)))</f>
        <v>68.099999999999994</v>
      </c>
      <c r="K258" s="3">
        <f>IF(INDEX(学年度总表!$K$3:$K$1025,MATCH($E258,学年度总表!$E$3:$E$1025,0))="","",INDEX(学年度总表!$K$3:$K$1025,MATCH($E258,学年度总表!$E$3:$E$1025,0)))</f>
        <v>7.3000000000000007</v>
      </c>
      <c r="L258" s="3">
        <f>IF(INDEX(学年度总表!$L$3:$L$1025,MATCH($E258,学年度总表!$E$3:$E$1025,0))="","",INDEX(学年度总表!$L$3:$L$1025,MATCH($E258,学年度总表!$E$3:$E$1025,0)))</f>
        <v>50.21</v>
      </c>
      <c r="M258" s="3">
        <f>IF(INDEX(学年度总表!$M$3:$M$1025,MATCH($E258,学年度总表!$E$3:$E$1025,0))="","",INDEX(学年度总表!$M$3:$M$1025,MATCH($E258,学年度总表!$E$3:$E$1025,0)))</f>
        <v>3</v>
      </c>
      <c r="N258" s="3">
        <f>IF(INDEX(学年度总表!$N$3:$N$1025,MATCH($E258,学年度总表!$E$3:$E$1025,0))="","",INDEX(学年度总表!$N$3:$N$1025,MATCH($E258,学年度总表!$E$3:$E$1025,0)))</f>
        <v>60.51</v>
      </c>
      <c r="O258" s="3">
        <f>IF(INDEX(学年度总表!$O$3:$O$1025,MATCH($E258,学年度总表!$E$3:$E$1025,0))="","",INDEX(学年度总表!$O$3:$O$1025,MATCH($E258,学年度总表!$E$3:$E$1025,0)))</f>
        <v>128.61000000000001</v>
      </c>
      <c r="P258" s="2" t="str">
        <f>IF(INDEX(学年度总表!$P$3:$P$1025,MATCH($E258,学年度总表!$E$3:$E$1025,0))="","",INDEX(学年度总表!$P$3:$P$1025,MATCH($E258,学年度总表!$E$3:$E$1025,0)))</f>
        <v/>
      </c>
      <c r="Q258" s="5" t="str">
        <f>IF(INDEX(学年度总表!$Q$3:$Q$1025,MATCH($E258,学年度总表!$E$3:$E$1025,0))="","",INDEX(学年度总表!$Q$3:$Q$1025,MATCH($E258,学年度总表!$E$3:$E$1025,0)))</f>
        <v/>
      </c>
    </row>
    <row r="259" spans="1:17">
      <c r="A259" s="2">
        <f>IF(INDEX(学年度总表!$A$3:$A$1025,MATCH($E259,学年度总表!$E$3:$E$1025,0))="","",INDEX(学年度总表!$A$3:$A$1025,MATCH($E259,学年度总表!$E$3:$E$1025,0)))</f>
        <v>739</v>
      </c>
      <c r="B259" s="2">
        <f>IF(INDEX(学年度总表!$B$3:$B$1025,MATCH($E259,学年度总表!$E$3:$E$1025,0))="","",INDEX(学年度总表!$B$3:$B$1025,MATCH($E259,学年度总表!$E$3:$E$1025,0)))</f>
        <v>257</v>
      </c>
      <c r="C259" s="2" t="str">
        <f>IF(INDEX(学年度总表!$C$3:$C$1025,MATCH($E259,学年度总表!$E$3:$E$1025,0))="","",INDEX(学年度总表!$C$3:$C$1025,MATCH($E259,学年度总表!$E$3:$E$1025,0)))</f>
        <v>软工</v>
      </c>
      <c r="D259" s="2" t="str">
        <f>IF(INDEX(学年度总表!$D$3:$D$1025,MATCH($E259,学年度总表!$E$3:$E$1025,0))="","",INDEX(学年度总表!$D$3:$D$1025,MATCH($E259,学年度总表!$E$3:$E$1025,0)))</f>
        <v>软工14班</v>
      </c>
      <c r="E259" s="2" t="s">
        <v>1539</v>
      </c>
      <c r="F259" s="2" t="str">
        <f>IF(INDEX(学年度总表!$F$3:$F$1025,MATCH($E259,学年度总表!$E$3:$E$1025,0))="","",INDEX(学年度总表!$F$3:$F$1025,MATCH($E259,学年度总表!$E$3:$E$1025,0)))</f>
        <v>高海峰</v>
      </c>
      <c r="G259" s="3">
        <f>IF(INDEX(学年度总表!$G$3:$G$1025,MATCH($E259,学年度总表!$E$3:$E$1025,0))="","",INDEX(学年度总表!$G$3:$G$1025,MATCH($E259,学年度总表!$E$3:$E$1025,0)))</f>
        <v>9.8000000000000007</v>
      </c>
      <c r="H259" s="3">
        <f>IF(INDEX(学年度总表!$H$3:$H$1025,MATCH($E259,学年度总表!$E$3:$E$1025,0))="","",INDEX(学年度总表!$H$3:$H$1025,MATCH($E259,学年度总表!$E$3:$E$1025,0)))</f>
        <v>51.92</v>
      </c>
      <c r="I259" s="3">
        <f>IF(INDEX(学年度总表!$I$3:$I$1025,MATCH($E259,学年度总表!$E$3:$E$1025,0))="","",INDEX(学年度总表!$I$3:$I$1025,MATCH($E259,学年度总表!$E$3:$E$1025,0)))</f>
        <v>3</v>
      </c>
      <c r="J259" s="3">
        <f>IF(INDEX(学年度总表!$J$3:$J$1025,MATCH($E259,学年度总表!$E$3:$E$1025,0))="","",INDEX(学年度总表!$J$3:$J$1025,MATCH($E259,学年度总表!$E$3:$E$1025,0)))</f>
        <v>64.72</v>
      </c>
      <c r="K259" s="3">
        <f>IF(INDEX(学年度总表!$K$3:$K$1025,MATCH($E259,学年度总表!$E$3:$E$1025,0))="","",INDEX(学年度总表!$K$3:$K$1025,MATCH($E259,学年度总表!$E$3:$E$1025,0)))</f>
        <v>10</v>
      </c>
      <c r="L259" s="3">
        <f>IF(INDEX(学年度总表!$L$3:$L$1025,MATCH($E259,学年度总表!$E$3:$E$1025,0))="","",INDEX(学年度总表!$L$3:$L$1025,MATCH($E259,学年度总表!$E$3:$E$1025,0)))</f>
        <v>49.93</v>
      </c>
      <c r="M259" s="3">
        <f>IF(INDEX(学年度总表!$M$3:$M$1025,MATCH($E259,学年度总表!$E$3:$E$1025,0))="","",INDEX(学年度总表!$M$3:$M$1025,MATCH($E259,学年度总表!$E$3:$E$1025,0)))</f>
        <v>3.9</v>
      </c>
      <c r="N259" s="3">
        <f>IF(INDEX(学年度总表!$N$3:$N$1025,MATCH($E259,学年度总表!$E$3:$E$1025,0))="","",INDEX(学年度总表!$N$3:$N$1025,MATCH($E259,学年度总表!$E$3:$E$1025,0)))</f>
        <v>63.83</v>
      </c>
      <c r="O259" s="3">
        <f>IF(INDEX(学年度总表!$O$3:$O$1025,MATCH($E259,学年度总表!$E$3:$E$1025,0))="","",INDEX(学年度总表!$O$3:$O$1025,MATCH($E259,学年度总表!$E$3:$E$1025,0)))</f>
        <v>128.55000000000001</v>
      </c>
      <c r="P259" s="2" t="str">
        <f>IF(INDEX(学年度总表!$P$3:$P$1025,MATCH($E259,学年度总表!$E$3:$E$1025,0))="","",INDEX(学年度总表!$P$3:$P$1025,MATCH($E259,学年度总表!$E$3:$E$1025,0)))</f>
        <v/>
      </c>
      <c r="Q259" s="5" t="str">
        <f>IF(INDEX(学年度总表!$Q$3:$Q$1025,MATCH($E259,学年度总表!$E$3:$E$1025,0))="","",INDEX(学年度总表!$Q$3:$Q$1025,MATCH($E259,学年度总表!$E$3:$E$1025,0)))</f>
        <v/>
      </c>
    </row>
    <row r="260" spans="1:17">
      <c r="A260" s="2">
        <f>IF(INDEX(学年度总表!$A$3:$A$1025,MATCH($E260,学年度总表!$E$3:$E$1025,0))="","",INDEX(学年度总表!$A$3:$A$1025,MATCH($E260,学年度总表!$E$3:$E$1025,0)))</f>
        <v>749</v>
      </c>
      <c r="B260" s="2">
        <f>IF(INDEX(学年度总表!$B$3:$B$1025,MATCH($E260,学年度总表!$E$3:$E$1025,0))="","",INDEX(学年度总表!$B$3:$B$1025,MATCH($E260,学年度总表!$E$3:$E$1025,0)))</f>
        <v>258</v>
      </c>
      <c r="C260" s="2" t="str">
        <f>IF(INDEX(学年度总表!$C$3:$C$1025,MATCH($E260,学年度总表!$E$3:$E$1025,0))="","",INDEX(学年度总表!$C$3:$C$1025,MATCH($E260,学年度总表!$E$3:$E$1025,0)))</f>
        <v>软工</v>
      </c>
      <c r="D260" s="2" t="str">
        <f>IF(INDEX(学年度总表!$D$3:$D$1025,MATCH($E260,学年度总表!$E$3:$E$1025,0))="","",INDEX(学年度总表!$D$3:$D$1025,MATCH($E260,学年度总表!$E$3:$E$1025,0)))</f>
        <v>软工9班</v>
      </c>
      <c r="E260" s="2" t="s">
        <v>1559</v>
      </c>
      <c r="F260" s="2" t="str">
        <f>IF(INDEX(学年度总表!$F$3:$F$1025,MATCH($E260,学年度总表!$E$3:$E$1025,0))="","",INDEX(学年度总表!$F$3:$F$1025,MATCH($E260,学年度总表!$E$3:$E$1025,0)))</f>
        <v>蔡乙畅</v>
      </c>
      <c r="G260" s="3">
        <f>IF(INDEX(学年度总表!$G$3:$G$1025,MATCH($E260,学年度总表!$E$3:$E$1025,0))="","",INDEX(学年度总表!$G$3:$G$1025,MATCH($E260,学年度总表!$E$3:$E$1025,0)))</f>
        <v>10</v>
      </c>
      <c r="H260" s="3">
        <f>IF(INDEX(学年度总表!$H$3:$H$1025,MATCH($E260,学年度总表!$E$3:$E$1025,0))="","",INDEX(学年度总表!$H$3:$H$1025,MATCH($E260,学年度总表!$E$3:$E$1025,0)))</f>
        <v>51.183673469387799</v>
      </c>
      <c r="I260" s="3">
        <f>IF(INDEX(学年度总表!$I$3:$I$1025,MATCH($E260,学年度总表!$E$3:$E$1025,0))="","",INDEX(学年度总表!$I$3:$I$1025,MATCH($E260,学年度总表!$E$3:$E$1025,0)))</f>
        <v>3</v>
      </c>
      <c r="J260" s="3">
        <f>IF(INDEX(学年度总表!$J$3:$J$1025,MATCH($E260,学年度总表!$E$3:$E$1025,0))="","",INDEX(学年度总表!$J$3:$J$1025,MATCH($E260,学年度总表!$E$3:$E$1025,0)))</f>
        <v>64.180000000000007</v>
      </c>
      <c r="K260" s="3">
        <f>IF(INDEX(学年度总表!$K$3:$K$1025,MATCH($E260,学年度总表!$E$3:$E$1025,0))="","",INDEX(学年度总表!$K$3:$K$1025,MATCH($E260,学年度总表!$E$3:$E$1025,0)))</f>
        <v>7.5</v>
      </c>
      <c r="L260" s="3">
        <f>IF(INDEX(学年度总表!$L$3:$L$1025,MATCH($E260,学年度总表!$E$3:$E$1025,0))="","",INDEX(学年度总表!$L$3:$L$1025,MATCH($E260,学年度总表!$E$3:$E$1025,0)))</f>
        <v>52.66</v>
      </c>
      <c r="M260" s="3">
        <f>IF(INDEX(学年度总表!$M$3:$M$1025,MATCH($E260,学年度总表!$E$3:$E$1025,0))="","",INDEX(学年度总表!$M$3:$M$1025,MATCH($E260,学年度总表!$E$3:$E$1025,0)))</f>
        <v>3.5</v>
      </c>
      <c r="N260" s="3">
        <f>IF(INDEX(学年度总表!$N$3:$N$1025,MATCH($E260,学年度总表!$E$3:$E$1025,0))="","",INDEX(学年度总表!$N$3:$N$1025,MATCH($E260,学年度总表!$E$3:$E$1025,0)))</f>
        <v>63.66</v>
      </c>
      <c r="O260" s="3">
        <f>IF(INDEX(学年度总表!$O$3:$O$1025,MATCH($E260,学年度总表!$E$3:$E$1025,0))="","",INDEX(学年度总表!$O$3:$O$1025,MATCH($E260,学年度总表!$E$3:$E$1025,0)))</f>
        <v>127.84</v>
      </c>
      <c r="P260" s="2" t="str">
        <f>IF(INDEX(学年度总表!$P$3:$P$1025,MATCH($E260,学年度总表!$E$3:$E$1025,0))="","",INDEX(学年度总表!$P$3:$P$1025,MATCH($E260,学年度总表!$E$3:$E$1025,0)))</f>
        <v/>
      </c>
      <c r="Q260" s="5" t="str">
        <f>IF(INDEX(学年度总表!$Q$3:$Q$1025,MATCH($E260,学年度总表!$E$3:$E$1025,0))="","",INDEX(学年度总表!$Q$3:$Q$1025,MATCH($E260,学年度总表!$E$3:$E$1025,0)))</f>
        <v/>
      </c>
    </row>
    <row r="261" spans="1:17">
      <c r="A261" s="2">
        <f>IF(INDEX(学年度总表!$A$3:$A$1025,MATCH($E261,学年度总表!$E$3:$E$1025,0))="","",INDEX(学年度总表!$A$3:$A$1025,MATCH($E261,学年度总表!$E$3:$E$1025,0)))</f>
        <v>752</v>
      </c>
      <c r="B261" s="2">
        <f>IF(INDEX(学年度总表!$B$3:$B$1025,MATCH($E261,学年度总表!$E$3:$E$1025,0))="","",INDEX(学年度总表!$B$3:$B$1025,MATCH($E261,学年度总表!$E$3:$E$1025,0)))</f>
        <v>259</v>
      </c>
      <c r="C261" s="2" t="str">
        <f>IF(INDEX(学年度总表!$C$3:$C$1025,MATCH($E261,学年度总表!$E$3:$E$1025,0))="","",INDEX(学年度总表!$C$3:$C$1025,MATCH($E261,学年度总表!$E$3:$E$1025,0)))</f>
        <v>软工</v>
      </c>
      <c r="D261" s="2" t="str">
        <f>IF(INDEX(学年度总表!$D$3:$D$1025,MATCH($E261,学年度总表!$E$3:$E$1025,0))="","",INDEX(学年度总表!$D$3:$D$1025,MATCH($E261,学年度总表!$E$3:$E$1025,0)))</f>
        <v>软工7班</v>
      </c>
      <c r="E261" s="2" t="s">
        <v>1567</v>
      </c>
      <c r="F261" s="2" t="str">
        <f>IF(INDEX(学年度总表!$F$3:$F$1025,MATCH($E261,学年度总表!$E$3:$E$1025,0))="","",INDEX(学年度总表!$F$3:$F$1025,MATCH($E261,学年度总表!$E$3:$E$1025,0)))</f>
        <v>邵一焱</v>
      </c>
      <c r="G261" s="3">
        <f>IF(INDEX(学年度总表!$G$3:$G$1025,MATCH($E261,学年度总表!$E$3:$E$1025,0))="","",INDEX(学年度总表!$G$3:$G$1025,MATCH($E261,学年度总表!$E$3:$E$1025,0)))</f>
        <v>10.5</v>
      </c>
      <c r="H261" s="3">
        <f>IF(INDEX(学年度总表!$H$3:$H$1025,MATCH($E261,学年度总表!$E$3:$E$1025,0))="","",INDEX(学年度总表!$H$3:$H$1025,MATCH($E261,学年度总表!$E$3:$E$1025,0)))</f>
        <v>53.83</v>
      </c>
      <c r="I261" s="3">
        <f>IF(INDEX(学年度总表!$I$3:$I$1025,MATCH($E261,学年度总表!$E$3:$E$1025,0))="","",INDEX(学年度总表!$I$3:$I$1025,MATCH($E261,学年度总表!$E$3:$E$1025,0)))</f>
        <v>4</v>
      </c>
      <c r="J261" s="3">
        <f>IF(INDEX(学年度总表!$J$3:$J$1025,MATCH($E261,学年度总表!$E$3:$E$1025,0))="","",INDEX(学年度总表!$J$3:$J$1025,MATCH($E261,学年度总表!$E$3:$E$1025,0)))</f>
        <v>68.33</v>
      </c>
      <c r="K261" s="3">
        <f>IF(INDEX(学年度总表!$K$3:$K$1025,MATCH($E261,学年度总表!$E$3:$E$1025,0))="","",INDEX(学年度总表!$K$3:$K$1025,MATCH($E261,学年度总表!$E$3:$E$1025,0)))</f>
        <v>10</v>
      </c>
      <c r="L261" s="3">
        <f>IF(INDEX(学年度总表!$L$3:$L$1025,MATCH($E261,学年度总表!$E$3:$E$1025,0))="","",INDEX(学年度总表!$L$3:$L$1025,MATCH($E261,学年度总表!$E$3:$E$1025,0)))</f>
        <v>44.86</v>
      </c>
      <c r="M261" s="3">
        <f>IF(INDEX(学年度总表!$M$3:$M$1025,MATCH($E261,学年度总表!$E$3:$E$1025,0))="","",INDEX(学年度总表!$M$3:$M$1025,MATCH($E261,学年度总表!$E$3:$E$1025,0)))</f>
        <v>4.4000000000000004</v>
      </c>
      <c r="N261" s="3">
        <f>IF(INDEX(学年度总表!$N$3:$N$1025,MATCH($E261,学年度总表!$E$3:$E$1025,0))="","",INDEX(学年度总表!$N$3:$N$1025,MATCH($E261,学年度总表!$E$3:$E$1025,0)))</f>
        <v>59.26</v>
      </c>
      <c r="O261" s="3">
        <f>IF(INDEX(学年度总表!$O$3:$O$1025,MATCH($E261,学年度总表!$E$3:$E$1025,0))="","",INDEX(学年度总表!$O$3:$O$1025,MATCH($E261,学年度总表!$E$3:$E$1025,0)))</f>
        <v>127.59</v>
      </c>
      <c r="P261" s="2" t="str">
        <f>IF(INDEX(学年度总表!$P$3:$P$1025,MATCH($E261,学年度总表!$E$3:$E$1025,0))="","",INDEX(学年度总表!$P$3:$P$1025,MATCH($E261,学年度总表!$E$3:$E$1025,0)))</f>
        <v/>
      </c>
      <c r="Q261" s="5" t="str">
        <f>IF(INDEX(学年度总表!$Q$3:$Q$1025,MATCH($E261,学年度总表!$E$3:$E$1025,0))="","",INDEX(学年度总表!$Q$3:$Q$1025,MATCH($E261,学年度总表!$E$3:$E$1025,0)))</f>
        <v/>
      </c>
    </row>
    <row r="262" spans="1:17">
      <c r="A262" s="2">
        <f>IF(INDEX(学年度总表!$A$3:$A$1025,MATCH($E262,学年度总表!$E$3:$E$1025,0))="","",INDEX(学年度总表!$A$3:$A$1025,MATCH($E262,学年度总表!$E$3:$E$1025,0)))</f>
        <v>754</v>
      </c>
      <c r="B262" s="2">
        <f>IF(INDEX(学年度总表!$B$3:$B$1025,MATCH($E262,学年度总表!$E$3:$E$1025,0))="","",INDEX(学年度总表!$B$3:$B$1025,MATCH($E262,学年度总表!$E$3:$E$1025,0)))</f>
        <v>260</v>
      </c>
      <c r="C262" s="2" t="str">
        <f>IF(INDEX(学年度总表!$C$3:$C$1025,MATCH($E262,学年度总表!$E$3:$E$1025,0))="","",INDEX(学年度总表!$C$3:$C$1025,MATCH($E262,学年度总表!$E$3:$E$1025,0)))</f>
        <v>软工</v>
      </c>
      <c r="D262" s="2" t="str">
        <f>IF(INDEX(学年度总表!$D$3:$D$1025,MATCH($E262,学年度总表!$E$3:$E$1025,0))="","",INDEX(学年度总表!$D$3:$D$1025,MATCH($E262,学年度总表!$E$3:$E$1025,0)))</f>
        <v>软工6班</v>
      </c>
      <c r="E262" s="2" t="s">
        <v>1569</v>
      </c>
      <c r="F262" s="2" t="str">
        <f>IF(INDEX(学年度总表!$F$3:$F$1025,MATCH($E262,学年度总表!$E$3:$E$1025,0))="","",INDEX(学年度总表!$F$3:$F$1025,MATCH($E262,学年度总表!$E$3:$E$1025,0)))</f>
        <v>张铭翰</v>
      </c>
      <c r="G262" s="3">
        <f>IF(INDEX(学年度总表!$G$3:$G$1025,MATCH($E262,学年度总表!$E$3:$E$1025,0))="","",INDEX(学年度总表!$G$3:$G$1025,MATCH($E262,学年度总表!$E$3:$E$1025,0)))</f>
        <v>9.8000000000000007</v>
      </c>
      <c r="H262" s="3">
        <f>IF(INDEX(学年度总表!$H$3:$H$1025,MATCH($E262,学年度总表!$E$3:$E$1025,0))="","",INDEX(学年度总表!$H$3:$H$1025,MATCH($E262,学年度总表!$E$3:$E$1025,0)))</f>
        <v>48.3333333333333</v>
      </c>
      <c r="I262" s="3">
        <f>IF(INDEX(学年度总表!$I$3:$I$1025,MATCH($E262,学年度总表!$E$3:$E$1025,0))="","",INDEX(学年度总表!$I$3:$I$1025,MATCH($E262,学年度总表!$E$3:$E$1025,0)))</f>
        <v>3</v>
      </c>
      <c r="J262" s="3">
        <f>IF(INDEX(学年度总表!$J$3:$J$1025,MATCH($E262,学年度总表!$E$3:$E$1025,0))="","",INDEX(学年度总表!$J$3:$J$1025,MATCH($E262,学年度总表!$E$3:$E$1025,0)))</f>
        <v>61.13</v>
      </c>
      <c r="K262" s="3">
        <f>IF(INDEX(学年度总表!$K$3:$K$1025,MATCH($E262,学年度总表!$E$3:$E$1025,0))="","",INDEX(学年度总表!$K$3:$K$1025,MATCH($E262,学年度总表!$E$3:$E$1025,0)))</f>
        <v>9.8000000000000007</v>
      </c>
      <c r="L262" s="3">
        <f>IF(INDEX(学年度总表!$L$3:$L$1025,MATCH($E262,学年度总表!$E$3:$E$1025,0))="","",INDEX(学年度总表!$L$3:$L$1025,MATCH($E262,学年度总表!$E$3:$E$1025,0)))</f>
        <v>52.97</v>
      </c>
      <c r="M262" s="3">
        <f>IF(INDEX(学年度总表!$M$3:$M$1025,MATCH($E262,学年度总表!$E$3:$E$1025,0))="","",INDEX(学年度总表!$M$3:$M$1025,MATCH($E262,学年度总表!$E$3:$E$1025,0)))</f>
        <v>3.5</v>
      </c>
      <c r="N262" s="3">
        <f>IF(INDEX(学年度总表!$N$3:$N$1025,MATCH($E262,学年度总表!$E$3:$E$1025,0))="","",INDEX(学年度总表!$N$3:$N$1025,MATCH($E262,学年度总表!$E$3:$E$1025,0)))</f>
        <v>66.27</v>
      </c>
      <c r="O262" s="3">
        <f>IF(INDEX(学年度总表!$O$3:$O$1025,MATCH($E262,学年度总表!$E$3:$E$1025,0))="","",INDEX(学年度总表!$O$3:$O$1025,MATCH($E262,学年度总表!$E$3:$E$1025,0)))</f>
        <v>127.4</v>
      </c>
      <c r="P262" s="2" t="str">
        <f>IF(INDEX(学年度总表!$P$3:$P$1025,MATCH($E262,学年度总表!$E$3:$E$1025,0))="","",INDEX(学年度总表!$P$3:$P$1025,MATCH($E262,学年度总表!$E$3:$E$1025,0)))</f>
        <v/>
      </c>
      <c r="Q262" s="5" t="str">
        <f>IF(INDEX(学年度总表!$Q$3:$Q$1025,MATCH($E262,学年度总表!$E$3:$E$1025,0))="","",INDEX(学年度总表!$Q$3:$Q$1025,MATCH($E262,学年度总表!$E$3:$E$1025,0)))</f>
        <v/>
      </c>
    </row>
    <row r="263" spans="1:17">
      <c r="A263" s="2">
        <f>IF(INDEX(学年度总表!$A$3:$A$1025,MATCH($E263,学年度总表!$E$3:$E$1025,0))="","",INDEX(学年度总表!$A$3:$A$1025,MATCH($E263,学年度总表!$E$3:$E$1025,0)))</f>
        <v>756</v>
      </c>
      <c r="B263" s="2">
        <f>IF(INDEX(学年度总表!$B$3:$B$1025,MATCH($E263,学年度总表!$E$3:$E$1025,0))="","",INDEX(学年度总表!$B$3:$B$1025,MATCH($E263,学年度总表!$E$3:$E$1025,0)))</f>
        <v>261</v>
      </c>
      <c r="C263" s="2" t="str">
        <f>IF(INDEX(学年度总表!$C$3:$C$1025,MATCH($E263,学年度总表!$E$3:$E$1025,0))="","",INDEX(学年度总表!$C$3:$C$1025,MATCH($E263,学年度总表!$E$3:$E$1025,0)))</f>
        <v>软工</v>
      </c>
      <c r="D263" s="2" t="str">
        <f>IF(INDEX(学年度总表!$D$3:$D$1025,MATCH($E263,学年度总表!$E$3:$E$1025,0))="","",INDEX(学年度总表!$D$3:$D$1025,MATCH($E263,学年度总表!$E$3:$E$1025,0)))</f>
        <v>软工10班</v>
      </c>
      <c r="E263" s="2" t="s">
        <v>1573</v>
      </c>
      <c r="F263" s="2" t="str">
        <f>IF(INDEX(学年度总表!$F$3:$F$1025,MATCH($E263,学年度总表!$E$3:$E$1025,0))="","",INDEX(学年度总表!$F$3:$F$1025,MATCH($E263,学年度总表!$E$3:$E$1025,0)))</f>
        <v>高宇昊</v>
      </c>
      <c r="G263" s="3">
        <f>IF(INDEX(学年度总表!$G$3:$G$1025,MATCH($E263,学年度总表!$E$3:$E$1025,0))="","",INDEX(学年度总表!$G$3:$G$1025,MATCH($E263,学年度总表!$E$3:$E$1025,0)))</f>
        <v>9.4</v>
      </c>
      <c r="H263" s="3">
        <f>IF(INDEX(学年度总表!$H$3:$H$1025,MATCH($E263,学年度总表!$E$3:$E$1025,0))="","",INDEX(学年度总表!$H$3:$H$1025,MATCH($E263,学年度总表!$E$3:$E$1025,0)))</f>
        <v>55.74</v>
      </c>
      <c r="I263" s="3">
        <f>IF(INDEX(学年度总表!$I$3:$I$1025,MATCH($E263,学年度总表!$E$3:$E$1025,0))="","",INDEX(学年度总表!$I$3:$I$1025,MATCH($E263,学年度总表!$E$3:$E$1025,0)))</f>
        <v>4</v>
      </c>
      <c r="J263" s="3">
        <f>IF(INDEX(学年度总表!$J$3:$J$1025,MATCH($E263,学年度总表!$E$3:$E$1025,0))="","",INDEX(学年度总表!$J$3:$J$1025,MATCH($E263,学年度总表!$E$3:$E$1025,0)))</f>
        <v>69.14</v>
      </c>
      <c r="K263" s="3">
        <f>IF(INDEX(学年度总表!$K$3:$K$1025,MATCH($E263,学年度总表!$E$3:$E$1025,0))="","",INDEX(学年度总表!$K$3:$K$1025,MATCH($E263,学年度总表!$E$3:$E$1025,0)))</f>
        <v>9.8000000000000007</v>
      </c>
      <c r="L263" s="3">
        <f>IF(INDEX(学年度总表!$L$3:$L$1025,MATCH($E263,学年度总表!$E$3:$E$1025,0))="","",INDEX(学年度总表!$L$3:$L$1025,MATCH($E263,学年度总表!$E$3:$E$1025,0)))</f>
        <v>45.37</v>
      </c>
      <c r="M263" s="3">
        <f>IF(INDEX(学年度总表!$M$3:$M$1025,MATCH($E263,学年度总表!$E$3:$E$1025,0))="","",INDEX(学年度总表!$M$3:$M$1025,MATCH($E263,学年度总表!$E$3:$E$1025,0)))</f>
        <v>3</v>
      </c>
      <c r="N263" s="3">
        <f>IF(INDEX(学年度总表!$N$3:$N$1025,MATCH($E263,学年度总表!$E$3:$E$1025,0))="","",INDEX(学年度总表!$N$3:$N$1025,MATCH($E263,学年度总表!$E$3:$E$1025,0)))</f>
        <v>58.17</v>
      </c>
      <c r="O263" s="3">
        <f>IF(INDEX(学年度总表!$O$3:$O$1025,MATCH($E263,学年度总表!$E$3:$E$1025,0))="","",INDEX(学年度总表!$O$3:$O$1025,MATCH($E263,学年度总表!$E$3:$E$1025,0)))</f>
        <v>127.31</v>
      </c>
      <c r="P263" s="2" t="str">
        <f>IF(INDEX(学年度总表!$P$3:$P$1025,MATCH($E263,学年度总表!$E$3:$E$1025,0))="","",INDEX(学年度总表!$P$3:$P$1025,MATCH($E263,学年度总表!$E$3:$E$1025,0)))</f>
        <v/>
      </c>
      <c r="Q263" s="5" t="str">
        <f>IF(INDEX(学年度总表!$Q$3:$Q$1025,MATCH($E263,学年度总表!$E$3:$E$1025,0))="","",INDEX(学年度总表!$Q$3:$Q$1025,MATCH($E263,学年度总表!$E$3:$E$1025,0)))</f>
        <v/>
      </c>
    </row>
    <row r="264" spans="1:17">
      <c r="A264" s="2">
        <f>IF(INDEX(学年度总表!$A$3:$A$1025,MATCH($E264,学年度总表!$E$3:$E$1025,0))="","",INDEX(学年度总表!$A$3:$A$1025,MATCH($E264,学年度总表!$E$3:$E$1025,0)))</f>
        <v>759</v>
      </c>
      <c r="B264" s="2">
        <f>IF(INDEX(学年度总表!$B$3:$B$1025,MATCH($E264,学年度总表!$E$3:$E$1025,0))="","",INDEX(学年度总表!$B$3:$B$1025,MATCH($E264,学年度总表!$E$3:$E$1025,0)))</f>
        <v>262</v>
      </c>
      <c r="C264" s="2" t="str">
        <f>IF(INDEX(学年度总表!$C$3:$C$1025,MATCH($E264,学年度总表!$E$3:$E$1025,0))="","",INDEX(学年度总表!$C$3:$C$1025,MATCH($E264,学年度总表!$E$3:$E$1025,0)))</f>
        <v>软工</v>
      </c>
      <c r="D264" s="2" t="str">
        <f>IF(INDEX(学年度总表!$D$3:$D$1025,MATCH($E264,学年度总表!$E$3:$E$1025,0))="","",INDEX(学年度总表!$D$3:$D$1025,MATCH($E264,学年度总表!$E$3:$E$1025,0)))</f>
        <v>软工9班</v>
      </c>
      <c r="E264" s="2" t="s">
        <v>1579</v>
      </c>
      <c r="F264" s="2" t="str">
        <f>IF(INDEX(学年度总表!$F$3:$F$1025,MATCH($E264,学年度总表!$E$3:$E$1025,0))="","",INDEX(学年度总表!$F$3:$F$1025,MATCH($E264,学年度总表!$E$3:$E$1025,0)))</f>
        <v>刘昱彤</v>
      </c>
      <c r="G264" s="3">
        <f>IF(INDEX(学年度总表!$G$3:$G$1025,MATCH($E264,学年度总表!$E$3:$E$1025,0))="","",INDEX(学年度总表!$G$3:$G$1025,MATCH($E264,学年度总表!$E$3:$E$1025,0)))</f>
        <v>9.8000000000000007</v>
      </c>
      <c r="H264" s="3">
        <f>IF(INDEX(学年度总表!$H$3:$H$1025,MATCH($E264,学年度总表!$E$3:$E$1025,0))="","",INDEX(学年度总表!$H$3:$H$1025,MATCH($E264,学年度总表!$E$3:$E$1025,0)))</f>
        <v>48.857142857142797</v>
      </c>
      <c r="I264" s="3">
        <f>IF(INDEX(学年度总表!$I$3:$I$1025,MATCH($E264,学年度总表!$E$3:$E$1025,0))="","",INDEX(学年度总表!$I$3:$I$1025,MATCH($E264,学年度总表!$E$3:$E$1025,0)))</f>
        <v>3</v>
      </c>
      <c r="J264" s="3">
        <f>IF(INDEX(学年度总表!$J$3:$J$1025,MATCH($E264,学年度总表!$E$3:$E$1025,0))="","",INDEX(学年度总表!$J$3:$J$1025,MATCH($E264,学年度总表!$E$3:$E$1025,0)))</f>
        <v>61.66</v>
      </c>
      <c r="K264" s="3">
        <f>IF(INDEX(学年度总表!$K$3:$K$1025,MATCH($E264,学年度总表!$E$3:$E$1025,0))="","",INDEX(学年度总表!$K$3:$K$1025,MATCH($E264,学年度总表!$E$3:$E$1025,0)))</f>
        <v>9.8000000000000007</v>
      </c>
      <c r="L264" s="3">
        <f>IF(INDEX(学年度总表!$L$3:$L$1025,MATCH($E264,学年度总表!$E$3:$E$1025,0))="","",INDEX(学年度总表!$L$3:$L$1025,MATCH($E264,学年度总表!$E$3:$E$1025,0)))</f>
        <v>51.99</v>
      </c>
      <c r="M264" s="3">
        <f>IF(INDEX(学年度总表!$M$3:$M$1025,MATCH($E264,学年度总表!$E$3:$E$1025,0))="","",INDEX(学年度总表!$M$3:$M$1025,MATCH($E264,学年度总表!$E$3:$E$1025,0)))</f>
        <v>3.5</v>
      </c>
      <c r="N264" s="3">
        <f>IF(INDEX(学年度总表!$N$3:$N$1025,MATCH($E264,学年度总表!$E$3:$E$1025,0))="","",INDEX(学年度总表!$N$3:$N$1025,MATCH($E264,学年度总表!$E$3:$E$1025,0)))</f>
        <v>65.290000000000006</v>
      </c>
      <c r="O264" s="3">
        <f>IF(INDEX(学年度总表!$O$3:$O$1025,MATCH($E264,学年度总表!$E$3:$E$1025,0))="","",INDEX(学年度总表!$O$3:$O$1025,MATCH($E264,学年度总表!$E$3:$E$1025,0)))</f>
        <v>126.95</v>
      </c>
      <c r="P264" s="2" t="str">
        <f>IF(INDEX(学年度总表!$P$3:$P$1025,MATCH($E264,学年度总表!$E$3:$E$1025,0))="","",INDEX(学年度总表!$P$3:$P$1025,MATCH($E264,学年度总表!$E$3:$E$1025,0)))</f>
        <v/>
      </c>
      <c r="Q264" s="5" t="str">
        <f>IF(INDEX(学年度总表!$Q$3:$Q$1025,MATCH($E264,学年度总表!$E$3:$E$1025,0))="","",INDEX(学年度总表!$Q$3:$Q$1025,MATCH($E264,学年度总表!$E$3:$E$1025,0)))</f>
        <v/>
      </c>
    </row>
    <row r="265" spans="1:17">
      <c r="A265" s="2">
        <f>IF(INDEX(学年度总表!$A$3:$A$1025,MATCH($E265,学年度总表!$E$3:$E$1025,0))="","",INDEX(学年度总表!$A$3:$A$1025,MATCH($E265,学年度总表!$E$3:$E$1025,0)))</f>
        <v>759</v>
      </c>
      <c r="B265" s="2">
        <f>IF(INDEX(学年度总表!$B$3:$B$1025,MATCH($E265,学年度总表!$E$3:$E$1025,0))="","",INDEX(学年度总表!$B$3:$B$1025,MATCH($E265,学年度总表!$E$3:$E$1025,0)))</f>
        <v>262</v>
      </c>
      <c r="C265" s="2" t="str">
        <f>IF(INDEX(学年度总表!$C$3:$C$1025,MATCH($E265,学年度总表!$E$3:$E$1025,0))="","",INDEX(学年度总表!$C$3:$C$1025,MATCH($E265,学年度总表!$E$3:$E$1025,0)))</f>
        <v>软工</v>
      </c>
      <c r="D265" s="2" t="str">
        <f>IF(INDEX(学年度总表!$D$3:$D$1025,MATCH($E265,学年度总表!$E$3:$E$1025,0))="","",INDEX(学年度总表!$D$3:$D$1025,MATCH($E265,学年度总表!$E$3:$E$1025,0)))</f>
        <v>软工10班</v>
      </c>
      <c r="E265" s="2" t="s">
        <v>1581</v>
      </c>
      <c r="F265" s="2" t="str">
        <f>IF(INDEX(学年度总表!$F$3:$F$1025,MATCH($E265,学年度总表!$E$3:$E$1025,0))="","",INDEX(学年度总表!$F$3:$F$1025,MATCH($E265,学年度总表!$E$3:$E$1025,0)))</f>
        <v>李佳潞</v>
      </c>
      <c r="G265" s="3">
        <f>IF(INDEX(学年度总表!$G$3:$G$1025,MATCH($E265,学年度总表!$E$3:$E$1025,0))="","",INDEX(学年度总表!$G$3:$G$1025,MATCH($E265,学年度总表!$E$3:$E$1025,0)))</f>
        <v>9.8000000000000007</v>
      </c>
      <c r="H265" s="3">
        <f>IF(INDEX(学年度总表!$H$3:$H$1025,MATCH($E265,学年度总表!$E$3:$E$1025,0))="","",INDEX(学年度总表!$H$3:$H$1025,MATCH($E265,学年度总表!$E$3:$E$1025,0)))</f>
        <v>52.92</v>
      </c>
      <c r="I265" s="3">
        <f>IF(INDEX(学年度总表!$I$3:$I$1025,MATCH($E265,学年度总表!$E$3:$E$1025,0))="","",INDEX(学年度总表!$I$3:$I$1025,MATCH($E265,学年度总表!$E$3:$E$1025,0)))</f>
        <v>3</v>
      </c>
      <c r="J265" s="3">
        <f>IF(INDEX(学年度总表!$J$3:$J$1025,MATCH($E265,学年度总表!$E$3:$E$1025,0))="","",INDEX(学年度总表!$J$3:$J$1025,MATCH($E265,学年度总表!$E$3:$E$1025,0)))</f>
        <v>65.72</v>
      </c>
      <c r="K265" s="3">
        <f>IF(INDEX(学年度总表!$K$3:$K$1025,MATCH($E265,学年度总表!$E$3:$E$1025,0))="","",INDEX(学年度总表!$K$3:$K$1025,MATCH($E265,学年度总表!$E$3:$E$1025,0)))</f>
        <v>9.8000000000000007</v>
      </c>
      <c r="L265" s="3">
        <f>IF(INDEX(学年度总表!$L$3:$L$1025,MATCH($E265,学年度总表!$E$3:$E$1025,0))="","",INDEX(学年度总表!$L$3:$L$1025,MATCH($E265,学年度总表!$E$3:$E$1025,0)))</f>
        <v>46.23</v>
      </c>
      <c r="M265" s="3">
        <f>IF(INDEX(学年度总表!$M$3:$M$1025,MATCH($E265,学年度总表!$E$3:$E$1025,0))="","",INDEX(学年度总表!$M$3:$M$1025,MATCH($E265,学年度总表!$E$3:$E$1025,0)))</f>
        <v>5.2</v>
      </c>
      <c r="N265" s="3">
        <f>IF(INDEX(学年度总表!$N$3:$N$1025,MATCH($E265,学年度总表!$E$3:$E$1025,0))="","",INDEX(学年度总表!$N$3:$N$1025,MATCH($E265,学年度总表!$E$3:$E$1025,0)))</f>
        <v>61.23</v>
      </c>
      <c r="O265" s="3">
        <f>IF(INDEX(学年度总表!$O$3:$O$1025,MATCH($E265,学年度总表!$E$3:$E$1025,0))="","",INDEX(学年度总表!$O$3:$O$1025,MATCH($E265,学年度总表!$E$3:$E$1025,0)))</f>
        <v>126.95</v>
      </c>
      <c r="P265" s="2" t="str">
        <f>IF(INDEX(学年度总表!$P$3:$P$1025,MATCH($E265,学年度总表!$E$3:$E$1025,0))="","",INDEX(学年度总表!$P$3:$P$1025,MATCH($E265,学年度总表!$E$3:$E$1025,0)))</f>
        <v/>
      </c>
      <c r="Q265" s="5" t="str">
        <f>IF(INDEX(学年度总表!$Q$3:$Q$1025,MATCH($E265,学年度总表!$E$3:$E$1025,0))="","",INDEX(学年度总表!$Q$3:$Q$1025,MATCH($E265,学年度总表!$E$3:$E$1025,0)))</f>
        <v/>
      </c>
    </row>
    <row r="266" spans="1:17">
      <c r="A266" s="2">
        <f>IF(INDEX(学年度总表!$A$3:$A$1025,MATCH($E266,学年度总表!$E$3:$E$1025,0))="","",INDEX(学年度总表!$A$3:$A$1025,MATCH($E266,学年度总表!$E$3:$E$1025,0)))</f>
        <v>763</v>
      </c>
      <c r="B266" s="2">
        <f>IF(INDEX(学年度总表!$B$3:$B$1025,MATCH($E266,学年度总表!$E$3:$E$1025,0))="","",INDEX(学年度总表!$B$3:$B$1025,MATCH($E266,学年度总表!$E$3:$E$1025,0)))</f>
        <v>264</v>
      </c>
      <c r="C266" s="2" t="str">
        <f>IF(INDEX(学年度总表!$C$3:$C$1025,MATCH($E266,学年度总表!$E$3:$E$1025,0))="","",INDEX(学年度总表!$C$3:$C$1025,MATCH($E266,学年度总表!$E$3:$E$1025,0)))</f>
        <v>软工</v>
      </c>
      <c r="D266" s="2" t="str">
        <f>IF(INDEX(学年度总表!$D$3:$D$1025,MATCH($E266,学年度总表!$E$3:$E$1025,0))="","",INDEX(学年度总表!$D$3:$D$1025,MATCH($E266,学年度总表!$E$3:$E$1025,0)))</f>
        <v>软工8班</v>
      </c>
      <c r="E266" s="2" t="s">
        <v>1587</v>
      </c>
      <c r="F266" s="2" t="str">
        <f>IF(INDEX(学年度总表!$F$3:$F$1025,MATCH($E266,学年度总表!$E$3:$E$1025,0))="","",INDEX(学年度总表!$F$3:$F$1025,MATCH($E266,学年度总表!$E$3:$E$1025,0)))</f>
        <v>王敬涵</v>
      </c>
      <c r="G266" s="3">
        <f>IF(INDEX(学年度总表!$G$3:$G$1025,MATCH($E266,学年度总表!$E$3:$E$1025,0))="","",INDEX(学年度总表!$G$3:$G$1025,MATCH($E266,学年度总表!$E$3:$E$1025,0)))</f>
        <v>10</v>
      </c>
      <c r="H266" s="3">
        <f>IF(INDEX(学年度总表!$H$3:$H$1025,MATCH($E266,学年度总表!$E$3:$E$1025,0))="","",INDEX(学年度总表!$H$3:$H$1025,MATCH($E266,学年度总表!$E$3:$E$1025,0)))</f>
        <v>51.448979591836697</v>
      </c>
      <c r="I266" s="3">
        <f>IF(INDEX(学年度总表!$I$3:$I$1025,MATCH($E266,学年度总表!$E$3:$E$1025,0))="","",INDEX(学年度总表!$I$3:$I$1025,MATCH($E266,学年度总表!$E$3:$E$1025,0)))</f>
        <v>5</v>
      </c>
      <c r="J266" s="3">
        <f>IF(INDEX(学年度总表!$J$3:$J$1025,MATCH($E266,学年度总表!$E$3:$E$1025,0))="","",INDEX(学年度总表!$J$3:$J$1025,MATCH($E266,学年度总表!$E$3:$E$1025,0)))</f>
        <v>66.45</v>
      </c>
      <c r="K266" s="3">
        <f>IF(INDEX(学年度总表!$K$3:$K$1025,MATCH($E266,学年度总表!$E$3:$E$1025,0))="","",INDEX(学年度总表!$K$3:$K$1025,MATCH($E266,学年度总表!$E$3:$E$1025,0)))</f>
        <v>10</v>
      </c>
      <c r="L266" s="3">
        <f>IF(INDEX(学年度总表!$L$3:$L$1025,MATCH($E266,学年度总表!$E$3:$E$1025,0))="","",INDEX(学年度总表!$L$3:$L$1025,MATCH($E266,学年度总表!$E$3:$E$1025,0)))</f>
        <v>44.65</v>
      </c>
      <c r="M266" s="3">
        <f>IF(INDEX(学年度总表!$M$3:$M$1025,MATCH($E266,学年度总表!$E$3:$E$1025,0))="","",INDEX(学年度总表!$M$3:$M$1025,MATCH($E266,学年度总表!$E$3:$E$1025,0)))</f>
        <v>5.5</v>
      </c>
      <c r="N266" s="3">
        <f>IF(INDEX(学年度总表!$N$3:$N$1025,MATCH($E266,学年度总表!$E$3:$E$1025,0))="","",INDEX(学年度总表!$N$3:$N$1025,MATCH($E266,学年度总表!$E$3:$E$1025,0)))</f>
        <v>60.15</v>
      </c>
      <c r="O266" s="3">
        <f>IF(INDEX(学年度总表!$O$3:$O$1025,MATCH($E266,学年度总表!$E$3:$E$1025,0))="","",INDEX(学年度总表!$O$3:$O$1025,MATCH($E266,学年度总表!$E$3:$E$1025,0)))</f>
        <v>126.6</v>
      </c>
      <c r="P266" s="2" t="str">
        <f>IF(INDEX(学年度总表!$P$3:$P$1025,MATCH($E266,学年度总表!$E$3:$E$1025,0))="","",INDEX(学年度总表!$P$3:$P$1025,MATCH($E266,学年度总表!$E$3:$E$1025,0)))</f>
        <v/>
      </c>
      <c r="Q266" s="5" t="str">
        <f>IF(INDEX(学年度总表!$Q$3:$Q$1025,MATCH($E266,学年度总表!$E$3:$E$1025,0))="","",INDEX(学年度总表!$Q$3:$Q$1025,MATCH($E266,学年度总表!$E$3:$E$1025,0)))</f>
        <v/>
      </c>
    </row>
    <row r="267" spans="1:17">
      <c r="A267" s="2">
        <f>IF(INDEX(学年度总表!$A$3:$A$1025,MATCH($E267,学年度总表!$E$3:$E$1025,0))="","",INDEX(学年度总表!$A$3:$A$1025,MATCH($E267,学年度总表!$E$3:$E$1025,0)))</f>
        <v>765</v>
      </c>
      <c r="B267" s="2">
        <f>IF(INDEX(学年度总表!$B$3:$B$1025,MATCH($E267,学年度总表!$E$3:$E$1025,0))="","",INDEX(学年度总表!$B$3:$B$1025,MATCH($E267,学年度总表!$E$3:$E$1025,0)))</f>
        <v>265</v>
      </c>
      <c r="C267" s="2" t="str">
        <f>IF(INDEX(学年度总表!$C$3:$C$1025,MATCH($E267,学年度总表!$E$3:$E$1025,0))="","",INDEX(学年度总表!$C$3:$C$1025,MATCH($E267,学年度总表!$E$3:$E$1025,0)))</f>
        <v>软工</v>
      </c>
      <c r="D267" s="2" t="str">
        <f>IF(INDEX(学年度总表!$D$3:$D$1025,MATCH($E267,学年度总表!$E$3:$E$1025,0))="","",INDEX(学年度总表!$D$3:$D$1025,MATCH($E267,学年度总表!$E$3:$E$1025,0)))</f>
        <v>软工12班</v>
      </c>
      <c r="E267" s="2" t="s">
        <v>1591</v>
      </c>
      <c r="F267" s="2" t="str">
        <f>IF(INDEX(学年度总表!$F$3:$F$1025,MATCH($E267,学年度总表!$E$3:$E$1025,0))="","",INDEX(学年度总表!$F$3:$F$1025,MATCH($E267,学年度总表!$E$3:$E$1025,0)))</f>
        <v>张义林</v>
      </c>
      <c r="G267" s="3">
        <f>IF(INDEX(学年度总表!$G$3:$G$1025,MATCH($E267,学年度总表!$E$3:$E$1025,0))="","",INDEX(学年度总表!$G$3:$G$1025,MATCH($E267,学年度总表!$E$3:$E$1025,0)))</f>
        <v>10</v>
      </c>
      <c r="H267" s="3">
        <f>IF(INDEX(学年度总表!$H$3:$H$1025,MATCH($E267,学年度总表!$E$3:$E$1025,0))="","",INDEX(学年度总表!$H$3:$H$1025,MATCH($E267,学年度总表!$E$3:$E$1025,0)))</f>
        <v>53.08</v>
      </c>
      <c r="I267" s="3">
        <f>IF(INDEX(学年度总表!$I$3:$I$1025,MATCH($E267,学年度总表!$E$3:$E$1025,0))="","",INDEX(学年度总表!$I$3:$I$1025,MATCH($E267,学年度总表!$E$3:$E$1025,0)))</f>
        <v>3</v>
      </c>
      <c r="J267" s="3">
        <f>IF(INDEX(学年度总表!$J$3:$J$1025,MATCH($E267,学年度总表!$E$3:$E$1025,0))="","",INDEX(学年度总表!$J$3:$J$1025,MATCH($E267,学年度总表!$E$3:$E$1025,0)))</f>
        <v>66.08</v>
      </c>
      <c r="K267" s="3">
        <f>IF(INDEX(学年度总表!$K$3:$K$1025,MATCH($E267,学年度总表!$E$3:$E$1025,0))="","",INDEX(学年度总表!$K$3:$K$1025,MATCH($E267,学年度总表!$E$3:$E$1025,0)))</f>
        <v>10</v>
      </c>
      <c r="L267" s="3">
        <f>IF(INDEX(学年度总表!$L$3:$L$1025,MATCH($E267,学年度总表!$E$3:$E$1025,0))="","",INDEX(学年度总表!$L$3:$L$1025,MATCH($E267,学年度总表!$E$3:$E$1025,0)))</f>
        <v>46.79</v>
      </c>
      <c r="M267" s="3">
        <f>IF(INDEX(学年度总表!$M$3:$M$1025,MATCH($E267,学年度总表!$E$3:$E$1025,0))="","",INDEX(学年度总表!$M$3:$M$1025,MATCH($E267,学年度总表!$E$3:$E$1025,0)))</f>
        <v>3.5</v>
      </c>
      <c r="N267" s="3">
        <f>IF(INDEX(学年度总表!$N$3:$N$1025,MATCH($E267,学年度总表!$E$3:$E$1025,0))="","",INDEX(学年度总表!$N$3:$N$1025,MATCH($E267,学年度总表!$E$3:$E$1025,0)))</f>
        <v>60.29</v>
      </c>
      <c r="O267" s="3">
        <f>IF(INDEX(学年度总表!$O$3:$O$1025,MATCH($E267,学年度总表!$E$3:$E$1025,0))="","",INDEX(学年度总表!$O$3:$O$1025,MATCH($E267,学年度总表!$E$3:$E$1025,0)))</f>
        <v>126.37</v>
      </c>
      <c r="P267" s="2" t="str">
        <f>IF(INDEX(学年度总表!$P$3:$P$1025,MATCH($E267,学年度总表!$E$3:$E$1025,0))="","",INDEX(学年度总表!$P$3:$P$1025,MATCH($E267,学年度总表!$E$3:$E$1025,0)))</f>
        <v/>
      </c>
      <c r="Q267" s="5" t="str">
        <f>IF(INDEX(学年度总表!$Q$3:$Q$1025,MATCH($E267,学年度总表!$E$3:$E$1025,0))="","",INDEX(学年度总表!$Q$3:$Q$1025,MATCH($E267,学年度总表!$E$3:$E$1025,0)))</f>
        <v/>
      </c>
    </row>
    <row r="268" spans="1:17">
      <c r="A268" s="2">
        <f>IF(INDEX(学年度总表!$A$3:$A$1025,MATCH($E268,学年度总表!$E$3:$E$1025,0))="","",INDEX(学年度总表!$A$3:$A$1025,MATCH($E268,学年度总表!$E$3:$E$1025,0)))</f>
        <v>768</v>
      </c>
      <c r="B268" s="2">
        <f>IF(INDEX(学年度总表!$B$3:$B$1025,MATCH($E268,学年度总表!$E$3:$E$1025,0))="","",INDEX(学年度总表!$B$3:$B$1025,MATCH($E268,学年度总表!$E$3:$E$1025,0)))</f>
        <v>266</v>
      </c>
      <c r="C268" s="2" t="str">
        <f>IF(INDEX(学年度总表!$C$3:$C$1025,MATCH($E268,学年度总表!$E$3:$E$1025,0))="","",INDEX(学年度总表!$C$3:$C$1025,MATCH($E268,学年度总表!$E$3:$E$1025,0)))</f>
        <v>软工</v>
      </c>
      <c r="D268" s="2" t="str">
        <f>IF(INDEX(学年度总表!$D$3:$D$1025,MATCH($E268,学年度总表!$E$3:$E$1025,0))="","",INDEX(学年度总表!$D$3:$D$1025,MATCH($E268,学年度总表!$E$3:$E$1025,0)))</f>
        <v>软工12班</v>
      </c>
      <c r="E268" s="2" t="s">
        <v>1597</v>
      </c>
      <c r="F268" s="2" t="str">
        <f>IF(INDEX(学年度总表!$F$3:$F$1025,MATCH($E268,学年度总表!$E$3:$E$1025,0))="","",INDEX(学年度总表!$F$3:$F$1025,MATCH($E268,学年度总表!$E$3:$E$1025,0)))</f>
        <v>蔡朋伯</v>
      </c>
      <c r="G268" s="3">
        <f>IF(INDEX(学年度总表!$G$3:$G$1025,MATCH($E268,学年度总表!$E$3:$E$1025,0))="","",INDEX(学年度总表!$G$3:$G$1025,MATCH($E268,学年度总表!$E$3:$E$1025,0)))</f>
        <v>9.8000000000000007</v>
      </c>
      <c r="H268" s="3">
        <f>IF(INDEX(学年度总表!$H$3:$H$1025,MATCH($E268,学年度总表!$E$3:$E$1025,0))="","",INDEX(学年度总表!$H$3:$H$1025,MATCH($E268,学年度总表!$E$3:$E$1025,0)))</f>
        <v>49.39</v>
      </c>
      <c r="I268" s="3">
        <f>IF(INDEX(学年度总表!$I$3:$I$1025,MATCH($E268,学年度总表!$E$3:$E$1025,0))="","",INDEX(学年度总表!$I$3:$I$1025,MATCH($E268,学年度总表!$E$3:$E$1025,0)))</f>
        <v>3</v>
      </c>
      <c r="J268" s="3">
        <f>IF(INDEX(学年度总表!$J$3:$J$1025,MATCH($E268,学年度总表!$E$3:$E$1025,0))="","",INDEX(学年度总表!$J$3:$J$1025,MATCH($E268,学年度总表!$E$3:$E$1025,0)))</f>
        <v>62.19</v>
      </c>
      <c r="K268" s="3">
        <f>IF(INDEX(学年度总表!$K$3:$K$1025,MATCH($E268,学年度总表!$E$3:$E$1025,0))="","",INDEX(学年度总表!$K$3:$K$1025,MATCH($E268,学年度总表!$E$3:$E$1025,0)))</f>
        <v>9.8000000000000007</v>
      </c>
      <c r="L268" s="3">
        <f>IF(INDEX(学年度总表!$L$3:$L$1025,MATCH($E268,学年度总表!$E$3:$E$1025,0))="","",INDEX(学年度总表!$L$3:$L$1025,MATCH($E268,学年度总表!$E$3:$E$1025,0)))</f>
        <v>50.77</v>
      </c>
      <c r="M268" s="3">
        <f>IF(INDEX(学年度总表!$M$3:$M$1025,MATCH($E268,学年度总表!$E$3:$E$1025,0))="","",INDEX(学年度总表!$M$3:$M$1025,MATCH($E268,学年度总表!$E$3:$E$1025,0)))</f>
        <v>3.5</v>
      </c>
      <c r="N268" s="3">
        <f>IF(INDEX(学年度总表!$N$3:$N$1025,MATCH($E268,学年度总表!$E$3:$E$1025,0))="","",INDEX(学年度总表!$N$3:$N$1025,MATCH($E268,学年度总表!$E$3:$E$1025,0)))</f>
        <v>64.069999999999993</v>
      </c>
      <c r="O268" s="3">
        <f>IF(INDEX(学年度总表!$O$3:$O$1025,MATCH($E268,学年度总表!$E$3:$E$1025,0))="","",INDEX(学年度总表!$O$3:$O$1025,MATCH($E268,学年度总表!$E$3:$E$1025,0)))</f>
        <v>126.26</v>
      </c>
      <c r="P268" s="2" t="str">
        <f>IF(INDEX(学年度总表!$P$3:$P$1025,MATCH($E268,学年度总表!$E$3:$E$1025,0))="","",INDEX(学年度总表!$P$3:$P$1025,MATCH($E268,学年度总表!$E$3:$E$1025,0)))</f>
        <v/>
      </c>
      <c r="Q268" s="5" t="str">
        <f>IF(INDEX(学年度总表!$Q$3:$Q$1025,MATCH($E268,学年度总表!$E$3:$E$1025,0))="","",INDEX(学年度总表!$Q$3:$Q$1025,MATCH($E268,学年度总表!$E$3:$E$1025,0)))</f>
        <v/>
      </c>
    </row>
    <row r="269" spans="1:17">
      <c r="A269" s="2">
        <f>IF(INDEX(学年度总表!$A$3:$A$1025,MATCH($E269,学年度总表!$E$3:$E$1025,0))="","",INDEX(学年度总表!$A$3:$A$1025,MATCH($E269,学年度总表!$E$3:$E$1025,0)))</f>
        <v>770</v>
      </c>
      <c r="B269" s="2">
        <f>IF(INDEX(学年度总表!$B$3:$B$1025,MATCH($E269,学年度总表!$E$3:$E$1025,0))="","",INDEX(学年度总表!$B$3:$B$1025,MATCH($E269,学年度总表!$E$3:$E$1025,0)))</f>
        <v>267</v>
      </c>
      <c r="C269" s="2" t="str">
        <f>IF(INDEX(学年度总表!$C$3:$C$1025,MATCH($E269,学年度总表!$E$3:$E$1025,0))="","",INDEX(学年度总表!$C$3:$C$1025,MATCH($E269,学年度总表!$E$3:$E$1025,0)))</f>
        <v>软工</v>
      </c>
      <c r="D269" s="2" t="str">
        <f>IF(INDEX(学年度总表!$D$3:$D$1025,MATCH($E269,学年度总表!$E$3:$E$1025,0))="","",INDEX(学年度总表!$D$3:$D$1025,MATCH($E269,学年度总表!$E$3:$E$1025,0)))</f>
        <v>软工5班</v>
      </c>
      <c r="E269" s="2" t="s">
        <v>1601</v>
      </c>
      <c r="F269" s="2" t="str">
        <f>IF(INDEX(学年度总表!$F$3:$F$1025,MATCH($E269,学年度总表!$E$3:$E$1025,0))="","",INDEX(学年度总表!$F$3:$F$1025,MATCH($E269,学年度总表!$E$3:$E$1025,0)))</f>
        <v>李德兼</v>
      </c>
      <c r="G269" s="3">
        <f>IF(INDEX(学年度总表!$G$3:$G$1025,MATCH($E269,学年度总表!$E$3:$E$1025,0))="","",INDEX(学年度总表!$G$3:$G$1025,MATCH($E269,学年度总表!$E$3:$E$1025,0)))</f>
        <v>11.4</v>
      </c>
      <c r="H269" s="3">
        <f>IF(INDEX(学年度总表!$H$3:$H$1025,MATCH($E269,学年度总表!$E$3:$E$1025,0))="","",INDEX(学年度总表!$H$3:$H$1025,MATCH($E269,学年度总表!$E$3:$E$1025,0)))</f>
        <v>51.45</v>
      </c>
      <c r="I269" s="3">
        <f>IF(INDEX(学年度总表!$I$3:$I$1025,MATCH($E269,学年度总表!$E$3:$E$1025,0))="","",INDEX(学年度总表!$I$3:$I$1025,MATCH($E269,学年度总表!$E$3:$E$1025,0)))</f>
        <v>3.6</v>
      </c>
      <c r="J269" s="3">
        <f>IF(INDEX(学年度总表!$J$3:$J$1025,MATCH($E269,学年度总表!$E$3:$E$1025,0))="","",INDEX(学年度总表!$J$3:$J$1025,MATCH($E269,学年度总表!$E$3:$E$1025,0)))</f>
        <v>66.45</v>
      </c>
      <c r="K269" s="3">
        <f>IF(INDEX(学年度总表!$K$3:$K$1025,MATCH($E269,学年度总表!$E$3:$E$1025,0))="","",INDEX(学年度总表!$K$3:$K$1025,MATCH($E269,学年度总表!$E$3:$E$1025,0)))</f>
        <v>7.3000000000000007</v>
      </c>
      <c r="L269" s="3">
        <f>IF(INDEX(学年度总表!$L$3:$L$1025,MATCH($E269,学年度总表!$E$3:$E$1025,0))="","",INDEX(学年度总表!$L$3:$L$1025,MATCH($E269,学年度总表!$E$3:$E$1025,0)))</f>
        <v>48.17</v>
      </c>
      <c r="M269" s="3">
        <f>IF(INDEX(学年度总表!$M$3:$M$1025,MATCH($E269,学年度总表!$E$3:$E$1025,0))="","",INDEX(学年度总表!$M$3:$M$1025,MATCH($E269,学年度总表!$E$3:$E$1025,0)))</f>
        <v>4.0999999999999996</v>
      </c>
      <c r="N269" s="3">
        <f>IF(INDEX(学年度总表!$N$3:$N$1025,MATCH($E269,学年度总表!$E$3:$E$1025,0))="","",INDEX(学年度总表!$N$3:$N$1025,MATCH($E269,学年度总表!$E$3:$E$1025,0)))</f>
        <v>59.57</v>
      </c>
      <c r="O269" s="3">
        <f>IF(INDEX(学年度总表!$O$3:$O$1025,MATCH($E269,学年度总表!$E$3:$E$1025,0))="","",INDEX(学年度总表!$O$3:$O$1025,MATCH($E269,学年度总表!$E$3:$E$1025,0)))</f>
        <v>126.02</v>
      </c>
      <c r="P269" s="2" t="str">
        <f>IF(INDEX(学年度总表!$P$3:$P$1025,MATCH($E269,学年度总表!$E$3:$E$1025,0))="","",INDEX(学年度总表!$P$3:$P$1025,MATCH($E269,学年度总表!$E$3:$E$1025,0)))</f>
        <v/>
      </c>
      <c r="Q269" s="5" t="str">
        <f>IF(INDEX(学年度总表!$Q$3:$Q$1025,MATCH($E269,学年度总表!$E$3:$E$1025,0))="","",INDEX(学年度总表!$Q$3:$Q$1025,MATCH($E269,学年度总表!$E$3:$E$1025,0)))</f>
        <v/>
      </c>
    </row>
    <row r="270" spans="1:17">
      <c r="A270" s="2">
        <f>IF(INDEX(学年度总表!$A$3:$A$1025,MATCH($E270,学年度总表!$E$3:$E$1025,0))="","",INDEX(学年度总表!$A$3:$A$1025,MATCH($E270,学年度总表!$E$3:$E$1025,0)))</f>
        <v>778</v>
      </c>
      <c r="B270" s="2">
        <f>IF(INDEX(学年度总表!$B$3:$B$1025,MATCH($E270,学年度总表!$E$3:$E$1025,0))="","",INDEX(学年度总表!$B$3:$B$1025,MATCH($E270,学年度总表!$E$3:$E$1025,0)))</f>
        <v>268</v>
      </c>
      <c r="C270" s="2" t="str">
        <f>IF(INDEX(学年度总表!$C$3:$C$1025,MATCH($E270,学年度总表!$E$3:$E$1025,0))="","",INDEX(学年度总表!$C$3:$C$1025,MATCH($E270,学年度总表!$E$3:$E$1025,0)))</f>
        <v>软工</v>
      </c>
      <c r="D270" s="2" t="str">
        <f>IF(INDEX(学年度总表!$D$3:$D$1025,MATCH($E270,学年度总表!$E$3:$E$1025,0))="","",INDEX(学年度总表!$D$3:$D$1025,MATCH($E270,学年度总表!$E$3:$E$1025,0)))</f>
        <v>软工8班</v>
      </c>
      <c r="E270" s="2" t="s">
        <v>1617</v>
      </c>
      <c r="F270" s="2" t="str">
        <f>IF(INDEX(学年度总表!$F$3:$F$1025,MATCH($E270,学年度总表!$E$3:$E$1025,0))="","",INDEX(学年度总表!$F$3:$F$1025,MATCH($E270,学年度总表!$E$3:$E$1025,0)))</f>
        <v>汪育竹</v>
      </c>
      <c r="G270" s="3">
        <f>IF(INDEX(学年度总表!$G$3:$G$1025,MATCH($E270,学年度总表!$E$3:$E$1025,0))="","",INDEX(学年度总表!$G$3:$G$1025,MATCH($E270,学年度总表!$E$3:$E$1025,0)))</f>
        <v>9.8000000000000007</v>
      </c>
      <c r="H270" s="3">
        <f>IF(INDEX(学年度总表!$H$3:$H$1025,MATCH($E270,学年度总表!$E$3:$E$1025,0))="","",INDEX(学年度总表!$H$3:$H$1025,MATCH($E270,学年度总表!$E$3:$E$1025,0)))</f>
        <v>48.978723404255298</v>
      </c>
      <c r="I270" s="3">
        <f>IF(INDEX(学年度总表!$I$3:$I$1025,MATCH($E270,学年度总表!$E$3:$E$1025,0))="","",INDEX(学年度总表!$I$3:$I$1025,MATCH($E270,学年度总表!$E$3:$E$1025,0)))</f>
        <v>4.3499999999999996</v>
      </c>
      <c r="J270" s="3">
        <f>IF(INDEX(学年度总表!$J$3:$J$1025,MATCH($E270,学年度总表!$E$3:$E$1025,0))="","",INDEX(学年度总表!$J$3:$J$1025,MATCH($E270,学年度总表!$E$3:$E$1025,0)))</f>
        <v>63.13</v>
      </c>
      <c r="K270" s="3">
        <f>IF(INDEX(学年度总表!$K$3:$K$1025,MATCH($E270,学年度总表!$E$3:$E$1025,0))="","",INDEX(学年度总表!$K$3:$K$1025,MATCH($E270,学年度总表!$E$3:$E$1025,0)))</f>
        <v>7.3000000000000007</v>
      </c>
      <c r="L270" s="3">
        <f>IF(INDEX(学年度总表!$L$3:$L$1025,MATCH($E270,学年度总表!$E$3:$E$1025,0))="","",INDEX(学年度总表!$L$3:$L$1025,MATCH($E270,学年度总表!$E$3:$E$1025,0)))</f>
        <v>51.44</v>
      </c>
      <c r="M270" s="3">
        <f>IF(INDEX(学年度总表!$M$3:$M$1025,MATCH($E270,学年度总表!$E$3:$E$1025,0))="","",INDEX(学年度总表!$M$3:$M$1025,MATCH($E270,学年度总表!$E$3:$E$1025,0)))</f>
        <v>3.5</v>
      </c>
      <c r="N270" s="3">
        <f>IF(INDEX(学年度总表!$N$3:$N$1025,MATCH($E270,学年度总表!$E$3:$E$1025,0))="","",INDEX(学年度总表!$N$3:$N$1025,MATCH($E270,学年度总表!$E$3:$E$1025,0)))</f>
        <v>62.24</v>
      </c>
      <c r="O270" s="3">
        <f>IF(INDEX(学年度总表!$O$3:$O$1025,MATCH($E270,学年度总表!$E$3:$E$1025,0))="","",INDEX(学年度总表!$O$3:$O$1025,MATCH($E270,学年度总表!$E$3:$E$1025,0)))</f>
        <v>125.37</v>
      </c>
      <c r="P270" s="2" t="str">
        <f>IF(INDEX(学年度总表!$P$3:$P$1025,MATCH($E270,学年度总表!$E$3:$E$1025,0))="","",INDEX(学年度总表!$P$3:$P$1025,MATCH($E270,学年度总表!$E$3:$E$1025,0)))</f>
        <v/>
      </c>
      <c r="Q270" s="5" t="str">
        <f>IF(INDEX(学年度总表!$Q$3:$Q$1025,MATCH($E270,学年度总表!$E$3:$E$1025,0))="","",INDEX(学年度总表!$Q$3:$Q$1025,MATCH($E270,学年度总表!$E$3:$E$1025,0)))</f>
        <v/>
      </c>
    </row>
    <row r="271" spans="1:17">
      <c r="A271" s="2">
        <f>IF(INDEX(学年度总表!$A$3:$A$1025,MATCH($E271,学年度总表!$E$3:$E$1025,0))="","",INDEX(学年度总表!$A$3:$A$1025,MATCH($E271,学年度总表!$E$3:$E$1025,0)))</f>
        <v>785</v>
      </c>
      <c r="B271" s="2">
        <f>IF(INDEX(学年度总表!$B$3:$B$1025,MATCH($E271,学年度总表!$E$3:$E$1025,0))="","",INDEX(学年度总表!$B$3:$B$1025,MATCH($E271,学年度总表!$E$3:$E$1025,0)))</f>
        <v>269</v>
      </c>
      <c r="C271" s="2" t="str">
        <f>IF(INDEX(学年度总表!$C$3:$C$1025,MATCH($E271,学年度总表!$E$3:$E$1025,0))="","",INDEX(学年度总表!$C$3:$C$1025,MATCH($E271,学年度总表!$E$3:$E$1025,0)))</f>
        <v>软工</v>
      </c>
      <c r="D271" s="2" t="str">
        <f>IF(INDEX(学年度总表!$D$3:$D$1025,MATCH($E271,学年度总表!$E$3:$E$1025,0))="","",INDEX(学年度总表!$D$3:$D$1025,MATCH($E271,学年度总表!$E$3:$E$1025,0)))</f>
        <v>软工14班</v>
      </c>
      <c r="E271" s="2" t="s">
        <v>1631</v>
      </c>
      <c r="F271" s="2" t="str">
        <f>IF(INDEX(学年度总表!$F$3:$F$1025,MATCH($E271,学年度总表!$E$3:$E$1025,0))="","",INDEX(学年度总表!$F$3:$F$1025,MATCH($E271,学年度总表!$E$3:$E$1025,0)))</f>
        <v>周思彤</v>
      </c>
      <c r="G271" s="3">
        <f>IF(INDEX(学年度总表!$G$3:$G$1025,MATCH($E271,学年度总表!$E$3:$E$1025,0))="","",INDEX(学年度总表!$G$3:$G$1025,MATCH($E271,学年度总表!$E$3:$E$1025,0)))</f>
        <v>9.8000000000000007</v>
      </c>
      <c r="H271" s="3">
        <f>IF(INDEX(学年度总表!$H$3:$H$1025,MATCH($E271,学年度总表!$E$3:$E$1025,0))="","",INDEX(学年度总表!$H$3:$H$1025,MATCH($E271,学年度总表!$E$3:$E$1025,0)))</f>
        <v>43.41</v>
      </c>
      <c r="I271" s="3">
        <f>IF(INDEX(学年度总表!$I$3:$I$1025,MATCH($E271,学年度总表!$E$3:$E$1025,0))="","",INDEX(学年度总表!$I$3:$I$1025,MATCH($E271,学年度总表!$E$3:$E$1025,0)))</f>
        <v>3</v>
      </c>
      <c r="J271" s="3">
        <f>IF(INDEX(学年度总表!$J$3:$J$1025,MATCH($E271,学年度总表!$E$3:$E$1025,0))="","",INDEX(学年度总表!$J$3:$J$1025,MATCH($E271,学年度总表!$E$3:$E$1025,0)))</f>
        <v>56.21</v>
      </c>
      <c r="K271" s="3">
        <f>IF(INDEX(学年度总表!$K$3:$K$1025,MATCH($E271,学年度总表!$E$3:$E$1025,0))="","",INDEX(学年度总表!$K$3:$K$1025,MATCH($E271,学年度总表!$E$3:$E$1025,0)))</f>
        <v>9.8000000000000007</v>
      </c>
      <c r="L271" s="3">
        <f>IF(INDEX(学年度总表!$L$3:$L$1025,MATCH($E271,学年度总表!$E$3:$E$1025,0))="","",INDEX(学年度总表!$L$3:$L$1025,MATCH($E271,学年度总表!$E$3:$E$1025,0)))</f>
        <v>55.5</v>
      </c>
      <c r="M271" s="3">
        <f>IF(INDEX(学年度总表!$M$3:$M$1025,MATCH($E271,学年度总表!$E$3:$E$1025,0))="","",INDEX(学年度总表!$M$3:$M$1025,MATCH($E271,学年度总表!$E$3:$E$1025,0)))</f>
        <v>3.5</v>
      </c>
      <c r="N271" s="3">
        <f>IF(INDEX(学年度总表!$N$3:$N$1025,MATCH($E271,学年度总表!$E$3:$E$1025,0))="","",INDEX(学年度总表!$N$3:$N$1025,MATCH($E271,学年度总表!$E$3:$E$1025,0)))</f>
        <v>68.8</v>
      </c>
      <c r="O271" s="3">
        <f>IF(INDEX(学年度总表!$O$3:$O$1025,MATCH($E271,学年度总表!$E$3:$E$1025,0))="","",INDEX(学年度总表!$O$3:$O$1025,MATCH($E271,学年度总表!$E$3:$E$1025,0)))</f>
        <v>125.01</v>
      </c>
      <c r="P271" s="2" t="str">
        <f>IF(INDEX(学年度总表!$P$3:$P$1025,MATCH($E271,学年度总表!$E$3:$E$1025,0))="","",INDEX(学年度总表!$P$3:$P$1025,MATCH($E271,学年度总表!$E$3:$E$1025,0)))</f>
        <v/>
      </c>
      <c r="Q271" s="5" t="str">
        <f>IF(INDEX(学年度总表!$Q$3:$Q$1025,MATCH($E271,学年度总表!$E$3:$E$1025,0))="","",INDEX(学年度总表!$Q$3:$Q$1025,MATCH($E271,学年度总表!$E$3:$E$1025,0)))</f>
        <v/>
      </c>
    </row>
    <row r="272" spans="1:17">
      <c r="A272" s="2">
        <f>IF(INDEX(学年度总表!$A$3:$A$1025,MATCH($E272,学年度总表!$E$3:$E$1025,0))="","",INDEX(学年度总表!$A$3:$A$1025,MATCH($E272,学年度总表!$E$3:$E$1025,0)))</f>
        <v>787</v>
      </c>
      <c r="B272" s="2">
        <f>IF(INDEX(学年度总表!$B$3:$B$1025,MATCH($E272,学年度总表!$E$3:$E$1025,0))="","",INDEX(学年度总表!$B$3:$B$1025,MATCH($E272,学年度总表!$E$3:$E$1025,0)))</f>
        <v>270</v>
      </c>
      <c r="C272" s="2" t="str">
        <f>IF(INDEX(学年度总表!$C$3:$C$1025,MATCH($E272,学年度总表!$E$3:$E$1025,0))="","",INDEX(学年度总表!$C$3:$C$1025,MATCH($E272,学年度总表!$E$3:$E$1025,0)))</f>
        <v>软工</v>
      </c>
      <c r="D272" s="2" t="str">
        <f>IF(INDEX(学年度总表!$D$3:$D$1025,MATCH($E272,学年度总表!$E$3:$E$1025,0))="","",INDEX(学年度总表!$D$3:$D$1025,MATCH($E272,学年度总表!$E$3:$E$1025,0)))</f>
        <v>软工13班</v>
      </c>
      <c r="E272" s="2" t="s">
        <v>1635</v>
      </c>
      <c r="F272" s="2" t="str">
        <f>IF(INDEX(学年度总表!$F$3:$F$1025,MATCH($E272,学年度总表!$E$3:$E$1025,0))="","",INDEX(学年度总表!$F$3:$F$1025,MATCH($E272,学年度总表!$E$3:$E$1025,0)))</f>
        <v>张耀文</v>
      </c>
      <c r="G272" s="3">
        <f>IF(INDEX(学年度总表!$G$3:$G$1025,MATCH($E272,学年度总表!$E$3:$E$1025,0))="","",INDEX(学年度总表!$G$3:$G$1025,MATCH($E272,学年度总表!$E$3:$E$1025,0)))</f>
        <v>10</v>
      </c>
      <c r="H272" s="3">
        <f>IF(INDEX(学年度总表!$H$3:$H$1025,MATCH($E272,学年度总表!$E$3:$E$1025,0))="","",INDEX(学年度总表!$H$3:$H$1025,MATCH($E272,学年度总表!$E$3:$E$1025,0)))</f>
        <v>56.35</v>
      </c>
      <c r="I272" s="3">
        <f>IF(INDEX(学年度总表!$I$3:$I$1025,MATCH($E272,学年度总表!$E$3:$E$1025,0))="","",INDEX(学年度总表!$I$3:$I$1025,MATCH($E272,学年度总表!$E$3:$E$1025,0)))</f>
        <v>4.9000000000000004</v>
      </c>
      <c r="J272" s="3">
        <f>IF(INDEX(学年度总表!$J$3:$J$1025,MATCH($E272,学年度总表!$E$3:$E$1025,0))="","",INDEX(学年度总表!$J$3:$J$1025,MATCH($E272,学年度总表!$E$3:$E$1025,0)))</f>
        <v>71.25</v>
      </c>
      <c r="K272" s="3">
        <f>IF(INDEX(学年度总表!$K$3:$K$1025,MATCH($E272,学年度总表!$E$3:$E$1025,0))="","",INDEX(学年度总表!$K$3:$K$1025,MATCH($E272,学年度总表!$E$3:$E$1025,0)))</f>
        <v>9.6</v>
      </c>
      <c r="L272" s="3">
        <f>IF(INDEX(学年度总表!$L$3:$L$1025,MATCH($E272,学年度总表!$E$3:$E$1025,0))="","",INDEX(学年度总表!$L$3:$L$1025,MATCH($E272,学年度总表!$E$3:$E$1025,0)))</f>
        <v>41.05</v>
      </c>
      <c r="M272" s="3">
        <f>IF(INDEX(学年度总表!$M$3:$M$1025,MATCH($E272,学年度总表!$E$3:$E$1025,0))="","",INDEX(学年度总表!$M$3:$M$1025,MATCH($E272,学年度总表!$E$3:$E$1025,0)))</f>
        <v>3</v>
      </c>
      <c r="N272" s="3">
        <f>IF(INDEX(学年度总表!$N$3:$N$1025,MATCH($E272,学年度总表!$E$3:$E$1025,0))="","",INDEX(学年度总表!$N$3:$N$1025,MATCH($E272,学年度总表!$E$3:$E$1025,0)))</f>
        <v>53.65</v>
      </c>
      <c r="O272" s="3">
        <f>IF(INDEX(学年度总表!$O$3:$O$1025,MATCH($E272,学年度总表!$E$3:$E$1025,0))="","",INDEX(学年度总表!$O$3:$O$1025,MATCH($E272,学年度总表!$E$3:$E$1025,0)))</f>
        <v>124.9</v>
      </c>
      <c r="P272" s="2" t="str">
        <f>IF(INDEX(学年度总表!$P$3:$P$1025,MATCH($E272,学年度总表!$E$3:$E$1025,0))="","",INDEX(学年度总表!$P$3:$P$1025,MATCH($E272,学年度总表!$E$3:$E$1025,0)))</f>
        <v/>
      </c>
      <c r="Q272" s="5" t="str">
        <f>IF(INDEX(学年度总表!$Q$3:$Q$1025,MATCH($E272,学年度总表!$E$3:$E$1025,0))="","",INDEX(学年度总表!$Q$3:$Q$1025,MATCH($E272,学年度总表!$E$3:$E$1025,0)))</f>
        <v/>
      </c>
    </row>
    <row r="273" spans="1:17">
      <c r="A273" s="2">
        <f>IF(INDEX(学年度总表!$A$3:$A$1025,MATCH($E273,学年度总表!$E$3:$E$1025,0))="","",INDEX(学年度总表!$A$3:$A$1025,MATCH($E273,学年度总表!$E$3:$E$1025,0)))</f>
        <v>790</v>
      </c>
      <c r="B273" s="2">
        <f>IF(INDEX(学年度总表!$B$3:$B$1025,MATCH($E273,学年度总表!$E$3:$E$1025,0))="","",INDEX(学年度总表!$B$3:$B$1025,MATCH($E273,学年度总表!$E$3:$E$1025,0)))</f>
        <v>271</v>
      </c>
      <c r="C273" s="2" t="str">
        <f>IF(INDEX(学年度总表!$C$3:$C$1025,MATCH($E273,学年度总表!$E$3:$E$1025,0))="","",INDEX(学年度总表!$C$3:$C$1025,MATCH($E273,学年度总表!$E$3:$E$1025,0)))</f>
        <v>软工</v>
      </c>
      <c r="D273" s="2" t="str">
        <f>IF(INDEX(学年度总表!$D$3:$D$1025,MATCH($E273,学年度总表!$E$3:$E$1025,0))="","",INDEX(学年度总表!$D$3:$D$1025,MATCH($E273,学年度总表!$E$3:$E$1025,0)))</f>
        <v>软工9班</v>
      </c>
      <c r="E273" s="2" t="s">
        <v>1641</v>
      </c>
      <c r="F273" s="2" t="str">
        <f>IF(INDEX(学年度总表!$F$3:$F$1025,MATCH($E273,学年度总表!$E$3:$E$1025,0))="","",INDEX(学年度总表!$F$3:$F$1025,MATCH($E273,学年度总表!$E$3:$E$1025,0)))</f>
        <v>刘朗赫</v>
      </c>
      <c r="G273" s="3">
        <f>IF(INDEX(学年度总表!$G$3:$G$1025,MATCH($E273,学年度总表!$E$3:$E$1025,0))="","",INDEX(学年度总表!$G$3:$G$1025,MATCH($E273,学年度总表!$E$3:$E$1025,0)))</f>
        <v>9.8000000000000007</v>
      </c>
      <c r="H273" s="3">
        <f>IF(INDEX(学年度总表!$H$3:$H$1025,MATCH($E273,学年度总表!$E$3:$E$1025,0))="","",INDEX(学年度总表!$H$3:$H$1025,MATCH($E273,学年度总表!$E$3:$E$1025,0)))</f>
        <v>52.224489795918402</v>
      </c>
      <c r="I273" s="3">
        <f>IF(INDEX(学年度总表!$I$3:$I$1025,MATCH($E273,学年度总表!$E$3:$E$1025,0))="","",INDEX(学年度总表!$I$3:$I$1025,MATCH($E273,学年度总表!$E$3:$E$1025,0)))</f>
        <v>3</v>
      </c>
      <c r="J273" s="3">
        <f>IF(INDEX(学年度总表!$J$3:$J$1025,MATCH($E273,学年度总表!$E$3:$E$1025,0))="","",INDEX(学年度总表!$J$3:$J$1025,MATCH($E273,学年度总表!$E$3:$E$1025,0)))</f>
        <v>65.02</v>
      </c>
      <c r="K273" s="3">
        <f>IF(INDEX(学年度总表!$K$3:$K$1025,MATCH($E273,学年度总表!$E$3:$E$1025,0))="","",INDEX(学年度总表!$K$3:$K$1025,MATCH($E273,学年度总表!$E$3:$E$1025,0)))</f>
        <v>7.3000000000000007</v>
      </c>
      <c r="L273" s="3">
        <f>IF(INDEX(学年度总表!$L$3:$L$1025,MATCH($E273,学年度总表!$E$3:$E$1025,0))="","",INDEX(学年度总表!$L$3:$L$1025,MATCH($E273,学年度总表!$E$3:$E$1025,0)))</f>
        <v>48.84</v>
      </c>
      <c r="M273" s="3">
        <f>IF(INDEX(学年度总表!$M$3:$M$1025,MATCH($E273,学年度总表!$E$3:$E$1025,0))="","",INDEX(学年度总表!$M$3:$M$1025,MATCH($E273,学年度总表!$E$3:$E$1025,0)))</f>
        <v>3.5</v>
      </c>
      <c r="N273" s="3">
        <f>IF(INDEX(学年度总表!$N$3:$N$1025,MATCH($E273,学年度总表!$E$3:$E$1025,0))="","",INDEX(学年度总表!$N$3:$N$1025,MATCH($E273,学年度总表!$E$3:$E$1025,0)))</f>
        <v>59.64</v>
      </c>
      <c r="O273" s="3">
        <f>IF(INDEX(学年度总表!$O$3:$O$1025,MATCH($E273,学年度总表!$E$3:$E$1025,0))="","",INDEX(学年度总表!$O$3:$O$1025,MATCH($E273,学年度总表!$E$3:$E$1025,0)))</f>
        <v>124.66</v>
      </c>
      <c r="P273" s="2" t="str">
        <f>IF(INDEX(学年度总表!$P$3:$P$1025,MATCH($E273,学年度总表!$E$3:$E$1025,0))="","",INDEX(学年度总表!$P$3:$P$1025,MATCH($E273,学年度总表!$E$3:$E$1025,0)))</f>
        <v/>
      </c>
      <c r="Q273" s="5" t="str">
        <f>IF(INDEX(学年度总表!$Q$3:$Q$1025,MATCH($E273,学年度总表!$E$3:$E$1025,0))="","",INDEX(学年度总表!$Q$3:$Q$1025,MATCH($E273,学年度总表!$E$3:$E$1025,0)))</f>
        <v/>
      </c>
    </row>
    <row r="274" spans="1:17">
      <c r="A274" s="2">
        <f>IF(INDEX(学年度总表!$A$3:$A$1025,MATCH($E274,学年度总表!$E$3:$E$1025,0))="","",INDEX(学年度总表!$A$3:$A$1025,MATCH($E274,学年度总表!$E$3:$E$1025,0)))</f>
        <v>791</v>
      </c>
      <c r="B274" s="2">
        <f>IF(INDEX(学年度总表!$B$3:$B$1025,MATCH($E274,学年度总表!$E$3:$E$1025,0))="","",INDEX(学年度总表!$B$3:$B$1025,MATCH($E274,学年度总表!$E$3:$E$1025,0)))</f>
        <v>272</v>
      </c>
      <c r="C274" s="2" t="str">
        <f>IF(INDEX(学年度总表!$C$3:$C$1025,MATCH($E274,学年度总表!$E$3:$E$1025,0))="","",INDEX(学年度总表!$C$3:$C$1025,MATCH($E274,学年度总表!$E$3:$E$1025,0)))</f>
        <v>软工</v>
      </c>
      <c r="D274" s="2" t="str">
        <f>IF(INDEX(学年度总表!$D$3:$D$1025,MATCH($E274,学年度总表!$E$3:$E$1025,0))="","",INDEX(学年度总表!$D$3:$D$1025,MATCH($E274,学年度总表!$E$3:$E$1025,0)))</f>
        <v>软工13班</v>
      </c>
      <c r="E274" s="2" t="s">
        <v>1643</v>
      </c>
      <c r="F274" s="2" t="str">
        <f>IF(INDEX(学年度总表!$F$3:$F$1025,MATCH($E274,学年度总表!$E$3:$E$1025,0))="","",INDEX(学年度总表!$F$3:$F$1025,MATCH($E274,学年度总表!$E$3:$E$1025,0)))</f>
        <v>祁鼎原</v>
      </c>
      <c r="G274" s="3">
        <f>IF(INDEX(学年度总表!$G$3:$G$1025,MATCH($E274,学年度总表!$E$3:$E$1025,0))="","",INDEX(学年度总表!$G$3:$G$1025,MATCH($E274,学年度总表!$E$3:$E$1025,0)))</f>
        <v>9.8000000000000007</v>
      </c>
      <c r="H274" s="3">
        <f>IF(INDEX(学年度总表!$H$3:$H$1025,MATCH($E274,学年度总表!$E$3:$E$1025,0))="","",INDEX(学年度总表!$H$3:$H$1025,MATCH($E274,学年度总表!$E$3:$E$1025,0)))</f>
        <v>47.46</v>
      </c>
      <c r="I274" s="3">
        <f>IF(INDEX(学年度总表!$I$3:$I$1025,MATCH($E274,学年度总表!$E$3:$E$1025,0))="","",INDEX(学年度总表!$I$3:$I$1025,MATCH($E274,学年度总表!$E$3:$E$1025,0)))</f>
        <v>4</v>
      </c>
      <c r="J274" s="3">
        <f>IF(INDEX(学年度总表!$J$3:$J$1025,MATCH($E274,学年度总表!$E$3:$E$1025,0))="","",INDEX(学年度总表!$J$3:$J$1025,MATCH($E274,学年度总表!$E$3:$E$1025,0)))</f>
        <v>61.26</v>
      </c>
      <c r="K274" s="3">
        <f>IF(INDEX(学年度总表!$K$3:$K$1025,MATCH($E274,学年度总表!$E$3:$E$1025,0))="","",INDEX(学年度总表!$K$3:$K$1025,MATCH($E274,学年度总表!$E$3:$E$1025,0)))</f>
        <v>9.8000000000000007</v>
      </c>
      <c r="L274" s="3">
        <f>IF(INDEX(学年度总表!$L$3:$L$1025,MATCH($E274,学年度总表!$E$3:$E$1025,0))="","",INDEX(学年度总表!$L$3:$L$1025,MATCH($E274,学年度总表!$E$3:$E$1025,0)))</f>
        <v>49.26</v>
      </c>
      <c r="M274" s="3">
        <f>IF(INDEX(学年度总表!$M$3:$M$1025,MATCH($E274,学年度总表!$E$3:$E$1025,0))="","",INDEX(学年度总表!$M$3:$M$1025,MATCH($E274,学年度总表!$E$3:$E$1025,0)))</f>
        <v>4.3</v>
      </c>
      <c r="N274" s="3">
        <f>IF(INDEX(学年度总表!$N$3:$N$1025,MATCH($E274,学年度总表!$E$3:$E$1025,0))="","",INDEX(学年度总表!$N$3:$N$1025,MATCH($E274,学年度总表!$E$3:$E$1025,0)))</f>
        <v>63.36</v>
      </c>
      <c r="O274" s="3">
        <f>IF(INDEX(学年度总表!$O$3:$O$1025,MATCH($E274,学年度总表!$E$3:$E$1025,0))="","",INDEX(学年度总表!$O$3:$O$1025,MATCH($E274,学年度总表!$E$3:$E$1025,0)))</f>
        <v>124.62</v>
      </c>
      <c r="P274" s="2" t="str">
        <f>IF(INDEX(学年度总表!$P$3:$P$1025,MATCH($E274,学年度总表!$E$3:$E$1025,0))="","",INDEX(学年度总表!$P$3:$P$1025,MATCH($E274,学年度总表!$E$3:$E$1025,0)))</f>
        <v/>
      </c>
      <c r="Q274" s="5" t="str">
        <f>IF(INDEX(学年度总表!$Q$3:$Q$1025,MATCH($E274,学年度总表!$E$3:$E$1025,0))="","",INDEX(学年度总表!$Q$3:$Q$1025,MATCH($E274,学年度总表!$E$3:$E$1025,0)))</f>
        <v/>
      </c>
    </row>
    <row r="275" spans="1:17">
      <c r="A275" s="2">
        <f>IF(INDEX(学年度总表!$A$3:$A$1025,MATCH($E275,学年度总表!$E$3:$E$1025,0))="","",INDEX(学年度总表!$A$3:$A$1025,MATCH($E275,学年度总表!$E$3:$E$1025,0)))</f>
        <v>797</v>
      </c>
      <c r="B275" s="2">
        <f>IF(INDEX(学年度总表!$B$3:$B$1025,MATCH($E275,学年度总表!$E$3:$E$1025,0))="","",INDEX(学年度总表!$B$3:$B$1025,MATCH($E275,学年度总表!$E$3:$E$1025,0)))</f>
        <v>273</v>
      </c>
      <c r="C275" s="2" t="str">
        <f>IF(INDEX(学年度总表!$C$3:$C$1025,MATCH($E275,学年度总表!$E$3:$E$1025,0))="","",INDEX(学年度总表!$C$3:$C$1025,MATCH($E275,学年度总表!$E$3:$E$1025,0)))</f>
        <v>软工</v>
      </c>
      <c r="D275" s="2" t="str">
        <f>IF(INDEX(学年度总表!$D$3:$D$1025,MATCH($E275,学年度总表!$E$3:$E$1025,0))="","",INDEX(学年度总表!$D$3:$D$1025,MATCH($E275,学年度总表!$E$3:$E$1025,0)))</f>
        <v>软工14班</v>
      </c>
      <c r="E275" s="2" t="s">
        <v>1655</v>
      </c>
      <c r="F275" s="2" t="str">
        <f>IF(INDEX(学年度总表!$F$3:$F$1025,MATCH($E275,学年度总表!$E$3:$E$1025,0))="","",INDEX(学年度总表!$F$3:$F$1025,MATCH($E275,学年度总表!$E$3:$E$1025,0)))</f>
        <v>丛哲铭</v>
      </c>
      <c r="G275" s="3">
        <f>IF(INDEX(学年度总表!$G$3:$G$1025,MATCH($E275,学年度总表!$E$3:$E$1025,0))="","",INDEX(学年度总表!$G$3:$G$1025,MATCH($E275,学年度总表!$E$3:$E$1025,0)))</f>
        <v>9.8000000000000007</v>
      </c>
      <c r="H275" s="3">
        <f>IF(INDEX(学年度总表!$H$3:$H$1025,MATCH($E275,学年度总表!$E$3:$E$1025,0))="","",INDEX(学年度总表!$H$3:$H$1025,MATCH($E275,学年度总表!$E$3:$E$1025,0)))</f>
        <v>48.47</v>
      </c>
      <c r="I275" s="3">
        <f>IF(INDEX(学年度总表!$I$3:$I$1025,MATCH($E275,学年度总表!$E$3:$E$1025,0))="","",INDEX(学年度总表!$I$3:$I$1025,MATCH($E275,学年度总表!$E$3:$E$1025,0)))</f>
        <v>3.2</v>
      </c>
      <c r="J275" s="3">
        <f>IF(INDEX(学年度总表!$J$3:$J$1025,MATCH($E275,学年度总表!$E$3:$E$1025,0))="","",INDEX(学年度总表!$J$3:$J$1025,MATCH($E275,学年度总表!$E$3:$E$1025,0)))</f>
        <v>61.47</v>
      </c>
      <c r="K275" s="3">
        <f>IF(INDEX(学年度总表!$K$3:$K$1025,MATCH($E275,学年度总表!$E$3:$E$1025,0))="","",INDEX(学年度总表!$K$3:$K$1025,MATCH($E275,学年度总表!$E$3:$E$1025,0)))</f>
        <v>9.8000000000000007</v>
      </c>
      <c r="L275" s="3">
        <f>IF(INDEX(学年度总表!$L$3:$L$1025,MATCH($E275,学年度总表!$E$3:$E$1025,0))="","",INDEX(学年度总表!$L$3:$L$1025,MATCH($E275,学年度总表!$E$3:$E$1025,0)))</f>
        <v>49.61</v>
      </c>
      <c r="M275" s="3">
        <f>IF(INDEX(学年度总表!$M$3:$M$1025,MATCH($E275,学年度总表!$E$3:$E$1025,0))="","",INDEX(学年度总表!$M$3:$M$1025,MATCH($E275,学年度总表!$E$3:$E$1025,0)))</f>
        <v>3.5</v>
      </c>
      <c r="N275" s="3">
        <f>IF(INDEX(学年度总表!$N$3:$N$1025,MATCH($E275,学年度总表!$E$3:$E$1025,0))="","",INDEX(学年度总表!$N$3:$N$1025,MATCH($E275,学年度总表!$E$3:$E$1025,0)))</f>
        <v>62.91</v>
      </c>
      <c r="O275" s="3">
        <f>IF(INDEX(学年度总表!$O$3:$O$1025,MATCH($E275,学年度总表!$E$3:$E$1025,0))="","",INDEX(学年度总表!$O$3:$O$1025,MATCH($E275,学年度总表!$E$3:$E$1025,0)))</f>
        <v>124.38</v>
      </c>
      <c r="P275" s="2" t="str">
        <f>IF(INDEX(学年度总表!$P$3:$P$1025,MATCH($E275,学年度总表!$E$3:$E$1025,0))="","",INDEX(学年度总表!$P$3:$P$1025,MATCH($E275,学年度总表!$E$3:$E$1025,0)))</f>
        <v/>
      </c>
      <c r="Q275" s="5" t="str">
        <f>IF(INDEX(学年度总表!$Q$3:$Q$1025,MATCH($E275,学年度总表!$E$3:$E$1025,0))="","",INDEX(学年度总表!$Q$3:$Q$1025,MATCH($E275,学年度总表!$E$3:$E$1025,0)))</f>
        <v/>
      </c>
    </row>
    <row r="276" spans="1:17">
      <c r="A276" s="2">
        <f>IF(INDEX(学年度总表!$A$3:$A$1025,MATCH($E276,学年度总表!$E$3:$E$1025,0))="","",INDEX(学年度总表!$A$3:$A$1025,MATCH($E276,学年度总表!$E$3:$E$1025,0)))</f>
        <v>800</v>
      </c>
      <c r="B276" s="2">
        <f>IF(INDEX(学年度总表!$B$3:$B$1025,MATCH($E276,学年度总表!$E$3:$E$1025,0))="","",INDEX(学年度总表!$B$3:$B$1025,MATCH($E276,学年度总表!$E$3:$E$1025,0)))</f>
        <v>274</v>
      </c>
      <c r="C276" s="2" t="str">
        <f>IF(INDEX(学年度总表!$C$3:$C$1025,MATCH($E276,学年度总表!$E$3:$E$1025,0))="","",INDEX(学年度总表!$C$3:$C$1025,MATCH($E276,学年度总表!$E$3:$E$1025,0)))</f>
        <v>软工</v>
      </c>
      <c r="D276" s="2" t="str">
        <f>IF(INDEX(学年度总表!$D$3:$D$1025,MATCH($E276,学年度总表!$E$3:$E$1025,0))="","",INDEX(学年度总表!$D$3:$D$1025,MATCH($E276,学年度总表!$E$3:$E$1025,0)))</f>
        <v>软工8班</v>
      </c>
      <c r="E276" s="2" t="s">
        <v>1661</v>
      </c>
      <c r="F276" s="2" t="str">
        <f>IF(INDEX(学年度总表!$F$3:$F$1025,MATCH($E276,学年度总表!$E$3:$E$1025,0))="","",INDEX(学年度总表!$F$3:$F$1025,MATCH($E276,学年度总表!$E$3:$E$1025,0)))</f>
        <v>张君宇</v>
      </c>
      <c r="G276" s="3">
        <f>IF(INDEX(学年度总表!$G$3:$G$1025,MATCH($E276,学年度总表!$E$3:$E$1025,0))="","",INDEX(学年度总表!$G$3:$G$1025,MATCH($E276,学年度总表!$E$3:$E$1025,0)))</f>
        <v>9.8000000000000007</v>
      </c>
      <c r="H276" s="3">
        <f>IF(INDEX(学年度总表!$H$3:$H$1025,MATCH($E276,学年度总表!$E$3:$E$1025,0))="","",INDEX(学年度总表!$H$3:$H$1025,MATCH($E276,学年度总表!$E$3:$E$1025,0)))</f>
        <v>51.638297872340402</v>
      </c>
      <c r="I276" s="3">
        <f>IF(INDEX(学年度总表!$I$3:$I$1025,MATCH($E276,学年度总表!$E$3:$E$1025,0))="","",INDEX(学年度总表!$I$3:$I$1025,MATCH($E276,学年度总表!$E$3:$E$1025,0)))</f>
        <v>3</v>
      </c>
      <c r="J276" s="3">
        <f>IF(INDEX(学年度总表!$J$3:$J$1025,MATCH($E276,学年度总表!$E$3:$E$1025,0))="","",INDEX(学年度总表!$J$3:$J$1025,MATCH($E276,学年度总表!$E$3:$E$1025,0)))</f>
        <v>64.44</v>
      </c>
      <c r="K276" s="3">
        <f>IF(INDEX(学年度总表!$K$3:$K$1025,MATCH($E276,学年度总表!$E$3:$E$1025,0))="","",INDEX(学年度总表!$K$3:$K$1025,MATCH($E276,学年度总表!$E$3:$E$1025,0)))</f>
        <v>9.8000000000000007</v>
      </c>
      <c r="L276" s="3">
        <f>IF(INDEX(学年度总表!$L$3:$L$1025,MATCH($E276,学年度总表!$E$3:$E$1025,0))="","",INDEX(学年度总表!$L$3:$L$1025,MATCH($E276,学年度总表!$E$3:$E$1025,0)))</f>
        <v>46.49</v>
      </c>
      <c r="M276" s="3">
        <f>IF(INDEX(学年度总表!$M$3:$M$1025,MATCH($E276,学年度总表!$E$3:$E$1025,0))="","",INDEX(学年度总表!$M$3:$M$1025,MATCH($E276,学年度总表!$E$3:$E$1025,0)))</f>
        <v>3.5</v>
      </c>
      <c r="N276" s="3">
        <f>IF(INDEX(学年度总表!$N$3:$N$1025,MATCH($E276,学年度总表!$E$3:$E$1025,0))="","",INDEX(学年度总表!$N$3:$N$1025,MATCH($E276,学年度总表!$E$3:$E$1025,0)))</f>
        <v>59.79</v>
      </c>
      <c r="O276" s="3">
        <f>IF(INDEX(学年度总表!$O$3:$O$1025,MATCH($E276,学年度总表!$E$3:$E$1025,0))="","",INDEX(学年度总表!$O$3:$O$1025,MATCH($E276,学年度总表!$E$3:$E$1025,0)))</f>
        <v>124.23</v>
      </c>
      <c r="P276" s="2" t="str">
        <f>IF(INDEX(学年度总表!$P$3:$P$1025,MATCH($E276,学年度总表!$E$3:$E$1025,0))="","",INDEX(学年度总表!$P$3:$P$1025,MATCH($E276,学年度总表!$E$3:$E$1025,0)))</f>
        <v/>
      </c>
      <c r="Q276" s="5" t="str">
        <f>IF(INDEX(学年度总表!$Q$3:$Q$1025,MATCH($E276,学年度总表!$E$3:$E$1025,0))="","",INDEX(学年度总表!$Q$3:$Q$1025,MATCH($E276,学年度总表!$E$3:$E$1025,0)))</f>
        <v/>
      </c>
    </row>
    <row r="277" spans="1:17">
      <c r="A277" s="2">
        <f>IF(INDEX(学年度总表!$A$3:$A$1025,MATCH($E277,学年度总表!$E$3:$E$1025,0))="","",INDEX(学年度总表!$A$3:$A$1025,MATCH($E277,学年度总表!$E$3:$E$1025,0)))</f>
        <v>802</v>
      </c>
      <c r="B277" s="2">
        <f>IF(INDEX(学年度总表!$B$3:$B$1025,MATCH($E277,学年度总表!$E$3:$E$1025,0))="","",INDEX(学年度总表!$B$3:$B$1025,MATCH($E277,学年度总表!$E$3:$E$1025,0)))</f>
        <v>275</v>
      </c>
      <c r="C277" s="2" t="str">
        <f>IF(INDEX(学年度总表!$C$3:$C$1025,MATCH($E277,学年度总表!$E$3:$E$1025,0))="","",INDEX(学年度总表!$C$3:$C$1025,MATCH($E277,学年度总表!$E$3:$E$1025,0)))</f>
        <v>软工</v>
      </c>
      <c r="D277" s="2" t="str">
        <f>IF(INDEX(学年度总表!$D$3:$D$1025,MATCH($E277,学年度总表!$E$3:$E$1025,0))="","",INDEX(学年度总表!$D$3:$D$1025,MATCH($E277,学年度总表!$E$3:$E$1025,0)))</f>
        <v>软工8班</v>
      </c>
      <c r="E277" s="2" t="s">
        <v>1665</v>
      </c>
      <c r="F277" s="2" t="str">
        <f>IF(INDEX(学年度总表!$F$3:$F$1025,MATCH($E277,学年度总表!$E$3:$E$1025,0))="","",INDEX(学年度总表!$F$3:$F$1025,MATCH($E277,学年度总表!$E$3:$E$1025,0)))</f>
        <v>李奕霏</v>
      </c>
      <c r="G277" s="3">
        <f>IF(INDEX(学年度总表!$G$3:$G$1025,MATCH($E277,学年度总表!$E$3:$E$1025,0))="","",INDEX(学年度总表!$G$3:$G$1025,MATCH($E277,学年度总表!$E$3:$E$1025,0)))</f>
        <v>7.3</v>
      </c>
      <c r="H277" s="3">
        <f>IF(INDEX(学年度总表!$H$3:$H$1025,MATCH($E277,学年度总表!$E$3:$E$1025,0))="","",INDEX(学年度总表!$H$3:$H$1025,MATCH($E277,学年度总表!$E$3:$E$1025,0)))</f>
        <v>54.957446808510603</v>
      </c>
      <c r="I277" s="3">
        <f>IF(INDEX(学年度总表!$I$3:$I$1025,MATCH($E277,学年度总表!$E$3:$E$1025,0))="","",INDEX(学年度总表!$I$3:$I$1025,MATCH($E277,学年度总表!$E$3:$E$1025,0)))</f>
        <v>3</v>
      </c>
      <c r="J277" s="3">
        <f>IF(INDEX(学年度总表!$J$3:$J$1025,MATCH($E277,学年度总表!$E$3:$E$1025,0))="","",INDEX(学年度总表!$J$3:$J$1025,MATCH($E277,学年度总表!$E$3:$E$1025,0)))</f>
        <v>65.260000000000005</v>
      </c>
      <c r="K277" s="3">
        <f>IF(INDEX(学年度总表!$K$3:$K$1025,MATCH($E277,学年度总表!$E$3:$E$1025,0))="","",INDEX(学年度总表!$K$3:$K$1025,MATCH($E277,学年度总表!$E$3:$E$1025,0)))</f>
        <v>9.8000000000000007</v>
      </c>
      <c r="L277" s="3">
        <f>IF(INDEX(学年度总表!$L$3:$L$1025,MATCH($E277,学年度总表!$E$3:$E$1025,0))="","",INDEX(学年度总表!$L$3:$L$1025,MATCH($E277,学年度总表!$E$3:$E$1025,0)))</f>
        <v>45.61</v>
      </c>
      <c r="M277" s="3">
        <f>IF(INDEX(学年度总表!$M$3:$M$1025,MATCH($E277,学年度总表!$E$3:$E$1025,0))="","",INDEX(学年度总表!$M$3:$M$1025,MATCH($E277,学年度总表!$E$3:$E$1025,0)))</f>
        <v>3.5</v>
      </c>
      <c r="N277" s="3">
        <f>IF(INDEX(学年度总表!$N$3:$N$1025,MATCH($E277,学年度总表!$E$3:$E$1025,0))="","",INDEX(学年度总表!$N$3:$N$1025,MATCH($E277,学年度总表!$E$3:$E$1025,0)))</f>
        <v>58.91</v>
      </c>
      <c r="O277" s="3">
        <f>IF(INDEX(学年度总表!$O$3:$O$1025,MATCH($E277,学年度总表!$E$3:$E$1025,0))="","",INDEX(学年度总表!$O$3:$O$1025,MATCH($E277,学年度总表!$E$3:$E$1025,0)))</f>
        <v>124.17</v>
      </c>
      <c r="P277" s="2" t="str">
        <f>IF(INDEX(学年度总表!$P$3:$P$1025,MATCH($E277,学年度总表!$E$3:$E$1025,0))="","",INDEX(学年度总表!$P$3:$P$1025,MATCH($E277,学年度总表!$E$3:$E$1025,0)))</f>
        <v/>
      </c>
      <c r="Q277" s="5" t="str">
        <f>IF(INDEX(学年度总表!$Q$3:$Q$1025,MATCH($E277,学年度总表!$E$3:$E$1025,0))="","",INDEX(学年度总表!$Q$3:$Q$1025,MATCH($E277,学年度总表!$E$3:$E$1025,0)))</f>
        <v/>
      </c>
    </row>
    <row r="278" spans="1:17">
      <c r="A278" s="2">
        <f>IF(INDEX(学年度总表!$A$3:$A$1025,MATCH($E278,学年度总表!$E$3:$E$1025,0))="","",INDEX(学年度总表!$A$3:$A$1025,MATCH($E278,学年度总表!$E$3:$E$1025,0)))</f>
        <v>804</v>
      </c>
      <c r="B278" s="2">
        <f>IF(INDEX(学年度总表!$B$3:$B$1025,MATCH($E278,学年度总表!$E$3:$E$1025,0))="","",INDEX(学年度总表!$B$3:$B$1025,MATCH($E278,学年度总表!$E$3:$E$1025,0)))</f>
        <v>276</v>
      </c>
      <c r="C278" s="2" t="str">
        <f>IF(INDEX(学年度总表!$C$3:$C$1025,MATCH($E278,学年度总表!$E$3:$E$1025,0))="","",INDEX(学年度总表!$C$3:$C$1025,MATCH($E278,学年度总表!$E$3:$E$1025,0)))</f>
        <v>软工</v>
      </c>
      <c r="D278" s="2" t="str">
        <f>IF(INDEX(学年度总表!$D$3:$D$1025,MATCH($E278,学年度总表!$E$3:$E$1025,0))="","",INDEX(学年度总表!$D$3:$D$1025,MATCH($E278,学年度总表!$E$3:$E$1025,0)))</f>
        <v>软工9班</v>
      </c>
      <c r="E278" s="2" t="s">
        <v>1669</v>
      </c>
      <c r="F278" s="2" t="str">
        <f>IF(INDEX(学年度总表!$F$3:$F$1025,MATCH($E278,学年度总表!$E$3:$E$1025,0))="","",INDEX(学年度总表!$F$3:$F$1025,MATCH($E278,学年度总表!$E$3:$E$1025,0)))</f>
        <v>张宇泽</v>
      </c>
      <c r="G278" s="3">
        <f>IF(INDEX(学年度总表!$G$3:$G$1025,MATCH($E278,学年度总表!$E$3:$E$1025,0))="","",INDEX(学年度总表!$G$3:$G$1025,MATCH($E278,学年度总表!$E$3:$E$1025,0)))</f>
        <v>9.8000000000000007</v>
      </c>
      <c r="H278" s="3">
        <f>IF(INDEX(学年度总表!$H$3:$H$1025,MATCH($E278,学年度总表!$E$3:$E$1025,0))="","",INDEX(学年度总表!$H$3:$H$1025,MATCH($E278,学年度总表!$E$3:$E$1025,0)))</f>
        <v>49.112244897959201</v>
      </c>
      <c r="I278" s="3">
        <f>IF(INDEX(学年度总表!$I$3:$I$1025,MATCH($E278,学年度总表!$E$3:$E$1025,0))="","",INDEX(学年度总表!$I$3:$I$1025,MATCH($E278,学年度总表!$E$3:$E$1025,0)))</f>
        <v>3</v>
      </c>
      <c r="J278" s="3">
        <f>IF(INDEX(学年度总表!$J$3:$J$1025,MATCH($E278,学年度总表!$E$3:$E$1025,0))="","",INDEX(学年度总表!$J$3:$J$1025,MATCH($E278,学年度总表!$E$3:$E$1025,0)))</f>
        <v>61.91</v>
      </c>
      <c r="K278" s="3">
        <f>IF(INDEX(学年度总表!$K$3:$K$1025,MATCH($E278,学年度总表!$E$3:$E$1025,0))="","",INDEX(学年度总表!$K$3:$K$1025,MATCH($E278,学年度总表!$E$3:$E$1025,0)))</f>
        <v>9.8000000000000007</v>
      </c>
      <c r="L278" s="3">
        <f>IF(INDEX(学年度总表!$L$3:$L$1025,MATCH($E278,学年度总表!$E$3:$E$1025,0))="","",INDEX(学年度总表!$L$3:$L$1025,MATCH($E278,学年度总表!$E$3:$E$1025,0)))</f>
        <v>49.2</v>
      </c>
      <c r="M278" s="3">
        <f>IF(INDEX(学年度总表!$M$3:$M$1025,MATCH($E278,学年度总表!$E$3:$E$1025,0))="","",INDEX(学年度总表!$M$3:$M$1025,MATCH($E278,学年度总表!$E$3:$E$1025,0)))</f>
        <v>3.2</v>
      </c>
      <c r="N278" s="3">
        <f>IF(INDEX(学年度总表!$N$3:$N$1025,MATCH($E278,学年度总表!$E$3:$E$1025,0))="","",INDEX(学年度总表!$N$3:$N$1025,MATCH($E278,学年度总表!$E$3:$E$1025,0)))</f>
        <v>62.2</v>
      </c>
      <c r="O278" s="3">
        <f>IF(INDEX(学年度总表!$O$3:$O$1025,MATCH($E278,学年度总表!$E$3:$E$1025,0))="","",INDEX(学年度总表!$O$3:$O$1025,MATCH($E278,学年度总表!$E$3:$E$1025,0)))</f>
        <v>124.11</v>
      </c>
      <c r="P278" s="2" t="str">
        <f>IF(INDEX(学年度总表!$P$3:$P$1025,MATCH($E278,学年度总表!$E$3:$E$1025,0))="","",INDEX(学年度总表!$P$3:$P$1025,MATCH($E278,学年度总表!$E$3:$E$1025,0)))</f>
        <v/>
      </c>
      <c r="Q278" s="5" t="str">
        <f>IF(INDEX(学年度总表!$Q$3:$Q$1025,MATCH($E278,学年度总表!$E$3:$E$1025,0))="","",INDEX(学年度总表!$Q$3:$Q$1025,MATCH($E278,学年度总表!$E$3:$E$1025,0)))</f>
        <v/>
      </c>
    </row>
    <row r="279" spans="1:17">
      <c r="A279" s="2">
        <f>IF(INDEX(学年度总表!$A$3:$A$1025,MATCH($E279,学年度总表!$E$3:$E$1025,0))="","",INDEX(学年度总表!$A$3:$A$1025,MATCH($E279,学年度总表!$E$3:$E$1025,0)))</f>
        <v>807</v>
      </c>
      <c r="B279" s="2">
        <f>IF(INDEX(学年度总表!$B$3:$B$1025,MATCH($E279,学年度总表!$E$3:$E$1025,0))="","",INDEX(学年度总表!$B$3:$B$1025,MATCH($E279,学年度总表!$E$3:$E$1025,0)))</f>
        <v>277</v>
      </c>
      <c r="C279" s="2" t="str">
        <f>IF(INDEX(学年度总表!$C$3:$C$1025,MATCH($E279,学年度总表!$E$3:$E$1025,0))="","",INDEX(学年度总表!$C$3:$C$1025,MATCH($E279,学年度总表!$E$3:$E$1025,0)))</f>
        <v>软工</v>
      </c>
      <c r="D279" s="2" t="str">
        <f>IF(INDEX(学年度总表!$D$3:$D$1025,MATCH($E279,学年度总表!$E$3:$E$1025,0))="","",INDEX(学年度总表!$D$3:$D$1025,MATCH($E279,学年度总表!$E$3:$E$1025,0)))</f>
        <v>软工8班</v>
      </c>
      <c r="E279" s="2" t="s">
        <v>1675</v>
      </c>
      <c r="F279" s="2" t="str">
        <f>IF(INDEX(学年度总表!$F$3:$F$1025,MATCH($E279,学年度总表!$E$3:$E$1025,0))="","",INDEX(学年度总表!$F$3:$F$1025,MATCH($E279,学年度总表!$E$3:$E$1025,0)))</f>
        <v>郎芮</v>
      </c>
      <c r="G279" s="3">
        <f>IF(INDEX(学年度总表!$G$3:$G$1025,MATCH($E279,学年度总表!$E$3:$E$1025,0))="","",INDEX(学年度总表!$G$3:$G$1025,MATCH($E279,学年度总表!$E$3:$E$1025,0)))</f>
        <v>10</v>
      </c>
      <c r="H279" s="3">
        <f>IF(INDEX(学年度总表!$H$3:$H$1025,MATCH($E279,学年度总表!$E$3:$E$1025,0))="","",INDEX(学年度总表!$H$3:$H$1025,MATCH($E279,学年度总表!$E$3:$E$1025,0)))</f>
        <v>53.755102040816297</v>
      </c>
      <c r="I279" s="3">
        <f>IF(INDEX(学年度总表!$I$3:$I$1025,MATCH($E279,学年度总表!$E$3:$E$1025,0))="","",INDEX(学年度总表!$I$3:$I$1025,MATCH($E279,学年度总表!$E$3:$E$1025,0)))</f>
        <v>3</v>
      </c>
      <c r="J279" s="3">
        <f>IF(INDEX(学年度总表!$J$3:$J$1025,MATCH($E279,学年度总表!$E$3:$E$1025,0))="","",INDEX(学年度总表!$J$3:$J$1025,MATCH($E279,学年度总表!$E$3:$E$1025,0)))</f>
        <v>66.760000000000005</v>
      </c>
      <c r="K279" s="3">
        <f>IF(INDEX(学年度总表!$K$3:$K$1025,MATCH($E279,学年度总表!$E$3:$E$1025,0))="","",INDEX(学年度总表!$K$3:$K$1025,MATCH($E279,学年度总表!$E$3:$E$1025,0)))</f>
        <v>7.5</v>
      </c>
      <c r="L279" s="3">
        <f>IF(INDEX(学年度总表!$L$3:$L$1025,MATCH($E279,学年度总表!$E$3:$E$1025,0))="","",INDEX(学年度总表!$L$3:$L$1025,MATCH($E279,学年度总表!$E$3:$E$1025,0)))</f>
        <v>45.88</v>
      </c>
      <c r="M279" s="3">
        <f>IF(INDEX(学年度总表!$M$3:$M$1025,MATCH($E279,学年度总表!$E$3:$E$1025,0))="","",INDEX(学年度总表!$M$3:$M$1025,MATCH($E279,学年度总表!$E$3:$E$1025,0)))</f>
        <v>3.5</v>
      </c>
      <c r="N279" s="3">
        <f>IF(INDEX(学年度总表!$N$3:$N$1025,MATCH($E279,学年度总表!$E$3:$E$1025,0))="","",INDEX(学年度总表!$N$3:$N$1025,MATCH($E279,学年度总表!$E$3:$E$1025,0)))</f>
        <v>56.88</v>
      </c>
      <c r="O279" s="3">
        <f>IF(INDEX(学年度总表!$O$3:$O$1025,MATCH($E279,学年度总表!$E$3:$E$1025,0))="","",INDEX(学年度总表!$O$3:$O$1025,MATCH($E279,学年度总表!$E$3:$E$1025,0)))</f>
        <v>123.64</v>
      </c>
      <c r="P279" s="2" t="str">
        <f>IF(INDEX(学年度总表!$P$3:$P$1025,MATCH($E279,学年度总表!$E$3:$E$1025,0))="","",INDEX(学年度总表!$P$3:$P$1025,MATCH($E279,学年度总表!$E$3:$E$1025,0)))</f>
        <v/>
      </c>
      <c r="Q279" s="5" t="str">
        <f>IF(INDEX(学年度总表!$Q$3:$Q$1025,MATCH($E279,学年度总表!$E$3:$E$1025,0))="","",INDEX(学年度总表!$Q$3:$Q$1025,MATCH($E279,学年度总表!$E$3:$E$1025,0)))</f>
        <v/>
      </c>
    </row>
    <row r="280" spans="1:17">
      <c r="A280" s="2">
        <f>IF(INDEX(学年度总表!$A$3:$A$1025,MATCH($E280,学年度总表!$E$3:$E$1025,0))="","",INDEX(学年度总表!$A$3:$A$1025,MATCH($E280,学年度总表!$E$3:$E$1025,0)))</f>
        <v>811</v>
      </c>
      <c r="B280" s="2">
        <f>IF(INDEX(学年度总表!$B$3:$B$1025,MATCH($E280,学年度总表!$E$3:$E$1025,0))="","",INDEX(学年度总表!$B$3:$B$1025,MATCH($E280,学年度总表!$E$3:$E$1025,0)))</f>
        <v>278</v>
      </c>
      <c r="C280" s="2" t="str">
        <f>IF(INDEX(学年度总表!$C$3:$C$1025,MATCH($E280,学年度总表!$E$3:$E$1025,0))="","",INDEX(学年度总表!$C$3:$C$1025,MATCH($E280,学年度总表!$E$3:$E$1025,0)))</f>
        <v>软工</v>
      </c>
      <c r="D280" s="2" t="str">
        <f>IF(INDEX(学年度总表!$D$3:$D$1025,MATCH($E280,学年度总表!$E$3:$E$1025,0))="","",INDEX(学年度总表!$D$3:$D$1025,MATCH($E280,学年度总表!$E$3:$E$1025,0)))</f>
        <v>软工11班</v>
      </c>
      <c r="E280" s="2" t="s">
        <v>1683</v>
      </c>
      <c r="F280" s="2" t="str">
        <f>IF(INDEX(学年度总表!$F$3:$F$1025,MATCH($E280,学年度总表!$E$3:$E$1025,0))="","",INDEX(学年度总表!$F$3:$F$1025,MATCH($E280,学年度总表!$E$3:$E$1025,0)))</f>
        <v>宋恩彤</v>
      </c>
      <c r="G280" s="3">
        <f>IF(INDEX(学年度总表!$G$3:$G$1025,MATCH($E280,学年度总表!$E$3:$E$1025,0))="","",INDEX(学年度总表!$G$3:$G$1025,MATCH($E280,学年度总表!$E$3:$E$1025,0)))</f>
        <v>10.8</v>
      </c>
      <c r="H280" s="3">
        <f>IF(INDEX(学年度总表!$H$3:$H$1025,MATCH($E280,学年度总表!$E$3:$E$1025,0))="","",INDEX(学年度总表!$H$3:$H$1025,MATCH($E280,学年度总表!$E$3:$E$1025,0)))</f>
        <v>49.23</v>
      </c>
      <c r="I280" s="3">
        <f>IF(INDEX(学年度总表!$I$3:$I$1025,MATCH($E280,学年度总表!$E$3:$E$1025,0))="","",INDEX(学年度总表!$I$3:$I$1025,MATCH($E280,学年度总表!$E$3:$E$1025,0)))</f>
        <v>3.2</v>
      </c>
      <c r="J280" s="3">
        <f>IF(INDEX(学年度总表!$J$3:$J$1025,MATCH($E280,学年度总表!$E$3:$E$1025,0))="","",INDEX(学年度总表!$J$3:$J$1025,MATCH($E280,学年度总表!$E$3:$E$1025,0)))</f>
        <v>63.23</v>
      </c>
      <c r="K280" s="3">
        <f>IF(INDEX(学年度总表!$K$3:$K$1025,MATCH($E280,学年度总表!$E$3:$E$1025,0))="","",INDEX(学年度总表!$K$3:$K$1025,MATCH($E280,学年度总表!$E$3:$E$1025,0)))</f>
        <v>9.8000000000000007</v>
      </c>
      <c r="L280" s="3">
        <f>IF(INDEX(学年度总表!$L$3:$L$1025,MATCH($E280,学年度总表!$E$3:$E$1025,0))="","",INDEX(学年度总表!$L$3:$L$1025,MATCH($E280,学年度总表!$E$3:$E$1025,0)))</f>
        <v>47.09</v>
      </c>
      <c r="M280" s="3">
        <f>IF(INDEX(学年度总表!$M$3:$M$1025,MATCH($E280,学年度总表!$E$3:$E$1025,0))="","",INDEX(学年度总表!$M$3:$M$1025,MATCH($E280,学年度总表!$E$3:$E$1025,0)))</f>
        <v>3.4</v>
      </c>
      <c r="N280" s="3">
        <f>IF(INDEX(学年度总表!$N$3:$N$1025,MATCH($E280,学年度总表!$E$3:$E$1025,0))="","",INDEX(学年度总表!$N$3:$N$1025,MATCH($E280,学年度总表!$E$3:$E$1025,0)))</f>
        <v>60.29</v>
      </c>
      <c r="O280" s="3">
        <f>IF(INDEX(学年度总表!$O$3:$O$1025,MATCH($E280,学年度总表!$E$3:$E$1025,0))="","",INDEX(学年度总表!$O$3:$O$1025,MATCH($E280,学年度总表!$E$3:$E$1025,0)))</f>
        <v>123.52</v>
      </c>
      <c r="P280" s="2" t="str">
        <f>IF(INDEX(学年度总表!$P$3:$P$1025,MATCH($E280,学年度总表!$E$3:$E$1025,0))="","",INDEX(学年度总表!$P$3:$P$1025,MATCH($E280,学年度总表!$E$3:$E$1025,0)))</f>
        <v/>
      </c>
      <c r="Q280" s="5" t="str">
        <f>IF(INDEX(学年度总表!$Q$3:$Q$1025,MATCH($E280,学年度总表!$E$3:$E$1025,0))="","",INDEX(学年度总表!$Q$3:$Q$1025,MATCH($E280,学年度总表!$E$3:$E$1025,0)))</f>
        <v/>
      </c>
    </row>
    <row r="281" spans="1:17">
      <c r="A281" s="2">
        <f>IF(INDEX(学年度总表!$A$3:$A$1025,MATCH($E281,学年度总表!$E$3:$E$1025,0))="","",INDEX(学年度总表!$A$3:$A$1025,MATCH($E281,学年度总表!$E$3:$E$1025,0)))</f>
        <v>813</v>
      </c>
      <c r="B281" s="2">
        <f>IF(INDEX(学年度总表!$B$3:$B$1025,MATCH($E281,学年度总表!$E$3:$E$1025,0))="","",INDEX(学年度总表!$B$3:$B$1025,MATCH($E281,学年度总表!$E$3:$E$1025,0)))</f>
        <v>279</v>
      </c>
      <c r="C281" s="2" t="str">
        <f>IF(INDEX(学年度总表!$C$3:$C$1025,MATCH($E281,学年度总表!$E$3:$E$1025,0))="","",INDEX(学年度总表!$C$3:$C$1025,MATCH($E281,学年度总表!$E$3:$E$1025,0)))</f>
        <v>软工</v>
      </c>
      <c r="D281" s="2" t="str">
        <f>IF(INDEX(学年度总表!$D$3:$D$1025,MATCH($E281,学年度总表!$E$3:$E$1025,0))="","",INDEX(学年度总表!$D$3:$D$1025,MATCH($E281,学年度总表!$E$3:$E$1025,0)))</f>
        <v>软工5班</v>
      </c>
      <c r="E281" s="2" t="s">
        <v>1687</v>
      </c>
      <c r="F281" s="2" t="str">
        <f>IF(INDEX(学年度总表!$F$3:$F$1025,MATCH($E281,学年度总表!$E$3:$E$1025,0))="","",INDEX(学年度总表!$F$3:$F$1025,MATCH($E281,学年度总表!$E$3:$E$1025,0)))</f>
        <v>范晨扬</v>
      </c>
      <c r="G281" s="3">
        <f>IF(INDEX(学年度总表!$G$3:$G$1025,MATCH($E281,学年度总表!$E$3:$E$1025,0))="","",INDEX(学年度总表!$G$3:$G$1025,MATCH($E281,学年度总表!$E$3:$E$1025,0)))</f>
        <v>9.8000000000000007</v>
      </c>
      <c r="H281" s="3">
        <f>IF(INDEX(学年度总表!$H$3:$H$1025,MATCH($E281,学年度总表!$E$3:$E$1025,0))="","",INDEX(学年度总表!$H$3:$H$1025,MATCH($E281,学年度总表!$E$3:$E$1025,0)))</f>
        <v>52.09</v>
      </c>
      <c r="I281" s="3">
        <f>IF(INDEX(学年度总表!$I$3:$I$1025,MATCH($E281,学年度总表!$E$3:$E$1025,0))="","",INDEX(学年度总表!$I$3:$I$1025,MATCH($E281,学年度总表!$E$3:$E$1025,0)))</f>
        <v>3</v>
      </c>
      <c r="J281" s="3">
        <f>IF(INDEX(学年度总表!$J$3:$J$1025,MATCH($E281,学年度总表!$E$3:$E$1025,0))="","",INDEX(学年度总表!$J$3:$J$1025,MATCH($E281,学年度总表!$E$3:$E$1025,0)))</f>
        <v>64.89</v>
      </c>
      <c r="K281" s="3">
        <f>IF(INDEX(学年度总表!$K$3:$K$1025,MATCH($E281,学年度总表!$E$3:$E$1025,0))="","",INDEX(学年度总表!$K$3:$K$1025,MATCH($E281,学年度总表!$E$3:$E$1025,0)))</f>
        <v>9.6</v>
      </c>
      <c r="L281" s="3">
        <f>IF(INDEX(学年度总表!$L$3:$L$1025,MATCH($E281,学年度总表!$E$3:$E$1025,0))="","",INDEX(学年度总表!$L$3:$L$1025,MATCH($E281,学年度总表!$E$3:$E$1025,0)))</f>
        <v>45.48</v>
      </c>
      <c r="M281" s="3">
        <f>IF(INDEX(学年度总表!$M$3:$M$1025,MATCH($E281,学年度总表!$E$3:$E$1025,0))="","",INDEX(学年度总表!$M$3:$M$1025,MATCH($E281,学年度总表!$E$3:$E$1025,0)))</f>
        <v>3.5</v>
      </c>
      <c r="N281" s="3">
        <f>IF(INDEX(学年度总表!$N$3:$N$1025,MATCH($E281,学年度总表!$E$3:$E$1025,0))="","",INDEX(学年度总表!$N$3:$N$1025,MATCH($E281,学年度总表!$E$3:$E$1025,0)))</f>
        <v>58.58</v>
      </c>
      <c r="O281" s="3">
        <f>IF(INDEX(学年度总表!$O$3:$O$1025,MATCH($E281,学年度总表!$E$3:$E$1025,0))="","",INDEX(学年度总表!$O$3:$O$1025,MATCH($E281,学年度总表!$E$3:$E$1025,0)))</f>
        <v>123.47</v>
      </c>
      <c r="P281" s="2" t="str">
        <f>IF(INDEX(学年度总表!$P$3:$P$1025,MATCH($E281,学年度总表!$E$3:$E$1025,0))="","",INDEX(学年度总表!$P$3:$P$1025,MATCH($E281,学年度总表!$E$3:$E$1025,0)))</f>
        <v/>
      </c>
      <c r="Q281" s="5" t="str">
        <f>IF(INDEX(学年度总表!$Q$3:$Q$1025,MATCH($E281,学年度总表!$E$3:$E$1025,0))="","",INDEX(学年度总表!$Q$3:$Q$1025,MATCH($E281,学年度总表!$E$3:$E$1025,0)))</f>
        <v/>
      </c>
    </row>
    <row r="282" spans="1:17">
      <c r="A282" s="2">
        <f>IF(INDEX(学年度总表!$A$3:$A$1025,MATCH($E282,学年度总表!$E$3:$E$1025,0))="","",INDEX(学年度总表!$A$3:$A$1025,MATCH($E282,学年度总表!$E$3:$E$1025,0)))</f>
        <v>815</v>
      </c>
      <c r="B282" s="2">
        <f>IF(INDEX(学年度总表!$B$3:$B$1025,MATCH($E282,学年度总表!$E$3:$E$1025,0))="","",INDEX(学年度总表!$B$3:$B$1025,MATCH($E282,学年度总表!$E$3:$E$1025,0)))</f>
        <v>280</v>
      </c>
      <c r="C282" s="2" t="str">
        <f>IF(INDEX(学年度总表!$C$3:$C$1025,MATCH($E282,学年度总表!$E$3:$E$1025,0))="","",INDEX(学年度总表!$C$3:$C$1025,MATCH($E282,学年度总表!$E$3:$E$1025,0)))</f>
        <v>软工</v>
      </c>
      <c r="D282" s="2" t="str">
        <f>IF(INDEX(学年度总表!$D$3:$D$1025,MATCH($E282,学年度总表!$E$3:$E$1025,0))="","",INDEX(学年度总表!$D$3:$D$1025,MATCH($E282,学年度总表!$E$3:$E$1025,0)))</f>
        <v>软工13班</v>
      </c>
      <c r="E282" s="2" t="s">
        <v>1691</v>
      </c>
      <c r="F282" s="2" t="str">
        <f>IF(INDEX(学年度总表!$F$3:$F$1025,MATCH($E282,学年度总表!$E$3:$E$1025,0))="","",INDEX(学年度总表!$F$3:$F$1025,MATCH($E282,学年度总表!$E$3:$E$1025,0)))</f>
        <v>袁金彤</v>
      </c>
      <c r="G282" s="3">
        <f>IF(INDEX(学年度总表!$G$3:$G$1025,MATCH($E282,学年度总表!$E$3:$E$1025,0))="","",INDEX(学年度总表!$G$3:$G$1025,MATCH($E282,学年度总表!$E$3:$E$1025,0)))</f>
        <v>9.8000000000000007</v>
      </c>
      <c r="H282" s="3">
        <f>IF(INDEX(学年度总表!$H$3:$H$1025,MATCH($E282,学年度总表!$E$3:$E$1025,0))="","",INDEX(学年度总表!$H$3:$H$1025,MATCH($E282,学年度总表!$E$3:$E$1025,0)))</f>
        <v>50.46</v>
      </c>
      <c r="I282" s="3">
        <f>IF(INDEX(学年度总表!$I$3:$I$1025,MATCH($E282,学年度总表!$E$3:$E$1025,0))="","",INDEX(学年度总表!$I$3:$I$1025,MATCH($E282,学年度总表!$E$3:$E$1025,0)))</f>
        <v>3</v>
      </c>
      <c r="J282" s="3">
        <f>IF(INDEX(学年度总表!$J$3:$J$1025,MATCH($E282,学年度总表!$E$3:$E$1025,0))="","",INDEX(学年度总表!$J$3:$J$1025,MATCH($E282,学年度总表!$E$3:$E$1025,0)))</f>
        <v>63.26</v>
      </c>
      <c r="K282" s="3">
        <f>IF(INDEX(学年度总表!$K$3:$K$1025,MATCH($E282,学年度总表!$E$3:$E$1025,0))="","",INDEX(学年度总表!$K$3:$K$1025,MATCH($E282,学年度总表!$E$3:$E$1025,0)))</f>
        <v>9.8000000000000007</v>
      </c>
      <c r="L282" s="3">
        <f>IF(INDEX(学年度总表!$L$3:$L$1025,MATCH($E282,学年度总表!$E$3:$E$1025,0))="","",INDEX(学年度总表!$L$3:$L$1025,MATCH($E282,学年度总表!$E$3:$E$1025,0)))</f>
        <v>46.61</v>
      </c>
      <c r="M282" s="3">
        <f>IF(INDEX(学年度总表!$M$3:$M$1025,MATCH($E282,学年度总表!$E$3:$E$1025,0))="","",INDEX(学年度总表!$M$3:$M$1025,MATCH($E282,学年度总表!$E$3:$E$1025,0)))</f>
        <v>3.5</v>
      </c>
      <c r="N282" s="3">
        <f>IF(INDEX(学年度总表!$N$3:$N$1025,MATCH($E282,学年度总表!$E$3:$E$1025,0))="","",INDEX(学年度总表!$N$3:$N$1025,MATCH($E282,学年度总表!$E$3:$E$1025,0)))</f>
        <v>59.91</v>
      </c>
      <c r="O282" s="3">
        <f>IF(INDEX(学年度总表!$O$3:$O$1025,MATCH($E282,学年度总表!$E$3:$E$1025,0))="","",INDEX(学年度总表!$O$3:$O$1025,MATCH($E282,学年度总表!$E$3:$E$1025,0)))</f>
        <v>123.17</v>
      </c>
      <c r="P282" s="2" t="str">
        <f>IF(INDEX(学年度总表!$P$3:$P$1025,MATCH($E282,学年度总表!$E$3:$E$1025,0))="","",INDEX(学年度总表!$P$3:$P$1025,MATCH($E282,学年度总表!$E$3:$E$1025,0)))</f>
        <v/>
      </c>
      <c r="Q282" s="5" t="str">
        <f>IF(INDEX(学年度总表!$Q$3:$Q$1025,MATCH($E282,学年度总表!$E$3:$E$1025,0))="","",INDEX(学年度总表!$Q$3:$Q$1025,MATCH($E282,学年度总表!$E$3:$E$1025,0)))</f>
        <v/>
      </c>
    </row>
    <row r="283" spans="1:17">
      <c r="A283" s="2">
        <f>IF(INDEX(学年度总表!$A$3:$A$1025,MATCH($E283,学年度总表!$E$3:$E$1025,0))="","",INDEX(学年度总表!$A$3:$A$1025,MATCH($E283,学年度总表!$E$3:$E$1025,0)))</f>
        <v>817</v>
      </c>
      <c r="B283" s="2">
        <f>IF(INDEX(学年度总表!$B$3:$B$1025,MATCH($E283,学年度总表!$E$3:$E$1025,0))="","",INDEX(学年度总表!$B$3:$B$1025,MATCH($E283,学年度总表!$E$3:$E$1025,0)))</f>
        <v>281</v>
      </c>
      <c r="C283" s="2" t="str">
        <f>IF(INDEX(学年度总表!$C$3:$C$1025,MATCH($E283,学年度总表!$E$3:$E$1025,0))="","",INDEX(学年度总表!$C$3:$C$1025,MATCH($E283,学年度总表!$E$3:$E$1025,0)))</f>
        <v>软工</v>
      </c>
      <c r="D283" s="2" t="str">
        <f>IF(INDEX(学年度总表!$D$3:$D$1025,MATCH($E283,学年度总表!$E$3:$E$1025,0))="","",INDEX(学年度总表!$D$3:$D$1025,MATCH($E283,学年度总表!$E$3:$E$1025,0)))</f>
        <v>软工14班</v>
      </c>
      <c r="E283" s="2" t="s">
        <v>1695</v>
      </c>
      <c r="F283" s="2" t="str">
        <f>IF(INDEX(学年度总表!$F$3:$F$1025,MATCH($E283,学年度总表!$E$3:$E$1025,0))="","",INDEX(学年度总表!$F$3:$F$1025,MATCH($E283,学年度总表!$E$3:$E$1025,0)))</f>
        <v>高梓鉴</v>
      </c>
      <c r="G283" s="3">
        <f>IF(INDEX(学年度总表!$G$3:$G$1025,MATCH($E283,学年度总表!$E$3:$E$1025,0))="","",INDEX(学年度总表!$G$3:$G$1025,MATCH($E283,学年度总表!$E$3:$E$1025,0)))</f>
        <v>10</v>
      </c>
      <c r="H283" s="3">
        <f>IF(INDEX(学年度总表!$H$3:$H$1025,MATCH($E283,学年度总表!$E$3:$E$1025,0))="","",INDEX(学年度总表!$H$3:$H$1025,MATCH($E283,学年度总表!$E$3:$E$1025,0)))</f>
        <v>47.42</v>
      </c>
      <c r="I283" s="3">
        <f>IF(INDEX(学年度总表!$I$3:$I$1025,MATCH($E283,学年度总表!$E$3:$E$1025,0))="","",INDEX(学年度总表!$I$3:$I$1025,MATCH($E283,学年度总表!$E$3:$E$1025,0)))</f>
        <v>3.25</v>
      </c>
      <c r="J283" s="3">
        <f>IF(INDEX(学年度总表!$J$3:$J$1025,MATCH($E283,学年度总表!$E$3:$E$1025,0))="","",INDEX(学年度总表!$J$3:$J$1025,MATCH($E283,学年度总表!$E$3:$E$1025,0)))</f>
        <v>60.67</v>
      </c>
      <c r="K283" s="3">
        <f>IF(INDEX(学年度总表!$K$3:$K$1025,MATCH($E283,学年度总表!$E$3:$E$1025,0))="","",INDEX(学年度总表!$K$3:$K$1025,MATCH($E283,学年度总表!$E$3:$E$1025,0)))</f>
        <v>10</v>
      </c>
      <c r="L283" s="3">
        <f>IF(INDEX(学年度总表!$L$3:$L$1025,MATCH($E283,学年度总表!$E$3:$E$1025,0))="","",INDEX(学年度总表!$L$3:$L$1025,MATCH($E283,学年度总表!$E$3:$E$1025,0)))</f>
        <v>47.88</v>
      </c>
      <c r="M283" s="3">
        <f>IF(INDEX(学年度总表!$M$3:$M$1025,MATCH($E283,学年度总表!$E$3:$E$1025,0))="","",INDEX(学年度总表!$M$3:$M$1025,MATCH($E283,学年度总表!$E$3:$E$1025,0)))</f>
        <v>4.5</v>
      </c>
      <c r="N283" s="3">
        <f>IF(INDEX(学年度总表!$N$3:$N$1025,MATCH($E283,学年度总表!$E$3:$E$1025,0))="","",INDEX(学年度总表!$N$3:$N$1025,MATCH($E283,学年度总表!$E$3:$E$1025,0)))</f>
        <v>62.38</v>
      </c>
      <c r="O283" s="3">
        <f>IF(INDEX(学年度总表!$O$3:$O$1025,MATCH($E283,学年度总表!$E$3:$E$1025,0))="","",INDEX(学年度总表!$O$3:$O$1025,MATCH($E283,学年度总表!$E$3:$E$1025,0)))</f>
        <v>123.05</v>
      </c>
      <c r="P283" s="2" t="str">
        <f>IF(INDEX(学年度总表!$P$3:$P$1025,MATCH($E283,学年度总表!$E$3:$E$1025,0))="","",INDEX(学年度总表!$P$3:$P$1025,MATCH($E283,学年度总表!$E$3:$E$1025,0)))</f>
        <v/>
      </c>
      <c r="Q283" s="5" t="str">
        <f>IF(INDEX(学年度总表!$Q$3:$Q$1025,MATCH($E283,学年度总表!$E$3:$E$1025,0))="","",INDEX(学年度总表!$Q$3:$Q$1025,MATCH($E283,学年度总表!$E$3:$E$1025,0)))</f>
        <v/>
      </c>
    </row>
    <row r="284" spans="1:17">
      <c r="A284" s="2">
        <f>IF(INDEX(学年度总表!$A$3:$A$1025,MATCH($E284,学年度总表!$E$3:$E$1025,0))="","",INDEX(学年度总表!$A$3:$A$1025,MATCH($E284,学年度总表!$E$3:$E$1025,0)))</f>
        <v>821</v>
      </c>
      <c r="B284" s="2">
        <f>IF(INDEX(学年度总表!$B$3:$B$1025,MATCH($E284,学年度总表!$E$3:$E$1025,0))="","",INDEX(学年度总表!$B$3:$B$1025,MATCH($E284,学年度总表!$E$3:$E$1025,0)))</f>
        <v>282</v>
      </c>
      <c r="C284" s="2" t="str">
        <f>IF(INDEX(学年度总表!$C$3:$C$1025,MATCH($E284,学年度总表!$E$3:$E$1025,0))="","",INDEX(学年度总表!$C$3:$C$1025,MATCH($E284,学年度总表!$E$3:$E$1025,0)))</f>
        <v>软工</v>
      </c>
      <c r="D284" s="2" t="str">
        <f>IF(INDEX(学年度总表!$D$3:$D$1025,MATCH($E284,学年度总表!$E$3:$E$1025,0))="","",INDEX(学年度总表!$D$3:$D$1025,MATCH($E284,学年度总表!$E$3:$E$1025,0)))</f>
        <v>软工11班</v>
      </c>
      <c r="E284" s="2" t="s">
        <v>1703</v>
      </c>
      <c r="F284" s="2" t="str">
        <f>IF(INDEX(学年度总表!$F$3:$F$1025,MATCH($E284,学年度总表!$E$3:$E$1025,0))="","",INDEX(学年度总表!$F$3:$F$1025,MATCH($E284,学年度总表!$E$3:$E$1025,0)))</f>
        <v>霍芮宇</v>
      </c>
      <c r="G284" s="3">
        <f>IF(INDEX(学年度总表!$G$3:$G$1025,MATCH($E284,学年度总表!$E$3:$E$1025,0))="","",INDEX(学年度总表!$G$3:$G$1025,MATCH($E284,学年度总表!$E$3:$E$1025,0)))</f>
        <v>9.8000000000000007</v>
      </c>
      <c r="H284" s="3">
        <f>IF(INDEX(学年度总表!$H$3:$H$1025,MATCH($E284,学年度总表!$E$3:$E$1025,0))="","",INDEX(学年度总表!$H$3:$H$1025,MATCH($E284,学年度总表!$E$3:$E$1025,0)))</f>
        <v>50.07</v>
      </c>
      <c r="I284" s="3">
        <f>IF(INDEX(学年度总表!$I$3:$I$1025,MATCH($E284,学年度总表!$E$3:$E$1025,0))="","",INDEX(学年度总表!$I$3:$I$1025,MATCH($E284,学年度总表!$E$3:$E$1025,0)))</f>
        <v>3</v>
      </c>
      <c r="J284" s="3">
        <f>IF(INDEX(学年度总表!$J$3:$J$1025,MATCH($E284,学年度总表!$E$3:$E$1025,0))="","",INDEX(学年度总表!$J$3:$J$1025,MATCH($E284,学年度总表!$E$3:$E$1025,0)))</f>
        <v>62.87</v>
      </c>
      <c r="K284" s="3">
        <f>IF(INDEX(学年度总表!$K$3:$K$1025,MATCH($E284,学年度总表!$E$3:$E$1025,0))="","",INDEX(学年度总表!$K$3:$K$1025,MATCH($E284,学年度总表!$E$3:$E$1025,0)))</f>
        <v>9.4</v>
      </c>
      <c r="L284" s="3">
        <f>IF(INDEX(学年度总表!$L$3:$L$1025,MATCH($E284,学年度总表!$E$3:$E$1025,0))="","",INDEX(学年度总表!$L$3:$L$1025,MATCH($E284,学年度总表!$E$3:$E$1025,0)))</f>
        <v>47.62</v>
      </c>
      <c r="M284" s="3">
        <f>IF(INDEX(学年度总表!$M$3:$M$1025,MATCH($E284,学年度总表!$E$3:$E$1025,0))="","",INDEX(学年度总表!$M$3:$M$1025,MATCH($E284,学年度总表!$E$3:$E$1025,0)))</f>
        <v>3</v>
      </c>
      <c r="N284" s="3">
        <f>IF(INDEX(学年度总表!$N$3:$N$1025,MATCH($E284,学年度总表!$E$3:$E$1025,0))="","",INDEX(学年度总表!$N$3:$N$1025,MATCH($E284,学年度总表!$E$3:$E$1025,0)))</f>
        <v>60.02</v>
      </c>
      <c r="O284" s="3">
        <f>IF(INDEX(学年度总表!$O$3:$O$1025,MATCH($E284,学年度总表!$E$3:$E$1025,0))="","",INDEX(学年度总表!$O$3:$O$1025,MATCH($E284,学年度总表!$E$3:$E$1025,0)))</f>
        <v>122.89</v>
      </c>
      <c r="P284" s="2" t="str">
        <f>IF(INDEX(学年度总表!$P$3:$P$1025,MATCH($E284,学年度总表!$E$3:$E$1025,0))="","",INDEX(学年度总表!$P$3:$P$1025,MATCH($E284,学年度总表!$E$3:$E$1025,0)))</f>
        <v/>
      </c>
      <c r="Q284" s="5" t="str">
        <f>IF(INDEX(学年度总表!$Q$3:$Q$1025,MATCH($E284,学年度总表!$E$3:$E$1025,0))="","",INDEX(学年度总表!$Q$3:$Q$1025,MATCH($E284,学年度总表!$E$3:$E$1025,0)))</f>
        <v/>
      </c>
    </row>
    <row r="285" spans="1:17">
      <c r="A285" s="2">
        <f>IF(INDEX(学年度总表!$A$3:$A$1025,MATCH($E285,学年度总表!$E$3:$E$1025,0))="","",INDEX(学年度总表!$A$3:$A$1025,MATCH($E285,学年度总表!$E$3:$E$1025,0)))</f>
        <v>822</v>
      </c>
      <c r="B285" s="2">
        <f>IF(INDEX(学年度总表!$B$3:$B$1025,MATCH($E285,学年度总表!$E$3:$E$1025,0))="","",INDEX(学年度总表!$B$3:$B$1025,MATCH($E285,学年度总表!$E$3:$E$1025,0)))</f>
        <v>283</v>
      </c>
      <c r="C285" s="2" t="str">
        <f>IF(INDEX(学年度总表!$C$3:$C$1025,MATCH($E285,学年度总表!$E$3:$E$1025,0))="","",INDEX(学年度总表!$C$3:$C$1025,MATCH($E285,学年度总表!$E$3:$E$1025,0)))</f>
        <v>软工</v>
      </c>
      <c r="D285" s="2" t="str">
        <f>IF(INDEX(学年度总表!$D$3:$D$1025,MATCH($E285,学年度总表!$E$3:$E$1025,0))="","",INDEX(学年度总表!$D$3:$D$1025,MATCH($E285,学年度总表!$E$3:$E$1025,0)))</f>
        <v>软工14班</v>
      </c>
      <c r="E285" s="2" t="s">
        <v>1705</v>
      </c>
      <c r="F285" s="2" t="str">
        <f>IF(INDEX(学年度总表!$F$3:$F$1025,MATCH($E285,学年度总表!$E$3:$E$1025,0))="","",INDEX(学年度总表!$F$3:$F$1025,MATCH($E285,学年度总表!$E$3:$E$1025,0)))</f>
        <v>温麟杰</v>
      </c>
      <c r="G285" s="3">
        <f>IF(INDEX(学年度总表!$G$3:$G$1025,MATCH($E285,学年度总表!$E$3:$E$1025,0))="","",INDEX(学年度总表!$G$3:$G$1025,MATCH($E285,学年度总表!$E$3:$E$1025,0)))</f>
        <v>9.8000000000000007</v>
      </c>
      <c r="H285" s="3">
        <f>IF(INDEX(学年度总表!$H$3:$H$1025,MATCH($E285,学年度总表!$E$3:$E$1025,0))="","",INDEX(学年度总表!$H$3:$H$1025,MATCH($E285,学年度总表!$E$3:$E$1025,0)))</f>
        <v>49.01</v>
      </c>
      <c r="I285" s="3">
        <f>IF(INDEX(学年度总表!$I$3:$I$1025,MATCH($E285,学年度总表!$E$3:$E$1025,0))="","",INDEX(学年度总表!$I$3:$I$1025,MATCH($E285,学年度总表!$E$3:$E$1025,0)))</f>
        <v>4.2</v>
      </c>
      <c r="J285" s="3">
        <f>IF(INDEX(学年度总表!$J$3:$J$1025,MATCH($E285,学年度总表!$E$3:$E$1025,0))="","",INDEX(学年度总表!$J$3:$J$1025,MATCH($E285,学年度总表!$E$3:$E$1025,0)))</f>
        <v>63.01</v>
      </c>
      <c r="K285" s="3">
        <f>IF(INDEX(学年度总表!$K$3:$K$1025,MATCH($E285,学年度总表!$E$3:$E$1025,0))="","",INDEX(学年度总表!$K$3:$K$1025,MATCH($E285,学年度总表!$E$3:$E$1025,0)))</f>
        <v>9.8000000000000007</v>
      </c>
      <c r="L285" s="3">
        <f>IF(INDEX(学年度总表!$L$3:$L$1025,MATCH($E285,学年度总表!$E$3:$E$1025,0))="","",INDEX(学年度总表!$L$3:$L$1025,MATCH($E285,学年度总表!$E$3:$E$1025,0)))</f>
        <v>46.56</v>
      </c>
      <c r="M285" s="3">
        <f>IF(INDEX(学年度总表!$M$3:$M$1025,MATCH($E285,学年度总表!$E$3:$E$1025,0))="","",INDEX(学年度总表!$M$3:$M$1025,MATCH($E285,学年度总表!$E$3:$E$1025,0)))</f>
        <v>3.5</v>
      </c>
      <c r="N285" s="3">
        <f>IF(INDEX(学年度总表!$N$3:$N$1025,MATCH($E285,学年度总表!$E$3:$E$1025,0))="","",INDEX(学年度总表!$N$3:$N$1025,MATCH($E285,学年度总表!$E$3:$E$1025,0)))</f>
        <v>59.86</v>
      </c>
      <c r="O285" s="3">
        <f>IF(INDEX(学年度总表!$O$3:$O$1025,MATCH($E285,学年度总表!$E$3:$E$1025,0))="","",INDEX(学年度总表!$O$3:$O$1025,MATCH($E285,学年度总表!$E$3:$E$1025,0)))</f>
        <v>122.87</v>
      </c>
      <c r="P285" s="2" t="str">
        <f>IF(INDEX(学年度总表!$P$3:$P$1025,MATCH($E285,学年度总表!$E$3:$E$1025,0))="","",INDEX(学年度总表!$P$3:$P$1025,MATCH($E285,学年度总表!$E$3:$E$1025,0)))</f>
        <v/>
      </c>
      <c r="Q285" s="5" t="str">
        <f>IF(INDEX(学年度总表!$Q$3:$Q$1025,MATCH($E285,学年度总表!$E$3:$E$1025,0))="","",INDEX(学年度总表!$Q$3:$Q$1025,MATCH($E285,学年度总表!$E$3:$E$1025,0)))</f>
        <v/>
      </c>
    </row>
    <row r="286" spans="1:17">
      <c r="A286" s="2">
        <f>IF(INDEX(学年度总表!$A$3:$A$1025,MATCH($E286,学年度总表!$E$3:$E$1025,0))="","",INDEX(学年度总表!$A$3:$A$1025,MATCH($E286,学年度总表!$E$3:$E$1025,0)))</f>
        <v>823</v>
      </c>
      <c r="B286" s="2">
        <f>IF(INDEX(学年度总表!$B$3:$B$1025,MATCH($E286,学年度总表!$E$3:$E$1025,0))="","",INDEX(学年度总表!$B$3:$B$1025,MATCH($E286,学年度总表!$E$3:$E$1025,0)))</f>
        <v>284</v>
      </c>
      <c r="C286" s="2" t="str">
        <f>IF(INDEX(学年度总表!$C$3:$C$1025,MATCH($E286,学年度总表!$E$3:$E$1025,0))="","",INDEX(学年度总表!$C$3:$C$1025,MATCH($E286,学年度总表!$E$3:$E$1025,0)))</f>
        <v>软工</v>
      </c>
      <c r="D286" s="2" t="str">
        <f>IF(INDEX(学年度总表!$D$3:$D$1025,MATCH($E286,学年度总表!$E$3:$E$1025,0))="","",INDEX(学年度总表!$D$3:$D$1025,MATCH($E286,学年度总表!$E$3:$E$1025,0)))</f>
        <v>软工9班</v>
      </c>
      <c r="E286" s="2" t="s">
        <v>1707</v>
      </c>
      <c r="F286" s="2" t="str">
        <f>IF(INDEX(学年度总表!$F$3:$F$1025,MATCH($E286,学年度总表!$E$3:$E$1025,0))="","",INDEX(学年度总表!$F$3:$F$1025,MATCH($E286,学年度总表!$E$3:$E$1025,0)))</f>
        <v>曹耘硕</v>
      </c>
      <c r="G286" s="3">
        <f>IF(INDEX(学年度总表!$G$3:$G$1025,MATCH($E286,学年度总表!$E$3:$E$1025,0))="","",INDEX(学年度总表!$G$3:$G$1025,MATCH($E286,学年度总表!$E$3:$E$1025,0)))</f>
        <v>9.8000000000000007</v>
      </c>
      <c r="H286" s="3">
        <f>IF(INDEX(学年度总表!$H$3:$H$1025,MATCH($E286,学年度总表!$E$3:$E$1025,0))="","",INDEX(学年度总表!$H$3:$H$1025,MATCH($E286,学年度总表!$E$3:$E$1025,0)))</f>
        <v>49.8979591836735</v>
      </c>
      <c r="I286" s="3">
        <f>IF(INDEX(学年度总表!$I$3:$I$1025,MATCH($E286,学年度总表!$E$3:$E$1025,0))="","",INDEX(学年度总表!$I$3:$I$1025,MATCH($E286,学年度总表!$E$3:$E$1025,0)))</f>
        <v>3</v>
      </c>
      <c r="J286" s="3">
        <f>IF(INDEX(学年度总表!$J$3:$J$1025,MATCH($E286,学年度总表!$E$3:$E$1025,0))="","",INDEX(学年度总表!$J$3:$J$1025,MATCH($E286,学年度总表!$E$3:$E$1025,0)))</f>
        <v>62.7</v>
      </c>
      <c r="K286" s="3">
        <f>IF(INDEX(学年度总表!$K$3:$K$1025,MATCH($E286,学年度总表!$E$3:$E$1025,0))="","",INDEX(学年度总表!$K$3:$K$1025,MATCH($E286,学年度总表!$E$3:$E$1025,0)))</f>
        <v>9.8000000000000007</v>
      </c>
      <c r="L286" s="3">
        <f>IF(INDEX(学年度总表!$L$3:$L$1025,MATCH($E286,学年度总表!$E$3:$E$1025,0))="","",INDEX(学年度总表!$L$3:$L$1025,MATCH($E286,学年度总表!$E$3:$E$1025,0)))</f>
        <v>46.83</v>
      </c>
      <c r="M286" s="3">
        <f>IF(INDEX(学年度总表!$M$3:$M$1025,MATCH($E286,学年度总表!$E$3:$E$1025,0))="","",INDEX(学年度总表!$M$3:$M$1025,MATCH($E286,学年度总表!$E$3:$E$1025,0)))</f>
        <v>3.5</v>
      </c>
      <c r="N286" s="3">
        <f>IF(INDEX(学年度总表!$N$3:$N$1025,MATCH($E286,学年度总表!$E$3:$E$1025,0))="","",INDEX(学年度总表!$N$3:$N$1025,MATCH($E286,学年度总表!$E$3:$E$1025,0)))</f>
        <v>60.13</v>
      </c>
      <c r="O286" s="3">
        <f>IF(INDEX(学年度总表!$O$3:$O$1025,MATCH($E286,学年度总表!$E$3:$E$1025,0))="","",INDEX(学年度总表!$O$3:$O$1025,MATCH($E286,学年度总表!$E$3:$E$1025,0)))</f>
        <v>122.83</v>
      </c>
      <c r="P286" s="2" t="str">
        <f>IF(INDEX(学年度总表!$P$3:$P$1025,MATCH($E286,学年度总表!$E$3:$E$1025,0))="","",INDEX(学年度总表!$P$3:$P$1025,MATCH($E286,学年度总表!$E$3:$E$1025,0)))</f>
        <v/>
      </c>
      <c r="Q286" s="5" t="str">
        <f>IF(INDEX(学年度总表!$Q$3:$Q$1025,MATCH($E286,学年度总表!$E$3:$E$1025,0))="","",INDEX(学年度总表!$Q$3:$Q$1025,MATCH($E286,学年度总表!$E$3:$E$1025,0)))</f>
        <v/>
      </c>
    </row>
    <row r="287" spans="1:17">
      <c r="A287" s="2">
        <f>IF(INDEX(学年度总表!$A$3:$A$1025,MATCH($E287,学年度总表!$E$3:$E$1025,0))="","",INDEX(学年度总表!$A$3:$A$1025,MATCH($E287,学年度总表!$E$3:$E$1025,0)))</f>
        <v>827</v>
      </c>
      <c r="B287" s="2">
        <f>IF(INDEX(学年度总表!$B$3:$B$1025,MATCH($E287,学年度总表!$E$3:$E$1025,0))="","",INDEX(学年度总表!$B$3:$B$1025,MATCH($E287,学年度总表!$E$3:$E$1025,0)))</f>
        <v>285</v>
      </c>
      <c r="C287" s="2" t="str">
        <f>IF(INDEX(学年度总表!$C$3:$C$1025,MATCH($E287,学年度总表!$E$3:$E$1025,0))="","",INDEX(学年度总表!$C$3:$C$1025,MATCH($E287,学年度总表!$E$3:$E$1025,0)))</f>
        <v>软工</v>
      </c>
      <c r="D287" s="2" t="str">
        <f>IF(INDEX(学年度总表!$D$3:$D$1025,MATCH($E287,学年度总表!$E$3:$E$1025,0))="","",INDEX(学年度总表!$D$3:$D$1025,MATCH($E287,学年度总表!$E$3:$E$1025,0)))</f>
        <v>软工5班</v>
      </c>
      <c r="E287" s="2" t="s">
        <v>1715</v>
      </c>
      <c r="F287" s="2" t="str">
        <f>IF(INDEX(学年度总表!$F$3:$F$1025,MATCH($E287,学年度总表!$E$3:$E$1025,0))="","",INDEX(学年度总表!$F$3:$F$1025,MATCH($E287,学年度总表!$E$3:$E$1025,0)))</f>
        <v>刘熙桓</v>
      </c>
      <c r="G287" s="3">
        <f>IF(INDEX(学年度总表!$G$3:$G$1025,MATCH($E287,学年度总表!$E$3:$E$1025,0))="","",INDEX(学年度总表!$G$3:$G$1025,MATCH($E287,学年度总表!$E$3:$E$1025,0)))</f>
        <v>9.8000000000000007</v>
      </c>
      <c r="H287" s="3">
        <f>IF(INDEX(学年度总表!$H$3:$H$1025,MATCH($E287,学年度总表!$E$3:$E$1025,0))="","",INDEX(学年度总表!$H$3:$H$1025,MATCH($E287,学年度总表!$E$3:$E$1025,0)))</f>
        <v>47.55</v>
      </c>
      <c r="I287" s="3">
        <f>IF(INDEX(学年度总表!$I$3:$I$1025,MATCH($E287,学年度总表!$E$3:$E$1025,0))="","",INDEX(学年度总表!$I$3:$I$1025,MATCH($E287,学年度总表!$E$3:$E$1025,0)))</f>
        <v>4.5</v>
      </c>
      <c r="J287" s="3">
        <f>IF(INDEX(学年度总表!$J$3:$J$1025,MATCH($E287,学年度总表!$E$3:$E$1025,0))="","",INDEX(学年度总表!$J$3:$J$1025,MATCH($E287,学年度总表!$E$3:$E$1025,0)))</f>
        <v>61.85</v>
      </c>
      <c r="K287" s="3">
        <f>IF(INDEX(学年度总表!$K$3:$K$1025,MATCH($E287,学年度总表!$E$3:$E$1025,0))="","",INDEX(学年度总表!$K$3:$K$1025,MATCH($E287,学年度总表!$E$3:$E$1025,0)))</f>
        <v>9.6</v>
      </c>
      <c r="L287" s="3">
        <f>IF(INDEX(学年度总表!$L$3:$L$1025,MATCH($E287,学年度总表!$E$3:$E$1025,0))="","",INDEX(学年度总表!$L$3:$L$1025,MATCH($E287,学年度总表!$E$3:$E$1025,0)))</f>
        <v>47.37</v>
      </c>
      <c r="M287" s="3">
        <f>IF(INDEX(学年度总表!$M$3:$M$1025,MATCH($E287,学年度总表!$E$3:$E$1025,0))="","",INDEX(学年度总表!$M$3:$M$1025,MATCH($E287,学年度总表!$E$3:$E$1025,0)))</f>
        <v>3.5</v>
      </c>
      <c r="N287" s="3">
        <f>IF(INDEX(学年度总表!$N$3:$N$1025,MATCH($E287,学年度总表!$E$3:$E$1025,0))="","",INDEX(学年度总表!$N$3:$N$1025,MATCH($E287,学年度总表!$E$3:$E$1025,0)))</f>
        <v>60.47</v>
      </c>
      <c r="O287" s="3">
        <f>IF(INDEX(学年度总表!$O$3:$O$1025,MATCH($E287,学年度总表!$E$3:$E$1025,0))="","",INDEX(学年度总表!$O$3:$O$1025,MATCH($E287,学年度总表!$E$3:$E$1025,0)))</f>
        <v>122.32</v>
      </c>
      <c r="P287" s="2" t="str">
        <f>IF(INDEX(学年度总表!$P$3:$P$1025,MATCH($E287,学年度总表!$E$3:$E$1025,0))="","",INDEX(学年度总表!$P$3:$P$1025,MATCH($E287,学年度总表!$E$3:$E$1025,0)))</f>
        <v/>
      </c>
      <c r="Q287" s="5" t="str">
        <f>IF(INDEX(学年度总表!$Q$3:$Q$1025,MATCH($E287,学年度总表!$E$3:$E$1025,0))="","",INDEX(学年度总表!$Q$3:$Q$1025,MATCH($E287,学年度总表!$E$3:$E$1025,0)))</f>
        <v/>
      </c>
    </row>
    <row r="288" spans="1:17">
      <c r="A288" s="2">
        <f>IF(INDEX(学年度总表!$A$3:$A$1025,MATCH($E288,学年度总表!$E$3:$E$1025,0))="","",INDEX(学年度总表!$A$3:$A$1025,MATCH($E288,学年度总表!$E$3:$E$1025,0)))</f>
        <v>830</v>
      </c>
      <c r="B288" s="2">
        <f>IF(INDEX(学年度总表!$B$3:$B$1025,MATCH($E288,学年度总表!$E$3:$E$1025,0))="","",INDEX(学年度总表!$B$3:$B$1025,MATCH($E288,学年度总表!$E$3:$E$1025,0)))</f>
        <v>286</v>
      </c>
      <c r="C288" s="2" t="str">
        <f>IF(INDEX(学年度总表!$C$3:$C$1025,MATCH($E288,学年度总表!$E$3:$E$1025,0))="","",INDEX(学年度总表!$C$3:$C$1025,MATCH($E288,学年度总表!$E$3:$E$1025,0)))</f>
        <v>软工</v>
      </c>
      <c r="D288" s="2" t="str">
        <f>IF(INDEX(学年度总表!$D$3:$D$1025,MATCH($E288,学年度总表!$E$3:$E$1025,0))="","",INDEX(学年度总表!$D$3:$D$1025,MATCH($E288,学年度总表!$E$3:$E$1025,0)))</f>
        <v>软工5班</v>
      </c>
      <c r="E288" s="2" t="s">
        <v>1721</v>
      </c>
      <c r="F288" s="2" t="str">
        <f>IF(INDEX(学年度总表!$F$3:$F$1025,MATCH($E288,学年度总表!$E$3:$E$1025,0))="","",INDEX(学年度总表!$F$3:$F$1025,MATCH($E288,学年度总表!$E$3:$E$1025,0)))</f>
        <v>王子昂</v>
      </c>
      <c r="G288" s="3">
        <f>IF(INDEX(学年度总表!$G$3:$G$1025,MATCH($E288,学年度总表!$E$3:$E$1025,0))="","",INDEX(学年度总表!$G$3:$G$1025,MATCH($E288,学年度总表!$E$3:$E$1025,0)))</f>
        <v>7.5</v>
      </c>
      <c r="H288" s="3">
        <f>IF(INDEX(学年度总表!$H$3:$H$1025,MATCH($E288,学年度总表!$E$3:$E$1025,0))="","",INDEX(学年度总表!$H$3:$H$1025,MATCH($E288,学年度总表!$E$3:$E$1025,0)))</f>
        <v>54.3</v>
      </c>
      <c r="I288" s="3">
        <f>IF(INDEX(学年度总表!$I$3:$I$1025,MATCH($E288,学年度总表!$E$3:$E$1025,0))="","",INDEX(学年度总表!$I$3:$I$1025,MATCH($E288,学年度总表!$E$3:$E$1025,0)))</f>
        <v>3</v>
      </c>
      <c r="J288" s="3">
        <f>IF(INDEX(学年度总表!$J$3:$J$1025,MATCH($E288,学年度总表!$E$3:$E$1025,0))="","",INDEX(学年度总表!$J$3:$J$1025,MATCH($E288,学年度总表!$E$3:$E$1025,0)))</f>
        <v>64.8</v>
      </c>
      <c r="K288" s="3">
        <f>IF(INDEX(学年度总表!$K$3:$K$1025,MATCH($E288,学年度总表!$E$3:$E$1025,0))="","",INDEX(学年度总表!$K$3:$K$1025,MATCH($E288,学年度总表!$E$3:$E$1025,0)))</f>
        <v>7.5</v>
      </c>
      <c r="L288" s="3">
        <f>IF(INDEX(学年度总表!$L$3:$L$1025,MATCH($E288,学年度总表!$E$3:$E$1025,0))="","",INDEX(学年度总表!$L$3:$L$1025,MATCH($E288,学年度总表!$E$3:$E$1025,0)))</f>
        <v>46.39</v>
      </c>
      <c r="M288" s="3">
        <f>IF(INDEX(学年度总表!$M$3:$M$1025,MATCH($E288,学年度总表!$E$3:$E$1025,0))="","",INDEX(学年度总表!$M$3:$M$1025,MATCH($E288,学年度总表!$E$3:$E$1025,0)))</f>
        <v>3.5</v>
      </c>
      <c r="N288" s="3">
        <f>IF(INDEX(学年度总表!$N$3:$N$1025,MATCH($E288,学年度总表!$E$3:$E$1025,0))="","",INDEX(学年度总表!$N$3:$N$1025,MATCH($E288,学年度总表!$E$3:$E$1025,0)))</f>
        <v>57.39</v>
      </c>
      <c r="O288" s="3">
        <f>IF(INDEX(学年度总表!$O$3:$O$1025,MATCH($E288,学年度总表!$E$3:$E$1025,0))="","",INDEX(学年度总表!$O$3:$O$1025,MATCH($E288,学年度总表!$E$3:$E$1025,0)))</f>
        <v>122.19</v>
      </c>
      <c r="P288" s="2" t="str">
        <f>IF(INDEX(学年度总表!$P$3:$P$1025,MATCH($E288,学年度总表!$E$3:$E$1025,0))="","",INDEX(学年度总表!$P$3:$P$1025,MATCH($E288,学年度总表!$E$3:$E$1025,0)))</f>
        <v/>
      </c>
      <c r="Q288" s="5" t="str">
        <f>IF(INDEX(学年度总表!$Q$3:$Q$1025,MATCH($E288,学年度总表!$E$3:$E$1025,0))="","",INDEX(学年度总表!$Q$3:$Q$1025,MATCH($E288,学年度总表!$E$3:$E$1025,0)))</f>
        <v/>
      </c>
    </row>
    <row r="289" spans="1:17">
      <c r="A289" s="2">
        <f>IF(INDEX(学年度总表!$A$3:$A$1025,MATCH($E289,学年度总表!$E$3:$E$1025,0))="","",INDEX(学年度总表!$A$3:$A$1025,MATCH($E289,学年度总表!$E$3:$E$1025,0)))</f>
        <v>837</v>
      </c>
      <c r="B289" s="2">
        <f>IF(INDEX(学年度总表!$B$3:$B$1025,MATCH($E289,学年度总表!$E$3:$E$1025,0))="","",INDEX(学年度总表!$B$3:$B$1025,MATCH($E289,学年度总表!$E$3:$E$1025,0)))</f>
        <v>287</v>
      </c>
      <c r="C289" s="2" t="str">
        <f>IF(INDEX(学年度总表!$C$3:$C$1025,MATCH($E289,学年度总表!$E$3:$E$1025,0))="","",INDEX(学年度总表!$C$3:$C$1025,MATCH($E289,学年度总表!$E$3:$E$1025,0)))</f>
        <v>软工</v>
      </c>
      <c r="D289" s="2" t="str">
        <f>IF(INDEX(学年度总表!$D$3:$D$1025,MATCH($E289,学年度总表!$E$3:$E$1025,0))="","",INDEX(学年度总表!$D$3:$D$1025,MATCH($E289,学年度总表!$E$3:$E$1025,0)))</f>
        <v>软工13班</v>
      </c>
      <c r="E289" s="2" t="s">
        <v>1735</v>
      </c>
      <c r="F289" s="2" t="str">
        <f>IF(INDEX(学年度总表!$F$3:$F$1025,MATCH($E289,学年度总表!$E$3:$E$1025,0))="","",INDEX(学年度总表!$F$3:$F$1025,MATCH($E289,学年度总表!$E$3:$E$1025,0)))</f>
        <v>邢佳正</v>
      </c>
      <c r="G289" s="3">
        <f>IF(INDEX(学年度总表!$G$3:$G$1025,MATCH($E289,学年度总表!$E$3:$E$1025,0))="","",INDEX(学年度总表!$G$3:$G$1025,MATCH($E289,学年度总表!$E$3:$E$1025,0)))</f>
        <v>9.8000000000000007</v>
      </c>
      <c r="H289" s="3">
        <f>IF(INDEX(学年度总表!$H$3:$H$1025,MATCH($E289,学年度总表!$E$3:$E$1025,0))="","",INDEX(学年度总表!$H$3:$H$1025,MATCH($E289,学年度总表!$E$3:$E$1025,0)))</f>
        <v>50.26</v>
      </c>
      <c r="I289" s="3">
        <f>IF(INDEX(学年度总表!$I$3:$I$1025,MATCH($E289,学年度总表!$E$3:$E$1025,0))="","",INDEX(学年度总表!$I$3:$I$1025,MATCH($E289,学年度总表!$E$3:$E$1025,0)))</f>
        <v>3</v>
      </c>
      <c r="J289" s="3">
        <f>IF(INDEX(学年度总表!$J$3:$J$1025,MATCH($E289,学年度总表!$E$3:$E$1025,0))="","",INDEX(学年度总表!$J$3:$J$1025,MATCH($E289,学年度总表!$E$3:$E$1025,0)))</f>
        <v>63.06</v>
      </c>
      <c r="K289" s="3">
        <f>IF(INDEX(学年度总表!$K$3:$K$1025,MATCH($E289,学年度总表!$E$3:$E$1025,0))="","",INDEX(学年度总表!$K$3:$K$1025,MATCH($E289,学年度总表!$E$3:$E$1025,0)))</f>
        <v>9.4</v>
      </c>
      <c r="L289" s="3">
        <f>IF(INDEX(学年度总表!$L$3:$L$1025,MATCH($E289,学年度总表!$E$3:$E$1025,0))="","",INDEX(学年度总表!$L$3:$L$1025,MATCH($E289,学年度总表!$E$3:$E$1025,0)))</f>
        <v>45.88</v>
      </c>
      <c r="M289" s="3">
        <f>IF(INDEX(学年度总表!$M$3:$M$1025,MATCH($E289,学年度总表!$E$3:$E$1025,0))="","",INDEX(学年度总表!$M$3:$M$1025,MATCH($E289,学年度总表!$E$3:$E$1025,0)))</f>
        <v>3.5</v>
      </c>
      <c r="N289" s="3">
        <f>IF(INDEX(学年度总表!$N$3:$N$1025,MATCH($E289,学年度总表!$E$3:$E$1025,0))="","",INDEX(学年度总表!$N$3:$N$1025,MATCH($E289,学年度总表!$E$3:$E$1025,0)))</f>
        <v>58.78</v>
      </c>
      <c r="O289" s="3">
        <f>IF(INDEX(学年度总表!$O$3:$O$1025,MATCH($E289,学年度总表!$E$3:$E$1025,0))="","",INDEX(学年度总表!$O$3:$O$1025,MATCH($E289,学年度总表!$E$3:$E$1025,0)))</f>
        <v>121.84</v>
      </c>
      <c r="P289" s="2" t="str">
        <f>IF(INDEX(学年度总表!$P$3:$P$1025,MATCH($E289,学年度总表!$E$3:$E$1025,0))="","",INDEX(学年度总表!$P$3:$P$1025,MATCH($E289,学年度总表!$E$3:$E$1025,0)))</f>
        <v/>
      </c>
      <c r="Q289" s="5" t="str">
        <f>IF(INDEX(学年度总表!$Q$3:$Q$1025,MATCH($E289,学年度总表!$E$3:$E$1025,0))="","",INDEX(学年度总表!$Q$3:$Q$1025,MATCH($E289,学年度总表!$E$3:$E$1025,0)))</f>
        <v/>
      </c>
    </row>
    <row r="290" spans="1:17">
      <c r="A290" s="2">
        <f>IF(INDEX(学年度总表!$A$3:$A$1025,MATCH($E290,学年度总表!$E$3:$E$1025,0))="","",INDEX(学年度总表!$A$3:$A$1025,MATCH($E290,学年度总表!$E$3:$E$1025,0)))</f>
        <v>840</v>
      </c>
      <c r="B290" s="2">
        <f>IF(INDEX(学年度总表!$B$3:$B$1025,MATCH($E290,学年度总表!$E$3:$E$1025,0))="","",INDEX(学年度总表!$B$3:$B$1025,MATCH($E290,学年度总表!$E$3:$E$1025,0)))</f>
        <v>288</v>
      </c>
      <c r="C290" s="2" t="str">
        <f>IF(INDEX(学年度总表!$C$3:$C$1025,MATCH($E290,学年度总表!$E$3:$E$1025,0))="","",INDEX(学年度总表!$C$3:$C$1025,MATCH($E290,学年度总表!$E$3:$E$1025,0)))</f>
        <v>软工</v>
      </c>
      <c r="D290" s="2" t="str">
        <f>IF(INDEX(学年度总表!$D$3:$D$1025,MATCH($E290,学年度总表!$E$3:$E$1025,0))="","",INDEX(学年度总表!$D$3:$D$1025,MATCH($E290,学年度总表!$E$3:$E$1025,0)))</f>
        <v>软工9班</v>
      </c>
      <c r="E290" s="2" t="s">
        <v>1741</v>
      </c>
      <c r="F290" s="2" t="str">
        <f>IF(INDEX(学年度总表!$F$3:$F$1025,MATCH($E290,学年度总表!$E$3:$E$1025,0))="","",INDEX(学年度总表!$F$3:$F$1025,MATCH($E290,学年度总表!$E$3:$E$1025,0)))</f>
        <v>王蕴哲</v>
      </c>
      <c r="G290" s="3">
        <f>IF(INDEX(学年度总表!$G$3:$G$1025,MATCH($E290,学年度总表!$E$3:$E$1025,0))="","",INDEX(学年度总表!$G$3:$G$1025,MATCH($E290,学年度总表!$E$3:$E$1025,0)))</f>
        <v>9.8000000000000007</v>
      </c>
      <c r="H290" s="3">
        <f>IF(INDEX(学年度总表!$H$3:$H$1025,MATCH($E290,学年度总表!$E$3:$E$1025,0))="","",INDEX(学年度总表!$H$3:$H$1025,MATCH($E290,学年度总表!$E$3:$E$1025,0)))</f>
        <v>46.020408163265301</v>
      </c>
      <c r="I290" s="3">
        <f>IF(INDEX(学年度总表!$I$3:$I$1025,MATCH($E290,学年度总表!$E$3:$E$1025,0))="","",INDEX(学年度总表!$I$3:$I$1025,MATCH($E290,学年度总表!$E$3:$E$1025,0)))</f>
        <v>4</v>
      </c>
      <c r="J290" s="3">
        <f>IF(INDEX(学年度总表!$J$3:$J$1025,MATCH($E290,学年度总表!$E$3:$E$1025,0))="","",INDEX(学年度总表!$J$3:$J$1025,MATCH($E290,学年度总表!$E$3:$E$1025,0)))</f>
        <v>59.82</v>
      </c>
      <c r="K290" s="3">
        <f>IF(INDEX(学年度总表!$K$3:$K$1025,MATCH($E290,学年度总表!$E$3:$E$1025,0))="","",INDEX(学年度总表!$K$3:$K$1025,MATCH($E290,学年度总表!$E$3:$E$1025,0)))</f>
        <v>7.3000000000000007</v>
      </c>
      <c r="L290" s="3">
        <f>IF(INDEX(学年度总表!$L$3:$L$1025,MATCH($E290,学年度总表!$E$3:$E$1025,0))="","",INDEX(学年度总表!$L$3:$L$1025,MATCH($E290,学年度总表!$E$3:$E$1025,0)))</f>
        <v>49.81</v>
      </c>
      <c r="M290" s="3">
        <f>IF(INDEX(学年度总表!$M$3:$M$1025,MATCH($E290,学年度总表!$E$3:$E$1025,0))="","",INDEX(学年度总表!$M$3:$M$1025,MATCH($E290,学年度总表!$E$3:$E$1025,0)))</f>
        <v>4.7</v>
      </c>
      <c r="N290" s="3">
        <f>IF(INDEX(学年度总表!$N$3:$N$1025,MATCH($E290,学年度总表!$E$3:$E$1025,0))="","",INDEX(学年度总表!$N$3:$N$1025,MATCH($E290,学年度总表!$E$3:$E$1025,0)))</f>
        <v>61.81</v>
      </c>
      <c r="O290" s="3">
        <f>IF(INDEX(学年度总表!$O$3:$O$1025,MATCH($E290,学年度总表!$E$3:$E$1025,0))="","",INDEX(学年度总表!$O$3:$O$1025,MATCH($E290,学年度总表!$E$3:$E$1025,0)))</f>
        <v>121.63</v>
      </c>
      <c r="P290" s="2" t="str">
        <f>IF(INDEX(学年度总表!$P$3:$P$1025,MATCH($E290,学年度总表!$E$3:$E$1025,0))="","",INDEX(学年度总表!$P$3:$P$1025,MATCH($E290,学年度总表!$E$3:$E$1025,0)))</f>
        <v/>
      </c>
      <c r="Q290" s="5" t="str">
        <f>IF(INDEX(学年度总表!$Q$3:$Q$1025,MATCH($E290,学年度总表!$E$3:$E$1025,0))="","",INDEX(学年度总表!$Q$3:$Q$1025,MATCH($E290,学年度总表!$E$3:$E$1025,0)))</f>
        <v/>
      </c>
    </row>
    <row r="291" spans="1:17">
      <c r="A291" s="2">
        <f>IF(INDEX(学年度总表!$A$3:$A$1025,MATCH($E291,学年度总表!$E$3:$E$1025,0))="","",INDEX(学年度总表!$A$3:$A$1025,MATCH($E291,学年度总表!$E$3:$E$1025,0)))</f>
        <v>841</v>
      </c>
      <c r="B291" s="2">
        <f>IF(INDEX(学年度总表!$B$3:$B$1025,MATCH($E291,学年度总表!$E$3:$E$1025,0))="","",INDEX(学年度总表!$B$3:$B$1025,MATCH($E291,学年度总表!$E$3:$E$1025,0)))</f>
        <v>289</v>
      </c>
      <c r="C291" s="2" t="str">
        <f>IF(INDEX(学年度总表!$C$3:$C$1025,MATCH($E291,学年度总表!$E$3:$E$1025,0))="","",INDEX(学年度总表!$C$3:$C$1025,MATCH($E291,学年度总表!$E$3:$E$1025,0)))</f>
        <v>软工</v>
      </c>
      <c r="D291" s="2" t="str">
        <f>IF(INDEX(学年度总表!$D$3:$D$1025,MATCH($E291,学年度总表!$E$3:$E$1025,0))="","",INDEX(学年度总表!$D$3:$D$1025,MATCH($E291,学年度总表!$E$3:$E$1025,0)))</f>
        <v>软工13班</v>
      </c>
      <c r="E291" s="2" t="s">
        <v>1743</v>
      </c>
      <c r="F291" s="2" t="str">
        <f>IF(INDEX(学年度总表!$F$3:$F$1025,MATCH($E291,学年度总表!$E$3:$E$1025,0))="","",INDEX(学年度总表!$F$3:$F$1025,MATCH($E291,学年度总表!$E$3:$E$1025,0)))</f>
        <v>史正飞</v>
      </c>
      <c r="G291" s="3">
        <f>IF(INDEX(学年度总表!$G$3:$G$1025,MATCH($E291,学年度总表!$E$3:$E$1025,0))="","",INDEX(学年度总表!$G$3:$G$1025,MATCH($E291,学年度总表!$E$3:$E$1025,0)))</f>
        <v>9.8000000000000007</v>
      </c>
      <c r="H291" s="3">
        <f>IF(INDEX(学年度总表!$H$3:$H$1025,MATCH($E291,学年度总表!$E$3:$E$1025,0))="","",INDEX(学年度总表!$H$3:$H$1025,MATCH($E291,学年度总表!$E$3:$E$1025,0)))</f>
        <v>46.59</v>
      </c>
      <c r="I291" s="3">
        <f>IF(INDEX(学年度总表!$I$3:$I$1025,MATCH($E291,学年度总表!$E$3:$E$1025,0))="","",INDEX(学年度总表!$I$3:$I$1025,MATCH($E291,学年度总表!$E$3:$E$1025,0)))</f>
        <v>3</v>
      </c>
      <c r="J291" s="3">
        <f>IF(INDEX(学年度总表!$J$3:$J$1025,MATCH($E291,学年度总表!$E$3:$E$1025,0))="","",INDEX(学年度总表!$J$3:$J$1025,MATCH($E291,学年度总表!$E$3:$E$1025,0)))</f>
        <v>59.39</v>
      </c>
      <c r="K291" s="3">
        <f>IF(INDEX(学年度总表!$K$3:$K$1025,MATCH($E291,学年度总表!$E$3:$E$1025,0))="","",INDEX(学年度总表!$K$3:$K$1025,MATCH($E291,学年度总表!$E$3:$E$1025,0)))</f>
        <v>9.8000000000000007</v>
      </c>
      <c r="L291" s="3">
        <f>IF(INDEX(学年度总表!$L$3:$L$1025,MATCH($E291,学年度总表!$E$3:$E$1025,0))="","",INDEX(学年度总表!$L$3:$L$1025,MATCH($E291,学年度总表!$E$3:$E$1025,0)))</f>
        <v>48.7</v>
      </c>
      <c r="M291" s="3">
        <f>IF(INDEX(学年度总表!$M$3:$M$1025,MATCH($E291,学年度总表!$E$3:$E$1025,0))="","",INDEX(学年度总表!$M$3:$M$1025,MATCH($E291,学年度总表!$E$3:$E$1025,0)))</f>
        <v>3.5</v>
      </c>
      <c r="N291" s="3">
        <f>IF(INDEX(学年度总表!$N$3:$N$1025,MATCH($E291,学年度总表!$E$3:$E$1025,0))="","",INDEX(学年度总表!$N$3:$N$1025,MATCH($E291,学年度总表!$E$3:$E$1025,0)))</f>
        <v>62</v>
      </c>
      <c r="O291" s="3">
        <f>IF(INDEX(学年度总表!$O$3:$O$1025,MATCH($E291,学年度总表!$E$3:$E$1025,0))="","",INDEX(学年度总表!$O$3:$O$1025,MATCH($E291,学年度总表!$E$3:$E$1025,0)))</f>
        <v>121.39</v>
      </c>
      <c r="P291" s="2" t="str">
        <f>IF(INDEX(学年度总表!$P$3:$P$1025,MATCH($E291,学年度总表!$E$3:$E$1025,0))="","",INDEX(学年度总表!$P$3:$P$1025,MATCH($E291,学年度总表!$E$3:$E$1025,0)))</f>
        <v/>
      </c>
      <c r="Q291" s="5" t="str">
        <f>IF(INDEX(学年度总表!$Q$3:$Q$1025,MATCH($E291,学年度总表!$E$3:$E$1025,0))="","",INDEX(学年度总表!$Q$3:$Q$1025,MATCH($E291,学年度总表!$E$3:$E$1025,0)))</f>
        <v/>
      </c>
    </row>
    <row r="292" spans="1:17">
      <c r="A292" s="2">
        <f>IF(INDEX(学年度总表!$A$3:$A$1025,MATCH($E292,学年度总表!$E$3:$E$1025,0))="","",INDEX(学年度总表!$A$3:$A$1025,MATCH($E292,学年度总表!$E$3:$E$1025,0)))</f>
        <v>847</v>
      </c>
      <c r="B292" s="2">
        <f>IF(INDEX(学年度总表!$B$3:$B$1025,MATCH($E292,学年度总表!$E$3:$E$1025,0))="","",INDEX(学年度总表!$B$3:$B$1025,MATCH($E292,学年度总表!$E$3:$E$1025,0)))</f>
        <v>290</v>
      </c>
      <c r="C292" s="2" t="str">
        <f>IF(INDEX(学年度总表!$C$3:$C$1025,MATCH($E292,学年度总表!$E$3:$E$1025,0))="","",INDEX(学年度总表!$C$3:$C$1025,MATCH($E292,学年度总表!$E$3:$E$1025,0)))</f>
        <v>软工</v>
      </c>
      <c r="D292" s="2" t="str">
        <f>IF(INDEX(学年度总表!$D$3:$D$1025,MATCH($E292,学年度总表!$E$3:$E$1025,0))="","",INDEX(学年度总表!$D$3:$D$1025,MATCH($E292,学年度总表!$E$3:$E$1025,0)))</f>
        <v>软工13班</v>
      </c>
      <c r="E292" s="2" t="s">
        <v>1755</v>
      </c>
      <c r="F292" s="2" t="str">
        <f>IF(INDEX(学年度总表!$F$3:$F$1025,MATCH($E292,学年度总表!$E$3:$E$1025,0))="","",INDEX(学年度总表!$F$3:$F$1025,MATCH($E292,学年度总表!$E$3:$E$1025,0)))</f>
        <v>李昊宇</v>
      </c>
      <c r="G292" s="3">
        <f>IF(INDEX(学年度总表!$G$3:$G$1025,MATCH($E292,学年度总表!$E$3:$E$1025,0))="","",INDEX(学年度总表!$G$3:$G$1025,MATCH($E292,学年度总表!$E$3:$E$1025,0)))</f>
        <v>9.4</v>
      </c>
      <c r="H292" s="3">
        <f>IF(INDEX(学年度总表!$H$3:$H$1025,MATCH($E292,学年度总表!$E$3:$E$1025,0))="","",INDEX(学年度总表!$H$3:$H$1025,MATCH($E292,学年度总表!$E$3:$E$1025,0)))</f>
        <v>55.67</v>
      </c>
      <c r="I292" s="3">
        <f>IF(INDEX(学年度总表!$I$3:$I$1025,MATCH($E292,学年度总表!$E$3:$E$1025,0))="","",INDEX(学年度总表!$I$3:$I$1025,MATCH($E292,学年度总表!$E$3:$E$1025,0)))</f>
        <v>3</v>
      </c>
      <c r="J292" s="3">
        <f>IF(INDEX(学年度总表!$J$3:$J$1025,MATCH($E292,学年度总表!$E$3:$E$1025,0))="","",INDEX(学年度总表!$J$3:$J$1025,MATCH($E292,学年度总表!$E$3:$E$1025,0)))</f>
        <v>68.069999999999993</v>
      </c>
      <c r="K292" s="3">
        <f>IF(INDEX(学年度总表!$K$3:$K$1025,MATCH($E292,学年度总表!$E$3:$E$1025,0))="","",INDEX(学年度总表!$K$3:$K$1025,MATCH($E292,学年度总表!$E$3:$E$1025,0)))</f>
        <v>9.4</v>
      </c>
      <c r="L292" s="3">
        <f>IF(INDEX(学年度总表!$L$3:$L$1025,MATCH($E292,学年度总表!$E$3:$E$1025,0))="","",INDEX(学年度总表!$L$3:$L$1025,MATCH($E292,学年度总表!$E$3:$E$1025,0)))</f>
        <v>40.130000000000003</v>
      </c>
      <c r="M292" s="3">
        <f>IF(INDEX(学年度总表!$M$3:$M$1025,MATCH($E292,学年度总表!$E$3:$E$1025,0))="","",INDEX(学年度总表!$M$3:$M$1025,MATCH($E292,学年度总表!$E$3:$E$1025,0)))</f>
        <v>3.5</v>
      </c>
      <c r="N292" s="3">
        <f>IF(INDEX(学年度总表!$N$3:$N$1025,MATCH($E292,学年度总表!$E$3:$E$1025,0))="","",INDEX(学年度总表!$N$3:$N$1025,MATCH($E292,学年度总表!$E$3:$E$1025,0)))</f>
        <v>53.03</v>
      </c>
      <c r="O292" s="3">
        <f>IF(INDEX(学年度总表!$O$3:$O$1025,MATCH($E292,学年度总表!$E$3:$E$1025,0))="","",INDEX(学年度总表!$O$3:$O$1025,MATCH($E292,学年度总表!$E$3:$E$1025,0)))</f>
        <v>121.1</v>
      </c>
      <c r="P292" s="2" t="str">
        <f>IF(INDEX(学年度总表!$P$3:$P$1025,MATCH($E292,学年度总表!$E$3:$E$1025,0))="","",INDEX(学年度总表!$P$3:$P$1025,MATCH($E292,学年度总表!$E$3:$E$1025,0)))</f>
        <v/>
      </c>
      <c r="Q292" s="5" t="str">
        <f>IF(INDEX(学年度总表!$Q$3:$Q$1025,MATCH($E292,学年度总表!$E$3:$E$1025,0))="","",INDEX(学年度总表!$Q$3:$Q$1025,MATCH($E292,学年度总表!$E$3:$E$1025,0)))</f>
        <v/>
      </c>
    </row>
    <row r="293" spans="1:17">
      <c r="A293" s="2">
        <f>IF(INDEX(学年度总表!$A$3:$A$1025,MATCH($E293,学年度总表!$E$3:$E$1025,0))="","",INDEX(学年度总表!$A$3:$A$1025,MATCH($E293,学年度总表!$E$3:$E$1025,0)))</f>
        <v>852</v>
      </c>
      <c r="B293" s="2">
        <f>IF(INDEX(学年度总表!$B$3:$B$1025,MATCH($E293,学年度总表!$E$3:$E$1025,0))="","",INDEX(学年度总表!$B$3:$B$1025,MATCH($E293,学年度总表!$E$3:$E$1025,0)))</f>
        <v>291</v>
      </c>
      <c r="C293" s="2" t="str">
        <f>IF(INDEX(学年度总表!$C$3:$C$1025,MATCH($E293,学年度总表!$E$3:$E$1025,0))="","",INDEX(学年度总表!$C$3:$C$1025,MATCH($E293,学年度总表!$E$3:$E$1025,0)))</f>
        <v>软工</v>
      </c>
      <c r="D293" s="2" t="str">
        <f>IF(INDEX(学年度总表!$D$3:$D$1025,MATCH($E293,学年度总表!$E$3:$E$1025,0))="","",INDEX(学年度总表!$D$3:$D$1025,MATCH($E293,学年度总表!$E$3:$E$1025,0)))</f>
        <v>软工5班</v>
      </c>
      <c r="E293" s="2" t="s">
        <v>1765</v>
      </c>
      <c r="F293" s="2" t="str">
        <f>IF(INDEX(学年度总表!$F$3:$F$1025,MATCH($E293,学年度总表!$E$3:$E$1025,0))="","",INDEX(学年度总表!$F$3:$F$1025,MATCH($E293,学年度总表!$E$3:$E$1025,0)))</f>
        <v>李思宇</v>
      </c>
      <c r="G293" s="3">
        <f>IF(INDEX(学年度总表!$G$3:$G$1025,MATCH($E293,学年度总表!$E$3:$E$1025,0))="","",INDEX(学年度总表!$G$3:$G$1025,MATCH($E293,学年度总表!$E$3:$E$1025,0)))</f>
        <v>9.8000000000000007</v>
      </c>
      <c r="H293" s="3">
        <f>IF(INDEX(学年度总表!$H$3:$H$1025,MATCH($E293,学年度总表!$E$3:$E$1025,0))="","",INDEX(学年度总表!$H$3:$H$1025,MATCH($E293,学年度总表!$E$3:$E$1025,0)))</f>
        <v>48.42</v>
      </c>
      <c r="I293" s="3">
        <f>IF(INDEX(学年度总表!$I$3:$I$1025,MATCH($E293,学年度总表!$E$3:$E$1025,0))="","",INDEX(学年度总表!$I$3:$I$1025,MATCH($E293,学年度总表!$E$3:$E$1025,0)))</f>
        <v>3</v>
      </c>
      <c r="J293" s="3">
        <f>IF(INDEX(学年度总表!$J$3:$J$1025,MATCH($E293,学年度总表!$E$3:$E$1025,0))="","",INDEX(学年度总表!$J$3:$J$1025,MATCH($E293,学年度总表!$E$3:$E$1025,0)))</f>
        <v>61.22</v>
      </c>
      <c r="K293" s="3">
        <f>IF(INDEX(学年度总表!$K$3:$K$1025,MATCH($E293,学年度总表!$E$3:$E$1025,0))="","",INDEX(学年度总表!$K$3:$K$1025,MATCH($E293,学年度总表!$E$3:$E$1025,0)))</f>
        <v>7.3000000000000007</v>
      </c>
      <c r="L293" s="3">
        <f>IF(INDEX(学年度总表!$L$3:$L$1025,MATCH($E293,学年度总表!$E$3:$E$1025,0))="","",INDEX(学年度总表!$L$3:$L$1025,MATCH($E293,学年度总表!$E$3:$E$1025,0)))</f>
        <v>48.65</v>
      </c>
      <c r="M293" s="3">
        <f>IF(INDEX(学年度总表!$M$3:$M$1025,MATCH($E293,学年度总表!$E$3:$E$1025,0))="","",INDEX(学年度总表!$M$3:$M$1025,MATCH($E293,学年度总表!$E$3:$E$1025,0)))</f>
        <v>3.5</v>
      </c>
      <c r="N293" s="3">
        <f>IF(INDEX(学年度总表!$N$3:$N$1025,MATCH($E293,学年度总表!$E$3:$E$1025,0))="","",INDEX(学年度总表!$N$3:$N$1025,MATCH($E293,学年度总表!$E$3:$E$1025,0)))</f>
        <v>59.45</v>
      </c>
      <c r="O293" s="3">
        <f>IF(INDEX(学年度总表!$O$3:$O$1025,MATCH($E293,学年度总表!$E$3:$E$1025,0))="","",INDEX(学年度总表!$O$3:$O$1025,MATCH($E293,学年度总表!$E$3:$E$1025,0)))</f>
        <v>120.67</v>
      </c>
      <c r="P293" s="2" t="str">
        <f>IF(INDEX(学年度总表!$P$3:$P$1025,MATCH($E293,学年度总表!$E$3:$E$1025,0))="","",INDEX(学年度总表!$P$3:$P$1025,MATCH($E293,学年度总表!$E$3:$E$1025,0)))</f>
        <v/>
      </c>
      <c r="Q293" s="5" t="str">
        <f>IF(INDEX(学年度总表!$Q$3:$Q$1025,MATCH($E293,学年度总表!$E$3:$E$1025,0))="","",INDEX(学年度总表!$Q$3:$Q$1025,MATCH($E293,学年度总表!$E$3:$E$1025,0)))</f>
        <v/>
      </c>
    </row>
    <row r="294" spans="1:17">
      <c r="A294" s="2">
        <f>IF(INDEX(学年度总表!$A$3:$A$1025,MATCH($E294,学年度总表!$E$3:$E$1025,0))="","",INDEX(学年度总表!$A$3:$A$1025,MATCH($E294,学年度总表!$E$3:$E$1025,0)))</f>
        <v>854</v>
      </c>
      <c r="B294" s="2">
        <f>IF(INDEX(学年度总表!$B$3:$B$1025,MATCH($E294,学年度总表!$E$3:$E$1025,0))="","",INDEX(学年度总表!$B$3:$B$1025,MATCH($E294,学年度总表!$E$3:$E$1025,0)))</f>
        <v>292</v>
      </c>
      <c r="C294" s="2" t="str">
        <f>IF(INDEX(学年度总表!$C$3:$C$1025,MATCH($E294,学年度总表!$E$3:$E$1025,0))="","",INDEX(学年度总表!$C$3:$C$1025,MATCH($E294,学年度总表!$E$3:$E$1025,0)))</f>
        <v>软工</v>
      </c>
      <c r="D294" s="2" t="str">
        <f>IF(INDEX(学年度总表!$D$3:$D$1025,MATCH($E294,学年度总表!$E$3:$E$1025,0))="","",INDEX(学年度总表!$D$3:$D$1025,MATCH($E294,学年度总表!$E$3:$E$1025,0)))</f>
        <v>软工11班</v>
      </c>
      <c r="E294" s="2" t="s">
        <v>1769</v>
      </c>
      <c r="F294" s="2" t="str">
        <f>IF(INDEX(学年度总表!$F$3:$F$1025,MATCH($E294,学年度总表!$E$3:$E$1025,0))="","",INDEX(学年度总表!$F$3:$F$1025,MATCH($E294,学年度总表!$E$3:$E$1025,0)))</f>
        <v>梁铭熙</v>
      </c>
      <c r="G294" s="3">
        <f>IF(INDEX(学年度总表!$G$3:$G$1025,MATCH($E294,学年度总表!$E$3:$E$1025,0))="","",INDEX(学年度总表!$G$3:$G$1025,MATCH($E294,学年度总表!$E$3:$E$1025,0)))</f>
        <v>9.8000000000000007</v>
      </c>
      <c r="H294" s="3">
        <f>IF(INDEX(学年度总表!$H$3:$H$1025,MATCH($E294,学年度总表!$E$3:$E$1025,0))="","",INDEX(学年度总表!$H$3:$H$1025,MATCH($E294,学年度总表!$E$3:$E$1025,0)))</f>
        <v>51.65</v>
      </c>
      <c r="I294" s="3">
        <f>IF(INDEX(学年度总表!$I$3:$I$1025,MATCH($E294,学年度总表!$E$3:$E$1025,0))="","",INDEX(学年度总表!$I$3:$I$1025,MATCH($E294,学年度总表!$E$3:$E$1025,0)))</f>
        <v>3</v>
      </c>
      <c r="J294" s="3">
        <f>IF(INDEX(学年度总表!$J$3:$J$1025,MATCH($E294,学年度总表!$E$3:$E$1025,0))="","",INDEX(学年度总表!$J$3:$J$1025,MATCH($E294,学年度总表!$E$3:$E$1025,0)))</f>
        <v>64.45</v>
      </c>
      <c r="K294" s="3">
        <f>IF(INDEX(学年度总表!$K$3:$K$1025,MATCH($E294,学年度总表!$E$3:$E$1025,0))="","",INDEX(学年度总表!$K$3:$K$1025,MATCH($E294,学年度总表!$E$3:$E$1025,0)))</f>
        <v>9.8000000000000007</v>
      </c>
      <c r="L294" s="3">
        <f>IF(INDEX(学年度总表!$L$3:$L$1025,MATCH($E294,学年度总表!$E$3:$E$1025,0))="","",INDEX(学年度总表!$L$3:$L$1025,MATCH($E294,学年度总表!$E$3:$E$1025,0)))</f>
        <v>43.38</v>
      </c>
      <c r="M294" s="3">
        <f>IF(INDEX(学年度总表!$M$3:$M$1025,MATCH($E294,学年度总表!$E$3:$E$1025,0))="","",INDEX(学年度总表!$M$3:$M$1025,MATCH($E294,学年度总表!$E$3:$E$1025,0)))</f>
        <v>3</v>
      </c>
      <c r="N294" s="3">
        <f>IF(INDEX(学年度总表!$N$3:$N$1025,MATCH($E294,学年度总表!$E$3:$E$1025,0))="","",INDEX(学年度总表!$N$3:$N$1025,MATCH($E294,学年度总表!$E$3:$E$1025,0)))</f>
        <v>56.18</v>
      </c>
      <c r="O294" s="3">
        <f>IF(INDEX(学年度总表!$O$3:$O$1025,MATCH($E294,学年度总表!$E$3:$E$1025,0))="","",INDEX(学年度总表!$O$3:$O$1025,MATCH($E294,学年度总表!$E$3:$E$1025,0)))</f>
        <v>120.63</v>
      </c>
      <c r="P294" s="2" t="str">
        <f>IF(INDEX(学年度总表!$P$3:$P$1025,MATCH($E294,学年度总表!$E$3:$E$1025,0))="","",INDEX(学年度总表!$P$3:$P$1025,MATCH($E294,学年度总表!$E$3:$E$1025,0)))</f>
        <v/>
      </c>
      <c r="Q294" s="5" t="str">
        <f>IF(INDEX(学年度总表!$Q$3:$Q$1025,MATCH($E294,学年度总表!$E$3:$E$1025,0))="","",INDEX(学年度总表!$Q$3:$Q$1025,MATCH($E294,学年度总表!$E$3:$E$1025,0)))</f>
        <v/>
      </c>
    </row>
    <row r="295" spans="1:17">
      <c r="A295" s="2">
        <f>IF(INDEX(学年度总表!$A$3:$A$1025,MATCH($E295,学年度总表!$E$3:$E$1025,0))="","",INDEX(学年度总表!$A$3:$A$1025,MATCH($E295,学年度总表!$E$3:$E$1025,0)))</f>
        <v>856</v>
      </c>
      <c r="B295" s="2">
        <f>IF(INDEX(学年度总表!$B$3:$B$1025,MATCH($E295,学年度总表!$E$3:$E$1025,0))="","",INDEX(学年度总表!$B$3:$B$1025,MATCH($E295,学年度总表!$E$3:$E$1025,0)))</f>
        <v>293</v>
      </c>
      <c r="C295" s="2" t="str">
        <f>IF(INDEX(学年度总表!$C$3:$C$1025,MATCH($E295,学年度总表!$E$3:$E$1025,0))="","",INDEX(学年度总表!$C$3:$C$1025,MATCH($E295,学年度总表!$E$3:$E$1025,0)))</f>
        <v>软工</v>
      </c>
      <c r="D295" s="2" t="str">
        <f>IF(INDEX(学年度总表!$D$3:$D$1025,MATCH($E295,学年度总表!$E$3:$E$1025,0))="","",INDEX(学年度总表!$D$3:$D$1025,MATCH($E295,学年度总表!$E$3:$E$1025,0)))</f>
        <v>软工5班</v>
      </c>
      <c r="E295" s="2" t="s">
        <v>1773</v>
      </c>
      <c r="F295" s="2" t="str">
        <f>IF(INDEX(学年度总表!$F$3:$F$1025,MATCH($E295,学年度总表!$E$3:$E$1025,0))="","",INDEX(学年度总表!$F$3:$F$1025,MATCH($E295,学年度总表!$E$3:$E$1025,0)))</f>
        <v>车向前</v>
      </c>
      <c r="G295" s="3">
        <f>IF(INDEX(学年度总表!$G$3:$G$1025,MATCH($E295,学年度总表!$E$3:$E$1025,0))="","",INDEX(学年度总表!$G$3:$G$1025,MATCH($E295,学年度总表!$E$3:$E$1025,0)))</f>
        <v>9.4</v>
      </c>
      <c r="H295" s="3">
        <f>IF(INDEX(学年度总表!$H$3:$H$1025,MATCH($E295,学年度总表!$E$3:$E$1025,0))="","",INDEX(学年度总表!$H$3:$H$1025,MATCH($E295,学年度总表!$E$3:$E$1025,0)))</f>
        <v>49.11</v>
      </c>
      <c r="I295" s="3">
        <f>IF(INDEX(学年度总表!$I$3:$I$1025,MATCH($E295,学年度总表!$E$3:$E$1025,0))="","",INDEX(学年度总表!$I$3:$I$1025,MATCH($E295,学年度总表!$E$3:$E$1025,0)))</f>
        <v>3</v>
      </c>
      <c r="J295" s="3">
        <f>IF(INDEX(学年度总表!$J$3:$J$1025,MATCH($E295,学年度总表!$E$3:$E$1025,0))="","",INDEX(学年度总表!$J$3:$J$1025,MATCH($E295,学年度总表!$E$3:$E$1025,0)))</f>
        <v>61.51</v>
      </c>
      <c r="K295" s="3">
        <f>IF(INDEX(学年度总表!$K$3:$K$1025,MATCH($E295,学年度总表!$E$3:$E$1025,0))="","",INDEX(学年度总表!$K$3:$K$1025,MATCH($E295,学年度总表!$E$3:$E$1025,0)))</f>
        <v>7.3000000000000007</v>
      </c>
      <c r="L295" s="3">
        <f>IF(INDEX(学年度总表!$L$3:$L$1025,MATCH($E295,学年度总表!$E$3:$E$1025,0))="","",INDEX(学年度总表!$L$3:$L$1025,MATCH($E295,学年度总表!$E$3:$E$1025,0)))</f>
        <v>46.54</v>
      </c>
      <c r="M295" s="3">
        <f>IF(INDEX(学年度总表!$M$3:$M$1025,MATCH($E295,学年度总表!$E$3:$E$1025,0))="","",INDEX(学年度总表!$M$3:$M$1025,MATCH($E295,学年度总表!$E$3:$E$1025,0)))</f>
        <v>4.8</v>
      </c>
      <c r="N295" s="3">
        <f>IF(INDEX(学年度总表!$N$3:$N$1025,MATCH($E295,学年度总表!$E$3:$E$1025,0))="","",INDEX(学年度总表!$N$3:$N$1025,MATCH($E295,学年度总表!$E$3:$E$1025,0)))</f>
        <v>58.64</v>
      </c>
      <c r="O295" s="3">
        <f>IF(INDEX(学年度总表!$O$3:$O$1025,MATCH($E295,学年度总表!$E$3:$E$1025,0))="","",INDEX(学年度总表!$O$3:$O$1025,MATCH($E295,学年度总表!$E$3:$E$1025,0)))</f>
        <v>120.15</v>
      </c>
      <c r="P295" s="2" t="str">
        <f>IF(INDEX(学年度总表!$P$3:$P$1025,MATCH($E295,学年度总表!$E$3:$E$1025,0))="","",INDEX(学年度总表!$P$3:$P$1025,MATCH($E295,学年度总表!$E$3:$E$1025,0)))</f>
        <v/>
      </c>
      <c r="Q295" s="5" t="str">
        <f>IF(INDEX(学年度总表!$Q$3:$Q$1025,MATCH($E295,学年度总表!$E$3:$E$1025,0))="","",INDEX(学年度总表!$Q$3:$Q$1025,MATCH($E295,学年度总表!$E$3:$E$1025,0)))</f>
        <v/>
      </c>
    </row>
    <row r="296" spans="1:17">
      <c r="A296" s="2">
        <f>IF(INDEX(学年度总表!$A$3:$A$1025,MATCH($E296,学年度总表!$E$3:$E$1025,0))="","",INDEX(学年度总表!$A$3:$A$1025,MATCH($E296,学年度总表!$E$3:$E$1025,0)))</f>
        <v>857</v>
      </c>
      <c r="B296" s="2">
        <f>IF(INDEX(学年度总表!$B$3:$B$1025,MATCH($E296,学年度总表!$E$3:$E$1025,0))="","",INDEX(学年度总表!$B$3:$B$1025,MATCH($E296,学年度总表!$E$3:$E$1025,0)))</f>
        <v>294</v>
      </c>
      <c r="C296" s="2" t="str">
        <f>IF(INDEX(学年度总表!$C$3:$C$1025,MATCH($E296,学年度总表!$E$3:$E$1025,0))="","",INDEX(学年度总表!$C$3:$C$1025,MATCH($E296,学年度总表!$E$3:$E$1025,0)))</f>
        <v>软工</v>
      </c>
      <c r="D296" s="2" t="str">
        <f>IF(INDEX(学年度总表!$D$3:$D$1025,MATCH($E296,学年度总表!$E$3:$E$1025,0))="","",INDEX(学年度总表!$D$3:$D$1025,MATCH($E296,学年度总表!$E$3:$E$1025,0)))</f>
        <v>软工14班</v>
      </c>
      <c r="E296" s="2" t="s">
        <v>1775</v>
      </c>
      <c r="F296" s="2" t="str">
        <f>IF(INDEX(学年度总表!$F$3:$F$1025,MATCH($E296,学年度总表!$E$3:$E$1025,0))="","",INDEX(学年度总表!$F$3:$F$1025,MATCH($E296,学年度总表!$E$3:$E$1025,0)))</f>
        <v>李思萱</v>
      </c>
      <c r="G296" s="3">
        <f>IF(INDEX(学年度总表!$G$3:$G$1025,MATCH($E296,学年度总表!$E$3:$E$1025,0))="","",INDEX(学年度总表!$G$3:$G$1025,MATCH($E296,学年度总表!$E$3:$E$1025,0)))</f>
        <v>10</v>
      </c>
      <c r="H296" s="3">
        <f>IF(INDEX(学年度总表!$H$3:$H$1025,MATCH($E296,学年度总表!$E$3:$E$1025,0))="","",INDEX(学年度总表!$H$3:$H$1025,MATCH($E296,学年度总表!$E$3:$E$1025,0)))</f>
        <v>45.92</v>
      </c>
      <c r="I296" s="3">
        <f>IF(INDEX(学年度总表!$I$3:$I$1025,MATCH($E296,学年度总表!$E$3:$E$1025,0))="","",INDEX(学年度总表!$I$3:$I$1025,MATCH($E296,学年度总表!$E$3:$E$1025,0)))</f>
        <v>4.2</v>
      </c>
      <c r="J296" s="3">
        <f>IF(INDEX(学年度总表!$J$3:$J$1025,MATCH($E296,学年度总表!$E$3:$E$1025,0))="","",INDEX(学年度总表!$J$3:$J$1025,MATCH($E296,学年度总表!$E$3:$E$1025,0)))</f>
        <v>60.12</v>
      </c>
      <c r="K296" s="3">
        <f>IF(INDEX(学年度总表!$K$3:$K$1025,MATCH($E296,学年度总表!$E$3:$E$1025,0))="","",INDEX(学年度总表!$K$3:$K$1025,MATCH($E296,学年度总表!$E$3:$E$1025,0)))</f>
        <v>10</v>
      </c>
      <c r="L296" s="3">
        <f>IF(INDEX(学年度总表!$L$3:$L$1025,MATCH($E296,学年度总表!$E$3:$E$1025,0))="","",INDEX(学年度总表!$L$3:$L$1025,MATCH($E296,学年度总表!$E$3:$E$1025,0)))</f>
        <v>45.02</v>
      </c>
      <c r="M296" s="3">
        <f>IF(INDEX(学年度总表!$M$3:$M$1025,MATCH($E296,学年度总表!$E$3:$E$1025,0))="","",INDEX(学年度总表!$M$3:$M$1025,MATCH($E296,学年度总表!$E$3:$E$1025,0)))</f>
        <v>5</v>
      </c>
      <c r="N296" s="3">
        <f>IF(INDEX(学年度总表!$N$3:$N$1025,MATCH($E296,学年度总表!$E$3:$E$1025,0))="","",INDEX(学年度总表!$N$3:$N$1025,MATCH($E296,学年度总表!$E$3:$E$1025,0)))</f>
        <v>60.02</v>
      </c>
      <c r="O296" s="3">
        <f>IF(INDEX(学年度总表!$O$3:$O$1025,MATCH($E296,学年度总表!$E$3:$E$1025,0))="","",INDEX(学年度总表!$O$3:$O$1025,MATCH($E296,学年度总表!$E$3:$E$1025,0)))</f>
        <v>120.14</v>
      </c>
      <c r="P296" s="2" t="str">
        <f>IF(INDEX(学年度总表!$P$3:$P$1025,MATCH($E296,学年度总表!$E$3:$E$1025,0))="","",INDEX(学年度总表!$P$3:$P$1025,MATCH($E296,学年度总表!$E$3:$E$1025,0)))</f>
        <v/>
      </c>
      <c r="Q296" s="5" t="str">
        <f>IF(INDEX(学年度总表!$Q$3:$Q$1025,MATCH($E296,学年度总表!$E$3:$E$1025,0))="","",INDEX(学年度总表!$Q$3:$Q$1025,MATCH($E296,学年度总表!$E$3:$E$1025,0)))</f>
        <v/>
      </c>
    </row>
    <row r="297" spans="1:17">
      <c r="A297" s="2">
        <f>IF(INDEX(学年度总表!$A$3:$A$1025,MATCH($E297,学年度总表!$E$3:$E$1025,0))="","",INDEX(学年度总表!$A$3:$A$1025,MATCH($E297,学年度总表!$E$3:$E$1025,0)))</f>
        <v>858</v>
      </c>
      <c r="B297" s="2">
        <f>IF(INDEX(学年度总表!$B$3:$B$1025,MATCH($E297,学年度总表!$E$3:$E$1025,0))="","",INDEX(学年度总表!$B$3:$B$1025,MATCH($E297,学年度总表!$E$3:$E$1025,0)))</f>
        <v>295</v>
      </c>
      <c r="C297" s="2" t="str">
        <f>IF(INDEX(学年度总表!$C$3:$C$1025,MATCH($E297,学年度总表!$E$3:$E$1025,0))="","",INDEX(学年度总表!$C$3:$C$1025,MATCH($E297,学年度总表!$E$3:$E$1025,0)))</f>
        <v>软工</v>
      </c>
      <c r="D297" s="2" t="str">
        <f>IF(INDEX(学年度总表!$D$3:$D$1025,MATCH($E297,学年度总表!$E$3:$E$1025,0))="","",INDEX(学年度总表!$D$3:$D$1025,MATCH($E297,学年度总表!$E$3:$E$1025,0)))</f>
        <v>软工14班</v>
      </c>
      <c r="E297" s="2" t="s">
        <v>1777</v>
      </c>
      <c r="F297" s="2" t="str">
        <f>IF(INDEX(学年度总表!$F$3:$F$1025,MATCH($E297,学年度总表!$E$3:$E$1025,0))="","",INDEX(学年度总表!$F$3:$F$1025,MATCH($E297,学年度总表!$E$3:$E$1025,0)))</f>
        <v>凌辰</v>
      </c>
      <c r="G297" s="3">
        <f>IF(INDEX(学年度总表!$G$3:$G$1025,MATCH($E297,学年度总表!$E$3:$E$1025,0))="","",INDEX(学年度总表!$G$3:$G$1025,MATCH($E297,学年度总表!$E$3:$E$1025,0)))</f>
        <v>9.8000000000000007</v>
      </c>
      <c r="H297" s="3">
        <f>IF(INDEX(学年度总表!$H$3:$H$1025,MATCH($E297,学年度总表!$E$3:$E$1025,0))="","",INDEX(学年度总表!$H$3:$H$1025,MATCH($E297,学年度总表!$E$3:$E$1025,0)))</f>
        <v>48.21</v>
      </c>
      <c r="I297" s="3">
        <f>IF(INDEX(学年度总表!$I$3:$I$1025,MATCH($E297,学年度总表!$E$3:$E$1025,0))="","",INDEX(学年度总表!$I$3:$I$1025,MATCH($E297,学年度总表!$E$3:$E$1025,0)))</f>
        <v>3</v>
      </c>
      <c r="J297" s="3">
        <f>IF(INDEX(学年度总表!$J$3:$J$1025,MATCH($E297,学年度总表!$E$3:$E$1025,0))="","",INDEX(学年度总表!$J$3:$J$1025,MATCH($E297,学年度总表!$E$3:$E$1025,0)))</f>
        <v>61.01</v>
      </c>
      <c r="K297" s="3">
        <f>IF(INDEX(学年度总表!$K$3:$K$1025,MATCH($E297,学年度总表!$E$3:$E$1025,0))="","",INDEX(学年度总表!$K$3:$K$1025,MATCH($E297,学年度总表!$E$3:$E$1025,0)))</f>
        <v>7.3000000000000007</v>
      </c>
      <c r="L297" s="3">
        <f>IF(INDEX(学年度总表!$L$3:$L$1025,MATCH($E297,学年度总表!$E$3:$E$1025,0))="","",INDEX(学年度总表!$L$3:$L$1025,MATCH($E297,学年度总表!$E$3:$E$1025,0)))</f>
        <v>48.32</v>
      </c>
      <c r="M297" s="3">
        <f>IF(INDEX(学年度总表!$M$3:$M$1025,MATCH($E297,学年度总表!$E$3:$E$1025,0))="","",INDEX(学年度总表!$M$3:$M$1025,MATCH($E297,学年度总表!$E$3:$E$1025,0)))</f>
        <v>3.5</v>
      </c>
      <c r="N297" s="3">
        <f>IF(INDEX(学年度总表!$N$3:$N$1025,MATCH($E297,学年度总表!$E$3:$E$1025,0))="","",INDEX(学年度总表!$N$3:$N$1025,MATCH($E297,学年度总表!$E$3:$E$1025,0)))</f>
        <v>59.12</v>
      </c>
      <c r="O297" s="3">
        <f>IF(INDEX(学年度总表!$O$3:$O$1025,MATCH($E297,学年度总表!$E$3:$E$1025,0))="","",INDEX(学年度总表!$O$3:$O$1025,MATCH($E297,学年度总表!$E$3:$E$1025,0)))</f>
        <v>120.13</v>
      </c>
      <c r="P297" s="2" t="str">
        <f>IF(INDEX(学年度总表!$P$3:$P$1025,MATCH($E297,学年度总表!$E$3:$E$1025,0))="","",INDEX(学年度总表!$P$3:$P$1025,MATCH($E297,学年度总表!$E$3:$E$1025,0)))</f>
        <v/>
      </c>
      <c r="Q297" s="5" t="str">
        <f>IF(INDEX(学年度总表!$Q$3:$Q$1025,MATCH($E297,学年度总表!$E$3:$E$1025,0))="","",INDEX(学年度总表!$Q$3:$Q$1025,MATCH($E297,学年度总表!$E$3:$E$1025,0)))</f>
        <v/>
      </c>
    </row>
    <row r="298" spans="1:17">
      <c r="A298" s="2">
        <f>IF(INDEX(学年度总表!$A$3:$A$1025,MATCH($E298,学年度总表!$E$3:$E$1025,0))="","",INDEX(学年度总表!$A$3:$A$1025,MATCH($E298,学年度总表!$E$3:$E$1025,0)))</f>
        <v>859</v>
      </c>
      <c r="B298" s="2">
        <f>IF(INDEX(学年度总表!$B$3:$B$1025,MATCH($E298,学年度总表!$E$3:$E$1025,0))="","",INDEX(学年度总表!$B$3:$B$1025,MATCH($E298,学年度总表!$E$3:$E$1025,0)))</f>
        <v>296</v>
      </c>
      <c r="C298" s="2" t="str">
        <f>IF(INDEX(学年度总表!$C$3:$C$1025,MATCH($E298,学年度总表!$E$3:$E$1025,0))="","",INDEX(学年度总表!$C$3:$C$1025,MATCH($E298,学年度总表!$E$3:$E$1025,0)))</f>
        <v>软工</v>
      </c>
      <c r="D298" s="2" t="str">
        <f>IF(INDEX(学年度总表!$D$3:$D$1025,MATCH($E298,学年度总表!$E$3:$E$1025,0))="","",INDEX(学年度总表!$D$3:$D$1025,MATCH($E298,学年度总表!$E$3:$E$1025,0)))</f>
        <v>软工13班</v>
      </c>
      <c r="E298" s="2" t="s">
        <v>1779</v>
      </c>
      <c r="F298" s="2" t="str">
        <f>IF(INDEX(学年度总表!$F$3:$F$1025,MATCH($E298,学年度总表!$E$3:$E$1025,0))="","",INDEX(学年度总表!$F$3:$F$1025,MATCH($E298,学年度总表!$E$3:$E$1025,0)))</f>
        <v>吕振羽</v>
      </c>
      <c r="G298" s="3">
        <f>IF(INDEX(学年度总表!$G$3:$G$1025,MATCH($E298,学年度总表!$E$3:$E$1025,0))="","",INDEX(学年度总表!$G$3:$G$1025,MATCH($E298,学年度总表!$E$3:$E$1025,0)))</f>
        <v>9.8000000000000007</v>
      </c>
      <c r="H298" s="3">
        <f>IF(INDEX(学年度总表!$H$3:$H$1025,MATCH($E298,学年度总表!$E$3:$E$1025,0))="","",INDEX(学年度总表!$H$3:$H$1025,MATCH($E298,学年度总表!$E$3:$E$1025,0)))</f>
        <v>48.8</v>
      </c>
      <c r="I298" s="3">
        <f>IF(INDEX(学年度总表!$I$3:$I$1025,MATCH($E298,学年度总表!$E$3:$E$1025,0))="","",INDEX(学年度总表!$I$3:$I$1025,MATCH($E298,学年度总表!$E$3:$E$1025,0)))</f>
        <v>3</v>
      </c>
      <c r="J298" s="3">
        <f>IF(INDEX(学年度总表!$J$3:$J$1025,MATCH($E298,学年度总表!$E$3:$E$1025,0))="","",INDEX(学年度总表!$J$3:$J$1025,MATCH($E298,学年度总表!$E$3:$E$1025,0)))</f>
        <v>61.6</v>
      </c>
      <c r="K298" s="3">
        <f>IF(INDEX(学年度总表!$K$3:$K$1025,MATCH($E298,学年度总表!$E$3:$E$1025,0))="","",INDEX(学年度总表!$K$3:$K$1025,MATCH($E298,学年度总表!$E$3:$E$1025,0)))</f>
        <v>9.8000000000000007</v>
      </c>
      <c r="L298" s="3">
        <f>IF(INDEX(学年度总表!$L$3:$L$1025,MATCH($E298,学年度总表!$E$3:$E$1025,0))="","",INDEX(学年度总表!$L$3:$L$1025,MATCH($E298,学年度总表!$E$3:$E$1025,0)))</f>
        <v>45.2</v>
      </c>
      <c r="M298" s="3">
        <f>IF(INDEX(学年度总表!$M$3:$M$1025,MATCH($E298,学年度总表!$E$3:$E$1025,0))="","",INDEX(学年度总表!$M$3:$M$1025,MATCH($E298,学年度总表!$E$3:$E$1025,0)))</f>
        <v>3.5</v>
      </c>
      <c r="N298" s="3">
        <f>IF(INDEX(学年度总表!$N$3:$N$1025,MATCH($E298,学年度总表!$E$3:$E$1025,0))="","",INDEX(学年度总表!$N$3:$N$1025,MATCH($E298,学年度总表!$E$3:$E$1025,0)))</f>
        <v>58.5</v>
      </c>
      <c r="O298" s="3">
        <f>IF(INDEX(学年度总表!$O$3:$O$1025,MATCH($E298,学年度总表!$E$3:$E$1025,0))="","",INDEX(学年度总表!$O$3:$O$1025,MATCH($E298,学年度总表!$E$3:$E$1025,0)))</f>
        <v>120.1</v>
      </c>
      <c r="P298" s="2" t="str">
        <f>IF(INDEX(学年度总表!$P$3:$P$1025,MATCH($E298,学年度总表!$E$3:$E$1025,0))="","",INDEX(学年度总表!$P$3:$P$1025,MATCH($E298,学年度总表!$E$3:$E$1025,0)))</f>
        <v/>
      </c>
      <c r="Q298" s="5" t="str">
        <f>IF(INDEX(学年度总表!$Q$3:$Q$1025,MATCH($E298,学年度总表!$E$3:$E$1025,0))="","",INDEX(学年度总表!$Q$3:$Q$1025,MATCH($E298,学年度总表!$E$3:$E$1025,0)))</f>
        <v/>
      </c>
    </row>
    <row r="299" spans="1:17">
      <c r="A299" s="2">
        <f>IF(INDEX(学年度总表!$A$3:$A$1025,MATCH($E299,学年度总表!$E$3:$E$1025,0))="","",INDEX(学年度总表!$A$3:$A$1025,MATCH($E299,学年度总表!$E$3:$E$1025,0)))</f>
        <v>860</v>
      </c>
      <c r="B299" s="2">
        <f>IF(INDEX(学年度总表!$B$3:$B$1025,MATCH($E299,学年度总表!$E$3:$E$1025,0))="","",INDEX(学年度总表!$B$3:$B$1025,MATCH($E299,学年度总表!$E$3:$E$1025,0)))</f>
        <v>297</v>
      </c>
      <c r="C299" s="2" t="str">
        <f>IF(INDEX(学年度总表!$C$3:$C$1025,MATCH($E299,学年度总表!$E$3:$E$1025,0))="","",INDEX(学年度总表!$C$3:$C$1025,MATCH($E299,学年度总表!$E$3:$E$1025,0)))</f>
        <v>软工</v>
      </c>
      <c r="D299" s="2" t="str">
        <f>IF(INDEX(学年度总表!$D$3:$D$1025,MATCH($E299,学年度总表!$E$3:$E$1025,0))="","",INDEX(学年度总表!$D$3:$D$1025,MATCH($E299,学年度总表!$E$3:$E$1025,0)))</f>
        <v>软工6班</v>
      </c>
      <c r="E299" s="2" t="s">
        <v>1781</v>
      </c>
      <c r="F299" s="2" t="str">
        <f>IF(INDEX(学年度总表!$F$3:$F$1025,MATCH($E299,学年度总表!$E$3:$E$1025,0))="","",INDEX(学年度总表!$F$3:$F$1025,MATCH($E299,学年度总表!$E$3:$E$1025,0)))</f>
        <v>李晗祎</v>
      </c>
      <c r="G299" s="3">
        <f>IF(INDEX(学年度总表!$G$3:$G$1025,MATCH($E299,学年度总表!$E$3:$E$1025,0))="","",INDEX(学年度总表!$G$3:$G$1025,MATCH($E299,学年度总表!$E$3:$E$1025,0)))</f>
        <v>9.8000000000000007</v>
      </c>
      <c r="H299" s="3">
        <f>IF(INDEX(学年度总表!$H$3:$H$1025,MATCH($E299,学年度总表!$E$3:$E$1025,0))="","",INDEX(学年度总表!$H$3:$H$1025,MATCH($E299,学年度总表!$E$3:$E$1025,0)))</f>
        <v>45.033333333333303</v>
      </c>
      <c r="I299" s="3">
        <f>IF(INDEX(学年度总表!$I$3:$I$1025,MATCH($E299,学年度总表!$E$3:$E$1025,0))="","",INDEX(学年度总表!$I$3:$I$1025,MATCH($E299,学年度总表!$E$3:$E$1025,0)))</f>
        <v>3</v>
      </c>
      <c r="J299" s="3">
        <f>IF(INDEX(学年度总表!$J$3:$J$1025,MATCH($E299,学年度总表!$E$3:$E$1025,0))="","",INDEX(学年度总表!$J$3:$J$1025,MATCH($E299,学年度总表!$E$3:$E$1025,0)))</f>
        <v>57.83</v>
      </c>
      <c r="K299" s="3">
        <f>IF(INDEX(学年度总表!$K$3:$K$1025,MATCH($E299,学年度总表!$E$3:$E$1025,0))="","",INDEX(学年度总表!$K$3:$K$1025,MATCH($E299,学年度总表!$E$3:$E$1025,0)))</f>
        <v>9.8000000000000007</v>
      </c>
      <c r="L299" s="3">
        <f>IF(INDEX(学年度总表!$L$3:$L$1025,MATCH($E299,学年度总表!$E$3:$E$1025,0))="","",INDEX(学年度总表!$L$3:$L$1025,MATCH($E299,学年度总表!$E$3:$E$1025,0)))</f>
        <v>49.44</v>
      </c>
      <c r="M299" s="3">
        <f>IF(INDEX(学年度总表!$M$3:$M$1025,MATCH($E299,学年度总表!$E$3:$E$1025,0))="","",INDEX(学年度总表!$M$3:$M$1025,MATCH($E299,学年度总表!$E$3:$E$1025,0)))</f>
        <v>3</v>
      </c>
      <c r="N299" s="3">
        <f>IF(INDEX(学年度总表!$N$3:$N$1025,MATCH($E299,学年度总表!$E$3:$E$1025,0))="","",INDEX(学年度总表!$N$3:$N$1025,MATCH($E299,学年度总表!$E$3:$E$1025,0)))</f>
        <v>62.24</v>
      </c>
      <c r="O299" s="3">
        <f>IF(INDEX(学年度总表!$O$3:$O$1025,MATCH($E299,学年度总表!$E$3:$E$1025,0))="","",INDEX(学年度总表!$O$3:$O$1025,MATCH($E299,学年度总表!$E$3:$E$1025,0)))</f>
        <v>120.07</v>
      </c>
      <c r="P299" s="2" t="str">
        <f>IF(INDEX(学年度总表!$P$3:$P$1025,MATCH($E299,学年度总表!$E$3:$E$1025,0))="","",INDEX(学年度总表!$P$3:$P$1025,MATCH($E299,学年度总表!$E$3:$E$1025,0)))</f>
        <v/>
      </c>
      <c r="Q299" s="5" t="str">
        <f>IF(INDEX(学年度总表!$Q$3:$Q$1025,MATCH($E299,学年度总表!$E$3:$E$1025,0))="","",INDEX(学年度总表!$Q$3:$Q$1025,MATCH($E299,学年度总表!$E$3:$E$1025,0)))</f>
        <v/>
      </c>
    </row>
    <row r="300" spans="1:17">
      <c r="A300" s="2">
        <f>IF(INDEX(学年度总表!$A$3:$A$1025,MATCH($E300,学年度总表!$E$3:$E$1025,0))="","",INDEX(学年度总表!$A$3:$A$1025,MATCH($E300,学年度总表!$E$3:$E$1025,0)))</f>
        <v>861</v>
      </c>
      <c r="B300" s="2">
        <f>IF(INDEX(学年度总表!$B$3:$B$1025,MATCH($E300,学年度总表!$E$3:$E$1025,0))="","",INDEX(学年度总表!$B$3:$B$1025,MATCH($E300,学年度总表!$E$3:$E$1025,0)))</f>
        <v>298</v>
      </c>
      <c r="C300" s="2" t="str">
        <f>IF(INDEX(学年度总表!$C$3:$C$1025,MATCH($E300,学年度总表!$E$3:$E$1025,0))="","",INDEX(学年度总表!$C$3:$C$1025,MATCH($E300,学年度总表!$E$3:$E$1025,0)))</f>
        <v>软工</v>
      </c>
      <c r="D300" s="2" t="str">
        <f>IF(INDEX(学年度总表!$D$3:$D$1025,MATCH($E300,学年度总表!$E$3:$E$1025,0))="","",INDEX(学年度总表!$D$3:$D$1025,MATCH($E300,学年度总表!$E$3:$E$1025,0)))</f>
        <v>软工6班</v>
      </c>
      <c r="E300" s="2" t="s">
        <v>1783</v>
      </c>
      <c r="F300" s="2" t="str">
        <f>IF(INDEX(学年度总表!$F$3:$F$1025,MATCH($E300,学年度总表!$E$3:$E$1025,0))="","",INDEX(学年度总表!$F$3:$F$1025,MATCH($E300,学年度总表!$E$3:$E$1025,0)))</f>
        <v>赵梓冰</v>
      </c>
      <c r="G300" s="3">
        <f>IF(INDEX(学年度总表!$G$3:$G$1025,MATCH($E300,学年度总表!$E$3:$E$1025,0))="","",INDEX(学年度总表!$G$3:$G$1025,MATCH($E300,学年度总表!$E$3:$E$1025,0)))</f>
        <v>9.8000000000000007</v>
      </c>
      <c r="H300" s="3">
        <f>IF(INDEX(学年度总表!$H$3:$H$1025,MATCH($E300,学年度总表!$E$3:$E$1025,0))="","",INDEX(学年度总表!$H$3:$H$1025,MATCH($E300,学年度总表!$E$3:$E$1025,0)))</f>
        <v>46.466666666666697</v>
      </c>
      <c r="I300" s="3">
        <f>IF(INDEX(学年度总表!$I$3:$I$1025,MATCH($E300,学年度总表!$E$3:$E$1025,0))="","",INDEX(学年度总表!$I$3:$I$1025,MATCH($E300,学年度总表!$E$3:$E$1025,0)))</f>
        <v>4</v>
      </c>
      <c r="J300" s="3">
        <f>IF(INDEX(学年度总表!$J$3:$J$1025,MATCH($E300,学年度总表!$E$3:$E$1025,0))="","",INDEX(学年度总表!$J$3:$J$1025,MATCH($E300,学年度总表!$E$3:$E$1025,0)))</f>
        <v>60.27</v>
      </c>
      <c r="K300" s="3">
        <f>IF(INDEX(学年度总表!$K$3:$K$1025,MATCH($E300,学年度总表!$E$3:$E$1025,0))="","",INDEX(学年度总表!$K$3:$K$1025,MATCH($E300,学年度总表!$E$3:$E$1025,0)))</f>
        <v>9.8000000000000007</v>
      </c>
      <c r="L300" s="3">
        <f>IF(INDEX(学年度总表!$L$3:$L$1025,MATCH($E300,学年度总表!$E$3:$E$1025,0))="","",INDEX(学年度总表!$L$3:$L$1025,MATCH($E300,学年度总表!$E$3:$E$1025,0)))</f>
        <v>46.9</v>
      </c>
      <c r="M300" s="3">
        <f>IF(INDEX(学年度总表!$M$3:$M$1025,MATCH($E300,学年度总表!$E$3:$E$1025,0))="","",INDEX(学年度总表!$M$3:$M$1025,MATCH($E300,学年度总表!$E$3:$E$1025,0)))</f>
        <v>3</v>
      </c>
      <c r="N300" s="3">
        <f>IF(INDEX(学年度总表!$N$3:$N$1025,MATCH($E300,学年度总表!$E$3:$E$1025,0))="","",INDEX(学年度总表!$N$3:$N$1025,MATCH($E300,学年度总表!$E$3:$E$1025,0)))</f>
        <v>59.7</v>
      </c>
      <c r="O300" s="3">
        <f>IF(INDEX(学年度总表!$O$3:$O$1025,MATCH($E300,学年度总表!$E$3:$E$1025,0))="","",INDEX(学年度总表!$O$3:$O$1025,MATCH($E300,学年度总表!$E$3:$E$1025,0)))</f>
        <v>119.97</v>
      </c>
      <c r="P300" s="2" t="str">
        <f>IF(INDEX(学年度总表!$P$3:$P$1025,MATCH($E300,学年度总表!$E$3:$E$1025,0))="","",INDEX(学年度总表!$P$3:$P$1025,MATCH($E300,学年度总表!$E$3:$E$1025,0)))</f>
        <v/>
      </c>
      <c r="Q300" s="5" t="str">
        <f>IF(INDEX(学年度总表!$Q$3:$Q$1025,MATCH($E300,学年度总表!$E$3:$E$1025,0))="","",INDEX(学年度总表!$Q$3:$Q$1025,MATCH($E300,学年度总表!$E$3:$E$1025,0)))</f>
        <v/>
      </c>
    </row>
    <row r="301" spans="1:17">
      <c r="A301" s="2">
        <f>IF(INDEX(学年度总表!$A$3:$A$1025,MATCH($E301,学年度总表!$E$3:$E$1025,0))="","",INDEX(学年度总表!$A$3:$A$1025,MATCH($E301,学年度总表!$E$3:$E$1025,0)))</f>
        <v>864</v>
      </c>
      <c r="B301" s="2">
        <f>IF(INDEX(学年度总表!$B$3:$B$1025,MATCH($E301,学年度总表!$E$3:$E$1025,0))="","",INDEX(学年度总表!$B$3:$B$1025,MATCH($E301,学年度总表!$E$3:$E$1025,0)))</f>
        <v>299</v>
      </c>
      <c r="C301" s="2" t="str">
        <f>IF(INDEX(学年度总表!$C$3:$C$1025,MATCH($E301,学年度总表!$E$3:$E$1025,0))="","",INDEX(学年度总表!$C$3:$C$1025,MATCH($E301,学年度总表!$E$3:$E$1025,0)))</f>
        <v>软工</v>
      </c>
      <c r="D301" s="2" t="str">
        <f>IF(INDEX(学年度总表!$D$3:$D$1025,MATCH($E301,学年度总表!$E$3:$E$1025,0))="","",INDEX(学年度总表!$D$3:$D$1025,MATCH($E301,学年度总表!$E$3:$E$1025,0)))</f>
        <v>软工7班</v>
      </c>
      <c r="E301" s="2" t="s">
        <v>1789</v>
      </c>
      <c r="F301" s="2" t="str">
        <f>IF(INDEX(学年度总表!$F$3:$F$1025,MATCH($E301,学年度总表!$E$3:$E$1025,0))="","",INDEX(学年度总表!$F$3:$F$1025,MATCH($E301,学年度总表!$E$3:$E$1025,0)))</f>
        <v>关兴宇</v>
      </c>
      <c r="G301" s="3">
        <f>IF(INDEX(学年度总表!$G$3:$G$1025,MATCH($E301,学年度总表!$E$3:$E$1025,0))="","",INDEX(学年度总表!$G$3:$G$1025,MATCH($E301,学年度总表!$E$3:$E$1025,0)))</f>
        <v>10</v>
      </c>
      <c r="H301" s="3">
        <f>IF(INDEX(学年度总表!$H$3:$H$1025,MATCH($E301,学年度总表!$E$3:$E$1025,0))="","",INDEX(学年度总表!$H$3:$H$1025,MATCH($E301,学年度总表!$E$3:$E$1025,0)))</f>
        <v>49.35</v>
      </c>
      <c r="I301" s="3">
        <f>IF(INDEX(学年度总表!$I$3:$I$1025,MATCH($E301,学年度总表!$E$3:$E$1025,0))="","",INDEX(学年度总表!$I$3:$I$1025,MATCH($E301,学年度总表!$E$3:$E$1025,0)))</f>
        <v>4</v>
      </c>
      <c r="J301" s="3">
        <f>IF(INDEX(学年度总表!$J$3:$J$1025,MATCH($E301,学年度总表!$E$3:$E$1025,0))="","",INDEX(学年度总表!$J$3:$J$1025,MATCH($E301,学年度总表!$E$3:$E$1025,0)))</f>
        <v>63.35</v>
      </c>
      <c r="K301" s="3">
        <f>IF(INDEX(学年度总表!$K$3:$K$1025,MATCH($E301,学年度总表!$E$3:$E$1025,0))="","",INDEX(学年度总表!$K$3:$K$1025,MATCH($E301,学年度总表!$E$3:$E$1025,0)))</f>
        <v>7.5</v>
      </c>
      <c r="L301" s="3">
        <f>IF(INDEX(学年度总表!$L$3:$L$1025,MATCH($E301,学年度总表!$E$3:$E$1025,0))="","",INDEX(学年度总表!$L$3:$L$1025,MATCH($E301,学年度总表!$E$3:$E$1025,0)))</f>
        <v>44.85</v>
      </c>
      <c r="M301" s="3">
        <f>IF(INDEX(学年度总表!$M$3:$M$1025,MATCH($E301,学年度总表!$E$3:$E$1025,0))="","",INDEX(学年度总表!$M$3:$M$1025,MATCH($E301,学年度总表!$E$3:$E$1025,0)))</f>
        <v>4</v>
      </c>
      <c r="N301" s="3">
        <f>IF(INDEX(学年度总表!$N$3:$N$1025,MATCH($E301,学年度总表!$E$3:$E$1025,0))="","",INDEX(学年度总表!$N$3:$N$1025,MATCH($E301,学年度总表!$E$3:$E$1025,0)))</f>
        <v>56.35</v>
      </c>
      <c r="O301" s="3">
        <f>IF(INDEX(学年度总表!$O$3:$O$1025,MATCH($E301,学年度总表!$E$3:$E$1025,0))="","",INDEX(学年度总表!$O$3:$O$1025,MATCH($E301,学年度总表!$E$3:$E$1025,0)))</f>
        <v>119.7</v>
      </c>
      <c r="P301" s="2" t="str">
        <f>IF(INDEX(学年度总表!$P$3:$P$1025,MATCH($E301,学年度总表!$E$3:$E$1025,0))="","",INDEX(学年度总表!$P$3:$P$1025,MATCH($E301,学年度总表!$E$3:$E$1025,0)))</f>
        <v/>
      </c>
      <c r="Q301" s="5" t="str">
        <f>IF(INDEX(学年度总表!$Q$3:$Q$1025,MATCH($E301,学年度总表!$E$3:$E$1025,0))="","",INDEX(学年度总表!$Q$3:$Q$1025,MATCH($E301,学年度总表!$E$3:$E$1025,0)))</f>
        <v/>
      </c>
    </row>
    <row r="302" spans="1:17">
      <c r="A302" s="2">
        <f>IF(INDEX(学年度总表!$A$3:$A$1025,MATCH($E302,学年度总表!$E$3:$E$1025,0))="","",INDEX(学年度总表!$A$3:$A$1025,MATCH($E302,学年度总表!$E$3:$E$1025,0)))</f>
        <v>865</v>
      </c>
      <c r="B302" s="2">
        <f>IF(INDEX(学年度总表!$B$3:$B$1025,MATCH($E302,学年度总表!$E$3:$E$1025,0))="","",INDEX(学年度总表!$B$3:$B$1025,MATCH($E302,学年度总表!$E$3:$E$1025,0)))</f>
        <v>300</v>
      </c>
      <c r="C302" s="2" t="str">
        <f>IF(INDEX(学年度总表!$C$3:$C$1025,MATCH($E302,学年度总表!$E$3:$E$1025,0))="","",INDEX(学年度总表!$C$3:$C$1025,MATCH($E302,学年度总表!$E$3:$E$1025,0)))</f>
        <v>软工</v>
      </c>
      <c r="D302" s="2" t="str">
        <f>IF(INDEX(学年度总表!$D$3:$D$1025,MATCH($E302,学年度总表!$E$3:$E$1025,0))="","",INDEX(学年度总表!$D$3:$D$1025,MATCH($E302,学年度总表!$E$3:$E$1025,0)))</f>
        <v>软工8班</v>
      </c>
      <c r="E302" s="2" t="s">
        <v>1791</v>
      </c>
      <c r="F302" s="2" t="str">
        <f>IF(INDEX(学年度总表!$F$3:$F$1025,MATCH($E302,学年度总表!$E$3:$E$1025,0))="","",INDEX(学年度总表!$F$3:$F$1025,MATCH($E302,学年度总表!$E$3:$E$1025,0)))</f>
        <v>胡宇轩</v>
      </c>
      <c r="G302" s="3">
        <f>IF(INDEX(学年度总表!$G$3:$G$1025,MATCH($E302,学年度总表!$E$3:$E$1025,0))="","",INDEX(学年度总表!$G$3:$G$1025,MATCH($E302,学年度总表!$E$3:$E$1025,0)))</f>
        <v>6.5</v>
      </c>
      <c r="H302" s="3">
        <f>IF(INDEX(学年度总表!$H$3:$H$1025,MATCH($E302,学年度总表!$E$3:$E$1025,0))="","",INDEX(学年度总表!$H$3:$H$1025,MATCH($E302,学年度总表!$E$3:$E$1025,0)))</f>
        <v>52.051020408163303</v>
      </c>
      <c r="I302" s="3">
        <f>IF(INDEX(学年度总表!$I$3:$I$1025,MATCH($E302,学年度总表!$E$3:$E$1025,0))="","",INDEX(学年度总表!$I$3:$I$1025,MATCH($E302,学年度总表!$E$3:$E$1025,0)))</f>
        <v>3</v>
      </c>
      <c r="J302" s="3">
        <f>IF(INDEX(学年度总表!$J$3:$J$1025,MATCH($E302,学年度总表!$E$3:$E$1025,0))="","",INDEX(学年度总表!$J$3:$J$1025,MATCH($E302,学年度总表!$E$3:$E$1025,0)))</f>
        <v>61.55</v>
      </c>
      <c r="K302" s="3">
        <f>IF(INDEX(学年度总表!$K$3:$K$1025,MATCH($E302,学年度总表!$E$3:$E$1025,0))="","",INDEX(学年度总表!$K$3:$K$1025,MATCH($E302,学年度总表!$E$3:$E$1025,0)))</f>
        <v>9.8000000000000007</v>
      </c>
      <c r="L302" s="3">
        <f>IF(INDEX(学年度总表!$L$3:$L$1025,MATCH($E302,学年度总表!$E$3:$E$1025,0))="","",INDEX(学年度总表!$L$3:$L$1025,MATCH($E302,学年度总表!$E$3:$E$1025,0)))</f>
        <v>44.58</v>
      </c>
      <c r="M302" s="3">
        <f>IF(INDEX(学年度总表!$M$3:$M$1025,MATCH($E302,学年度总表!$E$3:$E$1025,0))="","",INDEX(学年度总表!$M$3:$M$1025,MATCH($E302,学年度总表!$E$3:$E$1025,0)))</f>
        <v>3.5</v>
      </c>
      <c r="N302" s="3">
        <f>IF(INDEX(学年度总表!$N$3:$N$1025,MATCH($E302,学年度总表!$E$3:$E$1025,0))="","",INDEX(学年度总表!$N$3:$N$1025,MATCH($E302,学年度总表!$E$3:$E$1025,0)))</f>
        <v>57.88</v>
      </c>
      <c r="O302" s="3">
        <f>IF(INDEX(学年度总表!$O$3:$O$1025,MATCH($E302,学年度总表!$E$3:$E$1025,0))="","",INDEX(学年度总表!$O$3:$O$1025,MATCH($E302,学年度总表!$E$3:$E$1025,0)))</f>
        <v>119.43</v>
      </c>
      <c r="P302" s="2" t="str">
        <f>IF(INDEX(学年度总表!$P$3:$P$1025,MATCH($E302,学年度总表!$E$3:$E$1025,0))="","",INDEX(学年度总表!$P$3:$P$1025,MATCH($E302,学年度总表!$E$3:$E$1025,0)))</f>
        <v/>
      </c>
      <c r="Q302" s="5" t="str">
        <f>IF(INDEX(学年度总表!$Q$3:$Q$1025,MATCH($E302,学年度总表!$E$3:$E$1025,0))="","",INDEX(学年度总表!$Q$3:$Q$1025,MATCH($E302,学年度总表!$E$3:$E$1025,0)))</f>
        <v/>
      </c>
    </row>
    <row r="303" spans="1:17">
      <c r="A303" s="2">
        <f>IF(INDEX(学年度总表!$A$3:$A$1025,MATCH($E303,学年度总表!$E$3:$E$1025,0))="","",INDEX(学年度总表!$A$3:$A$1025,MATCH($E303,学年度总表!$E$3:$E$1025,0)))</f>
        <v>869</v>
      </c>
      <c r="B303" s="2">
        <f>IF(INDEX(学年度总表!$B$3:$B$1025,MATCH($E303,学年度总表!$E$3:$E$1025,0))="","",INDEX(学年度总表!$B$3:$B$1025,MATCH($E303,学年度总表!$E$3:$E$1025,0)))</f>
        <v>301</v>
      </c>
      <c r="C303" s="2" t="str">
        <f>IF(INDEX(学年度总表!$C$3:$C$1025,MATCH($E303,学年度总表!$E$3:$E$1025,0))="","",INDEX(学年度总表!$C$3:$C$1025,MATCH($E303,学年度总表!$E$3:$E$1025,0)))</f>
        <v>软工</v>
      </c>
      <c r="D303" s="2" t="str">
        <f>IF(INDEX(学年度总表!$D$3:$D$1025,MATCH($E303,学年度总表!$E$3:$E$1025,0))="","",INDEX(学年度总表!$D$3:$D$1025,MATCH($E303,学年度总表!$E$3:$E$1025,0)))</f>
        <v>软工8班</v>
      </c>
      <c r="E303" s="2" t="s">
        <v>1799</v>
      </c>
      <c r="F303" s="2" t="str">
        <f>IF(INDEX(学年度总表!$F$3:$F$1025,MATCH($E303,学年度总表!$E$3:$E$1025,0))="","",INDEX(学年度总表!$F$3:$F$1025,MATCH($E303,学年度总表!$E$3:$E$1025,0)))</f>
        <v>麻皓然</v>
      </c>
      <c r="G303" s="3">
        <f>IF(INDEX(学年度总表!$G$3:$G$1025,MATCH($E303,学年度总表!$E$3:$E$1025,0))="","",INDEX(学年度总表!$G$3:$G$1025,MATCH($E303,学年度总表!$E$3:$E$1025,0)))</f>
        <v>9.8000000000000007</v>
      </c>
      <c r="H303" s="3">
        <f>IF(INDEX(学年度总表!$H$3:$H$1025,MATCH($E303,学年度总表!$E$3:$E$1025,0))="","",INDEX(学年度总表!$H$3:$H$1025,MATCH($E303,学年度总表!$E$3:$E$1025,0)))</f>
        <v>48.595744680851098</v>
      </c>
      <c r="I303" s="3">
        <f>IF(INDEX(学年度总表!$I$3:$I$1025,MATCH($E303,学年度总表!$E$3:$E$1025,0))="","",INDEX(学年度总表!$I$3:$I$1025,MATCH($E303,学年度总表!$E$3:$E$1025,0)))</f>
        <v>3</v>
      </c>
      <c r="J303" s="3">
        <f>IF(INDEX(学年度总表!$J$3:$J$1025,MATCH($E303,学年度总表!$E$3:$E$1025,0))="","",INDEX(学年度总表!$J$3:$J$1025,MATCH($E303,学年度总表!$E$3:$E$1025,0)))</f>
        <v>61.4</v>
      </c>
      <c r="K303" s="3">
        <f>IF(INDEX(学年度总表!$K$3:$K$1025,MATCH($E303,学年度总表!$E$3:$E$1025,0))="","",INDEX(学年度总表!$K$3:$K$1025,MATCH($E303,学年度总表!$E$3:$E$1025,0)))</f>
        <v>9.8000000000000007</v>
      </c>
      <c r="L303" s="3">
        <f>IF(INDEX(学年度总表!$L$3:$L$1025,MATCH($E303,学年度总表!$E$3:$E$1025,0))="","",INDEX(学年度总表!$L$3:$L$1025,MATCH($E303,学年度总表!$E$3:$E$1025,0)))</f>
        <v>44.28</v>
      </c>
      <c r="M303" s="3">
        <f>IF(INDEX(学年度总表!$M$3:$M$1025,MATCH($E303,学年度总表!$E$3:$E$1025,0))="","",INDEX(学年度总表!$M$3:$M$1025,MATCH($E303,学年度总表!$E$3:$E$1025,0)))</f>
        <v>3.5</v>
      </c>
      <c r="N303" s="3">
        <f>IF(INDEX(学年度总表!$N$3:$N$1025,MATCH($E303,学年度总表!$E$3:$E$1025,0))="","",INDEX(学年度总表!$N$3:$N$1025,MATCH($E303,学年度总表!$E$3:$E$1025,0)))</f>
        <v>57.58</v>
      </c>
      <c r="O303" s="3">
        <f>IF(INDEX(学年度总表!$O$3:$O$1025,MATCH($E303,学年度总表!$E$3:$E$1025,0))="","",INDEX(学年度总表!$O$3:$O$1025,MATCH($E303,学年度总表!$E$3:$E$1025,0)))</f>
        <v>118.98</v>
      </c>
      <c r="P303" s="2" t="str">
        <f>IF(INDEX(学年度总表!$P$3:$P$1025,MATCH($E303,学年度总表!$E$3:$E$1025,0))="","",INDEX(学年度总表!$P$3:$P$1025,MATCH($E303,学年度总表!$E$3:$E$1025,0)))</f>
        <v/>
      </c>
      <c r="Q303" s="5" t="str">
        <f>IF(INDEX(学年度总表!$Q$3:$Q$1025,MATCH($E303,学年度总表!$E$3:$E$1025,0))="","",INDEX(学年度总表!$Q$3:$Q$1025,MATCH($E303,学年度总表!$E$3:$E$1025,0)))</f>
        <v/>
      </c>
    </row>
    <row r="304" spans="1:17">
      <c r="A304" s="2">
        <f>IF(INDEX(学年度总表!$A$3:$A$1025,MATCH($E304,学年度总表!$E$3:$E$1025,0))="","",INDEX(学年度总表!$A$3:$A$1025,MATCH($E304,学年度总表!$E$3:$E$1025,0)))</f>
        <v>873</v>
      </c>
      <c r="B304" s="2">
        <f>IF(INDEX(学年度总表!$B$3:$B$1025,MATCH($E304,学年度总表!$E$3:$E$1025,0))="","",INDEX(学年度总表!$B$3:$B$1025,MATCH($E304,学年度总表!$E$3:$E$1025,0)))</f>
        <v>302</v>
      </c>
      <c r="C304" s="2" t="str">
        <f>IF(INDEX(学年度总表!$C$3:$C$1025,MATCH($E304,学年度总表!$E$3:$E$1025,0))="","",INDEX(学年度总表!$C$3:$C$1025,MATCH($E304,学年度总表!$E$3:$E$1025,0)))</f>
        <v>软工</v>
      </c>
      <c r="D304" s="2" t="str">
        <f>IF(INDEX(学年度总表!$D$3:$D$1025,MATCH($E304,学年度总表!$E$3:$E$1025,0))="","",INDEX(学年度总表!$D$3:$D$1025,MATCH($E304,学年度总表!$E$3:$E$1025,0)))</f>
        <v>软工5班</v>
      </c>
      <c r="E304" s="2" t="s">
        <v>1807</v>
      </c>
      <c r="F304" s="2" t="str">
        <f>IF(INDEX(学年度总表!$F$3:$F$1025,MATCH($E304,学年度总表!$E$3:$E$1025,0))="","",INDEX(学年度总表!$F$3:$F$1025,MATCH($E304,学年度总表!$E$3:$E$1025,0)))</f>
        <v>刘钰莹</v>
      </c>
      <c r="G304" s="3">
        <f>IF(INDEX(学年度总表!$G$3:$G$1025,MATCH($E304,学年度总表!$E$3:$E$1025,0))="","",INDEX(学年度总表!$G$3:$G$1025,MATCH($E304,学年度总表!$E$3:$E$1025,0)))</f>
        <v>10</v>
      </c>
      <c r="H304" s="3">
        <f>IF(INDEX(学年度总表!$H$3:$H$1025,MATCH($E304,学年度总表!$E$3:$E$1025,0))="","",INDEX(学年度总表!$H$3:$H$1025,MATCH($E304,学年度总表!$E$3:$E$1025,0)))</f>
        <v>50.42</v>
      </c>
      <c r="I304" s="3">
        <f>IF(INDEX(学年度总表!$I$3:$I$1025,MATCH($E304,学年度总表!$E$3:$E$1025,0))="","",INDEX(学年度总表!$I$3:$I$1025,MATCH($E304,学年度总表!$E$3:$E$1025,0)))</f>
        <v>4.2</v>
      </c>
      <c r="J304" s="3">
        <f>IF(INDEX(学年度总表!$J$3:$J$1025,MATCH($E304,学年度总表!$E$3:$E$1025,0))="","",INDEX(学年度总表!$J$3:$J$1025,MATCH($E304,学年度总表!$E$3:$E$1025,0)))</f>
        <v>64.62</v>
      </c>
      <c r="K304" s="3">
        <f>IF(INDEX(学年度总表!$K$3:$K$1025,MATCH($E304,学年度总表!$E$3:$E$1025,0))="","",INDEX(学年度总表!$K$3:$K$1025,MATCH($E304,学年度总表!$E$3:$E$1025,0)))</f>
        <v>9.8000000000000007</v>
      </c>
      <c r="L304" s="3">
        <f>IF(INDEX(学年度总表!$L$3:$L$1025,MATCH($E304,学年度总表!$E$3:$E$1025,0))="","",INDEX(学年度总表!$L$3:$L$1025,MATCH($E304,学年度总表!$E$3:$E$1025,0)))</f>
        <v>40.619999999999997</v>
      </c>
      <c r="M304" s="3">
        <f>IF(INDEX(学年度总表!$M$3:$M$1025,MATCH($E304,学年度总表!$E$3:$E$1025,0))="","",INDEX(学年度总表!$M$3:$M$1025,MATCH($E304,学年度总表!$E$3:$E$1025,0)))</f>
        <v>3.5</v>
      </c>
      <c r="N304" s="3">
        <f>IF(INDEX(学年度总表!$N$3:$N$1025,MATCH($E304,学年度总表!$E$3:$E$1025,0))="","",INDEX(学年度总表!$N$3:$N$1025,MATCH($E304,学年度总表!$E$3:$E$1025,0)))</f>
        <v>53.92</v>
      </c>
      <c r="O304" s="3">
        <f>IF(INDEX(学年度总表!$O$3:$O$1025,MATCH($E304,学年度总表!$E$3:$E$1025,0))="","",INDEX(学年度总表!$O$3:$O$1025,MATCH($E304,学年度总表!$E$3:$E$1025,0)))</f>
        <v>118.54</v>
      </c>
      <c r="P304" s="2" t="str">
        <f>IF(INDEX(学年度总表!$P$3:$P$1025,MATCH($E304,学年度总表!$E$3:$E$1025,0))="","",INDEX(学年度总表!$P$3:$P$1025,MATCH($E304,学年度总表!$E$3:$E$1025,0)))</f>
        <v/>
      </c>
      <c r="Q304" s="5" t="str">
        <f>IF(INDEX(学年度总表!$Q$3:$Q$1025,MATCH($E304,学年度总表!$E$3:$E$1025,0))="","",INDEX(学年度总表!$Q$3:$Q$1025,MATCH($E304,学年度总表!$E$3:$E$1025,0)))</f>
        <v/>
      </c>
    </row>
    <row r="305" spans="1:17">
      <c r="A305" s="2">
        <f>IF(INDEX(学年度总表!$A$3:$A$1025,MATCH($E305,学年度总表!$E$3:$E$1025,0))="","",INDEX(学年度总表!$A$3:$A$1025,MATCH($E305,学年度总表!$E$3:$E$1025,0)))</f>
        <v>875</v>
      </c>
      <c r="B305" s="2">
        <f>IF(INDEX(学年度总表!$B$3:$B$1025,MATCH($E305,学年度总表!$E$3:$E$1025,0))="","",INDEX(学年度总表!$B$3:$B$1025,MATCH($E305,学年度总表!$E$3:$E$1025,0)))</f>
        <v>303</v>
      </c>
      <c r="C305" s="2" t="str">
        <f>IF(INDEX(学年度总表!$C$3:$C$1025,MATCH($E305,学年度总表!$E$3:$E$1025,0))="","",INDEX(学年度总表!$C$3:$C$1025,MATCH($E305,学年度总表!$E$3:$E$1025,0)))</f>
        <v>软工</v>
      </c>
      <c r="D305" s="2" t="str">
        <f>IF(INDEX(学年度总表!$D$3:$D$1025,MATCH($E305,学年度总表!$E$3:$E$1025,0))="","",INDEX(学年度总表!$D$3:$D$1025,MATCH($E305,学年度总表!$E$3:$E$1025,0)))</f>
        <v>软工7班</v>
      </c>
      <c r="E305" s="2" t="s">
        <v>1811</v>
      </c>
      <c r="F305" s="2" t="str">
        <f>IF(INDEX(学年度总表!$F$3:$F$1025,MATCH($E305,学年度总表!$E$3:$E$1025,0))="","",INDEX(学年度总表!$F$3:$F$1025,MATCH($E305,学年度总表!$E$3:$E$1025,0)))</f>
        <v>张佳慧</v>
      </c>
      <c r="G305" s="3">
        <f>IF(INDEX(学年度总表!$G$3:$G$1025,MATCH($E305,学年度总表!$E$3:$E$1025,0))="","",INDEX(学年度总表!$G$3:$G$1025,MATCH($E305,学年度总表!$E$3:$E$1025,0)))</f>
        <v>9.8000000000000007</v>
      </c>
      <c r="H305" s="3">
        <f>IF(INDEX(学年度总表!$H$3:$H$1025,MATCH($E305,学年度总表!$E$3:$E$1025,0))="","",INDEX(学年度总表!$H$3:$H$1025,MATCH($E305,学年度总表!$E$3:$E$1025,0)))</f>
        <v>51.64</v>
      </c>
      <c r="I305" s="3">
        <f>IF(INDEX(学年度总表!$I$3:$I$1025,MATCH($E305,学年度总表!$E$3:$E$1025,0))="","",INDEX(学年度总表!$I$3:$I$1025,MATCH($E305,学年度总表!$E$3:$E$1025,0)))</f>
        <v>4</v>
      </c>
      <c r="J305" s="3">
        <f>IF(INDEX(学年度总表!$J$3:$J$1025,MATCH($E305,学年度总表!$E$3:$E$1025,0))="","",INDEX(学年度总表!$J$3:$J$1025,MATCH($E305,学年度总表!$E$3:$E$1025,0)))</f>
        <v>65.44</v>
      </c>
      <c r="K305" s="3">
        <f>IF(INDEX(学年度总表!$K$3:$K$1025,MATCH($E305,学年度总表!$E$3:$E$1025,0))="","",INDEX(学年度总表!$K$3:$K$1025,MATCH($E305,学年度总表!$E$3:$E$1025,0)))</f>
        <v>9.8000000000000007</v>
      </c>
      <c r="L305" s="3">
        <f>IF(INDEX(学年度总表!$L$3:$L$1025,MATCH($E305,学年度总表!$E$3:$E$1025,0))="","",INDEX(学年度总表!$L$3:$L$1025,MATCH($E305,学年度总表!$E$3:$E$1025,0)))</f>
        <v>38.86</v>
      </c>
      <c r="M305" s="3">
        <f>IF(INDEX(学年度总表!$M$3:$M$1025,MATCH($E305,学年度总表!$E$3:$E$1025,0))="","",INDEX(学年度总表!$M$3:$M$1025,MATCH($E305,学年度总表!$E$3:$E$1025,0)))</f>
        <v>3.9</v>
      </c>
      <c r="N305" s="3">
        <f>IF(INDEX(学年度总表!$N$3:$N$1025,MATCH($E305,学年度总表!$E$3:$E$1025,0))="","",INDEX(学年度总表!$N$3:$N$1025,MATCH($E305,学年度总表!$E$3:$E$1025,0)))</f>
        <v>52.56</v>
      </c>
      <c r="O305" s="3">
        <f>IF(INDEX(学年度总表!$O$3:$O$1025,MATCH($E305,学年度总表!$E$3:$E$1025,0))="","",INDEX(学年度总表!$O$3:$O$1025,MATCH($E305,学年度总表!$E$3:$E$1025,0)))</f>
        <v>118</v>
      </c>
      <c r="P305" s="2" t="str">
        <f>IF(INDEX(学年度总表!$P$3:$P$1025,MATCH($E305,学年度总表!$E$3:$E$1025,0))="","",INDEX(学年度总表!$P$3:$P$1025,MATCH($E305,学年度总表!$E$3:$E$1025,0)))</f>
        <v/>
      </c>
      <c r="Q305" s="5" t="str">
        <f>IF(INDEX(学年度总表!$Q$3:$Q$1025,MATCH($E305,学年度总表!$E$3:$E$1025,0))="","",INDEX(学年度总表!$Q$3:$Q$1025,MATCH($E305,学年度总表!$E$3:$E$1025,0)))</f>
        <v/>
      </c>
    </row>
    <row r="306" spans="1:17">
      <c r="A306" s="2">
        <f>IF(INDEX(学年度总表!$A$3:$A$1025,MATCH($E306,学年度总表!$E$3:$E$1025,0))="","",INDEX(学年度总表!$A$3:$A$1025,MATCH($E306,学年度总表!$E$3:$E$1025,0)))</f>
        <v>877</v>
      </c>
      <c r="B306" s="2">
        <f>IF(INDEX(学年度总表!$B$3:$B$1025,MATCH($E306,学年度总表!$E$3:$E$1025,0))="","",INDEX(学年度总表!$B$3:$B$1025,MATCH($E306,学年度总表!$E$3:$E$1025,0)))</f>
        <v>304</v>
      </c>
      <c r="C306" s="2" t="str">
        <f>IF(INDEX(学年度总表!$C$3:$C$1025,MATCH($E306,学年度总表!$E$3:$E$1025,0))="","",INDEX(学年度总表!$C$3:$C$1025,MATCH($E306,学年度总表!$E$3:$E$1025,0)))</f>
        <v>软工</v>
      </c>
      <c r="D306" s="2" t="str">
        <f>IF(INDEX(学年度总表!$D$3:$D$1025,MATCH($E306,学年度总表!$E$3:$E$1025,0))="","",INDEX(学年度总表!$D$3:$D$1025,MATCH($E306,学年度总表!$E$3:$E$1025,0)))</f>
        <v>软工10班</v>
      </c>
      <c r="E306" s="2" t="s">
        <v>1815</v>
      </c>
      <c r="F306" s="2" t="str">
        <f>IF(INDEX(学年度总表!$F$3:$F$1025,MATCH($E306,学年度总表!$E$3:$E$1025,0))="","",INDEX(学年度总表!$F$3:$F$1025,MATCH($E306,学年度总表!$E$3:$E$1025,0)))</f>
        <v>于廷彬</v>
      </c>
      <c r="G306" s="3">
        <f>IF(INDEX(学年度总表!$G$3:$G$1025,MATCH($E306,学年度总表!$E$3:$E$1025,0))="","",INDEX(学年度总表!$G$3:$G$1025,MATCH($E306,学年度总表!$E$3:$E$1025,0)))</f>
        <v>9.8000000000000007</v>
      </c>
      <c r="H306" s="3">
        <f>IF(INDEX(学年度总表!$H$3:$H$1025,MATCH($E306,学年度总表!$E$3:$E$1025,0))="","",INDEX(学年度总表!$H$3:$H$1025,MATCH($E306,学年度总表!$E$3:$E$1025,0)))</f>
        <v>50</v>
      </c>
      <c r="I306" s="3">
        <f>IF(INDEX(学年度总表!$I$3:$I$1025,MATCH($E306,学年度总表!$E$3:$E$1025,0))="","",INDEX(学年度总表!$I$3:$I$1025,MATCH($E306,学年度总表!$E$3:$E$1025,0)))</f>
        <v>3.8</v>
      </c>
      <c r="J306" s="3">
        <f>IF(INDEX(学年度总表!$J$3:$J$1025,MATCH($E306,学年度总表!$E$3:$E$1025,0))="","",INDEX(学年度总表!$J$3:$J$1025,MATCH($E306,学年度总表!$E$3:$E$1025,0)))</f>
        <v>63.6</v>
      </c>
      <c r="K306" s="3">
        <f>IF(INDEX(学年度总表!$K$3:$K$1025,MATCH($E306,学年度总表!$E$3:$E$1025,0))="","",INDEX(学年度总表!$K$3:$K$1025,MATCH($E306,学年度总表!$E$3:$E$1025,0)))</f>
        <v>9.8000000000000007</v>
      </c>
      <c r="L306" s="3">
        <f>IF(INDEX(学年度总表!$L$3:$L$1025,MATCH($E306,学年度总表!$E$3:$E$1025,0))="","",INDEX(学年度总表!$L$3:$L$1025,MATCH($E306,学年度总表!$E$3:$E$1025,0)))</f>
        <v>41.49</v>
      </c>
      <c r="M306" s="3">
        <f>IF(INDEX(学年度总表!$M$3:$M$1025,MATCH($E306,学年度总表!$E$3:$E$1025,0))="","",INDEX(学年度总表!$M$3:$M$1025,MATCH($E306,学年度总表!$E$3:$E$1025,0)))</f>
        <v>3</v>
      </c>
      <c r="N306" s="3">
        <f>IF(INDEX(学年度总表!$N$3:$N$1025,MATCH($E306,学年度总表!$E$3:$E$1025,0))="","",INDEX(学年度总表!$N$3:$N$1025,MATCH($E306,学年度总表!$E$3:$E$1025,0)))</f>
        <v>54.29</v>
      </c>
      <c r="O306" s="3">
        <f>IF(INDEX(学年度总表!$O$3:$O$1025,MATCH($E306,学年度总表!$E$3:$E$1025,0))="","",INDEX(学年度总表!$O$3:$O$1025,MATCH($E306,学年度总表!$E$3:$E$1025,0)))</f>
        <v>117.89</v>
      </c>
      <c r="P306" s="2" t="str">
        <f>IF(INDEX(学年度总表!$P$3:$P$1025,MATCH($E306,学年度总表!$E$3:$E$1025,0))="","",INDEX(学年度总表!$P$3:$P$1025,MATCH($E306,学年度总表!$E$3:$E$1025,0)))</f>
        <v/>
      </c>
      <c r="Q306" s="5" t="str">
        <f>IF(INDEX(学年度总表!$Q$3:$Q$1025,MATCH($E306,学年度总表!$E$3:$E$1025,0))="","",INDEX(学年度总表!$Q$3:$Q$1025,MATCH($E306,学年度总表!$E$3:$E$1025,0)))</f>
        <v/>
      </c>
    </row>
    <row r="307" spans="1:17">
      <c r="A307" s="2">
        <f>IF(INDEX(学年度总表!$A$3:$A$1025,MATCH($E307,学年度总表!$E$3:$E$1025,0))="","",INDEX(学年度总表!$A$3:$A$1025,MATCH($E307,学年度总表!$E$3:$E$1025,0)))</f>
        <v>882</v>
      </c>
      <c r="B307" s="2">
        <f>IF(INDEX(学年度总表!$B$3:$B$1025,MATCH($E307,学年度总表!$E$3:$E$1025,0))="","",INDEX(学年度总表!$B$3:$B$1025,MATCH($E307,学年度总表!$E$3:$E$1025,0)))</f>
        <v>305</v>
      </c>
      <c r="C307" s="2" t="str">
        <f>IF(INDEX(学年度总表!$C$3:$C$1025,MATCH($E307,学年度总表!$E$3:$E$1025,0))="","",INDEX(学年度总表!$C$3:$C$1025,MATCH($E307,学年度总表!$E$3:$E$1025,0)))</f>
        <v>软工</v>
      </c>
      <c r="D307" s="2" t="str">
        <f>IF(INDEX(学年度总表!$D$3:$D$1025,MATCH($E307,学年度总表!$E$3:$E$1025,0))="","",INDEX(学年度总表!$D$3:$D$1025,MATCH($E307,学年度总表!$E$3:$E$1025,0)))</f>
        <v>软工10班</v>
      </c>
      <c r="E307" s="2" t="s">
        <v>1825</v>
      </c>
      <c r="F307" s="2" t="str">
        <f>IF(INDEX(学年度总表!$F$3:$F$1025,MATCH($E307,学年度总表!$E$3:$E$1025,0))="","",INDEX(学年度总表!$F$3:$F$1025,MATCH($E307,学年度总表!$E$3:$E$1025,0)))</f>
        <v>潘霁原</v>
      </c>
      <c r="G307" s="3">
        <f>IF(INDEX(学年度总表!$G$3:$G$1025,MATCH($E307,学年度总表!$E$3:$E$1025,0))="","",INDEX(学年度总表!$G$3:$G$1025,MATCH($E307,学年度总表!$E$3:$E$1025,0)))</f>
        <v>9.8000000000000007</v>
      </c>
      <c r="H307" s="3">
        <f>IF(INDEX(学年度总表!$H$3:$H$1025,MATCH($E307,学年度总表!$E$3:$E$1025,0))="","",INDEX(学年度总表!$H$3:$H$1025,MATCH($E307,学年度总表!$E$3:$E$1025,0)))</f>
        <v>56.85</v>
      </c>
      <c r="I307" s="3">
        <f>IF(INDEX(学年度总表!$I$3:$I$1025,MATCH($E307,学年度总表!$E$3:$E$1025,0))="","",INDEX(学年度总表!$I$3:$I$1025,MATCH($E307,学年度总表!$E$3:$E$1025,0)))</f>
        <v>3</v>
      </c>
      <c r="J307" s="3">
        <f>IF(INDEX(学年度总表!$J$3:$J$1025,MATCH($E307,学年度总表!$E$3:$E$1025,0))="","",INDEX(学年度总表!$J$3:$J$1025,MATCH($E307,学年度总表!$E$3:$E$1025,0)))</f>
        <v>69.650000000000006</v>
      </c>
      <c r="K307" s="3">
        <f>IF(INDEX(学年度总表!$K$3:$K$1025,MATCH($E307,学年度总表!$E$3:$E$1025,0))="","",INDEX(学年度总表!$K$3:$K$1025,MATCH($E307,学年度总表!$E$3:$E$1025,0)))</f>
        <v>9.8000000000000007</v>
      </c>
      <c r="L307" s="3">
        <f>IF(INDEX(学年度总表!$L$3:$L$1025,MATCH($E307,学年度总表!$E$3:$E$1025,0))="","",INDEX(学年度总表!$L$3:$L$1025,MATCH($E307,学年度总表!$E$3:$E$1025,0)))</f>
        <v>34.57</v>
      </c>
      <c r="M307" s="3">
        <f>IF(INDEX(学年度总表!$M$3:$M$1025,MATCH($E307,学年度总表!$E$3:$E$1025,0))="","",INDEX(学年度总表!$M$3:$M$1025,MATCH($E307,学年度总表!$E$3:$E$1025,0)))</f>
        <v>3</v>
      </c>
      <c r="N307" s="3">
        <f>IF(INDEX(学年度总表!$N$3:$N$1025,MATCH($E307,学年度总表!$E$3:$E$1025,0))="","",INDEX(学年度总表!$N$3:$N$1025,MATCH($E307,学年度总表!$E$3:$E$1025,0)))</f>
        <v>47.37</v>
      </c>
      <c r="O307" s="3">
        <f>IF(INDEX(学年度总表!$O$3:$O$1025,MATCH($E307,学年度总表!$E$3:$E$1025,0))="","",INDEX(学年度总表!$O$3:$O$1025,MATCH($E307,学年度总表!$E$3:$E$1025,0)))</f>
        <v>117.02</v>
      </c>
      <c r="P307" s="2" t="str">
        <f>IF(INDEX(学年度总表!$P$3:$P$1025,MATCH($E307,学年度总表!$E$3:$E$1025,0))="","",INDEX(学年度总表!$P$3:$P$1025,MATCH($E307,学年度总表!$E$3:$E$1025,0)))</f>
        <v/>
      </c>
      <c r="Q307" s="5" t="str">
        <f>IF(INDEX(学年度总表!$Q$3:$Q$1025,MATCH($E307,学年度总表!$E$3:$E$1025,0))="","",INDEX(学年度总表!$Q$3:$Q$1025,MATCH($E307,学年度总表!$E$3:$E$1025,0)))</f>
        <v/>
      </c>
    </row>
    <row r="308" spans="1:17">
      <c r="A308" s="2">
        <f>IF(INDEX(学年度总表!$A$3:$A$1025,MATCH($E308,学年度总表!$E$3:$E$1025,0))="","",INDEX(学年度总表!$A$3:$A$1025,MATCH($E308,学年度总表!$E$3:$E$1025,0)))</f>
        <v>886</v>
      </c>
      <c r="B308" s="2">
        <f>IF(INDEX(学年度总表!$B$3:$B$1025,MATCH($E308,学年度总表!$E$3:$E$1025,0))="","",INDEX(学年度总表!$B$3:$B$1025,MATCH($E308,学年度总表!$E$3:$E$1025,0)))</f>
        <v>306</v>
      </c>
      <c r="C308" s="2" t="str">
        <f>IF(INDEX(学年度总表!$C$3:$C$1025,MATCH($E308,学年度总表!$E$3:$E$1025,0))="","",INDEX(学年度总表!$C$3:$C$1025,MATCH($E308,学年度总表!$E$3:$E$1025,0)))</f>
        <v>软工</v>
      </c>
      <c r="D308" s="2" t="str">
        <f>IF(INDEX(学年度总表!$D$3:$D$1025,MATCH($E308,学年度总表!$E$3:$E$1025,0))="","",INDEX(学年度总表!$D$3:$D$1025,MATCH($E308,学年度总表!$E$3:$E$1025,0)))</f>
        <v>软工7班</v>
      </c>
      <c r="E308" s="2" t="s">
        <v>1833</v>
      </c>
      <c r="F308" s="2" t="str">
        <f>IF(INDEX(学年度总表!$F$3:$F$1025,MATCH($E308,学年度总表!$E$3:$E$1025,0))="","",INDEX(学年度总表!$F$3:$F$1025,MATCH($E308,学年度总表!$E$3:$E$1025,0)))</f>
        <v>王雨轩</v>
      </c>
      <c r="G308" s="3">
        <f>IF(INDEX(学年度总表!$G$3:$G$1025,MATCH($E308,学年度总表!$E$3:$E$1025,0))="","",INDEX(学年度总表!$G$3:$G$1025,MATCH($E308,学年度总表!$E$3:$E$1025,0)))</f>
        <v>9.4</v>
      </c>
      <c r="H308" s="3">
        <f>IF(INDEX(学年度总表!$H$3:$H$1025,MATCH($E308,学年度总表!$E$3:$E$1025,0))="","",INDEX(学年度总表!$H$3:$H$1025,MATCH($E308,学年度总表!$E$3:$E$1025,0)))</f>
        <v>50.2</v>
      </c>
      <c r="I308" s="3">
        <f>IF(INDEX(学年度总表!$I$3:$I$1025,MATCH($E308,学年度总表!$E$3:$E$1025,0))="","",INDEX(学年度总表!$I$3:$I$1025,MATCH($E308,学年度总表!$E$3:$E$1025,0)))</f>
        <v>3</v>
      </c>
      <c r="J308" s="3">
        <f>IF(INDEX(学年度总表!$J$3:$J$1025,MATCH($E308,学年度总表!$E$3:$E$1025,0))="","",INDEX(学年度总表!$J$3:$J$1025,MATCH($E308,学年度总表!$E$3:$E$1025,0)))</f>
        <v>62.6</v>
      </c>
      <c r="K308" s="3">
        <f>IF(INDEX(学年度总表!$K$3:$K$1025,MATCH($E308,学年度总表!$E$3:$E$1025,0))="","",INDEX(学年度总表!$K$3:$K$1025,MATCH($E308,学年度总表!$E$3:$E$1025,0)))</f>
        <v>7.3000000000000007</v>
      </c>
      <c r="L308" s="3">
        <f>IF(INDEX(学年度总表!$L$3:$L$1025,MATCH($E308,学年度总表!$E$3:$E$1025,0))="","",INDEX(学年度总表!$L$3:$L$1025,MATCH($E308,学年度总表!$E$3:$E$1025,0)))</f>
        <v>43.49</v>
      </c>
      <c r="M308" s="3">
        <f>IF(INDEX(学年度总表!$M$3:$M$1025,MATCH($E308,学年度总表!$E$3:$E$1025,0))="","",INDEX(学年度总表!$M$3:$M$1025,MATCH($E308,学年度总表!$E$3:$E$1025,0)))</f>
        <v>3</v>
      </c>
      <c r="N308" s="3">
        <f>IF(INDEX(学年度总表!$N$3:$N$1025,MATCH($E308,学年度总表!$E$3:$E$1025,0))="","",INDEX(学年度总表!$N$3:$N$1025,MATCH($E308,学年度总表!$E$3:$E$1025,0)))</f>
        <v>53.79</v>
      </c>
      <c r="O308" s="3">
        <f>IF(INDEX(学年度总表!$O$3:$O$1025,MATCH($E308,学年度总表!$E$3:$E$1025,0))="","",INDEX(学年度总表!$O$3:$O$1025,MATCH($E308,学年度总表!$E$3:$E$1025,0)))</f>
        <v>116.39</v>
      </c>
      <c r="P308" s="2" t="str">
        <f>IF(INDEX(学年度总表!$P$3:$P$1025,MATCH($E308,学年度总表!$E$3:$E$1025,0))="","",INDEX(学年度总表!$P$3:$P$1025,MATCH($E308,学年度总表!$E$3:$E$1025,0)))</f>
        <v/>
      </c>
      <c r="Q308" s="5" t="str">
        <f>IF(INDEX(学年度总表!$Q$3:$Q$1025,MATCH($E308,学年度总表!$E$3:$E$1025,0))="","",INDEX(学年度总表!$Q$3:$Q$1025,MATCH($E308,学年度总表!$E$3:$E$1025,0)))</f>
        <v/>
      </c>
    </row>
    <row r="309" spans="1:17">
      <c r="A309" s="2">
        <f>IF(INDEX(学年度总表!$A$3:$A$1025,MATCH($E309,学年度总表!$E$3:$E$1025,0))="","",INDEX(学年度总表!$A$3:$A$1025,MATCH($E309,学年度总表!$E$3:$E$1025,0)))</f>
        <v>887</v>
      </c>
      <c r="B309" s="2">
        <f>IF(INDEX(学年度总表!$B$3:$B$1025,MATCH($E309,学年度总表!$E$3:$E$1025,0))="","",INDEX(学年度总表!$B$3:$B$1025,MATCH($E309,学年度总表!$E$3:$E$1025,0)))</f>
        <v>307</v>
      </c>
      <c r="C309" s="2" t="str">
        <f>IF(INDEX(学年度总表!$C$3:$C$1025,MATCH($E309,学年度总表!$E$3:$E$1025,0))="","",INDEX(学年度总表!$C$3:$C$1025,MATCH($E309,学年度总表!$E$3:$E$1025,0)))</f>
        <v>软工</v>
      </c>
      <c r="D309" s="2" t="str">
        <f>IF(INDEX(学年度总表!$D$3:$D$1025,MATCH($E309,学年度总表!$E$3:$E$1025,0))="","",INDEX(学年度总表!$D$3:$D$1025,MATCH($E309,学年度总表!$E$3:$E$1025,0)))</f>
        <v>软工11班</v>
      </c>
      <c r="E309" s="2" t="s">
        <v>1835</v>
      </c>
      <c r="F309" s="2" t="str">
        <f>IF(INDEX(学年度总表!$F$3:$F$1025,MATCH($E309,学年度总表!$E$3:$E$1025,0))="","",INDEX(学年度总表!$F$3:$F$1025,MATCH($E309,学年度总表!$E$3:$E$1025,0)))</f>
        <v>陈昊阳</v>
      </c>
      <c r="G309" s="3">
        <f>IF(INDEX(学年度总表!$G$3:$G$1025,MATCH($E309,学年度总表!$E$3:$E$1025,0))="","",INDEX(学年度总表!$G$3:$G$1025,MATCH($E309,学年度总表!$E$3:$E$1025,0)))</f>
        <v>9.4</v>
      </c>
      <c r="H309" s="3">
        <f>IF(INDEX(学年度总表!$H$3:$H$1025,MATCH($E309,学年度总表!$E$3:$E$1025,0))="","",INDEX(学年度总表!$H$3:$H$1025,MATCH($E309,学年度总表!$E$3:$E$1025,0)))</f>
        <v>52.27</v>
      </c>
      <c r="I309" s="3">
        <f>IF(INDEX(学年度总表!$I$3:$I$1025,MATCH($E309,学年度总表!$E$3:$E$1025,0))="","",INDEX(学年度总表!$I$3:$I$1025,MATCH($E309,学年度总表!$E$3:$E$1025,0)))</f>
        <v>3</v>
      </c>
      <c r="J309" s="3">
        <f>IF(INDEX(学年度总表!$J$3:$J$1025,MATCH($E309,学年度总表!$E$3:$E$1025,0))="","",INDEX(学年度总表!$J$3:$J$1025,MATCH($E309,学年度总表!$E$3:$E$1025,0)))</f>
        <v>64.67</v>
      </c>
      <c r="K309" s="3">
        <f>IF(INDEX(学年度总表!$K$3:$K$1025,MATCH($E309,学年度总表!$E$3:$E$1025,0))="","",INDEX(学年度总表!$K$3:$K$1025,MATCH($E309,学年度总表!$E$3:$E$1025,0)))</f>
        <v>9.8000000000000007</v>
      </c>
      <c r="L309" s="3">
        <f>IF(INDEX(学年度总表!$L$3:$L$1025,MATCH($E309,学年度总表!$E$3:$E$1025,0))="","",INDEX(学年度总表!$L$3:$L$1025,MATCH($E309,学年度总表!$E$3:$E$1025,0)))</f>
        <v>38.909999999999997</v>
      </c>
      <c r="M309" s="3">
        <f>IF(INDEX(学年度总表!$M$3:$M$1025,MATCH($E309,学年度总表!$E$3:$E$1025,0))="","",INDEX(学年度总表!$M$3:$M$1025,MATCH($E309,学年度总表!$E$3:$E$1025,0)))</f>
        <v>3</v>
      </c>
      <c r="N309" s="3">
        <f>IF(INDEX(学年度总表!$N$3:$N$1025,MATCH($E309,学年度总表!$E$3:$E$1025,0))="","",INDEX(学年度总表!$N$3:$N$1025,MATCH($E309,学年度总表!$E$3:$E$1025,0)))</f>
        <v>51.71</v>
      </c>
      <c r="O309" s="3">
        <f>IF(INDEX(学年度总表!$O$3:$O$1025,MATCH($E309,学年度总表!$E$3:$E$1025,0))="","",INDEX(学年度总表!$O$3:$O$1025,MATCH($E309,学年度总表!$E$3:$E$1025,0)))</f>
        <v>116.38</v>
      </c>
      <c r="P309" s="2" t="str">
        <f>IF(INDEX(学年度总表!$P$3:$P$1025,MATCH($E309,学年度总表!$E$3:$E$1025,0))="","",INDEX(学年度总表!$P$3:$P$1025,MATCH($E309,学年度总表!$E$3:$E$1025,0)))</f>
        <v/>
      </c>
      <c r="Q309" s="5" t="str">
        <f>IF(INDEX(学年度总表!$Q$3:$Q$1025,MATCH($E309,学年度总表!$E$3:$E$1025,0))="","",INDEX(学年度总表!$Q$3:$Q$1025,MATCH($E309,学年度总表!$E$3:$E$1025,0)))</f>
        <v/>
      </c>
    </row>
    <row r="310" spans="1:17">
      <c r="A310" s="2">
        <f>IF(INDEX(学年度总表!$A$3:$A$1025,MATCH($E310,学年度总表!$E$3:$E$1025,0))="","",INDEX(学年度总表!$A$3:$A$1025,MATCH($E310,学年度总表!$E$3:$E$1025,0)))</f>
        <v>888</v>
      </c>
      <c r="B310" s="2">
        <f>IF(INDEX(学年度总表!$B$3:$B$1025,MATCH($E310,学年度总表!$E$3:$E$1025,0))="","",INDEX(学年度总表!$B$3:$B$1025,MATCH($E310,学年度总表!$E$3:$E$1025,0)))</f>
        <v>308</v>
      </c>
      <c r="C310" s="2" t="str">
        <f>IF(INDEX(学年度总表!$C$3:$C$1025,MATCH($E310,学年度总表!$E$3:$E$1025,0))="","",INDEX(学年度总表!$C$3:$C$1025,MATCH($E310,学年度总表!$E$3:$E$1025,0)))</f>
        <v>软工</v>
      </c>
      <c r="D310" s="2" t="str">
        <f>IF(INDEX(学年度总表!$D$3:$D$1025,MATCH($E310,学年度总表!$E$3:$E$1025,0))="","",INDEX(学年度总表!$D$3:$D$1025,MATCH($E310,学年度总表!$E$3:$E$1025,0)))</f>
        <v>软工6班</v>
      </c>
      <c r="E310" s="2" t="s">
        <v>1837</v>
      </c>
      <c r="F310" s="2" t="str">
        <f>IF(INDEX(学年度总表!$F$3:$F$1025,MATCH($E310,学年度总表!$E$3:$E$1025,0))="","",INDEX(学年度总表!$F$3:$F$1025,MATCH($E310,学年度总表!$E$3:$E$1025,0)))</f>
        <v>李睿泽</v>
      </c>
      <c r="G310" s="3">
        <f>IF(INDEX(学年度总表!$G$3:$G$1025,MATCH($E310,学年度总表!$E$3:$E$1025,0))="","",INDEX(学年度总表!$G$3:$G$1025,MATCH($E310,学年度总表!$E$3:$E$1025,0)))</f>
        <v>9.8000000000000007</v>
      </c>
      <c r="H310" s="3">
        <f>IF(INDEX(学年度总表!$H$3:$H$1025,MATCH($E310,学年度总表!$E$3:$E$1025,0))="","",INDEX(学年度总表!$H$3:$H$1025,MATCH($E310,学年度总表!$E$3:$E$1025,0)))</f>
        <v>46.033333333333303</v>
      </c>
      <c r="I310" s="3">
        <f>IF(INDEX(学年度总表!$I$3:$I$1025,MATCH($E310,学年度总表!$E$3:$E$1025,0))="","",INDEX(学年度总表!$I$3:$I$1025,MATCH($E310,学年度总表!$E$3:$E$1025,0)))</f>
        <v>3</v>
      </c>
      <c r="J310" s="3">
        <f>IF(INDEX(学年度总表!$J$3:$J$1025,MATCH($E310,学年度总表!$E$3:$E$1025,0))="","",INDEX(学年度总表!$J$3:$J$1025,MATCH($E310,学年度总表!$E$3:$E$1025,0)))</f>
        <v>58.83</v>
      </c>
      <c r="K310" s="3">
        <f>IF(INDEX(学年度总表!$K$3:$K$1025,MATCH($E310,学年度总表!$E$3:$E$1025,0))="","",INDEX(学年度总表!$K$3:$K$1025,MATCH($E310,学年度总表!$E$3:$E$1025,0)))</f>
        <v>9.4</v>
      </c>
      <c r="L310" s="3">
        <f>IF(INDEX(学年度总表!$L$3:$L$1025,MATCH($E310,学年度总表!$E$3:$E$1025,0))="","",INDEX(学年度总表!$L$3:$L$1025,MATCH($E310,学年度总表!$E$3:$E$1025,0)))</f>
        <v>45.13</v>
      </c>
      <c r="M310" s="3">
        <f>IF(INDEX(学年度总表!$M$3:$M$1025,MATCH($E310,学年度总表!$E$3:$E$1025,0))="","",INDEX(学年度总表!$M$3:$M$1025,MATCH($E310,学年度总表!$E$3:$E$1025,0)))</f>
        <v>3</v>
      </c>
      <c r="N310" s="3">
        <f>IF(INDEX(学年度总表!$N$3:$N$1025,MATCH($E310,学年度总表!$E$3:$E$1025,0))="","",INDEX(学年度总表!$N$3:$N$1025,MATCH($E310,学年度总表!$E$3:$E$1025,0)))</f>
        <v>57.53</v>
      </c>
      <c r="O310" s="3">
        <f>IF(INDEX(学年度总表!$O$3:$O$1025,MATCH($E310,学年度总表!$E$3:$E$1025,0))="","",INDEX(学年度总表!$O$3:$O$1025,MATCH($E310,学年度总表!$E$3:$E$1025,0)))</f>
        <v>116.36</v>
      </c>
      <c r="P310" s="2" t="str">
        <f>IF(INDEX(学年度总表!$P$3:$P$1025,MATCH($E310,学年度总表!$E$3:$E$1025,0))="","",INDEX(学年度总表!$P$3:$P$1025,MATCH($E310,学年度总表!$E$3:$E$1025,0)))</f>
        <v/>
      </c>
      <c r="Q310" s="5" t="str">
        <f>IF(INDEX(学年度总表!$Q$3:$Q$1025,MATCH($E310,学年度总表!$E$3:$E$1025,0))="","",INDEX(学年度总表!$Q$3:$Q$1025,MATCH($E310,学年度总表!$E$3:$E$1025,0)))</f>
        <v/>
      </c>
    </row>
    <row r="311" spans="1:17">
      <c r="A311" s="2">
        <f>IF(INDEX(学年度总表!$A$3:$A$1025,MATCH($E311,学年度总表!$E$3:$E$1025,0))="","",INDEX(学年度总表!$A$3:$A$1025,MATCH($E311,学年度总表!$E$3:$E$1025,0)))</f>
        <v>889</v>
      </c>
      <c r="B311" s="2">
        <f>IF(INDEX(学年度总表!$B$3:$B$1025,MATCH($E311,学年度总表!$E$3:$E$1025,0))="","",INDEX(学年度总表!$B$3:$B$1025,MATCH($E311,学年度总表!$E$3:$E$1025,0)))</f>
        <v>309</v>
      </c>
      <c r="C311" s="2" t="str">
        <f>IF(INDEX(学年度总表!$C$3:$C$1025,MATCH($E311,学年度总表!$E$3:$E$1025,0))="","",INDEX(学年度总表!$C$3:$C$1025,MATCH($E311,学年度总表!$E$3:$E$1025,0)))</f>
        <v>软工</v>
      </c>
      <c r="D311" s="2" t="str">
        <f>IF(INDEX(学年度总表!$D$3:$D$1025,MATCH($E311,学年度总表!$E$3:$E$1025,0))="","",INDEX(学年度总表!$D$3:$D$1025,MATCH($E311,学年度总表!$E$3:$E$1025,0)))</f>
        <v>软工5班</v>
      </c>
      <c r="E311" s="2" t="s">
        <v>1839</v>
      </c>
      <c r="F311" s="2" t="str">
        <f>IF(INDEX(学年度总表!$F$3:$F$1025,MATCH($E311,学年度总表!$E$3:$E$1025,0))="","",INDEX(学年度总表!$F$3:$F$1025,MATCH($E311,学年度总表!$E$3:$E$1025,0)))</f>
        <v>牟家烨</v>
      </c>
      <c r="G311" s="3">
        <f>IF(INDEX(学年度总表!$G$3:$G$1025,MATCH($E311,学年度总表!$E$3:$E$1025,0))="","",INDEX(学年度总表!$G$3:$G$1025,MATCH($E311,学年度总表!$E$3:$E$1025,0)))</f>
        <v>7.3</v>
      </c>
      <c r="H311" s="3">
        <f>IF(INDEX(学年度总表!$H$3:$H$1025,MATCH($E311,学年度总表!$E$3:$E$1025,0))="","",INDEX(学年度总表!$H$3:$H$1025,MATCH($E311,学年度总表!$E$3:$E$1025,0)))</f>
        <v>47.18</v>
      </c>
      <c r="I311" s="3">
        <f>IF(INDEX(学年度总表!$I$3:$I$1025,MATCH($E311,学年度总表!$E$3:$E$1025,0))="","",INDEX(学年度总表!$I$3:$I$1025,MATCH($E311,学年度总表!$E$3:$E$1025,0)))</f>
        <v>3</v>
      </c>
      <c r="J311" s="3">
        <f>IF(INDEX(学年度总表!$J$3:$J$1025,MATCH($E311,学年度总表!$E$3:$E$1025,0))="","",INDEX(学年度总表!$J$3:$J$1025,MATCH($E311,学年度总表!$E$3:$E$1025,0)))</f>
        <v>57.48</v>
      </c>
      <c r="K311" s="3">
        <f>IF(INDEX(学年度总表!$K$3:$K$1025,MATCH($E311,学年度总表!$E$3:$E$1025,0))="","",INDEX(学年度总表!$K$3:$K$1025,MATCH($E311,学年度总表!$E$3:$E$1025,0)))</f>
        <v>9.8000000000000007</v>
      </c>
      <c r="L311" s="3">
        <f>IF(INDEX(学年度总表!$L$3:$L$1025,MATCH($E311,学年度总表!$E$3:$E$1025,0))="","",INDEX(学年度总表!$L$3:$L$1025,MATCH($E311,学年度总表!$E$3:$E$1025,0)))</f>
        <v>45.52</v>
      </c>
      <c r="M311" s="3">
        <f>IF(INDEX(学年度总表!$M$3:$M$1025,MATCH($E311,学年度总表!$E$3:$E$1025,0))="","",INDEX(学年度总表!$M$3:$M$1025,MATCH($E311,学年度总表!$E$3:$E$1025,0)))</f>
        <v>3.5</v>
      </c>
      <c r="N311" s="3">
        <f>IF(INDEX(学年度总表!$N$3:$N$1025,MATCH($E311,学年度总表!$E$3:$E$1025,0))="","",INDEX(学年度总表!$N$3:$N$1025,MATCH($E311,学年度总表!$E$3:$E$1025,0)))</f>
        <v>58.82</v>
      </c>
      <c r="O311" s="3">
        <f>IF(INDEX(学年度总表!$O$3:$O$1025,MATCH($E311,学年度总表!$E$3:$E$1025,0))="","",INDEX(学年度总表!$O$3:$O$1025,MATCH($E311,学年度总表!$E$3:$E$1025,0)))</f>
        <v>116.3</v>
      </c>
      <c r="P311" s="2" t="str">
        <f>IF(INDEX(学年度总表!$P$3:$P$1025,MATCH($E311,学年度总表!$E$3:$E$1025,0))="","",INDEX(学年度总表!$P$3:$P$1025,MATCH($E311,学年度总表!$E$3:$E$1025,0)))</f>
        <v/>
      </c>
      <c r="Q311" s="5" t="str">
        <f>IF(INDEX(学年度总表!$Q$3:$Q$1025,MATCH($E311,学年度总表!$E$3:$E$1025,0))="","",INDEX(学年度总表!$Q$3:$Q$1025,MATCH($E311,学年度总表!$E$3:$E$1025,0)))</f>
        <v/>
      </c>
    </row>
    <row r="312" spans="1:17">
      <c r="A312" s="2">
        <f>IF(INDEX(学年度总表!$A$3:$A$1025,MATCH($E312,学年度总表!$E$3:$E$1025,0))="","",INDEX(学年度总表!$A$3:$A$1025,MATCH($E312,学年度总表!$E$3:$E$1025,0)))</f>
        <v>890</v>
      </c>
      <c r="B312" s="2">
        <f>IF(INDEX(学年度总表!$B$3:$B$1025,MATCH($E312,学年度总表!$E$3:$E$1025,0))="","",INDEX(学年度总表!$B$3:$B$1025,MATCH($E312,学年度总表!$E$3:$E$1025,0)))</f>
        <v>310</v>
      </c>
      <c r="C312" s="2" t="str">
        <f>IF(INDEX(学年度总表!$C$3:$C$1025,MATCH($E312,学年度总表!$E$3:$E$1025,0))="","",INDEX(学年度总表!$C$3:$C$1025,MATCH($E312,学年度总表!$E$3:$E$1025,0)))</f>
        <v>软工</v>
      </c>
      <c r="D312" s="2" t="str">
        <f>IF(INDEX(学年度总表!$D$3:$D$1025,MATCH($E312,学年度总表!$E$3:$E$1025,0))="","",INDEX(学年度总表!$D$3:$D$1025,MATCH($E312,学年度总表!$E$3:$E$1025,0)))</f>
        <v>软工6班</v>
      </c>
      <c r="E312" s="2" t="s">
        <v>1841</v>
      </c>
      <c r="F312" s="2" t="str">
        <f>IF(INDEX(学年度总表!$F$3:$F$1025,MATCH($E312,学年度总表!$E$3:$E$1025,0))="","",INDEX(学年度总表!$F$3:$F$1025,MATCH($E312,学年度总表!$E$3:$E$1025,0)))</f>
        <v>全俊鸣</v>
      </c>
      <c r="G312" s="3">
        <f>IF(INDEX(学年度总表!$G$3:$G$1025,MATCH($E312,学年度总表!$E$3:$E$1025,0))="","",INDEX(学年度总表!$G$3:$G$1025,MATCH($E312,学年度总表!$E$3:$E$1025,0)))</f>
        <v>9.8000000000000007</v>
      </c>
      <c r="H312" s="3">
        <f>IF(INDEX(学年度总表!$H$3:$H$1025,MATCH($E312,学年度总表!$E$3:$E$1025,0))="","",INDEX(学年度总表!$H$3:$H$1025,MATCH($E312,学年度总表!$E$3:$E$1025,0)))</f>
        <v>43.132653061224502</v>
      </c>
      <c r="I312" s="3">
        <f>IF(INDEX(学年度总表!$I$3:$I$1025,MATCH($E312,学年度总表!$E$3:$E$1025,0))="","",INDEX(学年度总表!$I$3:$I$1025,MATCH($E312,学年度总表!$E$3:$E$1025,0)))</f>
        <v>3</v>
      </c>
      <c r="J312" s="3">
        <f>IF(INDEX(学年度总表!$J$3:$J$1025,MATCH($E312,学年度总表!$E$3:$E$1025,0))="","",INDEX(学年度总表!$J$3:$J$1025,MATCH($E312,学年度总表!$E$3:$E$1025,0)))</f>
        <v>55.93</v>
      </c>
      <c r="K312" s="3">
        <f>IF(INDEX(学年度总表!$K$3:$K$1025,MATCH($E312,学年度总表!$E$3:$E$1025,0))="","",INDEX(学年度总表!$K$3:$K$1025,MATCH($E312,学年度总表!$E$3:$E$1025,0)))</f>
        <v>9.8000000000000007</v>
      </c>
      <c r="L312" s="3">
        <f>IF(INDEX(学年度总表!$L$3:$L$1025,MATCH($E312,学年度总表!$E$3:$E$1025,0))="","",INDEX(学年度总表!$L$3:$L$1025,MATCH($E312,学年度总表!$E$3:$E$1025,0)))</f>
        <v>47.42</v>
      </c>
      <c r="M312" s="3">
        <f>IF(INDEX(学年度总表!$M$3:$M$1025,MATCH($E312,学年度总表!$E$3:$E$1025,0))="","",INDEX(学年度总表!$M$3:$M$1025,MATCH($E312,学年度总表!$E$3:$E$1025,0)))</f>
        <v>3</v>
      </c>
      <c r="N312" s="3">
        <f>IF(INDEX(学年度总表!$N$3:$N$1025,MATCH($E312,学年度总表!$E$3:$E$1025,0))="","",INDEX(学年度总表!$N$3:$N$1025,MATCH($E312,学年度总表!$E$3:$E$1025,0)))</f>
        <v>60.22</v>
      </c>
      <c r="O312" s="3">
        <f>IF(INDEX(学年度总表!$O$3:$O$1025,MATCH($E312,学年度总表!$E$3:$E$1025,0))="","",INDEX(学年度总表!$O$3:$O$1025,MATCH($E312,学年度总表!$E$3:$E$1025,0)))</f>
        <v>116.15</v>
      </c>
      <c r="P312" s="2" t="str">
        <f>IF(INDEX(学年度总表!$P$3:$P$1025,MATCH($E312,学年度总表!$E$3:$E$1025,0))="","",INDEX(学年度总表!$P$3:$P$1025,MATCH($E312,学年度总表!$E$3:$E$1025,0)))</f>
        <v/>
      </c>
      <c r="Q312" s="5" t="str">
        <f>IF(INDEX(学年度总表!$Q$3:$Q$1025,MATCH($E312,学年度总表!$E$3:$E$1025,0))="","",INDEX(学年度总表!$Q$3:$Q$1025,MATCH($E312,学年度总表!$E$3:$E$1025,0)))</f>
        <v/>
      </c>
    </row>
    <row r="313" spans="1:17">
      <c r="A313" s="2">
        <f>IF(INDEX(学年度总表!$A$3:$A$1025,MATCH($E313,学年度总表!$E$3:$E$1025,0))="","",INDEX(学年度总表!$A$3:$A$1025,MATCH($E313,学年度总表!$E$3:$E$1025,0)))</f>
        <v>895</v>
      </c>
      <c r="B313" s="2">
        <f>IF(INDEX(学年度总表!$B$3:$B$1025,MATCH($E313,学年度总表!$E$3:$E$1025,0))="","",INDEX(学年度总表!$B$3:$B$1025,MATCH($E313,学年度总表!$E$3:$E$1025,0)))</f>
        <v>311</v>
      </c>
      <c r="C313" s="2" t="str">
        <f>IF(INDEX(学年度总表!$C$3:$C$1025,MATCH($E313,学年度总表!$E$3:$E$1025,0))="","",INDEX(学年度总表!$C$3:$C$1025,MATCH($E313,学年度总表!$E$3:$E$1025,0)))</f>
        <v>软工</v>
      </c>
      <c r="D313" s="2" t="str">
        <f>IF(INDEX(学年度总表!$D$3:$D$1025,MATCH($E313,学年度总表!$E$3:$E$1025,0))="","",INDEX(学年度总表!$D$3:$D$1025,MATCH($E313,学年度总表!$E$3:$E$1025,0)))</f>
        <v>软工8班</v>
      </c>
      <c r="E313" s="2" t="s">
        <v>1851</v>
      </c>
      <c r="F313" s="2" t="str">
        <f>IF(INDEX(学年度总表!$F$3:$F$1025,MATCH($E313,学年度总表!$E$3:$E$1025,0))="","",INDEX(学年度总表!$F$3:$F$1025,MATCH($E313,学年度总表!$E$3:$E$1025,0)))</f>
        <v>李若伦</v>
      </c>
      <c r="G313" s="3">
        <f>IF(INDEX(学年度总表!$G$3:$G$1025,MATCH($E313,学年度总表!$E$3:$E$1025,0))="","",INDEX(学年度总表!$G$3:$G$1025,MATCH($E313,学年度总表!$E$3:$E$1025,0)))</f>
        <v>6.5</v>
      </c>
      <c r="H313" s="3">
        <f>IF(INDEX(学年度总表!$H$3:$H$1025,MATCH($E313,学年度总表!$E$3:$E$1025,0))="","",INDEX(学年度总表!$H$3:$H$1025,MATCH($E313,学年度总表!$E$3:$E$1025,0)))</f>
        <v>54.191489361702097</v>
      </c>
      <c r="I313" s="3">
        <f>IF(INDEX(学年度总表!$I$3:$I$1025,MATCH($E313,学年度总表!$E$3:$E$1025,0))="","",INDEX(学年度总表!$I$3:$I$1025,MATCH($E313,学年度总表!$E$3:$E$1025,0)))</f>
        <v>3</v>
      </c>
      <c r="J313" s="3">
        <f>IF(INDEX(学年度总表!$J$3:$J$1025,MATCH($E313,学年度总表!$E$3:$E$1025,0))="","",INDEX(学年度总表!$J$3:$J$1025,MATCH($E313,学年度总表!$E$3:$E$1025,0)))</f>
        <v>63.69</v>
      </c>
      <c r="K313" s="3">
        <f>IF(INDEX(学年度总表!$K$3:$K$1025,MATCH($E313,学年度总表!$E$3:$E$1025,0))="","",INDEX(学年度总表!$K$3:$K$1025,MATCH($E313,学年度总表!$E$3:$E$1025,0)))</f>
        <v>7.5</v>
      </c>
      <c r="L313" s="3">
        <f>IF(INDEX(学年度总表!$L$3:$L$1025,MATCH($E313,学年度总表!$E$3:$E$1025,0))="","",INDEX(学年度总表!$L$3:$L$1025,MATCH($E313,学年度总表!$E$3:$E$1025,0)))</f>
        <v>40.69</v>
      </c>
      <c r="M313" s="3">
        <f>IF(INDEX(学年度总表!$M$3:$M$1025,MATCH($E313,学年度总表!$E$3:$E$1025,0))="","",INDEX(学年度总表!$M$3:$M$1025,MATCH($E313,学年度总表!$E$3:$E$1025,0)))</f>
        <v>3.5</v>
      </c>
      <c r="N313" s="3">
        <f>IF(INDEX(学年度总表!$N$3:$N$1025,MATCH($E313,学年度总表!$E$3:$E$1025,0))="","",INDEX(学年度总表!$N$3:$N$1025,MATCH($E313,学年度总表!$E$3:$E$1025,0)))</f>
        <v>51.69</v>
      </c>
      <c r="O313" s="3">
        <f>IF(INDEX(学年度总表!$O$3:$O$1025,MATCH($E313,学年度总表!$E$3:$E$1025,0))="","",INDEX(学年度总表!$O$3:$O$1025,MATCH($E313,学年度总表!$E$3:$E$1025,0)))</f>
        <v>115.38</v>
      </c>
      <c r="P313" s="2" t="str">
        <f>IF(INDEX(学年度总表!$P$3:$P$1025,MATCH($E313,学年度总表!$E$3:$E$1025,0))="","",INDEX(学年度总表!$P$3:$P$1025,MATCH($E313,学年度总表!$E$3:$E$1025,0)))</f>
        <v/>
      </c>
      <c r="Q313" s="5" t="str">
        <f>IF(INDEX(学年度总表!$Q$3:$Q$1025,MATCH($E313,学年度总表!$E$3:$E$1025,0))="","",INDEX(学年度总表!$Q$3:$Q$1025,MATCH($E313,学年度总表!$E$3:$E$1025,0)))</f>
        <v/>
      </c>
    </row>
    <row r="314" spans="1:17">
      <c r="A314" s="2">
        <f>IF(INDEX(学年度总表!$A$3:$A$1025,MATCH($E314,学年度总表!$E$3:$E$1025,0))="","",INDEX(学年度总表!$A$3:$A$1025,MATCH($E314,学年度总表!$E$3:$E$1025,0)))</f>
        <v>897</v>
      </c>
      <c r="B314" s="2">
        <f>IF(INDEX(学年度总表!$B$3:$B$1025,MATCH($E314,学年度总表!$E$3:$E$1025,0))="","",INDEX(学年度总表!$B$3:$B$1025,MATCH($E314,学年度总表!$E$3:$E$1025,0)))</f>
        <v>312</v>
      </c>
      <c r="C314" s="2" t="str">
        <f>IF(INDEX(学年度总表!$C$3:$C$1025,MATCH($E314,学年度总表!$E$3:$E$1025,0))="","",INDEX(学年度总表!$C$3:$C$1025,MATCH($E314,学年度总表!$E$3:$E$1025,0)))</f>
        <v>软工</v>
      </c>
      <c r="D314" s="2" t="str">
        <f>IF(INDEX(学年度总表!$D$3:$D$1025,MATCH($E314,学年度总表!$E$3:$E$1025,0))="","",INDEX(学年度总表!$D$3:$D$1025,MATCH($E314,学年度总表!$E$3:$E$1025,0)))</f>
        <v>软工14班</v>
      </c>
      <c r="E314" s="2" t="s">
        <v>1855</v>
      </c>
      <c r="F314" s="2" t="str">
        <f>IF(INDEX(学年度总表!$F$3:$F$1025,MATCH($E314,学年度总表!$E$3:$E$1025,0))="","",INDEX(学年度总表!$F$3:$F$1025,MATCH($E314,学年度总表!$E$3:$E$1025,0)))</f>
        <v>兰东骐</v>
      </c>
      <c r="G314" s="3">
        <f>IF(INDEX(学年度总表!$G$3:$G$1025,MATCH($E314,学年度总表!$E$3:$E$1025,0))="","",INDEX(学年度总表!$G$3:$G$1025,MATCH($E314,学年度总表!$E$3:$E$1025,0)))</f>
        <v>9.8000000000000007</v>
      </c>
      <c r="H314" s="3">
        <f>IF(INDEX(学年度总表!$H$3:$H$1025,MATCH($E314,学年度总表!$E$3:$E$1025,0))="","",INDEX(学年度总表!$H$3:$H$1025,MATCH($E314,学年度总表!$E$3:$E$1025,0)))</f>
        <v>39.479999999999997</v>
      </c>
      <c r="I314" s="3">
        <f>IF(INDEX(学年度总表!$I$3:$I$1025,MATCH($E314,学年度总表!$E$3:$E$1025,0))="","",INDEX(学年度总表!$I$3:$I$1025,MATCH($E314,学年度总表!$E$3:$E$1025,0)))</f>
        <v>3</v>
      </c>
      <c r="J314" s="3">
        <f>IF(INDEX(学年度总表!$J$3:$J$1025,MATCH($E314,学年度总表!$E$3:$E$1025,0))="","",INDEX(学年度总表!$J$3:$J$1025,MATCH($E314,学年度总表!$E$3:$E$1025,0)))</f>
        <v>52.28</v>
      </c>
      <c r="K314" s="3">
        <f>IF(INDEX(学年度总表!$K$3:$K$1025,MATCH($E314,学年度总表!$E$3:$E$1025,0))="","",INDEX(学年度总表!$K$3:$K$1025,MATCH($E314,学年度总表!$E$3:$E$1025,0)))</f>
        <v>9.8000000000000007</v>
      </c>
      <c r="L314" s="3">
        <f>IF(INDEX(学年度总表!$L$3:$L$1025,MATCH($E314,学年度总表!$E$3:$E$1025,0))="","",INDEX(学年度总表!$L$3:$L$1025,MATCH($E314,学年度总表!$E$3:$E$1025,0)))</f>
        <v>49.56</v>
      </c>
      <c r="M314" s="3">
        <f>IF(INDEX(学年度总表!$M$3:$M$1025,MATCH($E314,学年度总表!$E$3:$E$1025,0))="","",INDEX(学年度总表!$M$3:$M$1025,MATCH($E314,学年度总表!$E$3:$E$1025,0)))</f>
        <v>3.5</v>
      </c>
      <c r="N314" s="3">
        <f>IF(INDEX(学年度总表!$N$3:$N$1025,MATCH($E314,学年度总表!$E$3:$E$1025,0))="","",INDEX(学年度总表!$N$3:$N$1025,MATCH($E314,学年度总表!$E$3:$E$1025,0)))</f>
        <v>62.86</v>
      </c>
      <c r="O314" s="3">
        <f>IF(INDEX(学年度总表!$O$3:$O$1025,MATCH($E314,学年度总表!$E$3:$E$1025,0))="","",INDEX(学年度总表!$O$3:$O$1025,MATCH($E314,学年度总表!$E$3:$E$1025,0)))</f>
        <v>115.14</v>
      </c>
      <c r="P314" s="2" t="str">
        <f>IF(INDEX(学年度总表!$P$3:$P$1025,MATCH($E314,学年度总表!$E$3:$E$1025,0))="","",INDEX(学年度总表!$P$3:$P$1025,MATCH($E314,学年度总表!$E$3:$E$1025,0)))</f>
        <v/>
      </c>
      <c r="Q314" s="5" t="str">
        <f>IF(INDEX(学年度总表!$Q$3:$Q$1025,MATCH($E314,学年度总表!$E$3:$E$1025,0))="","",INDEX(学年度总表!$Q$3:$Q$1025,MATCH($E314,学年度总表!$E$3:$E$1025,0)))</f>
        <v/>
      </c>
    </row>
    <row r="315" spans="1:17">
      <c r="A315" s="2">
        <f>IF(INDEX(学年度总表!$A$3:$A$1025,MATCH($E315,学年度总表!$E$3:$E$1025,0))="","",INDEX(学年度总表!$A$3:$A$1025,MATCH($E315,学年度总表!$E$3:$E$1025,0)))</f>
        <v>901</v>
      </c>
      <c r="B315" s="2">
        <f>IF(INDEX(学年度总表!$B$3:$B$1025,MATCH($E315,学年度总表!$E$3:$E$1025,0))="","",INDEX(学年度总表!$B$3:$B$1025,MATCH($E315,学年度总表!$E$3:$E$1025,0)))</f>
        <v>313</v>
      </c>
      <c r="C315" s="2" t="str">
        <f>IF(INDEX(学年度总表!$C$3:$C$1025,MATCH($E315,学年度总表!$E$3:$E$1025,0))="","",INDEX(学年度总表!$C$3:$C$1025,MATCH($E315,学年度总表!$E$3:$E$1025,0)))</f>
        <v>软工</v>
      </c>
      <c r="D315" s="2" t="str">
        <f>IF(INDEX(学年度总表!$D$3:$D$1025,MATCH($E315,学年度总表!$E$3:$E$1025,0))="","",INDEX(学年度总表!$D$3:$D$1025,MATCH($E315,学年度总表!$E$3:$E$1025,0)))</f>
        <v>软工7班</v>
      </c>
      <c r="E315" s="2" t="s">
        <v>1863</v>
      </c>
      <c r="F315" s="2" t="str">
        <f>IF(INDEX(学年度总表!$F$3:$F$1025,MATCH($E315,学年度总表!$E$3:$E$1025,0))="","",INDEX(学年度总表!$F$3:$F$1025,MATCH($E315,学年度总表!$E$3:$E$1025,0)))</f>
        <v>朱凌冉</v>
      </c>
      <c r="G315" s="3">
        <f>IF(INDEX(学年度总表!$G$3:$G$1025,MATCH($E315,学年度总表!$E$3:$E$1025,0))="","",INDEX(学年度总表!$G$3:$G$1025,MATCH($E315,学年度总表!$E$3:$E$1025,0)))</f>
        <v>9.8000000000000007</v>
      </c>
      <c r="H315" s="3">
        <f>IF(INDEX(学年度总表!$H$3:$H$1025,MATCH($E315,学年度总表!$E$3:$E$1025,0))="","",INDEX(学年度总表!$H$3:$H$1025,MATCH($E315,学年度总表!$E$3:$E$1025,0)))</f>
        <v>53.79</v>
      </c>
      <c r="I315" s="3">
        <f>IF(INDEX(学年度总表!$I$3:$I$1025,MATCH($E315,学年度总表!$E$3:$E$1025,0))="","",INDEX(学年度总表!$I$3:$I$1025,MATCH($E315,学年度总表!$E$3:$E$1025,0)))</f>
        <v>0</v>
      </c>
      <c r="J315" s="3">
        <f>IF(INDEX(学年度总表!$J$3:$J$1025,MATCH($E315,学年度总表!$E$3:$E$1025,0))="","",INDEX(学年度总表!$J$3:$J$1025,MATCH($E315,学年度总表!$E$3:$E$1025,0)))</f>
        <v>63.59</v>
      </c>
      <c r="K315" s="3">
        <f>IF(INDEX(学年度总表!$K$3:$K$1025,MATCH($E315,学年度总表!$E$3:$E$1025,0))="","",INDEX(学年度总表!$K$3:$K$1025,MATCH($E315,学年度总表!$E$3:$E$1025,0)))</f>
        <v>7.3000000000000007</v>
      </c>
      <c r="L315" s="3">
        <f>IF(INDEX(学年度总表!$L$3:$L$1025,MATCH($E315,学年度总表!$E$3:$E$1025,0))="","",INDEX(学年度总表!$L$3:$L$1025,MATCH($E315,学年度总表!$E$3:$E$1025,0)))</f>
        <v>40.78</v>
      </c>
      <c r="M315" s="3">
        <f>IF(INDEX(学年度总表!$M$3:$M$1025,MATCH($E315,学年度总表!$E$3:$E$1025,0))="","",INDEX(学年度总表!$M$3:$M$1025,MATCH($E315,学年度总表!$E$3:$E$1025,0)))</f>
        <v>3</v>
      </c>
      <c r="N315" s="3">
        <f>IF(INDEX(学年度总表!$N$3:$N$1025,MATCH($E315,学年度总表!$E$3:$E$1025,0))="","",INDEX(学年度总表!$N$3:$N$1025,MATCH($E315,学年度总表!$E$3:$E$1025,0)))</f>
        <v>51.08</v>
      </c>
      <c r="O315" s="3">
        <f>IF(INDEX(学年度总表!$O$3:$O$1025,MATCH($E315,学年度总表!$E$3:$E$1025,0))="","",INDEX(学年度总表!$O$3:$O$1025,MATCH($E315,学年度总表!$E$3:$E$1025,0)))</f>
        <v>114.67</v>
      </c>
      <c r="P315" s="2" t="str">
        <f>IF(INDEX(学年度总表!$P$3:$P$1025,MATCH($E315,学年度总表!$E$3:$E$1025,0))="","",INDEX(学年度总表!$P$3:$P$1025,MATCH($E315,学年度总表!$E$3:$E$1025,0)))</f>
        <v/>
      </c>
      <c r="Q315" s="5" t="str">
        <f>IF(INDEX(学年度总表!$Q$3:$Q$1025,MATCH($E315,学年度总表!$E$3:$E$1025,0))="","",INDEX(学年度总表!$Q$3:$Q$1025,MATCH($E315,学年度总表!$E$3:$E$1025,0)))</f>
        <v/>
      </c>
    </row>
    <row r="316" spans="1:17">
      <c r="A316" s="2">
        <f>IF(INDEX(学年度总表!$A$3:$A$1025,MATCH($E316,学年度总表!$E$3:$E$1025,0))="","",INDEX(学年度总表!$A$3:$A$1025,MATCH($E316,学年度总表!$E$3:$E$1025,0)))</f>
        <v>903</v>
      </c>
      <c r="B316" s="2">
        <f>IF(INDEX(学年度总表!$B$3:$B$1025,MATCH($E316,学年度总表!$E$3:$E$1025,0))="","",INDEX(学年度总表!$B$3:$B$1025,MATCH($E316,学年度总表!$E$3:$E$1025,0)))</f>
        <v>314</v>
      </c>
      <c r="C316" s="2" t="str">
        <f>IF(INDEX(学年度总表!$C$3:$C$1025,MATCH($E316,学年度总表!$E$3:$E$1025,0))="","",INDEX(学年度总表!$C$3:$C$1025,MATCH($E316,学年度总表!$E$3:$E$1025,0)))</f>
        <v>软工</v>
      </c>
      <c r="D316" s="2" t="str">
        <f>IF(INDEX(学年度总表!$D$3:$D$1025,MATCH($E316,学年度总表!$E$3:$E$1025,0))="","",INDEX(学年度总表!$D$3:$D$1025,MATCH($E316,学年度总表!$E$3:$E$1025,0)))</f>
        <v>软工6班</v>
      </c>
      <c r="E316" s="2" t="s">
        <v>1867</v>
      </c>
      <c r="F316" s="2" t="str">
        <f>IF(INDEX(学年度总表!$F$3:$F$1025,MATCH($E316,学年度总表!$E$3:$E$1025,0))="","",INDEX(学年度总表!$F$3:$F$1025,MATCH($E316,学年度总表!$E$3:$E$1025,0)))</f>
        <v>江昕硕</v>
      </c>
      <c r="G316" s="3">
        <f>IF(INDEX(学年度总表!$G$3:$G$1025,MATCH($E316,学年度总表!$E$3:$E$1025,0))="","",INDEX(学年度总表!$G$3:$G$1025,MATCH($E316,学年度总表!$E$3:$E$1025,0)))</f>
        <v>9.8000000000000007</v>
      </c>
      <c r="H316" s="3">
        <f>IF(INDEX(学年度总表!$H$3:$H$1025,MATCH($E316,学年度总表!$E$3:$E$1025,0))="","",INDEX(学年度总表!$H$3:$H$1025,MATCH($E316,学年度总表!$E$3:$E$1025,0)))</f>
        <v>43.3333333333333</v>
      </c>
      <c r="I316" s="3">
        <f>IF(INDEX(学年度总表!$I$3:$I$1025,MATCH($E316,学年度总表!$E$3:$E$1025,0))="","",INDEX(学年度总表!$I$3:$I$1025,MATCH($E316,学年度总表!$E$3:$E$1025,0)))</f>
        <v>3</v>
      </c>
      <c r="J316" s="3">
        <f>IF(INDEX(学年度总表!$J$3:$J$1025,MATCH($E316,学年度总表!$E$3:$E$1025,0))="","",INDEX(学年度总表!$J$3:$J$1025,MATCH($E316,学年度总表!$E$3:$E$1025,0)))</f>
        <v>56.13</v>
      </c>
      <c r="K316" s="3">
        <f>IF(INDEX(学年度总表!$K$3:$K$1025,MATCH($E316,学年度总表!$E$3:$E$1025,0))="","",INDEX(学年度总表!$K$3:$K$1025,MATCH($E316,学年度总表!$E$3:$E$1025,0)))</f>
        <v>9.4</v>
      </c>
      <c r="L316" s="3">
        <f>IF(INDEX(学年度总表!$L$3:$L$1025,MATCH($E316,学年度总表!$E$3:$E$1025,0))="","",INDEX(学年度总表!$L$3:$L$1025,MATCH($E316,学年度总表!$E$3:$E$1025,0)))</f>
        <v>45.9</v>
      </c>
      <c r="M316" s="3">
        <f>IF(INDEX(学年度总表!$M$3:$M$1025,MATCH($E316,学年度总表!$E$3:$E$1025,0))="","",INDEX(学年度总表!$M$3:$M$1025,MATCH($E316,学年度总表!$E$3:$E$1025,0)))</f>
        <v>3</v>
      </c>
      <c r="N316" s="3">
        <f>IF(INDEX(学年度总表!$N$3:$N$1025,MATCH($E316,学年度总表!$E$3:$E$1025,0))="","",INDEX(学年度总表!$N$3:$N$1025,MATCH($E316,学年度总表!$E$3:$E$1025,0)))</f>
        <v>58.3</v>
      </c>
      <c r="O316" s="3">
        <f>IF(INDEX(学年度总表!$O$3:$O$1025,MATCH($E316,学年度总表!$E$3:$E$1025,0))="","",INDEX(学年度总表!$O$3:$O$1025,MATCH($E316,学年度总表!$E$3:$E$1025,0)))</f>
        <v>114.43</v>
      </c>
      <c r="P316" s="2" t="str">
        <f>IF(INDEX(学年度总表!$P$3:$P$1025,MATCH($E316,学年度总表!$E$3:$E$1025,0))="","",INDEX(学年度总表!$P$3:$P$1025,MATCH($E316,学年度总表!$E$3:$E$1025,0)))</f>
        <v/>
      </c>
      <c r="Q316" s="5" t="str">
        <f>IF(INDEX(学年度总表!$Q$3:$Q$1025,MATCH($E316,学年度总表!$E$3:$E$1025,0))="","",INDEX(学年度总表!$Q$3:$Q$1025,MATCH($E316,学年度总表!$E$3:$E$1025,0)))</f>
        <v/>
      </c>
    </row>
    <row r="317" spans="1:17">
      <c r="A317" s="2">
        <f>IF(INDEX(学年度总表!$A$3:$A$1025,MATCH($E317,学年度总表!$E$3:$E$1025,0))="","",INDEX(学年度总表!$A$3:$A$1025,MATCH($E317,学年度总表!$E$3:$E$1025,0)))</f>
        <v>904</v>
      </c>
      <c r="B317" s="2">
        <f>IF(INDEX(学年度总表!$B$3:$B$1025,MATCH($E317,学年度总表!$E$3:$E$1025,0))="","",INDEX(学年度总表!$B$3:$B$1025,MATCH($E317,学年度总表!$E$3:$E$1025,0)))</f>
        <v>315</v>
      </c>
      <c r="C317" s="2" t="str">
        <f>IF(INDEX(学年度总表!$C$3:$C$1025,MATCH($E317,学年度总表!$E$3:$E$1025,0))="","",INDEX(学年度总表!$C$3:$C$1025,MATCH($E317,学年度总表!$E$3:$E$1025,0)))</f>
        <v>软工</v>
      </c>
      <c r="D317" s="2" t="str">
        <f>IF(INDEX(学年度总表!$D$3:$D$1025,MATCH($E317,学年度总表!$E$3:$E$1025,0))="","",INDEX(学年度总表!$D$3:$D$1025,MATCH($E317,学年度总表!$E$3:$E$1025,0)))</f>
        <v>软工9班</v>
      </c>
      <c r="E317" s="2" t="s">
        <v>1869</v>
      </c>
      <c r="F317" s="2" t="str">
        <f>IF(INDEX(学年度总表!$F$3:$F$1025,MATCH($E317,学年度总表!$E$3:$E$1025,0))="","",INDEX(学年度总表!$F$3:$F$1025,MATCH($E317,学年度总表!$E$3:$E$1025,0)))</f>
        <v>王硕</v>
      </c>
      <c r="G317" s="3">
        <f>IF(INDEX(学年度总表!$G$3:$G$1025,MATCH($E317,学年度总表!$E$3:$E$1025,0))="","",INDEX(学年度总表!$G$3:$G$1025,MATCH($E317,学年度总表!$E$3:$E$1025,0)))</f>
        <v>7.8</v>
      </c>
      <c r="H317" s="3">
        <f>IF(INDEX(学年度总表!$H$3:$H$1025,MATCH($E317,学年度总表!$E$3:$E$1025,0))="","",INDEX(学年度总表!$H$3:$H$1025,MATCH($E317,学年度总表!$E$3:$E$1025,0)))</f>
        <v>46.367346938775498</v>
      </c>
      <c r="I317" s="3">
        <f>IF(INDEX(学年度总表!$I$3:$I$1025,MATCH($E317,学年度总表!$E$3:$E$1025,0))="","",INDEX(学年度总表!$I$3:$I$1025,MATCH($E317,学年度总表!$E$3:$E$1025,0)))</f>
        <v>3.9</v>
      </c>
      <c r="J317" s="3">
        <f>IF(INDEX(学年度总表!$J$3:$J$1025,MATCH($E317,学年度总表!$E$3:$E$1025,0))="","",INDEX(学年度总表!$J$3:$J$1025,MATCH($E317,学年度总表!$E$3:$E$1025,0)))</f>
        <v>58.07</v>
      </c>
      <c r="K317" s="3">
        <f>IF(INDEX(学年度总表!$K$3:$K$1025,MATCH($E317,学年度总表!$E$3:$E$1025,0))="","",INDEX(学年度总表!$K$3:$K$1025,MATCH($E317,学年度总表!$E$3:$E$1025,0)))</f>
        <v>9.8000000000000007</v>
      </c>
      <c r="L317" s="3">
        <f>IF(INDEX(学年度总表!$L$3:$L$1025,MATCH($E317,学年度总表!$E$3:$E$1025,0))="","",INDEX(学年度总表!$L$3:$L$1025,MATCH($E317,学年度总表!$E$3:$E$1025,0)))</f>
        <v>43.3</v>
      </c>
      <c r="M317" s="3">
        <f>IF(INDEX(学年度总表!$M$3:$M$1025,MATCH($E317,学年度总表!$E$3:$E$1025,0))="","",INDEX(学年度总表!$M$3:$M$1025,MATCH($E317,学年度总表!$E$3:$E$1025,0)))</f>
        <v>3.2</v>
      </c>
      <c r="N317" s="3">
        <f>IF(INDEX(学年度总表!$N$3:$N$1025,MATCH($E317,学年度总表!$E$3:$E$1025,0))="","",INDEX(学年度总表!$N$3:$N$1025,MATCH($E317,学年度总表!$E$3:$E$1025,0)))</f>
        <v>56.3</v>
      </c>
      <c r="O317" s="3">
        <f>IF(INDEX(学年度总表!$O$3:$O$1025,MATCH($E317,学年度总表!$E$3:$E$1025,0))="","",INDEX(学年度总表!$O$3:$O$1025,MATCH($E317,学年度总表!$E$3:$E$1025,0)))</f>
        <v>114.37</v>
      </c>
      <c r="P317" s="2" t="str">
        <f>IF(INDEX(学年度总表!$P$3:$P$1025,MATCH($E317,学年度总表!$E$3:$E$1025,0))="","",INDEX(学年度总表!$P$3:$P$1025,MATCH($E317,学年度总表!$E$3:$E$1025,0)))</f>
        <v/>
      </c>
      <c r="Q317" s="5" t="str">
        <f>IF(INDEX(学年度总表!$Q$3:$Q$1025,MATCH($E317,学年度总表!$E$3:$E$1025,0))="","",INDEX(学年度总表!$Q$3:$Q$1025,MATCH($E317,学年度总表!$E$3:$E$1025,0)))</f>
        <v/>
      </c>
    </row>
    <row r="318" spans="1:17">
      <c r="A318" s="2">
        <f>IF(INDEX(学年度总表!$A$3:$A$1025,MATCH($E318,学年度总表!$E$3:$E$1025,0))="","",INDEX(学年度总表!$A$3:$A$1025,MATCH($E318,学年度总表!$E$3:$E$1025,0)))</f>
        <v>906</v>
      </c>
      <c r="B318" s="2">
        <f>IF(INDEX(学年度总表!$B$3:$B$1025,MATCH($E318,学年度总表!$E$3:$E$1025,0))="","",INDEX(学年度总表!$B$3:$B$1025,MATCH($E318,学年度总表!$E$3:$E$1025,0)))</f>
        <v>316</v>
      </c>
      <c r="C318" s="2" t="str">
        <f>IF(INDEX(学年度总表!$C$3:$C$1025,MATCH($E318,学年度总表!$E$3:$E$1025,0))="","",INDEX(学年度总表!$C$3:$C$1025,MATCH($E318,学年度总表!$E$3:$E$1025,0)))</f>
        <v>软工</v>
      </c>
      <c r="D318" s="2" t="str">
        <f>IF(INDEX(学年度总表!$D$3:$D$1025,MATCH($E318,学年度总表!$E$3:$E$1025,0))="","",INDEX(学年度总表!$D$3:$D$1025,MATCH($E318,学年度总表!$E$3:$E$1025,0)))</f>
        <v>软工8班</v>
      </c>
      <c r="E318" s="2" t="s">
        <v>1873</v>
      </c>
      <c r="F318" s="2" t="str">
        <f>IF(INDEX(学年度总表!$F$3:$F$1025,MATCH($E318,学年度总表!$E$3:$E$1025,0))="","",INDEX(学年度总表!$F$3:$F$1025,MATCH($E318,学年度总表!$E$3:$E$1025,0)))</f>
        <v>籍奕雯</v>
      </c>
      <c r="G318" s="3">
        <f>IF(INDEX(学年度总表!$G$3:$G$1025,MATCH($E318,学年度总表!$E$3:$E$1025,0))="","",INDEX(学年度总表!$G$3:$G$1025,MATCH($E318,学年度总表!$E$3:$E$1025,0)))</f>
        <v>9.8000000000000007</v>
      </c>
      <c r="H318" s="3">
        <f>IF(INDEX(学年度总表!$H$3:$H$1025,MATCH($E318,学年度总表!$E$3:$E$1025,0))="","",INDEX(学年度总表!$H$3:$H$1025,MATCH($E318,学年度总表!$E$3:$E$1025,0)))</f>
        <v>46.553191489361701</v>
      </c>
      <c r="I318" s="3">
        <f>IF(INDEX(学年度总表!$I$3:$I$1025,MATCH($E318,学年度总表!$E$3:$E$1025,0))="","",INDEX(学年度总表!$I$3:$I$1025,MATCH($E318,学年度总表!$E$3:$E$1025,0)))</f>
        <v>3</v>
      </c>
      <c r="J318" s="3">
        <f>IF(INDEX(学年度总表!$J$3:$J$1025,MATCH($E318,学年度总表!$E$3:$E$1025,0))="","",INDEX(学年度总表!$J$3:$J$1025,MATCH($E318,学年度总表!$E$3:$E$1025,0)))</f>
        <v>59.35</v>
      </c>
      <c r="K318" s="3">
        <f>IF(INDEX(学年度总表!$K$3:$K$1025,MATCH($E318,学年度总表!$E$3:$E$1025,0))="","",INDEX(学年度总表!$K$3:$K$1025,MATCH($E318,学年度总表!$E$3:$E$1025,0)))</f>
        <v>7.3000000000000007</v>
      </c>
      <c r="L318" s="3">
        <f>IF(INDEX(学年度总表!$L$3:$L$1025,MATCH($E318,学年度总表!$E$3:$E$1025,0))="","",INDEX(学年度总表!$L$3:$L$1025,MATCH($E318,学年度总表!$E$3:$E$1025,0)))</f>
        <v>44.13</v>
      </c>
      <c r="M318" s="3">
        <f>IF(INDEX(学年度总表!$M$3:$M$1025,MATCH($E318,学年度总表!$E$3:$E$1025,0))="","",INDEX(学年度总表!$M$3:$M$1025,MATCH($E318,学年度总表!$E$3:$E$1025,0)))</f>
        <v>3.5</v>
      </c>
      <c r="N318" s="3">
        <f>IF(INDEX(学年度总表!$N$3:$N$1025,MATCH($E318,学年度总表!$E$3:$E$1025,0))="","",INDEX(学年度总表!$N$3:$N$1025,MATCH($E318,学年度总表!$E$3:$E$1025,0)))</f>
        <v>54.93</v>
      </c>
      <c r="O318" s="3">
        <f>IF(INDEX(学年度总表!$O$3:$O$1025,MATCH($E318,学年度总表!$E$3:$E$1025,0))="","",INDEX(学年度总表!$O$3:$O$1025,MATCH($E318,学年度总表!$E$3:$E$1025,0)))</f>
        <v>114.28</v>
      </c>
      <c r="P318" s="2" t="str">
        <f>IF(INDEX(学年度总表!$P$3:$P$1025,MATCH($E318,学年度总表!$E$3:$E$1025,0))="","",INDEX(学年度总表!$P$3:$P$1025,MATCH($E318,学年度总表!$E$3:$E$1025,0)))</f>
        <v/>
      </c>
      <c r="Q318" s="5" t="str">
        <f>IF(INDEX(学年度总表!$Q$3:$Q$1025,MATCH($E318,学年度总表!$E$3:$E$1025,0))="","",INDEX(学年度总表!$Q$3:$Q$1025,MATCH($E318,学年度总表!$E$3:$E$1025,0)))</f>
        <v/>
      </c>
    </row>
    <row r="319" spans="1:17">
      <c r="A319" s="2">
        <f>IF(INDEX(学年度总表!$A$3:$A$1025,MATCH($E319,学年度总表!$E$3:$E$1025,0))="","",INDEX(学年度总表!$A$3:$A$1025,MATCH($E319,学年度总表!$E$3:$E$1025,0)))</f>
        <v>907</v>
      </c>
      <c r="B319" s="2">
        <f>IF(INDEX(学年度总表!$B$3:$B$1025,MATCH($E319,学年度总表!$E$3:$E$1025,0))="","",INDEX(学年度总表!$B$3:$B$1025,MATCH($E319,学年度总表!$E$3:$E$1025,0)))</f>
        <v>317</v>
      </c>
      <c r="C319" s="2" t="str">
        <f>IF(INDEX(学年度总表!$C$3:$C$1025,MATCH($E319,学年度总表!$E$3:$E$1025,0))="","",INDEX(学年度总表!$C$3:$C$1025,MATCH($E319,学年度总表!$E$3:$E$1025,0)))</f>
        <v>软工</v>
      </c>
      <c r="D319" s="2" t="str">
        <f>IF(INDEX(学年度总表!$D$3:$D$1025,MATCH($E319,学年度总表!$E$3:$E$1025,0))="","",INDEX(学年度总表!$D$3:$D$1025,MATCH($E319,学年度总表!$E$3:$E$1025,0)))</f>
        <v>软工5班</v>
      </c>
      <c r="E319" s="2" t="s">
        <v>1875</v>
      </c>
      <c r="F319" s="2" t="str">
        <f>IF(INDEX(学年度总表!$F$3:$F$1025,MATCH($E319,学年度总表!$E$3:$E$1025,0))="","",INDEX(学年度总表!$F$3:$F$1025,MATCH($E319,学年度总表!$E$3:$E$1025,0)))</f>
        <v>李静怡</v>
      </c>
      <c r="G319" s="3">
        <f>IF(INDEX(学年度总表!$G$3:$G$1025,MATCH($E319,学年度总表!$E$3:$E$1025,0))="","",INDEX(学年度总表!$G$3:$G$1025,MATCH($E319,学年度总表!$E$3:$E$1025,0)))</f>
        <v>9.6</v>
      </c>
      <c r="H319" s="3">
        <f>IF(INDEX(学年度总表!$H$3:$H$1025,MATCH($E319,学年度总表!$E$3:$E$1025,0))="","",INDEX(学年度总表!$H$3:$H$1025,MATCH($E319,学年度总表!$E$3:$E$1025,0)))</f>
        <v>45.92</v>
      </c>
      <c r="I319" s="3">
        <f>IF(INDEX(学年度总表!$I$3:$I$1025,MATCH($E319,学年度总表!$E$3:$E$1025,0))="","",INDEX(学年度总表!$I$3:$I$1025,MATCH($E319,学年度总表!$E$3:$E$1025,0)))</f>
        <v>3</v>
      </c>
      <c r="J319" s="3">
        <f>IF(INDEX(学年度总表!$J$3:$J$1025,MATCH($E319,学年度总表!$E$3:$E$1025,0))="","",INDEX(学年度总表!$J$3:$J$1025,MATCH($E319,学年度总表!$E$3:$E$1025,0)))</f>
        <v>58.52</v>
      </c>
      <c r="K319" s="3">
        <f>IF(INDEX(学年度总表!$K$3:$K$1025,MATCH($E319,学年度总表!$E$3:$E$1025,0))="","",INDEX(学年度总表!$K$3:$K$1025,MATCH($E319,学年度总表!$E$3:$E$1025,0)))</f>
        <v>7.1</v>
      </c>
      <c r="L319" s="3">
        <f>IF(INDEX(学年度总表!$L$3:$L$1025,MATCH($E319,学年度总表!$E$3:$E$1025,0))="","",INDEX(学年度总表!$L$3:$L$1025,MATCH($E319,学年度总表!$E$3:$E$1025,0)))</f>
        <v>44.8</v>
      </c>
      <c r="M319" s="3">
        <f>IF(INDEX(学年度总表!$M$3:$M$1025,MATCH($E319,学年度总表!$E$3:$E$1025,0))="","",INDEX(学年度总表!$M$3:$M$1025,MATCH($E319,学年度总表!$E$3:$E$1025,0)))</f>
        <v>3.5</v>
      </c>
      <c r="N319" s="3">
        <f>IF(INDEX(学年度总表!$N$3:$N$1025,MATCH($E319,学年度总表!$E$3:$E$1025,0))="","",INDEX(学年度总表!$N$3:$N$1025,MATCH($E319,学年度总表!$E$3:$E$1025,0)))</f>
        <v>55.4</v>
      </c>
      <c r="O319" s="3">
        <f>IF(INDEX(学年度总表!$O$3:$O$1025,MATCH($E319,学年度总表!$E$3:$E$1025,0))="","",INDEX(学年度总表!$O$3:$O$1025,MATCH($E319,学年度总表!$E$3:$E$1025,0)))</f>
        <v>113.92</v>
      </c>
      <c r="P319" s="2" t="str">
        <f>IF(INDEX(学年度总表!$P$3:$P$1025,MATCH($E319,学年度总表!$E$3:$E$1025,0))="","",INDEX(学年度总表!$P$3:$P$1025,MATCH($E319,学年度总表!$E$3:$E$1025,0)))</f>
        <v/>
      </c>
      <c r="Q319" s="5" t="str">
        <f>IF(INDEX(学年度总表!$Q$3:$Q$1025,MATCH($E319,学年度总表!$E$3:$E$1025,0))="","",INDEX(学年度总表!$Q$3:$Q$1025,MATCH($E319,学年度总表!$E$3:$E$1025,0)))</f>
        <v/>
      </c>
    </row>
    <row r="320" spans="1:17">
      <c r="A320" s="2">
        <f>IF(INDEX(学年度总表!$A$3:$A$1025,MATCH($E320,学年度总表!$E$3:$E$1025,0))="","",INDEX(学年度总表!$A$3:$A$1025,MATCH($E320,学年度总表!$E$3:$E$1025,0)))</f>
        <v>909</v>
      </c>
      <c r="B320" s="2">
        <f>IF(INDEX(学年度总表!$B$3:$B$1025,MATCH($E320,学年度总表!$E$3:$E$1025,0))="","",INDEX(学年度总表!$B$3:$B$1025,MATCH($E320,学年度总表!$E$3:$E$1025,0)))</f>
        <v>318</v>
      </c>
      <c r="C320" s="2" t="str">
        <f>IF(INDEX(学年度总表!$C$3:$C$1025,MATCH($E320,学年度总表!$E$3:$E$1025,0))="","",INDEX(学年度总表!$C$3:$C$1025,MATCH($E320,学年度总表!$E$3:$E$1025,0)))</f>
        <v>软工</v>
      </c>
      <c r="D320" s="2" t="str">
        <f>IF(INDEX(学年度总表!$D$3:$D$1025,MATCH($E320,学年度总表!$E$3:$E$1025,0))="","",INDEX(学年度总表!$D$3:$D$1025,MATCH($E320,学年度总表!$E$3:$E$1025,0)))</f>
        <v>软工13班</v>
      </c>
      <c r="E320" s="2" t="s">
        <v>1879</v>
      </c>
      <c r="F320" s="2" t="str">
        <f>IF(INDEX(学年度总表!$F$3:$F$1025,MATCH($E320,学年度总表!$E$3:$E$1025,0))="","",INDEX(学年度总表!$F$3:$F$1025,MATCH($E320,学年度总表!$E$3:$E$1025,0)))</f>
        <v>沈福洋</v>
      </c>
      <c r="G320" s="3">
        <f>IF(INDEX(学年度总表!$G$3:$G$1025,MATCH($E320,学年度总表!$E$3:$E$1025,0))="","",INDEX(学年度总表!$G$3:$G$1025,MATCH($E320,学年度总表!$E$3:$E$1025,0)))</f>
        <v>9.8000000000000007</v>
      </c>
      <c r="H320" s="3">
        <f>IF(INDEX(学年度总表!$H$3:$H$1025,MATCH($E320,学年度总表!$E$3:$E$1025,0))="","",INDEX(学年度总表!$H$3:$H$1025,MATCH($E320,学年度总表!$E$3:$E$1025,0)))</f>
        <v>45.6</v>
      </c>
      <c r="I320" s="3">
        <f>IF(INDEX(学年度总表!$I$3:$I$1025,MATCH($E320,学年度总表!$E$3:$E$1025,0))="","",INDEX(学年度总表!$I$3:$I$1025,MATCH($E320,学年度总表!$E$3:$E$1025,0)))</f>
        <v>3</v>
      </c>
      <c r="J320" s="3">
        <f>IF(INDEX(学年度总表!$J$3:$J$1025,MATCH($E320,学年度总表!$E$3:$E$1025,0))="","",INDEX(学年度总表!$J$3:$J$1025,MATCH($E320,学年度总表!$E$3:$E$1025,0)))</f>
        <v>58.4</v>
      </c>
      <c r="K320" s="3">
        <f>IF(INDEX(学年度总表!$K$3:$K$1025,MATCH($E320,学年度总表!$E$3:$E$1025,0))="","",INDEX(学年度总表!$K$3:$K$1025,MATCH($E320,学年度总表!$E$3:$E$1025,0)))</f>
        <v>9.8000000000000007</v>
      </c>
      <c r="L320" s="3">
        <f>IF(INDEX(学年度总表!$L$3:$L$1025,MATCH($E320,学年度总表!$E$3:$E$1025,0))="","",INDEX(学年度总表!$L$3:$L$1025,MATCH($E320,学年度总表!$E$3:$E$1025,0)))</f>
        <v>41.67</v>
      </c>
      <c r="M320" s="3">
        <f>IF(INDEX(学年度总表!$M$3:$M$1025,MATCH($E320,学年度总表!$E$3:$E$1025,0))="","",INDEX(学年度总表!$M$3:$M$1025,MATCH($E320,学年度总表!$E$3:$E$1025,0)))</f>
        <v>3.5</v>
      </c>
      <c r="N320" s="3">
        <f>IF(INDEX(学年度总表!$N$3:$N$1025,MATCH($E320,学年度总表!$E$3:$E$1025,0))="","",INDEX(学年度总表!$N$3:$N$1025,MATCH($E320,学年度总表!$E$3:$E$1025,0)))</f>
        <v>54.97</v>
      </c>
      <c r="O320" s="3">
        <f>IF(INDEX(学年度总表!$O$3:$O$1025,MATCH($E320,学年度总表!$E$3:$E$1025,0))="","",INDEX(学年度总表!$O$3:$O$1025,MATCH($E320,学年度总表!$E$3:$E$1025,0)))</f>
        <v>113.37</v>
      </c>
      <c r="P320" s="2" t="str">
        <f>IF(INDEX(学年度总表!$P$3:$P$1025,MATCH($E320,学年度总表!$E$3:$E$1025,0))="","",INDEX(学年度总表!$P$3:$P$1025,MATCH($E320,学年度总表!$E$3:$E$1025,0)))</f>
        <v/>
      </c>
      <c r="Q320" s="5" t="str">
        <f>IF(INDEX(学年度总表!$Q$3:$Q$1025,MATCH($E320,学年度总表!$E$3:$E$1025,0))="","",INDEX(学年度总表!$Q$3:$Q$1025,MATCH($E320,学年度总表!$E$3:$E$1025,0)))</f>
        <v/>
      </c>
    </row>
    <row r="321" spans="1:17">
      <c r="A321" s="2">
        <f>IF(INDEX(学年度总表!$A$3:$A$1025,MATCH($E321,学年度总表!$E$3:$E$1025,0))="","",INDEX(学年度总表!$A$3:$A$1025,MATCH($E321,学年度总表!$E$3:$E$1025,0)))</f>
        <v>910</v>
      </c>
      <c r="B321" s="2">
        <f>IF(INDEX(学年度总表!$B$3:$B$1025,MATCH($E321,学年度总表!$E$3:$E$1025,0))="","",INDEX(学年度总表!$B$3:$B$1025,MATCH($E321,学年度总表!$E$3:$E$1025,0)))</f>
        <v>319</v>
      </c>
      <c r="C321" s="2" t="str">
        <f>IF(INDEX(学年度总表!$C$3:$C$1025,MATCH($E321,学年度总表!$E$3:$E$1025,0))="","",INDEX(学年度总表!$C$3:$C$1025,MATCH($E321,学年度总表!$E$3:$E$1025,0)))</f>
        <v>软工</v>
      </c>
      <c r="D321" s="2" t="str">
        <f>IF(INDEX(学年度总表!$D$3:$D$1025,MATCH($E321,学年度总表!$E$3:$E$1025,0))="","",INDEX(学年度总表!$D$3:$D$1025,MATCH($E321,学年度总表!$E$3:$E$1025,0)))</f>
        <v>软工5班</v>
      </c>
      <c r="E321" s="2" t="s">
        <v>1881</v>
      </c>
      <c r="F321" s="2" t="str">
        <f>IF(INDEX(学年度总表!$F$3:$F$1025,MATCH($E321,学年度总表!$E$3:$E$1025,0))="","",INDEX(学年度总表!$F$3:$F$1025,MATCH($E321,学年度总表!$E$3:$E$1025,0)))</f>
        <v>王宇轩</v>
      </c>
      <c r="G321" s="3">
        <f>IF(INDEX(学年度总表!$G$3:$G$1025,MATCH($E321,学年度总表!$E$3:$E$1025,0))="","",INDEX(学年度总表!$G$3:$G$1025,MATCH($E321,学年度总表!$E$3:$E$1025,0)))</f>
        <v>9.8000000000000007</v>
      </c>
      <c r="H321" s="3">
        <f>IF(INDEX(学年度总表!$H$3:$H$1025,MATCH($E321,学年度总表!$E$3:$E$1025,0))="","",INDEX(学年度总表!$H$3:$H$1025,MATCH($E321,学年度总表!$E$3:$E$1025,0)))</f>
        <v>46.38</v>
      </c>
      <c r="I321" s="3">
        <f>IF(INDEX(学年度总表!$I$3:$I$1025,MATCH($E321,学年度总表!$E$3:$E$1025,0))="","",INDEX(学年度总表!$I$3:$I$1025,MATCH($E321,学年度总表!$E$3:$E$1025,0)))</f>
        <v>3</v>
      </c>
      <c r="J321" s="3">
        <f>IF(INDEX(学年度总表!$J$3:$J$1025,MATCH($E321,学年度总表!$E$3:$E$1025,0))="","",INDEX(学年度总表!$J$3:$J$1025,MATCH($E321,学年度总表!$E$3:$E$1025,0)))</f>
        <v>59.18</v>
      </c>
      <c r="K321" s="3">
        <f>IF(INDEX(学年度总表!$K$3:$K$1025,MATCH($E321,学年度总表!$E$3:$E$1025,0))="","",INDEX(学年度总表!$K$3:$K$1025,MATCH($E321,学年度总表!$E$3:$E$1025,0)))</f>
        <v>6.9</v>
      </c>
      <c r="L321" s="3">
        <f>IF(INDEX(学年度总表!$L$3:$L$1025,MATCH($E321,学年度总表!$E$3:$E$1025,0))="","",INDEX(学年度总表!$L$3:$L$1025,MATCH($E321,学年度总表!$E$3:$E$1025,0)))</f>
        <v>43.72</v>
      </c>
      <c r="M321" s="3">
        <f>IF(INDEX(学年度总表!$M$3:$M$1025,MATCH($E321,学年度总表!$E$3:$E$1025,0))="","",INDEX(学年度总表!$M$3:$M$1025,MATCH($E321,学年度总表!$E$3:$E$1025,0)))</f>
        <v>3.5</v>
      </c>
      <c r="N321" s="3">
        <f>IF(INDEX(学年度总表!$N$3:$N$1025,MATCH($E321,学年度总表!$E$3:$E$1025,0))="","",INDEX(学年度总表!$N$3:$N$1025,MATCH($E321,学年度总表!$E$3:$E$1025,0)))</f>
        <v>54.12</v>
      </c>
      <c r="O321" s="3">
        <f>IF(INDEX(学年度总表!$O$3:$O$1025,MATCH($E321,学年度总表!$E$3:$E$1025,0))="","",INDEX(学年度总表!$O$3:$O$1025,MATCH($E321,学年度总表!$E$3:$E$1025,0)))</f>
        <v>113.3</v>
      </c>
      <c r="P321" s="2" t="str">
        <f>IF(INDEX(学年度总表!$P$3:$P$1025,MATCH($E321,学年度总表!$E$3:$E$1025,0))="","",INDEX(学年度总表!$P$3:$P$1025,MATCH($E321,学年度总表!$E$3:$E$1025,0)))</f>
        <v/>
      </c>
      <c r="Q321" s="5" t="str">
        <f>IF(INDEX(学年度总表!$Q$3:$Q$1025,MATCH($E321,学年度总表!$E$3:$E$1025,0))="","",INDEX(学年度总表!$Q$3:$Q$1025,MATCH($E321,学年度总表!$E$3:$E$1025,0)))</f>
        <v/>
      </c>
    </row>
    <row r="322" spans="1:17">
      <c r="A322" s="2">
        <f>IF(INDEX(学年度总表!$A$3:$A$1025,MATCH($E322,学年度总表!$E$3:$E$1025,0))="","",INDEX(学年度总表!$A$3:$A$1025,MATCH($E322,学年度总表!$E$3:$E$1025,0)))</f>
        <v>912</v>
      </c>
      <c r="B322" s="2">
        <f>IF(INDEX(学年度总表!$B$3:$B$1025,MATCH($E322,学年度总表!$E$3:$E$1025,0))="","",INDEX(学年度总表!$B$3:$B$1025,MATCH($E322,学年度总表!$E$3:$E$1025,0)))</f>
        <v>320</v>
      </c>
      <c r="C322" s="2" t="str">
        <f>IF(INDEX(学年度总表!$C$3:$C$1025,MATCH($E322,学年度总表!$E$3:$E$1025,0))="","",INDEX(学年度总表!$C$3:$C$1025,MATCH($E322,学年度总表!$E$3:$E$1025,0)))</f>
        <v>软工</v>
      </c>
      <c r="D322" s="2" t="str">
        <f>IF(INDEX(学年度总表!$D$3:$D$1025,MATCH($E322,学年度总表!$E$3:$E$1025,0))="","",INDEX(学年度总表!$D$3:$D$1025,MATCH($E322,学年度总表!$E$3:$E$1025,0)))</f>
        <v>软工8班</v>
      </c>
      <c r="E322" s="2" t="s">
        <v>1885</v>
      </c>
      <c r="F322" s="2" t="str">
        <f>IF(INDEX(学年度总表!$F$3:$F$1025,MATCH($E322,学年度总表!$E$3:$E$1025,0))="","",INDEX(学年度总表!$F$3:$F$1025,MATCH($E322,学年度总表!$E$3:$E$1025,0)))</f>
        <v>房博晨</v>
      </c>
      <c r="G322" s="3">
        <f>IF(INDEX(学年度总表!$G$3:$G$1025,MATCH($E322,学年度总表!$E$3:$E$1025,0))="","",INDEX(学年度总表!$G$3:$G$1025,MATCH($E322,学年度总表!$E$3:$E$1025,0)))</f>
        <v>6.5</v>
      </c>
      <c r="H322" s="3">
        <f>IF(INDEX(学年度总表!$H$3:$H$1025,MATCH($E322,学年度总表!$E$3:$E$1025,0))="","",INDEX(学年度总表!$H$3:$H$1025,MATCH($E322,学年度总表!$E$3:$E$1025,0)))</f>
        <v>50.887755102040799</v>
      </c>
      <c r="I322" s="3">
        <f>IF(INDEX(学年度总表!$I$3:$I$1025,MATCH($E322,学年度总表!$E$3:$E$1025,0))="","",INDEX(学年度总表!$I$3:$I$1025,MATCH($E322,学年度总表!$E$3:$E$1025,0)))</f>
        <v>3</v>
      </c>
      <c r="J322" s="3">
        <f>IF(INDEX(学年度总表!$J$3:$J$1025,MATCH($E322,学年度总表!$E$3:$E$1025,0))="","",INDEX(学年度总表!$J$3:$J$1025,MATCH($E322,学年度总表!$E$3:$E$1025,0)))</f>
        <v>60.39</v>
      </c>
      <c r="K322" s="3">
        <f>IF(INDEX(学年度总表!$K$3:$K$1025,MATCH($E322,学年度总表!$E$3:$E$1025,0))="","",INDEX(学年度总表!$K$3:$K$1025,MATCH($E322,学年度总表!$E$3:$E$1025,0)))</f>
        <v>7.3000000000000007</v>
      </c>
      <c r="L322" s="3">
        <f>IF(INDEX(学年度总表!$L$3:$L$1025,MATCH($E322,学年度总表!$E$3:$E$1025,0))="","",INDEX(学年度总表!$L$3:$L$1025,MATCH($E322,学年度总表!$E$3:$E$1025,0)))</f>
        <v>42.03</v>
      </c>
      <c r="M322" s="3">
        <f>IF(INDEX(学年度总表!$M$3:$M$1025,MATCH($E322,学年度总表!$E$3:$E$1025,0))="","",INDEX(学年度总表!$M$3:$M$1025,MATCH($E322,学年度总表!$E$3:$E$1025,0)))</f>
        <v>3.5</v>
      </c>
      <c r="N322" s="3">
        <f>IF(INDEX(学年度总表!$N$3:$N$1025,MATCH($E322,学年度总表!$E$3:$E$1025,0))="","",INDEX(学年度总表!$N$3:$N$1025,MATCH($E322,学年度总表!$E$3:$E$1025,0)))</f>
        <v>52.83</v>
      </c>
      <c r="O322" s="3">
        <f>IF(INDEX(学年度总表!$O$3:$O$1025,MATCH($E322,学年度总表!$E$3:$E$1025,0))="","",INDEX(学年度总表!$O$3:$O$1025,MATCH($E322,学年度总表!$E$3:$E$1025,0)))</f>
        <v>113.22</v>
      </c>
      <c r="P322" s="2" t="str">
        <f>IF(INDEX(学年度总表!$P$3:$P$1025,MATCH($E322,学年度总表!$E$3:$E$1025,0))="","",INDEX(学年度总表!$P$3:$P$1025,MATCH($E322,学年度总表!$E$3:$E$1025,0)))</f>
        <v/>
      </c>
      <c r="Q322" s="5" t="str">
        <f>IF(INDEX(学年度总表!$Q$3:$Q$1025,MATCH($E322,学年度总表!$E$3:$E$1025,0))="","",INDEX(学年度总表!$Q$3:$Q$1025,MATCH($E322,学年度总表!$E$3:$E$1025,0)))</f>
        <v/>
      </c>
    </row>
    <row r="323" spans="1:17">
      <c r="A323" s="2">
        <f>IF(INDEX(学年度总表!$A$3:$A$1025,MATCH($E323,学年度总表!$E$3:$E$1025,0))="","",INDEX(学年度总表!$A$3:$A$1025,MATCH($E323,学年度总表!$E$3:$E$1025,0)))</f>
        <v>914</v>
      </c>
      <c r="B323" s="2">
        <f>IF(INDEX(学年度总表!$B$3:$B$1025,MATCH($E323,学年度总表!$E$3:$E$1025,0))="","",INDEX(学年度总表!$B$3:$B$1025,MATCH($E323,学年度总表!$E$3:$E$1025,0)))</f>
        <v>321</v>
      </c>
      <c r="C323" s="2" t="str">
        <f>IF(INDEX(学年度总表!$C$3:$C$1025,MATCH($E323,学年度总表!$E$3:$E$1025,0))="","",INDEX(学年度总表!$C$3:$C$1025,MATCH($E323,学年度总表!$E$3:$E$1025,0)))</f>
        <v>软工</v>
      </c>
      <c r="D323" s="2" t="str">
        <f>IF(INDEX(学年度总表!$D$3:$D$1025,MATCH($E323,学年度总表!$E$3:$E$1025,0))="","",INDEX(学年度总表!$D$3:$D$1025,MATCH($E323,学年度总表!$E$3:$E$1025,0)))</f>
        <v>软工7班</v>
      </c>
      <c r="E323" s="2" t="s">
        <v>1889</v>
      </c>
      <c r="F323" s="2" t="str">
        <f>IF(INDEX(学年度总表!$F$3:$F$1025,MATCH($E323,学年度总表!$E$3:$E$1025,0))="","",INDEX(学年度总表!$F$3:$F$1025,MATCH($E323,学年度总表!$E$3:$E$1025,0)))</f>
        <v>栗靖超</v>
      </c>
      <c r="G323" s="3">
        <f>IF(INDEX(学年度总表!$G$3:$G$1025,MATCH($E323,学年度总表!$E$3:$E$1025,0))="","",INDEX(学年度总表!$G$3:$G$1025,MATCH($E323,学年度总表!$E$3:$E$1025,0)))</f>
        <v>10</v>
      </c>
      <c r="H323" s="3">
        <f>IF(INDEX(学年度总表!$H$3:$H$1025,MATCH($E323,学年度总表!$E$3:$E$1025,0))="","",INDEX(学年度总表!$H$3:$H$1025,MATCH($E323,学年度总表!$E$3:$E$1025,0)))</f>
        <v>45.98</v>
      </c>
      <c r="I323" s="3">
        <f>IF(INDEX(学年度总表!$I$3:$I$1025,MATCH($E323,学年度总表!$E$3:$E$1025,0))="","",INDEX(学年度总表!$I$3:$I$1025,MATCH($E323,学年度总表!$E$3:$E$1025,0)))</f>
        <v>3</v>
      </c>
      <c r="J323" s="3">
        <f>IF(INDEX(学年度总表!$J$3:$J$1025,MATCH($E323,学年度总表!$E$3:$E$1025,0))="","",INDEX(学年度总表!$J$3:$J$1025,MATCH($E323,学年度总表!$E$3:$E$1025,0)))</f>
        <v>58.98</v>
      </c>
      <c r="K323" s="3">
        <f>IF(INDEX(学年度总表!$K$3:$K$1025,MATCH($E323,学年度总表!$E$3:$E$1025,0))="","",INDEX(学年度总表!$K$3:$K$1025,MATCH($E323,学年度总表!$E$3:$E$1025,0)))</f>
        <v>7.5</v>
      </c>
      <c r="L323" s="3">
        <f>IF(INDEX(学年度总表!$L$3:$L$1025,MATCH($E323,学年度总表!$E$3:$E$1025,0))="","",INDEX(学年度总表!$L$3:$L$1025,MATCH($E323,学年度总表!$E$3:$E$1025,0)))</f>
        <v>43.48</v>
      </c>
      <c r="M323" s="3">
        <f>IF(INDEX(学年度总表!$M$3:$M$1025,MATCH($E323,学年度总表!$E$3:$E$1025,0))="","",INDEX(学年度总表!$M$3:$M$1025,MATCH($E323,学年度总表!$E$3:$E$1025,0)))</f>
        <v>3</v>
      </c>
      <c r="N323" s="3">
        <f>IF(INDEX(学年度总表!$N$3:$N$1025,MATCH($E323,学年度总表!$E$3:$E$1025,0))="","",INDEX(学年度总表!$N$3:$N$1025,MATCH($E323,学年度总表!$E$3:$E$1025,0)))</f>
        <v>53.98</v>
      </c>
      <c r="O323" s="3">
        <f>IF(INDEX(学年度总表!$O$3:$O$1025,MATCH($E323,学年度总表!$E$3:$E$1025,0))="","",INDEX(学年度总表!$O$3:$O$1025,MATCH($E323,学年度总表!$E$3:$E$1025,0)))</f>
        <v>112.96</v>
      </c>
      <c r="P323" s="2" t="str">
        <f>IF(INDEX(学年度总表!$P$3:$P$1025,MATCH($E323,学年度总表!$E$3:$E$1025,0))="","",INDEX(学年度总表!$P$3:$P$1025,MATCH($E323,学年度总表!$E$3:$E$1025,0)))</f>
        <v/>
      </c>
      <c r="Q323" s="5" t="str">
        <f>IF(INDEX(学年度总表!$Q$3:$Q$1025,MATCH($E323,学年度总表!$E$3:$E$1025,0))="","",INDEX(学年度总表!$Q$3:$Q$1025,MATCH($E323,学年度总表!$E$3:$E$1025,0)))</f>
        <v/>
      </c>
    </row>
    <row r="324" spans="1:17">
      <c r="A324" s="2">
        <f>IF(INDEX(学年度总表!$A$3:$A$1025,MATCH($E324,学年度总表!$E$3:$E$1025,0))="","",INDEX(学年度总表!$A$3:$A$1025,MATCH($E324,学年度总表!$E$3:$E$1025,0)))</f>
        <v>916</v>
      </c>
      <c r="B324" s="2">
        <f>IF(INDEX(学年度总表!$B$3:$B$1025,MATCH($E324,学年度总表!$E$3:$E$1025,0))="","",INDEX(学年度总表!$B$3:$B$1025,MATCH($E324,学年度总表!$E$3:$E$1025,0)))</f>
        <v>322</v>
      </c>
      <c r="C324" s="2" t="str">
        <f>IF(INDEX(学年度总表!$C$3:$C$1025,MATCH($E324,学年度总表!$E$3:$E$1025,0))="","",INDEX(学年度总表!$C$3:$C$1025,MATCH($E324,学年度总表!$E$3:$E$1025,0)))</f>
        <v>软工</v>
      </c>
      <c r="D324" s="2" t="str">
        <f>IF(INDEX(学年度总表!$D$3:$D$1025,MATCH($E324,学年度总表!$E$3:$E$1025,0))="","",INDEX(学年度总表!$D$3:$D$1025,MATCH($E324,学年度总表!$E$3:$E$1025,0)))</f>
        <v>软工14班</v>
      </c>
      <c r="E324" s="2" t="s">
        <v>1893</v>
      </c>
      <c r="F324" s="2" t="str">
        <f>IF(INDEX(学年度总表!$F$3:$F$1025,MATCH($E324,学年度总表!$E$3:$E$1025,0))="","",INDEX(学年度总表!$F$3:$F$1025,MATCH($E324,学年度总表!$E$3:$E$1025,0)))</f>
        <v>马千壹</v>
      </c>
      <c r="G324" s="3">
        <f>IF(INDEX(学年度总表!$G$3:$G$1025,MATCH($E324,学年度总表!$E$3:$E$1025,0))="","",INDEX(学年度总表!$G$3:$G$1025,MATCH($E324,学年度总表!$E$3:$E$1025,0)))</f>
        <v>9.8000000000000007</v>
      </c>
      <c r="H324" s="3">
        <f>IF(INDEX(学年度总表!$H$3:$H$1025,MATCH($E324,学年度总表!$E$3:$E$1025,0))="","",INDEX(学年度总表!$H$3:$H$1025,MATCH($E324,学年度总表!$E$3:$E$1025,0)))</f>
        <v>46.83</v>
      </c>
      <c r="I324" s="3">
        <f>IF(INDEX(学年度总表!$I$3:$I$1025,MATCH($E324,学年度总表!$E$3:$E$1025,0))="","",INDEX(学年度总表!$I$3:$I$1025,MATCH($E324,学年度总表!$E$3:$E$1025,0)))</f>
        <v>3</v>
      </c>
      <c r="J324" s="3">
        <f>IF(INDEX(学年度总表!$J$3:$J$1025,MATCH($E324,学年度总表!$E$3:$E$1025,0))="","",INDEX(学年度总表!$J$3:$J$1025,MATCH($E324,学年度总表!$E$3:$E$1025,0)))</f>
        <v>59.63</v>
      </c>
      <c r="K324" s="3">
        <f>IF(INDEX(学年度总表!$K$3:$K$1025,MATCH($E324,学年度总表!$E$3:$E$1025,0))="","",INDEX(学年度总表!$K$3:$K$1025,MATCH($E324,学年度总表!$E$3:$E$1025,0)))</f>
        <v>9.8000000000000007</v>
      </c>
      <c r="L324" s="3">
        <f>IF(INDEX(学年度总表!$L$3:$L$1025,MATCH($E324,学年度总表!$E$3:$E$1025,0))="","",INDEX(学年度总表!$L$3:$L$1025,MATCH($E324,学年度总表!$E$3:$E$1025,0)))</f>
        <v>39.770000000000003</v>
      </c>
      <c r="M324" s="3">
        <f>IF(INDEX(学年度总表!$M$3:$M$1025,MATCH($E324,学年度总表!$E$3:$E$1025,0))="","",INDEX(学年度总表!$M$3:$M$1025,MATCH($E324,学年度总表!$E$3:$E$1025,0)))</f>
        <v>3.5</v>
      </c>
      <c r="N324" s="3">
        <f>IF(INDEX(学年度总表!$N$3:$N$1025,MATCH($E324,学年度总表!$E$3:$E$1025,0))="","",INDEX(学年度总表!$N$3:$N$1025,MATCH($E324,学年度总表!$E$3:$E$1025,0)))</f>
        <v>53.07</v>
      </c>
      <c r="O324" s="3">
        <f>IF(INDEX(学年度总表!$O$3:$O$1025,MATCH($E324,学年度总表!$E$3:$E$1025,0))="","",INDEX(学年度总表!$O$3:$O$1025,MATCH($E324,学年度总表!$E$3:$E$1025,0)))</f>
        <v>112.7</v>
      </c>
      <c r="P324" s="2" t="str">
        <f>IF(INDEX(学年度总表!$P$3:$P$1025,MATCH($E324,学年度总表!$E$3:$E$1025,0))="","",INDEX(学年度总表!$P$3:$P$1025,MATCH($E324,学年度总表!$E$3:$E$1025,0)))</f>
        <v/>
      </c>
      <c r="Q324" s="5" t="str">
        <f>IF(INDEX(学年度总表!$Q$3:$Q$1025,MATCH($E324,学年度总表!$E$3:$E$1025,0))="","",INDEX(学年度总表!$Q$3:$Q$1025,MATCH($E324,学年度总表!$E$3:$E$1025,0)))</f>
        <v/>
      </c>
    </row>
    <row r="325" spans="1:17">
      <c r="A325" s="2">
        <f>IF(INDEX(学年度总表!$A$3:$A$1025,MATCH($E325,学年度总表!$E$3:$E$1025,0))="","",INDEX(学年度总表!$A$3:$A$1025,MATCH($E325,学年度总表!$E$3:$E$1025,0)))</f>
        <v>917</v>
      </c>
      <c r="B325" s="2">
        <f>IF(INDEX(学年度总表!$B$3:$B$1025,MATCH($E325,学年度总表!$E$3:$E$1025,0))="","",INDEX(学年度总表!$B$3:$B$1025,MATCH($E325,学年度总表!$E$3:$E$1025,0)))</f>
        <v>323</v>
      </c>
      <c r="C325" s="2" t="str">
        <f>IF(INDEX(学年度总表!$C$3:$C$1025,MATCH($E325,学年度总表!$E$3:$E$1025,0))="","",INDEX(学年度总表!$C$3:$C$1025,MATCH($E325,学年度总表!$E$3:$E$1025,0)))</f>
        <v>软工</v>
      </c>
      <c r="D325" s="2" t="str">
        <f>IF(INDEX(学年度总表!$D$3:$D$1025,MATCH($E325,学年度总表!$E$3:$E$1025,0))="","",INDEX(学年度总表!$D$3:$D$1025,MATCH($E325,学年度总表!$E$3:$E$1025,0)))</f>
        <v>软工6班</v>
      </c>
      <c r="E325" s="2" t="s">
        <v>1895</v>
      </c>
      <c r="F325" s="2" t="str">
        <f>IF(INDEX(学年度总表!$F$3:$F$1025,MATCH($E325,学年度总表!$E$3:$E$1025,0))="","",INDEX(学年度总表!$F$3:$F$1025,MATCH($E325,学年度总表!$E$3:$E$1025,0)))</f>
        <v>牟奕搏</v>
      </c>
      <c r="G325" s="3">
        <f>IF(INDEX(学年度总表!$G$3:$G$1025,MATCH($E325,学年度总表!$E$3:$E$1025,0))="","",INDEX(学年度总表!$G$3:$G$1025,MATCH($E325,学年度总表!$E$3:$E$1025,0)))</f>
        <v>9.8000000000000007</v>
      </c>
      <c r="H325" s="3">
        <f>IF(INDEX(学年度总表!$H$3:$H$1025,MATCH($E325,学年度总表!$E$3:$E$1025,0))="","",INDEX(学年度总表!$H$3:$H$1025,MATCH($E325,学年度总表!$E$3:$E$1025,0)))</f>
        <v>46.466666666666697</v>
      </c>
      <c r="I325" s="3">
        <f>IF(INDEX(学年度总表!$I$3:$I$1025,MATCH($E325,学年度总表!$E$3:$E$1025,0))="","",INDEX(学年度总表!$I$3:$I$1025,MATCH($E325,学年度总表!$E$3:$E$1025,0)))</f>
        <v>3</v>
      </c>
      <c r="J325" s="3">
        <f>IF(INDEX(学年度总表!$J$3:$J$1025,MATCH($E325,学年度总表!$E$3:$E$1025,0))="","",INDEX(学年度总表!$J$3:$J$1025,MATCH($E325,学年度总表!$E$3:$E$1025,0)))</f>
        <v>59.27</v>
      </c>
      <c r="K325" s="3">
        <f>IF(INDEX(学年度总表!$K$3:$K$1025,MATCH($E325,学年度总表!$E$3:$E$1025,0))="","",INDEX(学年度总表!$K$3:$K$1025,MATCH($E325,学年度总表!$E$3:$E$1025,0)))</f>
        <v>9.8000000000000007</v>
      </c>
      <c r="L325" s="3">
        <f>IF(INDEX(学年度总表!$L$3:$L$1025,MATCH($E325,学年度总表!$E$3:$E$1025,0))="","",INDEX(学年度总表!$L$3:$L$1025,MATCH($E325,学年度总表!$E$3:$E$1025,0)))</f>
        <v>40.36</v>
      </c>
      <c r="M325" s="3">
        <f>IF(INDEX(学年度总表!$M$3:$M$1025,MATCH($E325,学年度总表!$E$3:$E$1025,0))="","",INDEX(学年度总表!$M$3:$M$1025,MATCH($E325,学年度总表!$E$3:$E$1025,0)))</f>
        <v>3</v>
      </c>
      <c r="N325" s="3">
        <f>IF(INDEX(学年度总表!$N$3:$N$1025,MATCH($E325,学年度总表!$E$3:$E$1025,0))="","",INDEX(学年度总表!$N$3:$N$1025,MATCH($E325,学年度总表!$E$3:$E$1025,0)))</f>
        <v>53.16</v>
      </c>
      <c r="O325" s="3">
        <f>IF(INDEX(学年度总表!$O$3:$O$1025,MATCH($E325,学年度总表!$E$3:$E$1025,0))="","",INDEX(学年度总表!$O$3:$O$1025,MATCH($E325,学年度总表!$E$3:$E$1025,0)))</f>
        <v>112.43</v>
      </c>
      <c r="P325" s="2" t="str">
        <f>IF(INDEX(学年度总表!$P$3:$P$1025,MATCH($E325,学年度总表!$E$3:$E$1025,0))="","",INDEX(学年度总表!$P$3:$P$1025,MATCH($E325,学年度总表!$E$3:$E$1025,0)))</f>
        <v/>
      </c>
      <c r="Q325" s="5" t="str">
        <f>IF(INDEX(学年度总表!$Q$3:$Q$1025,MATCH($E325,学年度总表!$E$3:$E$1025,0))="","",INDEX(学年度总表!$Q$3:$Q$1025,MATCH($E325,学年度总表!$E$3:$E$1025,0)))</f>
        <v/>
      </c>
    </row>
    <row r="326" spans="1:17">
      <c r="A326" s="2">
        <f>IF(INDEX(学年度总表!$A$3:$A$1025,MATCH($E326,学年度总表!$E$3:$E$1025,0))="","",INDEX(学年度总表!$A$3:$A$1025,MATCH($E326,学年度总表!$E$3:$E$1025,0)))</f>
        <v>918</v>
      </c>
      <c r="B326" s="2">
        <f>IF(INDEX(学年度总表!$B$3:$B$1025,MATCH($E326,学年度总表!$E$3:$E$1025,0))="","",INDEX(学年度总表!$B$3:$B$1025,MATCH($E326,学年度总表!$E$3:$E$1025,0)))</f>
        <v>324</v>
      </c>
      <c r="C326" s="2" t="str">
        <f>IF(INDEX(学年度总表!$C$3:$C$1025,MATCH($E326,学年度总表!$E$3:$E$1025,0))="","",INDEX(学年度总表!$C$3:$C$1025,MATCH($E326,学年度总表!$E$3:$E$1025,0)))</f>
        <v>软工</v>
      </c>
      <c r="D326" s="2" t="str">
        <f>IF(INDEX(学年度总表!$D$3:$D$1025,MATCH($E326,学年度总表!$E$3:$E$1025,0))="","",INDEX(学年度总表!$D$3:$D$1025,MATCH($E326,学年度总表!$E$3:$E$1025,0)))</f>
        <v>软工5班</v>
      </c>
      <c r="E326" s="2" t="s">
        <v>1897</v>
      </c>
      <c r="F326" s="2" t="str">
        <f>IF(INDEX(学年度总表!$F$3:$F$1025,MATCH($E326,学年度总表!$E$3:$E$1025,0))="","",INDEX(学年度总表!$F$3:$F$1025,MATCH($E326,学年度总表!$E$3:$E$1025,0)))</f>
        <v>冯新策</v>
      </c>
      <c r="G326" s="3">
        <f>IF(INDEX(学年度总表!$G$3:$G$1025,MATCH($E326,学年度总表!$E$3:$E$1025,0))="","",INDEX(学年度总表!$G$3:$G$1025,MATCH($E326,学年度总表!$E$3:$E$1025,0)))</f>
        <v>9.8000000000000007</v>
      </c>
      <c r="H326" s="3">
        <f>IF(INDEX(学年度总表!$H$3:$H$1025,MATCH($E326,学年度总表!$E$3:$E$1025,0))="","",INDEX(学年度总表!$H$3:$H$1025,MATCH($E326,学年度总表!$E$3:$E$1025,0)))</f>
        <v>50.59</v>
      </c>
      <c r="I326" s="3">
        <f>IF(INDEX(学年度总表!$I$3:$I$1025,MATCH($E326,学年度总表!$E$3:$E$1025,0))="","",INDEX(学年度总表!$I$3:$I$1025,MATCH($E326,学年度总表!$E$3:$E$1025,0)))</f>
        <v>3</v>
      </c>
      <c r="J326" s="3">
        <f>IF(INDEX(学年度总表!$J$3:$J$1025,MATCH($E326,学年度总表!$E$3:$E$1025,0))="","",INDEX(学年度总表!$J$3:$J$1025,MATCH($E326,学年度总表!$E$3:$E$1025,0)))</f>
        <v>63.39</v>
      </c>
      <c r="K326" s="3">
        <f>IF(INDEX(学年度总表!$K$3:$K$1025,MATCH($E326,学年度总表!$E$3:$E$1025,0))="","",INDEX(学年度总表!$K$3:$K$1025,MATCH($E326,学年度总表!$E$3:$E$1025,0)))</f>
        <v>7.3000000000000007</v>
      </c>
      <c r="L326" s="3">
        <f>IF(INDEX(学年度总表!$L$3:$L$1025,MATCH($E326,学年度总表!$E$3:$E$1025,0))="","",INDEX(学年度总表!$L$3:$L$1025,MATCH($E326,学年度总表!$E$3:$E$1025,0)))</f>
        <v>38.200000000000003</v>
      </c>
      <c r="M326" s="3">
        <f>IF(INDEX(学年度总表!$M$3:$M$1025,MATCH($E326,学年度总表!$E$3:$E$1025,0))="","",INDEX(学年度总表!$M$3:$M$1025,MATCH($E326,学年度总表!$E$3:$E$1025,0)))</f>
        <v>3.5</v>
      </c>
      <c r="N326" s="3">
        <f>IF(INDEX(学年度总表!$N$3:$N$1025,MATCH($E326,学年度总表!$E$3:$E$1025,0))="","",INDEX(学年度总表!$N$3:$N$1025,MATCH($E326,学年度总表!$E$3:$E$1025,0)))</f>
        <v>49</v>
      </c>
      <c r="O326" s="3">
        <f>IF(INDEX(学年度总表!$O$3:$O$1025,MATCH($E326,学年度总表!$E$3:$E$1025,0))="","",INDEX(学年度总表!$O$3:$O$1025,MATCH($E326,学年度总表!$E$3:$E$1025,0)))</f>
        <v>112.39</v>
      </c>
      <c r="P326" s="2" t="str">
        <f>IF(INDEX(学年度总表!$P$3:$P$1025,MATCH($E326,学年度总表!$E$3:$E$1025,0))="","",INDEX(学年度总表!$P$3:$P$1025,MATCH($E326,学年度总表!$E$3:$E$1025,0)))</f>
        <v/>
      </c>
      <c r="Q326" s="5" t="str">
        <f>IF(INDEX(学年度总表!$Q$3:$Q$1025,MATCH($E326,学年度总表!$E$3:$E$1025,0))="","",INDEX(学年度总表!$Q$3:$Q$1025,MATCH($E326,学年度总表!$E$3:$E$1025,0)))</f>
        <v/>
      </c>
    </row>
    <row r="327" spans="1:17">
      <c r="A327" s="2">
        <f>IF(INDEX(学年度总表!$A$3:$A$1025,MATCH($E327,学年度总表!$E$3:$E$1025,0))="","",INDEX(学年度总表!$A$3:$A$1025,MATCH($E327,学年度总表!$E$3:$E$1025,0)))</f>
        <v>919</v>
      </c>
      <c r="B327" s="2">
        <f>IF(INDEX(学年度总表!$B$3:$B$1025,MATCH($E327,学年度总表!$E$3:$E$1025,0))="","",INDEX(学年度总表!$B$3:$B$1025,MATCH($E327,学年度总表!$E$3:$E$1025,0)))</f>
        <v>325</v>
      </c>
      <c r="C327" s="2" t="str">
        <f>IF(INDEX(学年度总表!$C$3:$C$1025,MATCH($E327,学年度总表!$E$3:$E$1025,0))="","",INDEX(学年度总表!$C$3:$C$1025,MATCH($E327,学年度总表!$E$3:$E$1025,0)))</f>
        <v>软工</v>
      </c>
      <c r="D327" s="2" t="str">
        <f>IF(INDEX(学年度总表!$D$3:$D$1025,MATCH($E327,学年度总表!$E$3:$E$1025,0))="","",INDEX(学年度总表!$D$3:$D$1025,MATCH($E327,学年度总表!$E$3:$E$1025,0)))</f>
        <v>软工5班</v>
      </c>
      <c r="E327" s="2" t="s">
        <v>1899</v>
      </c>
      <c r="F327" s="2" t="str">
        <f>IF(INDEX(学年度总表!$F$3:$F$1025,MATCH($E327,学年度总表!$E$3:$E$1025,0))="","",INDEX(学年度总表!$F$3:$F$1025,MATCH($E327,学年度总表!$E$3:$E$1025,0)))</f>
        <v>白汶卉</v>
      </c>
      <c r="G327" s="3">
        <f>IF(INDEX(学年度总表!$G$3:$G$1025,MATCH($E327,学年度总表!$E$3:$E$1025,0))="","",INDEX(学年度总表!$G$3:$G$1025,MATCH($E327,学年度总表!$E$3:$E$1025,0)))</f>
        <v>9.4</v>
      </c>
      <c r="H327" s="3">
        <f>IF(INDEX(学年度总表!$H$3:$H$1025,MATCH($E327,学年度总表!$E$3:$E$1025,0))="","",INDEX(学年度总表!$H$3:$H$1025,MATCH($E327,学年度总表!$E$3:$E$1025,0)))</f>
        <v>46.26</v>
      </c>
      <c r="I327" s="3">
        <f>IF(INDEX(学年度总表!$I$3:$I$1025,MATCH($E327,学年度总表!$E$3:$E$1025,0))="","",INDEX(学年度总表!$I$3:$I$1025,MATCH($E327,学年度总表!$E$3:$E$1025,0)))</f>
        <v>3</v>
      </c>
      <c r="J327" s="3">
        <f>IF(INDEX(学年度总表!$J$3:$J$1025,MATCH($E327,学年度总表!$E$3:$E$1025,0))="","",INDEX(学年度总表!$J$3:$J$1025,MATCH($E327,学年度总表!$E$3:$E$1025,0)))</f>
        <v>58.66</v>
      </c>
      <c r="K327" s="3">
        <f>IF(INDEX(学年度总表!$K$3:$K$1025,MATCH($E327,学年度总表!$E$3:$E$1025,0))="","",INDEX(学年度总表!$K$3:$K$1025,MATCH($E327,学年度总表!$E$3:$E$1025,0)))</f>
        <v>9.4</v>
      </c>
      <c r="L327" s="3">
        <f>IF(INDEX(学年度总表!$L$3:$L$1025,MATCH($E327,学年度总表!$E$3:$E$1025,0))="","",INDEX(学年度总表!$L$3:$L$1025,MATCH($E327,学年度总表!$E$3:$E$1025,0)))</f>
        <v>40.69</v>
      </c>
      <c r="M327" s="3">
        <f>IF(INDEX(学年度总表!$M$3:$M$1025,MATCH($E327,学年度总表!$E$3:$E$1025,0))="","",INDEX(学年度总表!$M$3:$M$1025,MATCH($E327,学年度总表!$E$3:$E$1025,0)))</f>
        <v>3.5</v>
      </c>
      <c r="N327" s="3">
        <f>IF(INDEX(学年度总表!$N$3:$N$1025,MATCH($E327,学年度总表!$E$3:$E$1025,0))="","",INDEX(学年度总表!$N$3:$N$1025,MATCH($E327,学年度总表!$E$3:$E$1025,0)))</f>
        <v>53.59</v>
      </c>
      <c r="O327" s="3">
        <f>IF(INDEX(学年度总表!$O$3:$O$1025,MATCH($E327,学年度总表!$E$3:$E$1025,0))="","",INDEX(学年度总表!$O$3:$O$1025,MATCH($E327,学年度总表!$E$3:$E$1025,0)))</f>
        <v>112.25</v>
      </c>
      <c r="P327" s="2" t="str">
        <f>IF(INDEX(学年度总表!$P$3:$P$1025,MATCH($E327,学年度总表!$E$3:$E$1025,0))="","",INDEX(学年度总表!$P$3:$P$1025,MATCH($E327,学年度总表!$E$3:$E$1025,0)))</f>
        <v/>
      </c>
      <c r="Q327" s="5" t="str">
        <f>IF(INDEX(学年度总表!$Q$3:$Q$1025,MATCH($E327,学年度总表!$E$3:$E$1025,0))="","",INDEX(学年度总表!$Q$3:$Q$1025,MATCH($E327,学年度总表!$E$3:$E$1025,0)))</f>
        <v/>
      </c>
    </row>
    <row r="328" spans="1:17">
      <c r="A328" s="2">
        <f>IF(INDEX(学年度总表!$A$3:$A$1025,MATCH($E328,学年度总表!$E$3:$E$1025,0))="","",INDEX(学年度总表!$A$3:$A$1025,MATCH($E328,学年度总表!$E$3:$E$1025,0)))</f>
        <v>920</v>
      </c>
      <c r="B328" s="2">
        <f>IF(INDEX(学年度总表!$B$3:$B$1025,MATCH($E328,学年度总表!$E$3:$E$1025,0))="","",INDEX(学年度总表!$B$3:$B$1025,MATCH($E328,学年度总表!$E$3:$E$1025,0)))</f>
        <v>326</v>
      </c>
      <c r="C328" s="2" t="str">
        <f>IF(INDEX(学年度总表!$C$3:$C$1025,MATCH($E328,学年度总表!$E$3:$E$1025,0))="","",INDEX(学年度总表!$C$3:$C$1025,MATCH($E328,学年度总表!$E$3:$E$1025,0)))</f>
        <v>软工</v>
      </c>
      <c r="D328" s="2" t="str">
        <f>IF(INDEX(学年度总表!$D$3:$D$1025,MATCH($E328,学年度总表!$E$3:$E$1025,0))="","",INDEX(学年度总表!$D$3:$D$1025,MATCH($E328,学年度总表!$E$3:$E$1025,0)))</f>
        <v>软工10班</v>
      </c>
      <c r="E328" s="2" t="s">
        <v>1901</v>
      </c>
      <c r="F328" s="2" t="str">
        <f>IF(INDEX(学年度总表!$F$3:$F$1025,MATCH($E328,学年度总表!$E$3:$E$1025,0))="","",INDEX(学年度总表!$F$3:$F$1025,MATCH($E328,学年度总表!$E$3:$E$1025,0)))</f>
        <v>高振瀚</v>
      </c>
      <c r="G328" s="3">
        <f>IF(INDEX(学年度总表!$G$3:$G$1025,MATCH($E328,学年度总表!$E$3:$E$1025,0))="","",INDEX(学年度总表!$G$3:$G$1025,MATCH($E328,学年度总表!$E$3:$E$1025,0)))</f>
        <v>10</v>
      </c>
      <c r="H328" s="3">
        <f>IF(INDEX(学年度总表!$H$3:$H$1025,MATCH($E328,学年度总表!$E$3:$E$1025,0))="","",INDEX(学年度总表!$H$3:$H$1025,MATCH($E328,学年度总表!$E$3:$E$1025,0)))</f>
        <v>51.08</v>
      </c>
      <c r="I328" s="3">
        <f>IF(INDEX(学年度总表!$I$3:$I$1025,MATCH($E328,学年度总表!$E$3:$E$1025,0))="","",INDEX(学年度总表!$I$3:$I$1025,MATCH($E328,学年度总表!$E$3:$E$1025,0)))</f>
        <v>3</v>
      </c>
      <c r="J328" s="3">
        <f>IF(INDEX(学年度总表!$J$3:$J$1025,MATCH($E328,学年度总表!$E$3:$E$1025,0))="","",INDEX(学年度总表!$J$3:$J$1025,MATCH($E328,学年度总表!$E$3:$E$1025,0)))</f>
        <v>64.08</v>
      </c>
      <c r="K328" s="3">
        <f>IF(INDEX(学年度总表!$K$3:$K$1025,MATCH($E328,学年度总表!$E$3:$E$1025,0))="","",INDEX(学年度总表!$K$3:$K$1025,MATCH($E328,学年度总表!$E$3:$E$1025,0)))</f>
        <v>10</v>
      </c>
      <c r="L328" s="3">
        <f>IF(INDEX(学年度总表!$L$3:$L$1025,MATCH($E328,学年度总表!$E$3:$E$1025,0))="","",INDEX(学年度总表!$L$3:$L$1025,MATCH($E328,学年度总表!$E$3:$E$1025,0)))</f>
        <v>34.659999999999997</v>
      </c>
      <c r="M328" s="3">
        <f>IF(INDEX(学年度总表!$M$3:$M$1025,MATCH($E328,学年度总表!$E$3:$E$1025,0))="","",INDEX(学年度总表!$M$3:$M$1025,MATCH($E328,学年度总表!$E$3:$E$1025,0)))</f>
        <v>3</v>
      </c>
      <c r="N328" s="3">
        <f>IF(INDEX(学年度总表!$N$3:$N$1025,MATCH($E328,学年度总表!$E$3:$E$1025,0))="","",INDEX(学年度总表!$N$3:$N$1025,MATCH($E328,学年度总表!$E$3:$E$1025,0)))</f>
        <v>47.66</v>
      </c>
      <c r="O328" s="3">
        <f>IF(INDEX(学年度总表!$O$3:$O$1025,MATCH($E328,学年度总表!$E$3:$E$1025,0))="","",INDEX(学年度总表!$O$3:$O$1025,MATCH($E328,学年度总表!$E$3:$E$1025,0)))</f>
        <v>111.74</v>
      </c>
      <c r="P328" s="2" t="str">
        <f>IF(INDEX(学年度总表!$P$3:$P$1025,MATCH($E328,学年度总表!$E$3:$E$1025,0))="","",INDEX(学年度总表!$P$3:$P$1025,MATCH($E328,学年度总表!$E$3:$E$1025,0)))</f>
        <v/>
      </c>
      <c r="Q328" s="5" t="str">
        <f>IF(INDEX(学年度总表!$Q$3:$Q$1025,MATCH($E328,学年度总表!$E$3:$E$1025,0))="","",INDEX(学年度总表!$Q$3:$Q$1025,MATCH($E328,学年度总表!$E$3:$E$1025,0)))</f>
        <v/>
      </c>
    </row>
    <row r="329" spans="1:17">
      <c r="A329" s="2">
        <f>IF(INDEX(学年度总表!$A$3:$A$1025,MATCH($E329,学年度总表!$E$3:$E$1025,0))="","",INDEX(学年度总表!$A$3:$A$1025,MATCH($E329,学年度总表!$E$3:$E$1025,0)))</f>
        <v>921</v>
      </c>
      <c r="B329" s="2">
        <f>IF(INDEX(学年度总表!$B$3:$B$1025,MATCH($E329,学年度总表!$E$3:$E$1025,0))="","",INDEX(学年度总表!$B$3:$B$1025,MATCH($E329,学年度总表!$E$3:$E$1025,0)))</f>
        <v>327</v>
      </c>
      <c r="C329" s="2" t="str">
        <f>IF(INDEX(学年度总表!$C$3:$C$1025,MATCH($E329,学年度总表!$E$3:$E$1025,0))="","",INDEX(学年度总表!$C$3:$C$1025,MATCH($E329,学年度总表!$E$3:$E$1025,0)))</f>
        <v>软工</v>
      </c>
      <c r="D329" s="2" t="str">
        <f>IF(INDEX(学年度总表!$D$3:$D$1025,MATCH($E329,学年度总表!$E$3:$E$1025,0))="","",INDEX(学年度总表!$D$3:$D$1025,MATCH($E329,学年度总表!$E$3:$E$1025,0)))</f>
        <v>软工5班</v>
      </c>
      <c r="E329" s="2" t="s">
        <v>1903</v>
      </c>
      <c r="F329" s="2" t="str">
        <f>IF(INDEX(学年度总表!$F$3:$F$1025,MATCH($E329,学年度总表!$E$3:$E$1025,0))="","",INDEX(学年度总表!$F$3:$F$1025,MATCH($E329,学年度总表!$E$3:$E$1025,0)))</f>
        <v>赵婧伊</v>
      </c>
      <c r="G329" s="3">
        <f>IF(INDEX(学年度总表!$G$3:$G$1025,MATCH($E329,学年度总表!$E$3:$E$1025,0))="","",INDEX(学年度总表!$G$3:$G$1025,MATCH($E329,学年度总表!$E$3:$E$1025,0)))</f>
        <v>9.8000000000000007</v>
      </c>
      <c r="H329" s="3">
        <f>IF(INDEX(学年度总表!$H$3:$H$1025,MATCH($E329,学年度总表!$E$3:$E$1025,0))="","",INDEX(学年度总表!$H$3:$H$1025,MATCH($E329,学年度总表!$E$3:$E$1025,0)))</f>
        <v>41.93</v>
      </c>
      <c r="I329" s="3">
        <f>IF(INDEX(学年度总表!$I$3:$I$1025,MATCH($E329,学年度总表!$E$3:$E$1025,0))="","",INDEX(学年度总表!$I$3:$I$1025,MATCH($E329,学年度总表!$E$3:$E$1025,0)))</f>
        <v>4</v>
      </c>
      <c r="J329" s="3">
        <f>IF(INDEX(学年度总表!$J$3:$J$1025,MATCH($E329,学年度总表!$E$3:$E$1025,0))="","",INDEX(学年度总表!$J$3:$J$1025,MATCH($E329,学年度总表!$E$3:$E$1025,0)))</f>
        <v>55.73</v>
      </c>
      <c r="K329" s="3">
        <f>IF(INDEX(学年度总表!$K$3:$K$1025,MATCH($E329,学年度总表!$E$3:$E$1025,0))="","",INDEX(学年度总表!$K$3:$K$1025,MATCH($E329,学年度总表!$E$3:$E$1025,0)))</f>
        <v>9.8000000000000007</v>
      </c>
      <c r="L329" s="3">
        <f>IF(INDEX(学年度总表!$L$3:$L$1025,MATCH($E329,学年度总表!$E$3:$E$1025,0))="","",INDEX(学年度总表!$L$3:$L$1025,MATCH($E329,学年度总表!$E$3:$E$1025,0)))</f>
        <v>41.34</v>
      </c>
      <c r="M329" s="3">
        <f>IF(INDEX(学年度总表!$M$3:$M$1025,MATCH($E329,学年度总表!$E$3:$E$1025,0))="","",INDEX(学年度总表!$M$3:$M$1025,MATCH($E329,学年度总表!$E$3:$E$1025,0)))</f>
        <v>4.7</v>
      </c>
      <c r="N329" s="3">
        <f>IF(INDEX(学年度总表!$N$3:$N$1025,MATCH($E329,学年度总表!$E$3:$E$1025,0))="","",INDEX(学年度总表!$N$3:$N$1025,MATCH($E329,学年度总表!$E$3:$E$1025,0)))</f>
        <v>55.84</v>
      </c>
      <c r="O329" s="3">
        <f>IF(INDEX(学年度总表!$O$3:$O$1025,MATCH($E329,学年度总表!$E$3:$E$1025,0))="","",INDEX(学年度总表!$O$3:$O$1025,MATCH($E329,学年度总表!$E$3:$E$1025,0)))</f>
        <v>111.57</v>
      </c>
      <c r="P329" s="2" t="str">
        <f>IF(INDEX(学年度总表!$P$3:$P$1025,MATCH($E329,学年度总表!$E$3:$E$1025,0))="","",INDEX(学年度总表!$P$3:$P$1025,MATCH($E329,学年度总表!$E$3:$E$1025,0)))</f>
        <v/>
      </c>
      <c r="Q329" s="5" t="str">
        <f>IF(INDEX(学年度总表!$Q$3:$Q$1025,MATCH($E329,学年度总表!$E$3:$E$1025,0))="","",INDEX(学年度总表!$Q$3:$Q$1025,MATCH($E329,学年度总表!$E$3:$E$1025,0)))</f>
        <v/>
      </c>
    </row>
    <row r="330" spans="1:17">
      <c r="A330" s="2">
        <f>IF(INDEX(学年度总表!$A$3:$A$1025,MATCH($E330,学年度总表!$E$3:$E$1025,0))="","",INDEX(学年度总表!$A$3:$A$1025,MATCH($E330,学年度总表!$E$3:$E$1025,0)))</f>
        <v>932</v>
      </c>
      <c r="B330" s="2">
        <f>IF(INDEX(学年度总表!$B$3:$B$1025,MATCH($E330,学年度总表!$E$3:$E$1025,0))="","",INDEX(学年度总表!$B$3:$B$1025,MATCH($E330,学年度总表!$E$3:$E$1025,0)))</f>
        <v>328</v>
      </c>
      <c r="C330" s="2" t="str">
        <f>IF(INDEX(学年度总表!$C$3:$C$1025,MATCH($E330,学年度总表!$E$3:$E$1025,0))="","",INDEX(学年度总表!$C$3:$C$1025,MATCH($E330,学年度总表!$E$3:$E$1025,0)))</f>
        <v>软工</v>
      </c>
      <c r="D330" s="2" t="str">
        <f>IF(INDEX(学年度总表!$D$3:$D$1025,MATCH($E330,学年度总表!$E$3:$E$1025,0))="","",INDEX(学年度总表!$D$3:$D$1025,MATCH($E330,学年度总表!$E$3:$E$1025,0)))</f>
        <v>软工11班</v>
      </c>
      <c r="E330" s="2" t="s">
        <v>1924</v>
      </c>
      <c r="F330" s="2" t="str">
        <f>IF(INDEX(学年度总表!$F$3:$F$1025,MATCH($E330,学年度总表!$E$3:$E$1025,0))="","",INDEX(学年度总表!$F$3:$F$1025,MATCH($E330,学年度总表!$E$3:$E$1025,0)))</f>
        <v>范嘉伟</v>
      </c>
      <c r="G330" s="3">
        <f>IF(INDEX(学年度总表!$G$3:$G$1025,MATCH($E330,学年度总表!$E$3:$E$1025,0))="","",INDEX(学年度总表!$G$3:$G$1025,MATCH($E330,学年度总表!$E$3:$E$1025,0)))</f>
        <v>9.4</v>
      </c>
      <c r="H330" s="3">
        <f>IF(INDEX(学年度总表!$H$3:$H$1025,MATCH($E330,学年度总表!$E$3:$E$1025,0))="","",INDEX(学年度总表!$H$3:$H$1025,MATCH($E330,学年度总表!$E$3:$E$1025,0)))</f>
        <v>45.26</v>
      </c>
      <c r="I330" s="3">
        <f>IF(INDEX(学年度总表!$I$3:$I$1025,MATCH($E330,学年度总表!$E$3:$E$1025,0))="","",INDEX(学年度总表!$I$3:$I$1025,MATCH($E330,学年度总表!$E$3:$E$1025,0)))</f>
        <v>3</v>
      </c>
      <c r="J330" s="3">
        <f>IF(INDEX(学年度总表!$J$3:$J$1025,MATCH($E330,学年度总表!$E$3:$E$1025,0))="","",INDEX(学年度总表!$J$3:$J$1025,MATCH($E330,学年度总表!$E$3:$E$1025,0)))</f>
        <v>57.66</v>
      </c>
      <c r="K330" s="3">
        <f>IF(INDEX(学年度总表!$K$3:$K$1025,MATCH($E330,学年度总表!$E$3:$E$1025,0))="","",INDEX(学年度总表!$K$3:$K$1025,MATCH($E330,学年度总表!$E$3:$E$1025,0)))</f>
        <v>9.8000000000000007</v>
      </c>
      <c r="L330" s="3">
        <f>IF(INDEX(学年度总表!$L$3:$L$1025,MATCH($E330,学年度总表!$E$3:$E$1025,0))="","",INDEX(学年度总表!$L$3:$L$1025,MATCH($E330,学年度总表!$E$3:$E$1025,0)))</f>
        <v>38.97</v>
      </c>
      <c r="M330" s="3">
        <f>IF(INDEX(学年度总表!$M$3:$M$1025,MATCH($E330,学年度总表!$E$3:$E$1025,0))="","",INDEX(学年度总表!$M$3:$M$1025,MATCH($E330,学年度总表!$E$3:$E$1025,0)))</f>
        <v>3</v>
      </c>
      <c r="N330" s="3">
        <f>IF(INDEX(学年度总表!$N$3:$N$1025,MATCH($E330,学年度总表!$E$3:$E$1025,0))="","",INDEX(学年度总表!$N$3:$N$1025,MATCH($E330,学年度总表!$E$3:$E$1025,0)))</f>
        <v>51.77</v>
      </c>
      <c r="O330" s="3">
        <f>IF(INDEX(学年度总表!$O$3:$O$1025,MATCH($E330,学年度总表!$E$3:$E$1025,0))="","",INDEX(学年度总表!$O$3:$O$1025,MATCH($E330,学年度总表!$E$3:$E$1025,0)))</f>
        <v>109.43</v>
      </c>
      <c r="P330" s="2" t="str">
        <f>IF(INDEX(学年度总表!$P$3:$P$1025,MATCH($E330,学年度总表!$E$3:$E$1025,0))="","",INDEX(学年度总表!$P$3:$P$1025,MATCH($E330,学年度总表!$E$3:$E$1025,0)))</f>
        <v/>
      </c>
      <c r="Q330" s="5" t="str">
        <f>IF(INDEX(学年度总表!$Q$3:$Q$1025,MATCH($E330,学年度总表!$E$3:$E$1025,0))="","",INDEX(学年度总表!$Q$3:$Q$1025,MATCH($E330,学年度总表!$E$3:$E$1025,0)))</f>
        <v/>
      </c>
    </row>
    <row r="331" spans="1:17">
      <c r="A331" s="2">
        <f>IF(INDEX(学年度总表!$A$3:$A$1025,MATCH($E331,学年度总表!$E$3:$E$1025,0))="","",INDEX(学年度总表!$A$3:$A$1025,MATCH($E331,学年度总表!$E$3:$E$1025,0)))</f>
        <v>933</v>
      </c>
      <c r="B331" s="2">
        <f>IF(INDEX(学年度总表!$B$3:$B$1025,MATCH($E331,学年度总表!$E$3:$E$1025,0))="","",INDEX(学年度总表!$B$3:$B$1025,MATCH($E331,学年度总表!$E$3:$E$1025,0)))</f>
        <v>329</v>
      </c>
      <c r="C331" s="2" t="str">
        <f>IF(INDEX(学年度总表!$C$3:$C$1025,MATCH($E331,学年度总表!$E$3:$E$1025,0))="","",INDEX(学年度总表!$C$3:$C$1025,MATCH($E331,学年度总表!$E$3:$E$1025,0)))</f>
        <v>软工</v>
      </c>
      <c r="D331" s="2" t="str">
        <f>IF(INDEX(学年度总表!$D$3:$D$1025,MATCH($E331,学年度总表!$E$3:$E$1025,0))="","",INDEX(学年度总表!$D$3:$D$1025,MATCH($E331,学年度总表!$E$3:$E$1025,0)))</f>
        <v>软工6班</v>
      </c>
      <c r="E331" s="2" t="s">
        <v>1926</v>
      </c>
      <c r="F331" s="2" t="str">
        <f>IF(INDEX(学年度总表!$F$3:$F$1025,MATCH($E331,学年度总表!$E$3:$E$1025,0))="","",INDEX(学年度总表!$F$3:$F$1025,MATCH($E331,学年度总表!$E$3:$E$1025,0)))</f>
        <v>赵韵雅</v>
      </c>
      <c r="G331" s="3">
        <f>IF(INDEX(学年度总表!$G$3:$G$1025,MATCH($E331,学年度总表!$E$3:$E$1025,0))="","",INDEX(学年度总表!$G$3:$G$1025,MATCH($E331,学年度总表!$E$3:$E$1025,0)))</f>
        <v>9.8000000000000007</v>
      </c>
      <c r="H331" s="3">
        <f>IF(INDEX(学年度总表!$H$3:$H$1025,MATCH($E331,学年度总表!$E$3:$E$1025,0))="","",INDEX(学年度总表!$H$3:$H$1025,MATCH($E331,学年度总表!$E$3:$E$1025,0)))</f>
        <v>42.266666666666701</v>
      </c>
      <c r="I331" s="3">
        <f>IF(INDEX(学年度总表!$I$3:$I$1025,MATCH($E331,学年度总表!$E$3:$E$1025,0))="","",INDEX(学年度总表!$I$3:$I$1025,MATCH($E331,学年度总表!$E$3:$E$1025,0)))</f>
        <v>3</v>
      </c>
      <c r="J331" s="3">
        <f>IF(INDEX(学年度总表!$J$3:$J$1025,MATCH($E331,学年度总表!$E$3:$E$1025,0))="","",INDEX(学年度总表!$J$3:$J$1025,MATCH($E331,学年度总表!$E$3:$E$1025,0)))</f>
        <v>55.07</v>
      </c>
      <c r="K331" s="3">
        <f>IF(INDEX(学年度总表!$K$3:$K$1025,MATCH($E331,学年度总表!$E$3:$E$1025,0))="","",INDEX(学年度总表!$K$3:$K$1025,MATCH($E331,学年度总表!$E$3:$E$1025,0)))</f>
        <v>9.8000000000000007</v>
      </c>
      <c r="L331" s="3">
        <f>IF(INDEX(学年度总表!$L$3:$L$1025,MATCH($E331,学年度总表!$E$3:$E$1025,0))="","",INDEX(学年度总表!$L$3:$L$1025,MATCH($E331,学年度总表!$E$3:$E$1025,0)))</f>
        <v>41.43</v>
      </c>
      <c r="M331" s="3">
        <f>IF(INDEX(学年度总表!$M$3:$M$1025,MATCH($E331,学年度总表!$E$3:$E$1025,0))="","",INDEX(学年度总表!$M$3:$M$1025,MATCH($E331,学年度总表!$E$3:$E$1025,0)))</f>
        <v>3</v>
      </c>
      <c r="N331" s="3">
        <f>IF(INDEX(学年度总表!$N$3:$N$1025,MATCH($E331,学年度总表!$E$3:$E$1025,0))="","",INDEX(学年度总表!$N$3:$N$1025,MATCH($E331,学年度总表!$E$3:$E$1025,0)))</f>
        <v>54.23</v>
      </c>
      <c r="O331" s="3">
        <f>IF(INDEX(学年度总表!$O$3:$O$1025,MATCH($E331,学年度总表!$E$3:$E$1025,0))="","",INDEX(学年度总表!$O$3:$O$1025,MATCH($E331,学年度总表!$E$3:$E$1025,0)))</f>
        <v>109.3</v>
      </c>
      <c r="P331" s="2" t="str">
        <f>IF(INDEX(学年度总表!$P$3:$P$1025,MATCH($E331,学年度总表!$E$3:$E$1025,0))="","",INDEX(学年度总表!$P$3:$P$1025,MATCH($E331,学年度总表!$E$3:$E$1025,0)))</f>
        <v/>
      </c>
      <c r="Q331" s="5" t="str">
        <f>IF(INDEX(学年度总表!$Q$3:$Q$1025,MATCH($E331,学年度总表!$E$3:$E$1025,0))="","",INDEX(学年度总表!$Q$3:$Q$1025,MATCH($E331,学年度总表!$E$3:$E$1025,0)))</f>
        <v/>
      </c>
    </row>
    <row r="332" spans="1:17">
      <c r="A332" s="2">
        <f>IF(INDEX(学年度总表!$A$3:$A$1025,MATCH($E332,学年度总表!$E$3:$E$1025,0))="","",INDEX(学年度总表!$A$3:$A$1025,MATCH($E332,学年度总表!$E$3:$E$1025,0)))</f>
        <v>934</v>
      </c>
      <c r="B332" s="2">
        <f>IF(INDEX(学年度总表!$B$3:$B$1025,MATCH($E332,学年度总表!$E$3:$E$1025,0))="","",INDEX(学年度总表!$B$3:$B$1025,MATCH($E332,学年度总表!$E$3:$E$1025,0)))</f>
        <v>330</v>
      </c>
      <c r="C332" s="2" t="str">
        <f>IF(INDEX(学年度总表!$C$3:$C$1025,MATCH($E332,学年度总表!$E$3:$E$1025,0))="","",INDEX(学年度总表!$C$3:$C$1025,MATCH($E332,学年度总表!$E$3:$E$1025,0)))</f>
        <v>软工</v>
      </c>
      <c r="D332" s="2" t="str">
        <f>IF(INDEX(学年度总表!$D$3:$D$1025,MATCH($E332,学年度总表!$E$3:$E$1025,0))="","",INDEX(学年度总表!$D$3:$D$1025,MATCH($E332,学年度总表!$E$3:$E$1025,0)))</f>
        <v>软工8班</v>
      </c>
      <c r="E332" s="2" t="s">
        <v>1928</v>
      </c>
      <c r="F332" s="2" t="str">
        <f>IF(INDEX(学年度总表!$F$3:$F$1025,MATCH($E332,学年度总表!$E$3:$E$1025,0))="","",INDEX(学年度总表!$F$3:$F$1025,MATCH($E332,学年度总表!$E$3:$E$1025,0)))</f>
        <v>刘书赫</v>
      </c>
      <c r="G332" s="3">
        <f>IF(INDEX(学年度总表!$G$3:$G$1025,MATCH($E332,学年度总表!$E$3:$E$1025,0))="","",INDEX(学年度总表!$G$3:$G$1025,MATCH($E332,学年度总表!$E$3:$E$1025,0)))</f>
        <v>6.5</v>
      </c>
      <c r="H332" s="3">
        <f>IF(INDEX(学年度总表!$H$3:$H$1025,MATCH($E332,学年度总表!$E$3:$E$1025,0))="","",INDEX(学年度总表!$H$3:$H$1025,MATCH($E332,学年度总表!$E$3:$E$1025,0)))</f>
        <v>50.5102040816327</v>
      </c>
      <c r="I332" s="3">
        <f>IF(INDEX(学年度总表!$I$3:$I$1025,MATCH($E332,学年度总表!$E$3:$E$1025,0))="","",INDEX(学年度总表!$I$3:$I$1025,MATCH($E332,学年度总表!$E$3:$E$1025,0)))</f>
        <v>3</v>
      </c>
      <c r="J332" s="3">
        <f>IF(INDEX(学年度总表!$J$3:$J$1025,MATCH($E332,学年度总表!$E$3:$E$1025,0))="","",INDEX(学年度总表!$J$3:$J$1025,MATCH($E332,学年度总表!$E$3:$E$1025,0)))</f>
        <v>60.01</v>
      </c>
      <c r="K332" s="3">
        <f>IF(INDEX(学年度总表!$K$3:$K$1025,MATCH($E332,学年度总表!$E$3:$E$1025,0))="","",INDEX(学年度总表!$K$3:$K$1025,MATCH($E332,学年度总表!$E$3:$E$1025,0)))</f>
        <v>10</v>
      </c>
      <c r="L332" s="3">
        <f>IF(INDEX(学年度总表!$L$3:$L$1025,MATCH($E332,学年度总表!$E$3:$E$1025,0))="","",INDEX(学年度总表!$L$3:$L$1025,MATCH($E332,学年度总表!$E$3:$E$1025,0)))</f>
        <v>35.69</v>
      </c>
      <c r="M332" s="3">
        <f>IF(INDEX(学年度总表!$M$3:$M$1025,MATCH($E332,学年度总表!$E$3:$E$1025,0))="","",INDEX(学年度总表!$M$3:$M$1025,MATCH($E332,学年度总表!$E$3:$E$1025,0)))</f>
        <v>3.5</v>
      </c>
      <c r="N332" s="3">
        <f>IF(INDEX(学年度总表!$N$3:$N$1025,MATCH($E332,学年度总表!$E$3:$E$1025,0))="","",INDEX(学年度总表!$N$3:$N$1025,MATCH($E332,学年度总表!$E$3:$E$1025,0)))</f>
        <v>49.19</v>
      </c>
      <c r="O332" s="3">
        <f>IF(INDEX(学年度总表!$O$3:$O$1025,MATCH($E332,学年度总表!$E$3:$E$1025,0))="","",INDEX(学年度总表!$O$3:$O$1025,MATCH($E332,学年度总表!$E$3:$E$1025,0)))</f>
        <v>109.2</v>
      </c>
      <c r="P332" s="2" t="str">
        <f>IF(INDEX(学年度总表!$P$3:$P$1025,MATCH($E332,学年度总表!$E$3:$E$1025,0))="","",INDEX(学年度总表!$P$3:$P$1025,MATCH($E332,学年度总表!$E$3:$E$1025,0)))</f>
        <v/>
      </c>
      <c r="Q332" s="5" t="str">
        <f>IF(INDEX(学年度总表!$Q$3:$Q$1025,MATCH($E332,学年度总表!$E$3:$E$1025,0))="","",INDEX(学年度总表!$Q$3:$Q$1025,MATCH($E332,学年度总表!$E$3:$E$1025,0)))</f>
        <v/>
      </c>
    </row>
    <row r="333" spans="1:17">
      <c r="A333" s="2">
        <f>IF(INDEX(学年度总表!$A$3:$A$1025,MATCH($E333,学年度总表!$E$3:$E$1025,0))="","",INDEX(学年度总表!$A$3:$A$1025,MATCH($E333,学年度总表!$E$3:$E$1025,0)))</f>
        <v>935</v>
      </c>
      <c r="B333" s="2">
        <f>IF(INDEX(学年度总表!$B$3:$B$1025,MATCH($E333,学年度总表!$E$3:$E$1025,0))="","",INDEX(学年度总表!$B$3:$B$1025,MATCH($E333,学年度总表!$E$3:$E$1025,0)))</f>
        <v>331</v>
      </c>
      <c r="C333" s="2" t="str">
        <f>IF(INDEX(学年度总表!$C$3:$C$1025,MATCH($E333,学年度总表!$E$3:$E$1025,0))="","",INDEX(学年度总表!$C$3:$C$1025,MATCH($E333,学年度总表!$E$3:$E$1025,0)))</f>
        <v>软工</v>
      </c>
      <c r="D333" s="2" t="str">
        <f>IF(INDEX(学年度总表!$D$3:$D$1025,MATCH($E333,学年度总表!$E$3:$E$1025,0))="","",INDEX(学年度总表!$D$3:$D$1025,MATCH($E333,学年度总表!$E$3:$E$1025,0)))</f>
        <v>软工12班</v>
      </c>
      <c r="E333" s="2" t="s">
        <v>1930</v>
      </c>
      <c r="F333" s="2" t="str">
        <f>IF(INDEX(学年度总表!$F$3:$F$1025,MATCH($E333,学年度总表!$E$3:$E$1025,0))="","",INDEX(学年度总表!$F$3:$F$1025,MATCH($E333,学年度总表!$E$3:$E$1025,0)))</f>
        <v>晏子航</v>
      </c>
      <c r="G333" s="3">
        <f>IF(INDEX(学年度总表!$G$3:$G$1025,MATCH($E333,学年度总表!$E$3:$E$1025,0))="","",INDEX(学年度总表!$G$3:$G$1025,MATCH($E333,学年度总表!$E$3:$E$1025,0)))</f>
        <v>10</v>
      </c>
      <c r="H333" s="3">
        <f>IF(INDEX(学年度总表!$H$3:$H$1025,MATCH($E333,学年度总表!$E$3:$E$1025,0))="","",INDEX(学年度总表!$H$3:$H$1025,MATCH($E333,学年度总表!$E$3:$E$1025,0)))</f>
        <v>45.16</v>
      </c>
      <c r="I333" s="3">
        <f>IF(INDEX(学年度总表!$I$3:$I$1025,MATCH($E333,学年度总表!$E$3:$E$1025,0))="","",INDEX(学年度总表!$I$3:$I$1025,MATCH($E333,学年度总表!$E$3:$E$1025,0)))</f>
        <v>3</v>
      </c>
      <c r="J333" s="3">
        <f>IF(INDEX(学年度总表!$J$3:$J$1025,MATCH($E333,学年度总表!$E$3:$E$1025,0))="","",INDEX(学年度总表!$J$3:$J$1025,MATCH($E333,学年度总表!$E$3:$E$1025,0)))</f>
        <v>58.16</v>
      </c>
      <c r="K333" s="3">
        <f>IF(INDEX(学年度总表!$K$3:$K$1025,MATCH($E333,学年度总表!$E$3:$E$1025,0))="","",INDEX(学年度总表!$K$3:$K$1025,MATCH($E333,学年度总表!$E$3:$E$1025,0)))</f>
        <v>10</v>
      </c>
      <c r="L333" s="3">
        <f>IF(INDEX(学年度总表!$L$3:$L$1025,MATCH($E333,学年度总表!$E$3:$E$1025,0))="","",INDEX(学年度总表!$L$3:$L$1025,MATCH($E333,学年度总表!$E$3:$E$1025,0)))</f>
        <v>37.4</v>
      </c>
      <c r="M333" s="3">
        <f>IF(INDEX(学年度总表!$M$3:$M$1025,MATCH($E333,学年度总表!$E$3:$E$1025,0))="","",INDEX(学年度总表!$M$3:$M$1025,MATCH($E333,学年度总表!$E$3:$E$1025,0)))</f>
        <v>3.5</v>
      </c>
      <c r="N333" s="3">
        <f>IF(INDEX(学年度总表!$N$3:$N$1025,MATCH($E333,学年度总表!$E$3:$E$1025,0))="","",INDEX(学年度总表!$N$3:$N$1025,MATCH($E333,学年度总表!$E$3:$E$1025,0)))</f>
        <v>50.9</v>
      </c>
      <c r="O333" s="3">
        <f>IF(INDEX(学年度总表!$O$3:$O$1025,MATCH($E333,学年度总表!$E$3:$E$1025,0))="","",INDEX(学年度总表!$O$3:$O$1025,MATCH($E333,学年度总表!$E$3:$E$1025,0)))</f>
        <v>109.06</v>
      </c>
      <c r="P333" s="2" t="str">
        <f>IF(INDEX(学年度总表!$P$3:$P$1025,MATCH($E333,学年度总表!$E$3:$E$1025,0))="","",INDEX(学年度总表!$P$3:$P$1025,MATCH($E333,学年度总表!$E$3:$E$1025,0)))</f>
        <v/>
      </c>
      <c r="Q333" s="5" t="str">
        <f>IF(INDEX(学年度总表!$Q$3:$Q$1025,MATCH($E333,学年度总表!$E$3:$E$1025,0))="","",INDEX(学年度总表!$Q$3:$Q$1025,MATCH($E333,学年度总表!$E$3:$E$1025,0)))</f>
        <v/>
      </c>
    </row>
    <row r="334" spans="1:17">
      <c r="A334" s="2">
        <f>IF(INDEX(学年度总表!$A$3:$A$1025,MATCH($E334,学年度总表!$E$3:$E$1025,0))="","",INDEX(学年度总表!$A$3:$A$1025,MATCH($E334,学年度总表!$E$3:$E$1025,0)))</f>
        <v>937</v>
      </c>
      <c r="B334" s="2">
        <f>IF(INDEX(学年度总表!$B$3:$B$1025,MATCH($E334,学年度总表!$E$3:$E$1025,0))="","",INDEX(学年度总表!$B$3:$B$1025,MATCH($E334,学年度总表!$E$3:$E$1025,0)))</f>
        <v>332</v>
      </c>
      <c r="C334" s="2" t="str">
        <f>IF(INDEX(学年度总表!$C$3:$C$1025,MATCH($E334,学年度总表!$E$3:$E$1025,0))="","",INDEX(学年度总表!$C$3:$C$1025,MATCH($E334,学年度总表!$E$3:$E$1025,0)))</f>
        <v>软工</v>
      </c>
      <c r="D334" s="2" t="str">
        <f>IF(INDEX(学年度总表!$D$3:$D$1025,MATCH($E334,学年度总表!$E$3:$E$1025,0))="","",INDEX(学年度总表!$D$3:$D$1025,MATCH($E334,学年度总表!$E$3:$E$1025,0)))</f>
        <v>软工8班</v>
      </c>
      <c r="E334" s="2" t="s">
        <v>1934</v>
      </c>
      <c r="F334" s="2" t="str">
        <f>IF(INDEX(学年度总表!$F$3:$F$1025,MATCH($E334,学年度总表!$E$3:$E$1025,0))="","",INDEX(学年度总表!$F$3:$F$1025,MATCH($E334,学年度总表!$E$3:$E$1025,0)))</f>
        <v>周易瑶</v>
      </c>
      <c r="G334" s="3">
        <f>IF(INDEX(学年度总表!$G$3:$G$1025,MATCH($E334,学年度总表!$E$3:$E$1025,0))="","",INDEX(学年度总表!$G$3:$G$1025,MATCH($E334,学年度总表!$E$3:$E$1025,0)))</f>
        <v>9.8000000000000007</v>
      </c>
      <c r="H334" s="3">
        <f>IF(INDEX(学年度总表!$H$3:$H$1025,MATCH($E334,学年度总表!$E$3:$E$1025,0))="","",INDEX(学年度总表!$H$3:$H$1025,MATCH($E334,学年度总表!$E$3:$E$1025,0)))</f>
        <v>46.106382978723403</v>
      </c>
      <c r="I334" s="3">
        <f>IF(INDEX(学年度总表!$I$3:$I$1025,MATCH($E334,学年度总表!$E$3:$E$1025,0))="","",INDEX(学年度总表!$I$3:$I$1025,MATCH($E334,学年度总表!$E$3:$E$1025,0)))</f>
        <v>3</v>
      </c>
      <c r="J334" s="3">
        <f>IF(INDEX(学年度总表!$J$3:$J$1025,MATCH($E334,学年度总表!$E$3:$E$1025,0))="","",INDEX(学年度总表!$J$3:$J$1025,MATCH($E334,学年度总表!$E$3:$E$1025,0)))</f>
        <v>58.91</v>
      </c>
      <c r="K334" s="3">
        <f>IF(INDEX(学年度总表!$K$3:$K$1025,MATCH($E334,学年度总表!$E$3:$E$1025,0))="","",INDEX(学年度总表!$K$3:$K$1025,MATCH($E334,学年度总表!$E$3:$E$1025,0)))</f>
        <v>7.3000000000000007</v>
      </c>
      <c r="L334" s="3">
        <f>IF(INDEX(学年度总表!$L$3:$L$1025,MATCH($E334,学年度总表!$E$3:$E$1025,0))="","",INDEX(学年度总表!$L$3:$L$1025,MATCH($E334,学年度总表!$E$3:$E$1025,0)))</f>
        <v>39.1</v>
      </c>
      <c r="M334" s="3">
        <f>IF(INDEX(学年度总表!$M$3:$M$1025,MATCH($E334,学年度总表!$E$3:$E$1025,0))="","",INDEX(学年度总表!$M$3:$M$1025,MATCH($E334,学年度总表!$E$3:$E$1025,0)))</f>
        <v>3.5</v>
      </c>
      <c r="N334" s="3">
        <f>IF(INDEX(学年度总表!$N$3:$N$1025,MATCH($E334,学年度总表!$E$3:$E$1025,0))="","",INDEX(学年度总表!$N$3:$N$1025,MATCH($E334,学年度总表!$E$3:$E$1025,0)))</f>
        <v>49.9</v>
      </c>
      <c r="O334" s="3">
        <f>IF(INDEX(学年度总表!$O$3:$O$1025,MATCH($E334,学年度总表!$E$3:$E$1025,0))="","",INDEX(学年度总表!$O$3:$O$1025,MATCH($E334,学年度总表!$E$3:$E$1025,0)))</f>
        <v>108.81</v>
      </c>
      <c r="P334" s="2" t="str">
        <f>IF(INDEX(学年度总表!$P$3:$P$1025,MATCH($E334,学年度总表!$E$3:$E$1025,0))="","",INDEX(学年度总表!$P$3:$P$1025,MATCH($E334,学年度总表!$E$3:$E$1025,0)))</f>
        <v/>
      </c>
      <c r="Q334" s="5" t="str">
        <f>IF(INDEX(学年度总表!$Q$3:$Q$1025,MATCH($E334,学年度总表!$E$3:$E$1025,0))="","",INDEX(学年度总表!$Q$3:$Q$1025,MATCH($E334,学年度总表!$E$3:$E$1025,0)))</f>
        <v/>
      </c>
    </row>
    <row r="335" spans="1:17">
      <c r="A335" s="2">
        <f>IF(INDEX(学年度总表!$A$3:$A$1025,MATCH($E335,学年度总表!$E$3:$E$1025,0))="","",INDEX(学年度总表!$A$3:$A$1025,MATCH($E335,学年度总表!$E$3:$E$1025,0)))</f>
        <v>941</v>
      </c>
      <c r="B335" s="2">
        <f>IF(INDEX(学年度总表!$B$3:$B$1025,MATCH($E335,学年度总表!$E$3:$E$1025,0))="","",INDEX(学年度总表!$B$3:$B$1025,MATCH($E335,学年度总表!$E$3:$E$1025,0)))</f>
        <v>333</v>
      </c>
      <c r="C335" s="2" t="str">
        <f>IF(INDEX(学年度总表!$C$3:$C$1025,MATCH($E335,学年度总表!$E$3:$E$1025,0))="","",INDEX(学年度总表!$C$3:$C$1025,MATCH($E335,学年度总表!$E$3:$E$1025,0)))</f>
        <v>软工</v>
      </c>
      <c r="D335" s="2" t="str">
        <f>IF(INDEX(学年度总表!$D$3:$D$1025,MATCH($E335,学年度总表!$E$3:$E$1025,0))="","",INDEX(学年度总表!$D$3:$D$1025,MATCH($E335,学年度总表!$E$3:$E$1025,0)))</f>
        <v>软工6班</v>
      </c>
      <c r="E335" s="2" t="s">
        <v>1942</v>
      </c>
      <c r="F335" s="2" t="str">
        <f>IF(INDEX(学年度总表!$F$3:$F$1025,MATCH($E335,学年度总表!$E$3:$E$1025,0))="","",INDEX(学年度总表!$F$3:$F$1025,MATCH($E335,学年度总表!$E$3:$E$1025,0)))</f>
        <v>杨雨峰</v>
      </c>
      <c r="G335" s="3">
        <f>IF(INDEX(学年度总表!$G$3:$G$1025,MATCH($E335,学年度总表!$E$3:$E$1025,0))="","",INDEX(学年度总表!$G$3:$G$1025,MATCH($E335,学年度总表!$E$3:$E$1025,0)))</f>
        <v>9.8000000000000007</v>
      </c>
      <c r="H335" s="3">
        <f>IF(INDEX(学年度总表!$H$3:$H$1025,MATCH($E335,学年度总表!$E$3:$E$1025,0))="","",INDEX(学年度总表!$H$3:$H$1025,MATCH($E335,学年度总表!$E$3:$E$1025,0)))</f>
        <v>38.4</v>
      </c>
      <c r="I335" s="3">
        <f>IF(INDEX(学年度总表!$I$3:$I$1025,MATCH($E335,学年度总表!$E$3:$E$1025,0))="","",INDEX(学年度总表!$I$3:$I$1025,MATCH($E335,学年度总表!$E$3:$E$1025,0)))</f>
        <v>3</v>
      </c>
      <c r="J335" s="3">
        <f>IF(INDEX(学年度总表!$J$3:$J$1025,MATCH($E335,学年度总表!$E$3:$E$1025,0))="","",INDEX(学年度总表!$J$3:$J$1025,MATCH($E335,学年度总表!$E$3:$E$1025,0)))</f>
        <v>51.2</v>
      </c>
      <c r="K335" s="3">
        <f>IF(INDEX(学年度总表!$K$3:$K$1025,MATCH($E335,学年度总表!$E$3:$E$1025,0))="","",INDEX(学年度总表!$K$3:$K$1025,MATCH($E335,学年度总表!$E$3:$E$1025,0)))</f>
        <v>9.8000000000000007</v>
      </c>
      <c r="L335" s="3">
        <f>IF(INDEX(学年度总表!$L$3:$L$1025,MATCH($E335,学年度总表!$E$3:$E$1025,0))="","",INDEX(学年度总表!$L$3:$L$1025,MATCH($E335,学年度总表!$E$3:$E$1025,0)))</f>
        <v>44.32</v>
      </c>
      <c r="M335" s="3">
        <f>IF(INDEX(学年度总表!$M$3:$M$1025,MATCH($E335,学年度总表!$E$3:$E$1025,0))="","",INDEX(学年度总表!$M$3:$M$1025,MATCH($E335,学年度总表!$E$3:$E$1025,0)))</f>
        <v>3</v>
      </c>
      <c r="N335" s="3">
        <f>IF(INDEX(学年度总表!$N$3:$N$1025,MATCH($E335,学年度总表!$E$3:$E$1025,0))="","",INDEX(学年度总表!$N$3:$N$1025,MATCH($E335,学年度总表!$E$3:$E$1025,0)))</f>
        <v>57.12</v>
      </c>
      <c r="O335" s="3">
        <f>IF(INDEX(学年度总表!$O$3:$O$1025,MATCH($E335,学年度总表!$E$3:$E$1025,0))="","",INDEX(学年度总表!$O$3:$O$1025,MATCH($E335,学年度总表!$E$3:$E$1025,0)))</f>
        <v>108.32</v>
      </c>
      <c r="P335" s="2" t="str">
        <f>IF(INDEX(学年度总表!$P$3:$P$1025,MATCH($E335,学年度总表!$E$3:$E$1025,0))="","",INDEX(学年度总表!$P$3:$P$1025,MATCH($E335,学年度总表!$E$3:$E$1025,0)))</f>
        <v/>
      </c>
      <c r="Q335" s="5" t="str">
        <f>IF(INDEX(学年度总表!$Q$3:$Q$1025,MATCH($E335,学年度总表!$E$3:$E$1025,0))="","",INDEX(学年度总表!$Q$3:$Q$1025,MATCH($E335,学年度总表!$E$3:$E$1025,0)))</f>
        <v/>
      </c>
    </row>
    <row r="336" spans="1:17">
      <c r="A336" s="2">
        <f>IF(INDEX(学年度总表!$A$3:$A$1025,MATCH($E336,学年度总表!$E$3:$E$1025,0))="","",INDEX(学年度总表!$A$3:$A$1025,MATCH($E336,学年度总表!$E$3:$E$1025,0)))</f>
        <v>946</v>
      </c>
      <c r="B336" s="2">
        <f>IF(INDEX(学年度总表!$B$3:$B$1025,MATCH($E336,学年度总表!$E$3:$E$1025,0))="","",INDEX(学年度总表!$B$3:$B$1025,MATCH($E336,学年度总表!$E$3:$E$1025,0)))</f>
        <v>334</v>
      </c>
      <c r="C336" s="2" t="str">
        <f>IF(INDEX(学年度总表!$C$3:$C$1025,MATCH($E336,学年度总表!$E$3:$E$1025,0))="","",INDEX(学年度总表!$C$3:$C$1025,MATCH($E336,学年度总表!$E$3:$E$1025,0)))</f>
        <v>软工</v>
      </c>
      <c r="D336" s="2" t="str">
        <f>IF(INDEX(学年度总表!$D$3:$D$1025,MATCH($E336,学年度总表!$E$3:$E$1025,0))="","",INDEX(学年度总表!$D$3:$D$1025,MATCH($E336,学年度总表!$E$3:$E$1025,0)))</f>
        <v>软工7班</v>
      </c>
      <c r="E336" s="2" t="s">
        <v>1952</v>
      </c>
      <c r="F336" s="2" t="str">
        <f>IF(INDEX(学年度总表!$F$3:$F$1025,MATCH($E336,学年度总表!$E$3:$E$1025,0))="","",INDEX(学年度总表!$F$3:$F$1025,MATCH($E336,学年度总表!$E$3:$E$1025,0)))</f>
        <v>韩明轩</v>
      </c>
      <c r="G336" s="3">
        <f>IF(INDEX(学年度总表!$G$3:$G$1025,MATCH($E336,学年度总表!$E$3:$E$1025,0))="","",INDEX(学年度总表!$G$3:$G$1025,MATCH($E336,学年度总表!$E$3:$E$1025,0)))</f>
        <v>9.6</v>
      </c>
      <c r="H336" s="3">
        <f>IF(INDEX(学年度总表!$H$3:$H$1025,MATCH($E336,学年度总表!$E$3:$E$1025,0))="","",INDEX(学年度总表!$H$3:$H$1025,MATCH($E336,学年度总表!$E$3:$E$1025,0)))</f>
        <v>50.55</v>
      </c>
      <c r="I336" s="3">
        <f>IF(INDEX(学年度总表!$I$3:$I$1025,MATCH($E336,学年度总表!$E$3:$E$1025,0))="","",INDEX(学年度总表!$I$3:$I$1025,MATCH($E336,学年度总表!$E$3:$E$1025,0)))</f>
        <v>3</v>
      </c>
      <c r="J336" s="3">
        <f>IF(INDEX(学年度总表!$J$3:$J$1025,MATCH($E336,学年度总表!$E$3:$E$1025,0))="","",INDEX(学年度总表!$J$3:$J$1025,MATCH($E336,学年度总表!$E$3:$E$1025,0)))</f>
        <v>63.15</v>
      </c>
      <c r="K336" s="3">
        <f>IF(INDEX(学年度总表!$K$3:$K$1025,MATCH($E336,学年度总表!$E$3:$E$1025,0))="","",INDEX(学年度总表!$K$3:$K$1025,MATCH($E336,学年度总表!$E$3:$E$1025,0)))</f>
        <v>7.5</v>
      </c>
      <c r="L336" s="3">
        <f>IF(INDEX(学年度总表!$L$3:$L$1025,MATCH($E336,学年度总表!$E$3:$E$1025,0))="","",INDEX(学年度总表!$L$3:$L$1025,MATCH($E336,学年度总表!$E$3:$E$1025,0)))</f>
        <v>34.1</v>
      </c>
      <c r="M336" s="3">
        <f>IF(INDEX(学年度总表!$M$3:$M$1025,MATCH($E336,学年度总表!$E$3:$E$1025,0))="","",INDEX(学年度总表!$M$3:$M$1025,MATCH($E336,学年度总表!$E$3:$E$1025,0)))</f>
        <v>3</v>
      </c>
      <c r="N336" s="3">
        <f>IF(INDEX(学年度总表!$N$3:$N$1025,MATCH($E336,学年度总表!$E$3:$E$1025,0))="","",INDEX(学年度总表!$N$3:$N$1025,MATCH($E336,学年度总表!$E$3:$E$1025,0)))</f>
        <v>44.6</v>
      </c>
      <c r="O336" s="3">
        <f>IF(INDEX(学年度总表!$O$3:$O$1025,MATCH($E336,学年度总表!$E$3:$E$1025,0))="","",INDEX(学年度总表!$O$3:$O$1025,MATCH($E336,学年度总表!$E$3:$E$1025,0)))</f>
        <v>107.75</v>
      </c>
      <c r="P336" s="2" t="str">
        <f>IF(INDEX(学年度总表!$P$3:$P$1025,MATCH($E336,学年度总表!$E$3:$E$1025,0))="","",INDEX(学年度总表!$P$3:$P$1025,MATCH($E336,学年度总表!$E$3:$E$1025,0)))</f>
        <v/>
      </c>
      <c r="Q336" s="5" t="str">
        <f>IF(INDEX(学年度总表!$Q$3:$Q$1025,MATCH($E336,学年度总表!$E$3:$E$1025,0))="","",INDEX(学年度总表!$Q$3:$Q$1025,MATCH($E336,学年度总表!$E$3:$E$1025,0)))</f>
        <v/>
      </c>
    </row>
    <row r="337" spans="1:17">
      <c r="A337" s="2">
        <f>IF(INDEX(学年度总表!$A$3:$A$1025,MATCH($E337,学年度总表!$E$3:$E$1025,0))="","",INDEX(学年度总表!$A$3:$A$1025,MATCH($E337,学年度总表!$E$3:$E$1025,0)))</f>
        <v>949</v>
      </c>
      <c r="B337" s="2">
        <f>IF(INDEX(学年度总表!$B$3:$B$1025,MATCH($E337,学年度总表!$E$3:$E$1025,0))="","",INDEX(学年度总表!$B$3:$B$1025,MATCH($E337,学年度总表!$E$3:$E$1025,0)))</f>
        <v>335</v>
      </c>
      <c r="C337" s="2" t="str">
        <f>IF(INDEX(学年度总表!$C$3:$C$1025,MATCH($E337,学年度总表!$E$3:$E$1025,0))="","",INDEX(学年度总表!$C$3:$C$1025,MATCH($E337,学年度总表!$E$3:$E$1025,0)))</f>
        <v>软工</v>
      </c>
      <c r="D337" s="2" t="str">
        <f>IF(INDEX(学年度总表!$D$3:$D$1025,MATCH($E337,学年度总表!$E$3:$E$1025,0))="","",INDEX(学年度总表!$D$3:$D$1025,MATCH($E337,学年度总表!$E$3:$E$1025,0)))</f>
        <v>软工14班</v>
      </c>
      <c r="E337" s="2" t="s">
        <v>1958</v>
      </c>
      <c r="F337" s="2" t="str">
        <f>IF(INDEX(学年度总表!$F$3:$F$1025,MATCH($E337,学年度总表!$E$3:$E$1025,0))="","",INDEX(学年度总表!$F$3:$F$1025,MATCH($E337,学年度总表!$E$3:$E$1025,0)))</f>
        <v>梁轩</v>
      </c>
      <c r="G337" s="3">
        <f>IF(INDEX(学年度总表!$G$3:$G$1025,MATCH($E337,学年度总表!$E$3:$E$1025,0))="","",INDEX(学年度总表!$G$3:$G$1025,MATCH($E337,学年度总表!$E$3:$E$1025,0)))</f>
        <v>7.3</v>
      </c>
      <c r="H337" s="3">
        <f>IF(INDEX(学年度总表!$H$3:$H$1025,MATCH($E337,学年度总表!$E$3:$E$1025,0))="","",INDEX(学年度总表!$H$3:$H$1025,MATCH($E337,学年度总表!$E$3:$E$1025,0)))</f>
        <v>48.95</v>
      </c>
      <c r="I337" s="3">
        <f>IF(INDEX(学年度总表!$I$3:$I$1025,MATCH($E337,学年度总表!$E$3:$E$1025,0))="","",INDEX(学年度总表!$I$3:$I$1025,MATCH($E337,学年度总表!$E$3:$E$1025,0)))</f>
        <v>3.7</v>
      </c>
      <c r="J337" s="3">
        <f>IF(INDEX(学年度总表!$J$3:$J$1025,MATCH($E337,学年度总表!$E$3:$E$1025,0))="","",INDEX(学年度总表!$J$3:$J$1025,MATCH($E337,学年度总表!$E$3:$E$1025,0)))</f>
        <v>59.95</v>
      </c>
      <c r="K337" s="3">
        <f>IF(INDEX(学年度总表!$K$3:$K$1025,MATCH($E337,学年度总表!$E$3:$E$1025,0))="","",INDEX(学年度总表!$K$3:$K$1025,MATCH($E337,学年度总表!$E$3:$E$1025,0)))</f>
        <v>9.8000000000000007</v>
      </c>
      <c r="L337" s="3">
        <f>IF(INDEX(学年度总表!$L$3:$L$1025,MATCH($E337,学年度总表!$E$3:$E$1025,0))="","",INDEX(学年度总表!$L$3:$L$1025,MATCH($E337,学年度总表!$E$3:$E$1025,0)))</f>
        <v>32.74</v>
      </c>
      <c r="M337" s="3">
        <f>IF(INDEX(学年度总表!$M$3:$M$1025,MATCH($E337,学年度总表!$E$3:$E$1025,0))="","",INDEX(学年度总表!$M$3:$M$1025,MATCH($E337,学年度总表!$E$3:$E$1025,0)))</f>
        <v>4.5</v>
      </c>
      <c r="N337" s="3">
        <f>IF(INDEX(学年度总表!$N$3:$N$1025,MATCH($E337,学年度总表!$E$3:$E$1025,0))="","",INDEX(学年度总表!$N$3:$N$1025,MATCH($E337,学年度总表!$E$3:$E$1025,0)))</f>
        <v>47.04</v>
      </c>
      <c r="O337" s="3">
        <f>IF(INDEX(学年度总表!$O$3:$O$1025,MATCH($E337,学年度总表!$E$3:$E$1025,0))="","",INDEX(学年度总表!$O$3:$O$1025,MATCH($E337,学年度总表!$E$3:$E$1025,0)))</f>
        <v>106.99</v>
      </c>
      <c r="P337" s="2" t="str">
        <f>IF(INDEX(学年度总表!$P$3:$P$1025,MATCH($E337,学年度总表!$E$3:$E$1025,0))="","",INDEX(学年度总表!$P$3:$P$1025,MATCH($E337,学年度总表!$E$3:$E$1025,0)))</f>
        <v/>
      </c>
      <c r="Q337" s="5" t="str">
        <f>IF(INDEX(学年度总表!$Q$3:$Q$1025,MATCH($E337,学年度总表!$E$3:$E$1025,0))="","",INDEX(学年度总表!$Q$3:$Q$1025,MATCH($E337,学年度总表!$E$3:$E$1025,0)))</f>
        <v/>
      </c>
    </row>
    <row r="338" spans="1:17">
      <c r="A338" s="2">
        <f>IF(INDEX(学年度总表!$A$3:$A$1025,MATCH($E338,学年度总表!$E$3:$E$1025,0))="","",INDEX(学年度总表!$A$3:$A$1025,MATCH($E338,学年度总表!$E$3:$E$1025,0)))</f>
        <v>950</v>
      </c>
      <c r="B338" s="2">
        <f>IF(INDEX(学年度总表!$B$3:$B$1025,MATCH($E338,学年度总表!$E$3:$E$1025,0))="","",INDEX(学年度总表!$B$3:$B$1025,MATCH($E338,学年度总表!$E$3:$E$1025,0)))</f>
        <v>336</v>
      </c>
      <c r="C338" s="2" t="str">
        <f>IF(INDEX(学年度总表!$C$3:$C$1025,MATCH($E338,学年度总表!$E$3:$E$1025,0))="","",INDEX(学年度总表!$C$3:$C$1025,MATCH($E338,学年度总表!$E$3:$E$1025,0)))</f>
        <v>软工</v>
      </c>
      <c r="D338" s="2" t="str">
        <f>IF(INDEX(学年度总表!$D$3:$D$1025,MATCH($E338,学年度总表!$E$3:$E$1025,0))="","",INDEX(学年度总表!$D$3:$D$1025,MATCH($E338,学年度总表!$E$3:$E$1025,0)))</f>
        <v>软工13班</v>
      </c>
      <c r="E338" s="2" t="s">
        <v>1960</v>
      </c>
      <c r="F338" s="2" t="str">
        <f>IF(INDEX(学年度总表!$F$3:$F$1025,MATCH($E338,学年度总表!$E$3:$E$1025,0))="","",INDEX(学年度总表!$F$3:$F$1025,MATCH($E338,学年度总表!$E$3:$E$1025,0)))</f>
        <v>石洋铭</v>
      </c>
      <c r="G338" s="3">
        <f>IF(INDEX(学年度总表!$G$3:$G$1025,MATCH($E338,学年度总表!$E$3:$E$1025,0))="","",INDEX(学年度总表!$G$3:$G$1025,MATCH($E338,学年度总表!$E$3:$E$1025,0)))</f>
        <v>10.3</v>
      </c>
      <c r="H338" s="3">
        <f>IF(INDEX(学年度总表!$H$3:$H$1025,MATCH($E338,学年度总表!$E$3:$E$1025,0))="","",INDEX(学年度总表!$H$3:$H$1025,MATCH($E338,学年度总表!$E$3:$E$1025,0)))</f>
        <v>50.05</v>
      </c>
      <c r="I338" s="3">
        <f>IF(INDEX(学年度总表!$I$3:$I$1025,MATCH($E338,学年度总表!$E$3:$E$1025,0))="","",INDEX(学年度总表!$I$3:$I$1025,MATCH($E338,学年度总表!$E$3:$E$1025,0)))</f>
        <v>3.25</v>
      </c>
      <c r="J338" s="3">
        <f>IF(INDEX(学年度总表!$J$3:$J$1025,MATCH($E338,学年度总表!$E$3:$E$1025,0))="","",INDEX(学年度总表!$J$3:$J$1025,MATCH($E338,学年度总表!$E$3:$E$1025,0)))</f>
        <v>63.6</v>
      </c>
      <c r="K338" s="3">
        <f>IF(INDEX(学年度总表!$K$3:$K$1025,MATCH($E338,学年度总表!$E$3:$E$1025,0))="","",INDEX(学年度总表!$K$3:$K$1025,MATCH($E338,学年度总表!$E$3:$E$1025,0)))</f>
        <v>9.4</v>
      </c>
      <c r="L338" s="3">
        <f>IF(INDEX(学年度总表!$L$3:$L$1025,MATCH($E338,学年度总表!$E$3:$E$1025,0))="","",INDEX(学年度总表!$L$3:$L$1025,MATCH($E338,学年度总表!$E$3:$E$1025,0)))</f>
        <v>28.98</v>
      </c>
      <c r="M338" s="3">
        <f>IF(INDEX(学年度总表!$M$3:$M$1025,MATCH($E338,学年度总表!$E$3:$E$1025,0))="","",INDEX(学年度总表!$M$3:$M$1025,MATCH($E338,学年度总表!$E$3:$E$1025,0)))</f>
        <v>3</v>
      </c>
      <c r="N338" s="3">
        <f>IF(INDEX(学年度总表!$N$3:$N$1025,MATCH($E338,学年度总表!$E$3:$E$1025,0))="","",INDEX(学年度总表!$N$3:$N$1025,MATCH($E338,学年度总表!$E$3:$E$1025,0)))</f>
        <v>41.38</v>
      </c>
      <c r="O338" s="3">
        <f>IF(INDEX(学年度总表!$O$3:$O$1025,MATCH($E338,学年度总表!$E$3:$E$1025,0))="","",INDEX(学年度总表!$O$3:$O$1025,MATCH($E338,学年度总表!$E$3:$E$1025,0)))</f>
        <v>104.98</v>
      </c>
      <c r="P338" s="2" t="str">
        <f>IF(INDEX(学年度总表!$P$3:$P$1025,MATCH($E338,学年度总表!$E$3:$E$1025,0))="","",INDEX(学年度总表!$P$3:$P$1025,MATCH($E338,学年度总表!$E$3:$E$1025,0)))</f>
        <v/>
      </c>
      <c r="Q338" s="5" t="str">
        <f>IF(INDEX(学年度总表!$Q$3:$Q$1025,MATCH($E338,学年度总表!$E$3:$E$1025,0))="","",INDEX(学年度总表!$Q$3:$Q$1025,MATCH($E338,学年度总表!$E$3:$E$1025,0)))</f>
        <v/>
      </c>
    </row>
    <row r="339" spans="1:17">
      <c r="A339" s="2">
        <f>IF(INDEX(学年度总表!$A$3:$A$1025,MATCH($E339,学年度总表!$E$3:$E$1025,0))="","",INDEX(学年度总表!$A$3:$A$1025,MATCH($E339,学年度总表!$E$3:$E$1025,0)))</f>
        <v>951</v>
      </c>
      <c r="B339" s="2">
        <f>IF(INDEX(学年度总表!$B$3:$B$1025,MATCH($E339,学年度总表!$E$3:$E$1025,0))="","",INDEX(学年度总表!$B$3:$B$1025,MATCH($E339,学年度总表!$E$3:$E$1025,0)))</f>
        <v>337</v>
      </c>
      <c r="C339" s="2" t="str">
        <f>IF(INDEX(学年度总表!$C$3:$C$1025,MATCH($E339,学年度总表!$E$3:$E$1025,0))="","",INDEX(学年度总表!$C$3:$C$1025,MATCH($E339,学年度总表!$E$3:$E$1025,0)))</f>
        <v>软工</v>
      </c>
      <c r="D339" s="2" t="str">
        <f>IF(INDEX(学年度总表!$D$3:$D$1025,MATCH($E339,学年度总表!$E$3:$E$1025,0))="","",INDEX(学年度总表!$D$3:$D$1025,MATCH($E339,学年度总表!$E$3:$E$1025,0)))</f>
        <v>软工5班</v>
      </c>
      <c r="E339" s="2" t="s">
        <v>1962</v>
      </c>
      <c r="F339" s="2" t="str">
        <f>IF(INDEX(学年度总表!$F$3:$F$1025,MATCH($E339,学年度总表!$E$3:$E$1025,0))="","",INDEX(学年度总表!$F$3:$F$1025,MATCH($E339,学年度总表!$E$3:$E$1025,0)))</f>
        <v>徐晗睿</v>
      </c>
      <c r="G339" s="3">
        <f>IF(INDEX(学年度总表!$G$3:$G$1025,MATCH($E339,学年度总表!$E$3:$E$1025,0))="","",INDEX(学年度总表!$G$3:$G$1025,MATCH($E339,学年度总表!$E$3:$E$1025,0)))</f>
        <v>9.4</v>
      </c>
      <c r="H339" s="3">
        <f>IF(INDEX(学年度总表!$H$3:$H$1025,MATCH($E339,学年度总表!$E$3:$E$1025,0))="","",INDEX(学年度总表!$H$3:$H$1025,MATCH($E339,学年度总表!$E$3:$E$1025,0)))</f>
        <v>44.12</v>
      </c>
      <c r="I339" s="3">
        <f>IF(INDEX(学年度总表!$I$3:$I$1025,MATCH($E339,学年度总表!$E$3:$E$1025,0))="","",INDEX(学年度总表!$I$3:$I$1025,MATCH($E339,学年度总表!$E$3:$E$1025,0)))</f>
        <v>4.5</v>
      </c>
      <c r="J339" s="3">
        <f>IF(INDEX(学年度总表!$J$3:$J$1025,MATCH($E339,学年度总表!$E$3:$E$1025,0))="","",INDEX(学年度总表!$J$3:$J$1025,MATCH($E339,学年度总表!$E$3:$E$1025,0)))</f>
        <v>58.02</v>
      </c>
      <c r="K339" s="3">
        <f>IF(INDEX(学年度总表!$K$3:$K$1025,MATCH($E339,学年度总表!$E$3:$E$1025,0))="","",INDEX(学年度总表!$K$3:$K$1025,MATCH($E339,学年度总表!$E$3:$E$1025,0)))</f>
        <v>7.3000000000000007</v>
      </c>
      <c r="L339" s="3">
        <f>IF(INDEX(学年度总表!$L$3:$L$1025,MATCH($E339,学年度总表!$E$3:$E$1025,0))="","",INDEX(学年度总表!$L$3:$L$1025,MATCH($E339,学年度总表!$E$3:$E$1025,0)))</f>
        <v>35.44</v>
      </c>
      <c r="M339" s="3">
        <f>IF(INDEX(学年度总表!$M$3:$M$1025,MATCH($E339,学年度总表!$E$3:$E$1025,0))="","",INDEX(学年度总表!$M$3:$M$1025,MATCH($E339,学年度总表!$E$3:$E$1025,0)))</f>
        <v>3.5</v>
      </c>
      <c r="N339" s="3">
        <f>IF(INDEX(学年度总表!$N$3:$N$1025,MATCH($E339,学年度总表!$E$3:$E$1025,0))="","",INDEX(学年度总表!$N$3:$N$1025,MATCH($E339,学年度总表!$E$3:$E$1025,0)))</f>
        <v>46.24</v>
      </c>
      <c r="O339" s="3">
        <f>IF(INDEX(学年度总表!$O$3:$O$1025,MATCH($E339,学年度总表!$E$3:$E$1025,0))="","",INDEX(学年度总表!$O$3:$O$1025,MATCH($E339,学年度总表!$E$3:$E$1025,0)))</f>
        <v>104.26</v>
      </c>
      <c r="P339" s="2" t="str">
        <f>IF(INDEX(学年度总表!$P$3:$P$1025,MATCH($E339,学年度总表!$E$3:$E$1025,0))="","",INDEX(学年度总表!$P$3:$P$1025,MATCH($E339,学年度总表!$E$3:$E$1025,0)))</f>
        <v/>
      </c>
      <c r="Q339" s="5" t="str">
        <f>IF(INDEX(学年度总表!$Q$3:$Q$1025,MATCH($E339,学年度总表!$E$3:$E$1025,0))="","",INDEX(学年度总表!$Q$3:$Q$1025,MATCH($E339,学年度总表!$E$3:$E$1025,0)))</f>
        <v/>
      </c>
    </row>
    <row r="340" spans="1:17">
      <c r="A340" s="2">
        <f>IF(INDEX(学年度总表!$A$3:$A$1025,MATCH($E340,学年度总表!$E$3:$E$1025,0))="","",INDEX(学年度总表!$A$3:$A$1025,MATCH($E340,学年度总表!$E$3:$E$1025,0)))</f>
        <v>953</v>
      </c>
      <c r="B340" s="2">
        <f>IF(INDEX(学年度总表!$B$3:$B$1025,MATCH($E340,学年度总表!$E$3:$E$1025,0))="","",INDEX(学年度总表!$B$3:$B$1025,MATCH($E340,学年度总表!$E$3:$E$1025,0)))</f>
        <v>338</v>
      </c>
      <c r="C340" s="2" t="str">
        <f>IF(INDEX(学年度总表!$C$3:$C$1025,MATCH($E340,学年度总表!$E$3:$E$1025,0))="","",INDEX(学年度总表!$C$3:$C$1025,MATCH($E340,学年度总表!$E$3:$E$1025,0)))</f>
        <v>软工</v>
      </c>
      <c r="D340" s="2" t="str">
        <f>IF(INDEX(学年度总表!$D$3:$D$1025,MATCH($E340,学年度总表!$E$3:$E$1025,0))="","",INDEX(学年度总表!$D$3:$D$1025,MATCH($E340,学年度总表!$E$3:$E$1025,0)))</f>
        <v>软工12班</v>
      </c>
      <c r="E340" s="2" t="s">
        <v>1966</v>
      </c>
      <c r="F340" s="2" t="str">
        <f>IF(INDEX(学年度总表!$F$3:$F$1025,MATCH($E340,学年度总表!$E$3:$E$1025,0))="","",INDEX(学年度总表!$F$3:$F$1025,MATCH($E340,学年度总表!$E$3:$E$1025,0)))</f>
        <v>孙瑞铎</v>
      </c>
      <c r="G340" s="3">
        <f>IF(INDEX(学年度总表!$G$3:$G$1025,MATCH($E340,学年度总表!$E$3:$E$1025,0))="","",INDEX(学年度总表!$G$3:$G$1025,MATCH($E340,学年度总表!$E$3:$E$1025,0)))</f>
        <v>9.8000000000000007</v>
      </c>
      <c r="H340" s="3">
        <f>IF(INDEX(学年度总表!$H$3:$H$1025,MATCH($E340,学年度总表!$E$3:$E$1025,0))="","",INDEX(学年度总表!$H$3:$H$1025,MATCH($E340,学年度总表!$E$3:$E$1025,0)))</f>
        <v>39.33</v>
      </c>
      <c r="I340" s="3">
        <f>IF(INDEX(学年度总表!$I$3:$I$1025,MATCH($E340,学年度总表!$E$3:$E$1025,0))="","",INDEX(学年度总表!$I$3:$I$1025,MATCH($E340,学年度总表!$E$3:$E$1025,0)))</f>
        <v>3</v>
      </c>
      <c r="J340" s="3">
        <f>IF(INDEX(学年度总表!$J$3:$J$1025,MATCH($E340,学年度总表!$E$3:$E$1025,0))="","",INDEX(学年度总表!$J$3:$J$1025,MATCH($E340,学年度总表!$E$3:$E$1025,0)))</f>
        <v>52.13</v>
      </c>
      <c r="K340" s="3">
        <f>IF(INDEX(学年度总表!$K$3:$K$1025,MATCH($E340,学年度总表!$E$3:$E$1025,0))="","",INDEX(学年度总表!$K$3:$K$1025,MATCH($E340,学年度总表!$E$3:$E$1025,0)))</f>
        <v>9.8000000000000007</v>
      </c>
      <c r="L340" s="3">
        <f>IF(INDEX(学年度总表!$L$3:$L$1025,MATCH($E340,学年度总表!$E$3:$E$1025,0))="","",INDEX(学年度总表!$L$3:$L$1025,MATCH($E340,学年度总表!$E$3:$E$1025,0)))</f>
        <v>38.35</v>
      </c>
      <c r="M340" s="3">
        <f>IF(INDEX(学年度总表!$M$3:$M$1025,MATCH($E340,学年度总表!$E$3:$E$1025,0))="","",INDEX(学年度总表!$M$3:$M$1025,MATCH($E340,学年度总表!$E$3:$E$1025,0)))</f>
        <v>3.5</v>
      </c>
      <c r="N340" s="3">
        <f>IF(INDEX(学年度总表!$N$3:$N$1025,MATCH($E340,学年度总表!$E$3:$E$1025,0))="","",INDEX(学年度总表!$N$3:$N$1025,MATCH($E340,学年度总表!$E$3:$E$1025,0)))</f>
        <v>51.65</v>
      </c>
      <c r="O340" s="3">
        <f>IF(INDEX(学年度总表!$O$3:$O$1025,MATCH($E340,学年度总表!$E$3:$E$1025,0))="","",INDEX(学年度总表!$O$3:$O$1025,MATCH($E340,学年度总表!$E$3:$E$1025,0)))</f>
        <v>103.78</v>
      </c>
      <c r="P340" s="2" t="str">
        <f>IF(INDEX(学年度总表!$P$3:$P$1025,MATCH($E340,学年度总表!$E$3:$E$1025,0))="","",INDEX(学年度总表!$P$3:$P$1025,MATCH($E340,学年度总表!$E$3:$E$1025,0)))</f>
        <v/>
      </c>
      <c r="Q340" s="5" t="str">
        <f>IF(INDEX(学年度总表!$Q$3:$Q$1025,MATCH($E340,学年度总表!$E$3:$E$1025,0))="","",INDEX(学年度总表!$Q$3:$Q$1025,MATCH($E340,学年度总表!$E$3:$E$1025,0)))</f>
        <v/>
      </c>
    </row>
    <row r="341" spans="1:17">
      <c r="A341" s="2">
        <f>IF(INDEX(学年度总表!$A$3:$A$1025,MATCH($E341,学年度总表!$E$3:$E$1025,0))="","",INDEX(学年度总表!$A$3:$A$1025,MATCH($E341,学年度总表!$E$3:$E$1025,0)))</f>
        <v>957</v>
      </c>
      <c r="B341" s="2">
        <f>IF(INDEX(学年度总表!$B$3:$B$1025,MATCH($E341,学年度总表!$E$3:$E$1025,0))="","",INDEX(学年度总表!$B$3:$B$1025,MATCH($E341,学年度总表!$E$3:$E$1025,0)))</f>
        <v>339</v>
      </c>
      <c r="C341" s="2" t="str">
        <f>IF(INDEX(学年度总表!$C$3:$C$1025,MATCH($E341,学年度总表!$E$3:$E$1025,0))="","",INDEX(学年度总表!$C$3:$C$1025,MATCH($E341,学年度总表!$E$3:$E$1025,0)))</f>
        <v>软工</v>
      </c>
      <c r="D341" s="2" t="str">
        <f>IF(INDEX(学年度总表!$D$3:$D$1025,MATCH($E341,学年度总表!$E$3:$E$1025,0))="","",INDEX(学年度总表!$D$3:$D$1025,MATCH($E341,学年度总表!$E$3:$E$1025,0)))</f>
        <v>软工10班</v>
      </c>
      <c r="E341" s="2" t="s">
        <v>1974</v>
      </c>
      <c r="F341" s="2" t="str">
        <f>IF(INDEX(学年度总表!$F$3:$F$1025,MATCH($E341,学年度总表!$E$3:$E$1025,0))="","",INDEX(学年度总表!$F$3:$F$1025,MATCH($E341,学年度总表!$E$3:$E$1025,0)))</f>
        <v>石俊超</v>
      </c>
      <c r="G341" s="3">
        <f>IF(INDEX(学年度总表!$G$3:$G$1025,MATCH($E341,学年度总表!$E$3:$E$1025,0))="","",INDEX(学年度总表!$G$3:$G$1025,MATCH($E341,学年度总表!$E$3:$E$1025,0)))</f>
        <v>9.8000000000000007</v>
      </c>
      <c r="H341" s="3">
        <f>IF(INDEX(学年度总表!$H$3:$H$1025,MATCH($E341,学年度总表!$E$3:$E$1025,0))="","",INDEX(学年度总表!$H$3:$H$1025,MATCH($E341,学年度总表!$E$3:$E$1025,0)))</f>
        <v>32.299999999999997</v>
      </c>
      <c r="I341" s="3">
        <f>IF(INDEX(学年度总表!$I$3:$I$1025,MATCH($E341,学年度总表!$E$3:$E$1025,0))="","",INDEX(学年度总表!$I$3:$I$1025,MATCH($E341,学年度总表!$E$3:$E$1025,0)))</f>
        <v>3.2</v>
      </c>
      <c r="J341" s="3">
        <f>IF(INDEX(学年度总表!$J$3:$J$1025,MATCH($E341,学年度总表!$E$3:$E$1025,0))="","",INDEX(学年度总表!$J$3:$J$1025,MATCH($E341,学年度总表!$E$3:$E$1025,0)))</f>
        <v>45.3</v>
      </c>
      <c r="K341" s="3">
        <f>IF(INDEX(学年度总表!$K$3:$K$1025,MATCH($E341,学年度总表!$E$3:$E$1025,0))="","",INDEX(学年度总表!$K$3:$K$1025,MATCH($E341,学年度总表!$E$3:$E$1025,0)))</f>
        <v>9.8000000000000007</v>
      </c>
      <c r="L341" s="3">
        <f>IF(INDEX(学年度总表!$L$3:$L$1025,MATCH($E341,学年度总表!$E$3:$E$1025,0))="","",INDEX(学年度总表!$L$3:$L$1025,MATCH($E341,学年度总表!$E$3:$E$1025,0)))</f>
        <v>42.1</v>
      </c>
      <c r="M341" s="3">
        <f>IF(INDEX(学年度总表!$M$3:$M$1025,MATCH($E341,学年度总表!$E$3:$E$1025,0))="","",INDEX(学年度总表!$M$3:$M$1025,MATCH($E341,学年度总表!$E$3:$E$1025,0)))</f>
        <v>3.5</v>
      </c>
      <c r="N341" s="3">
        <f>IF(INDEX(学年度总表!$N$3:$N$1025,MATCH($E341,学年度总表!$E$3:$E$1025,0))="","",INDEX(学年度总表!$N$3:$N$1025,MATCH($E341,学年度总表!$E$3:$E$1025,0)))</f>
        <v>55.4</v>
      </c>
      <c r="O341" s="3">
        <f>IF(INDEX(学年度总表!$O$3:$O$1025,MATCH($E341,学年度总表!$E$3:$E$1025,0))="","",INDEX(学年度总表!$O$3:$O$1025,MATCH($E341,学年度总表!$E$3:$E$1025,0)))</f>
        <v>100.7</v>
      </c>
      <c r="P341" s="2" t="str">
        <f>IF(INDEX(学年度总表!$P$3:$P$1025,MATCH($E341,学年度总表!$E$3:$E$1025,0))="","",INDEX(学年度总表!$P$3:$P$1025,MATCH($E341,学年度总表!$E$3:$E$1025,0)))</f>
        <v/>
      </c>
      <c r="Q341" s="5" t="str">
        <f>IF(INDEX(学年度总表!$Q$3:$Q$1025,MATCH($E341,学年度总表!$E$3:$E$1025,0))="","",INDEX(学年度总表!$Q$3:$Q$1025,MATCH($E341,学年度总表!$E$3:$E$1025,0)))</f>
        <v/>
      </c>
    </row>
    <row r="342" spans="1:17">
      <c r="A342" s="2">
        <f>IF(INDEX(学年度总表!$A$3:$A$1025,MATCH($E342,学年度总表!$E$3:$E$1025,0))="","",INDEX(学年度总表!$A$3:$A$1025,MATCH($E342,学年度总表!$E$3:$E$1025,0)))</f>
        <v>960</v>
      </c>
      <c r="B342" s="2">
        <f>IF(INDEX(学年度总表!$B$3:$B$1025,MATCH($E342,学年度总表!$E$3:$E$1025,0))="","",INDEX(学年度总表!$B$3:$B$1025,MATCH($E342,学年度总表!$E$3:$E$1025,0)))</f>
        <v>340</v>
      </c>
      <c r="C342" s="2" t="str">
        <f>IF(INDEX(学年度总表!$C$3:$C$1025,MATCH($E342,学年度总表!$E$3:$E$1025,0))="","",INDEX(学年度总表!$C$3:$C$1025,MATCH($E342,学年度总表!$E$3:$E$1025,0)))</f>
        <v>软工</v>
      </c>
      <c r="D342" s="2" t="str">
        <f>IF(INDEX(学年度总表!$D$3:$D$1025,MATCH($E342,学年度总表!$E$3:$E$1025,0))="","",INDEX(学年度总表!$D$3:$D$1025,MATCH($E342,学年度总表!$E$3:$E$1025,0)))</f>
        <v>软工6班</v>
      </c>
      <c r="E342" s="2" t="s">
        <v>1980</v>
      </c>
      <c r="F342" s="2" t="str">
        <f>IF(INDEX(学年度总表!$F$3:$F$1025,MATCH($E342,学年度总表!$E$3:$E$1025,0))="","",INDEX(学年度总表!$F$3:$F$1025,MATCH($E342,学年度总表!$E$3:$E$1025,0)))</f>
        <v>陈铭浩</v>
      </c>
      <c r="G342" s="3">
        <f>IF(INDEX(学年度总表!$G$3:$G$1025,MATCH($E342,学年度总表!$E$3:$E$1025,0))="","",INDEX(学年度总表!$G$3:$G$1025,MATCH($E342,学年度总表!$E$3:$E$1025,0)))</f>
        <v>10</v>
      </c>
      <c r="H342" s="3">
        <f>IF(INDEX(学年度总表!$H$3:$H$1025,MATCH($E342,学年度总表!$E$3:$E$1025,0))="","",INDEX(学年度总表!$H$3:$H$1025,MATCH($E342,学年度总表!$E$3:$E$1025,0)))</f>
        <v>46.633333333333297</v>
      </c>
      <c r="I342" s="3">
        <f>IF(INDEX(学年度总表!$I$3:$I$1025,MATCH($E342,学年度总表!$E$3:$E$1025,0))="","",INDEX(学年度总表!$I$3:$I$1025,MATCH($E342,学年度总表!$E$3:$E$1025,0)))</f>
        <v>3</v>
      </c>
      <c r="J342" s="3">
        <f>IF(INDEX(学年度总表!$J$3:$J$1025,MATCH($E342,学年度总表!$E$3:$E$1025,0))="","",INDEX(学年度总表!$J$3:$J$1025,MATCH($E342,学年度总表!$E$3:$E$1025,0)))</f>
        <v>59.63</v>
      </c>
      <c r="K342" s="3">
        <f>IF(INDEX(学年度总表!$K$3:$K$1025,MATCH($E342,学年度总表!$E$3:$E$1025,0))="","",INDEX(学年度总表!$K$3:$K$1025,MATCH($E342,学年度总表!$E$3:$E$1025,0)))</f>
        <v>10</v>
      </c>
      <c r="L342" s="3">
        <f>IF(INDEX(学年度总表!$L$3:$L$1025,MATCH($E342,学年度总表!$E$3:$E$1025,0))="","",INDEX(学年度总表!$L$3:$L$1025,MATCH($E342,学年度总表!$E$3:$E$1025,0)))</f>
        <v>26.93</v>
      </c>
      <c r="M342" s="3">
        <f>IF(INDEX(学年度总表!$M$3:$M$1025,MATCH($E342,学年度总表!$E$3:$E$1025,0))="","",INDEX(学年度总表!$M$3:$M$1025,MATCH($E342,学年度总表!$E$3:$E$1025,0)))</f>
        <v>3</v>
      </c>
      <c r="N342" s="3">
        <f>IF(INDEX(学年度总表!$N$3:$N$1025,MATCH($E342,学年度总表!$E$3:$E$1025,0))="","",INDEX(学年度总表!$N$3:$N$1025,MATCH($E342,学年度总表!$E$3:$E$1025,0)))</f>
        <v>39.93</v>
      </c>
      <c r="O342" s="3">
        <f>IF(INDEX(学年度总表!$O$3:$O$1025,MATCH($E342,学年度总表!$E$3:$E$1025,0))="","",INDEX(学年度总表!$O$3:$O$1025,MATCH($E342,学年度总表!$E$3:$E$1025,0)))</f>
        <v>99.56</v>
      </c>
      <c r="P342" s="2" t="str">
        <f>IF(INDEX(学年度总表!$P$3:$P$1025,MATCH($E342,学年度总表!$E$3:$E$1025,0))="","",INDEX(学年度总表!$P$3:$P$1025,MATCH($E342,学年度总表!$E$3:$E$1025,0)))</f>
        <v/>
      </c>
      <c r="Q342" s="5" t="str">
        <f>IF(INDEX(学年度总表!$Q$3:$Q$1025,MATCH($E342,学年度总表!$E$3:$E$1025,0))="","",INDEX(学年度总表!$Q$3:$Q$1025,MATCH($E342,学年度总表!$E$3:$E$1025,0)))</f>
        <v/>
      </c>
    </row>
    <row r="343" spans="1:17">
      <c r="A343" s="2">
        <f>IF(INDEX(学年度总表!$A$3:$A$1025,MATCH($E343,学年度总表!$E$3:$E$1025,0))="","",INDEX(学年度总表!$A$3:$A$1025,MATCH($E343,学年度总表!$E$3:$E$1025,0)))</f>
        <v>961</v>
      </c>
      <c r="B343" s="2">
        <f>IF(INDEX(学年度总表!$B$3:$B$1025,MATCH($E343,学年度总表!$E$3:$E$1025,0))="","",INDEX(学年度总表!$B$3:$B$1025,MATCH($E343,学年度总表!$E$3:$E$1025,0)))</f>
        <v>341</v>
      </c>
      <c r="C343" s="2" t="str">
        <f>IF(INDEX(学年度总表!$C$3:$C$1025,MATCH($E343,学年度总表!$E$3:$E$1025,0))="","",INDEX(学年度总表!$C$3:$C$1025,MATCH($E343,学年度总表!$E$3:$E$1025,0)))</f>
        <v>软工</v>
      </c>
      <c r="D343" s="2" t="str">
        <f>IF(INDEX(学年度总表!$D$3:$D$1025,MATCH($E343,学年度总表!$E$3:$E$1025,0))="","",INDEX(学年度总表!$D$3:$D$1025,MATCH($E343,学年度总表!$E$3:$E$1025,0)))</f>
        <v>软工11班</v>
      </c>
      <c r="E343" s="2" t="s">
        <v>1982</v>
      </c>
      <c r="F343" s="2" t="str">
        <f>IF(INDEX(学年度总表!$F$3:$F$1025,MATCH($E343,学年度总表!$E$3:$E$1025,0))="","",INDEX(学年度总表!$F$3:$F$1025,MATCH($E343,学年度总表!$E$3:$E$1025,0)))</f>
        <v>张志博</v>
      </c>
      <c r="G343" s="3">
        <f>IF(INDEX(学年度总表!$G$3:$G$1025,MATCH($E343,学年度总表!$E$3:$E$1025,0))="","",INDEX(学年度总表!$G$3:$G$1025,MATCH($E343,学年度总表!$E$3:$E$1025,0)))</f>
        <v>9.4</v>
      </c>
      <c r="H343" s="3">
        <f>IF(INDEX(学年度总表!$H$3:$H$1025,MATCH($E343,学年度总表!$E$3:$E$1025,0))="","",INDEX(学年度总表!$H$3:$H$1025,MATCH($E343,学年度总表!$E$3:$E$1025,0)))</f>
        <v>45.55</v>
      </c>
      <c r="I343" s="3">
        <f>IF(INDEX(学年度总表!$I$3:$I$1025,MATCH($E343,学年度总表!$E$3:$E$1025,0))="","",INDEX(学年度总表!$I$3:$I$1025,MATCH($E343,学年度总表!$E$3:$E$1025,0)))</f>
        <v>3</v>
      </c>
      <c r="J343" s="3">
        <f>IF(INDEX(学年度总表!$J$3:$J$1025,MATCH($E343,学年度总表!$E$3:$E$1025,0))="","",INDEX(学年度总表!$J$3:$J$1025,MATCH($E343,学年度总表!$E$3:$E$1025,0)))</f>
        <v>57.95</v>
      </c>
      <c r="K343" s="3">
        <f>IF(INDEX(学年度总表!$K$3:$K$1025,MATCH($E343,学年度总表!$E$3:$E$1025,0))="","",INDEX(学年度总表!$K$3:$K$1025,MATCH($E343,学年度总表!$E$3:$E$1025,0)))</f>
        <v>9.4</v>
      </c>
      <c r="L343" s="3">
        <f>IF(INDEX(学年度总表!$L$3:$L$1025,MATCH($E343,学年度总表!$E$3:$E$1025,0))="","",INDEX(学年度总表!$L$3:$L$1025,MATCH($E343,学年度总表!$E$3:$E$1025,0)))</f>
        <v>28.51</v>
      </c>
      <c r="M343" s="3">
        <f>IF(INDEX(学年度总表!$M$3:$M$1025,MATCH($E343,学年度总表!$E$3:$E$1025,0))="","",INDEX(学年度总表!$M$3:$M$1025,MATCH($E343,学年度总表!$E$3:$E$1025,0)))</f>
        <v>3</v>
      </c>
      <c r="N343" s="3">
        <f>IF(INDEX(学年度总表!$N$3:$N$1025,MATCH($E343,学年度总表!$E$3:$E$1025,0))="","",INDEX(学年度总表!$N$3:$N$1025,MATCH($E343,学年度总表!$E$3:$E$1025,0)))</f>
        <v>40.909999999999997</v>
      </c>
      <c r="O343" s="3">
        <f>IF(INDEX(学年度总表!$O$3:$O$1025,MATCH($E343,学年度总表!$E$3:$E$1025,0))="","",INDEX(学年度总表!$O$3:$O$1025,MATCH($E343,学年度总表!$E$3:$E$1025,0)))</f>
        <v>98.86</v>
      </c>
      <c r="P343" s="2" t="str">
        <f>IF(INDEX(学年度总表!$P$3:$P$1025,MATCH($E343,学年度总表!$E$3:$E$1025,0))="","",INDEX(学年度总表!$P$3:$P$1025,MATCH($E343,学年度总表!$E$3:$E$1025,0)))</f>
        <v/>
      </c>
      <c r="Q343" s="5" t="str">
        <f>IF(INDEX(学年度总表!$Q$3:$Q$1025,MATCH($E343,学年度总表!$E$3:$E$1025,0))="","",INDEX(学年度总表!$Q$3:$Q$1025,MATCH($E343,学年度总表!$E$3:$E$1025,0)))</f>
        <v/>
      </c>
    </row>
    <row r="344" spans="1:17">
      <c r="A344" s="2">
        <f>IF(INDEX(学年度总表!$A$3:$A$1025,MATCH($E344,学年度总表!$E$3:$E$1025,0))="","",INDEX(学年度总表!$A$3:$A$1025,MATCH($E344,学年度总表!$E$3:$E$1025,0)))</f>
        <v>967</v>
      </c>
      <c r="B344" s="2">
        <f>IF(INDEX(学年度总表!$B$3:$B$1025,MATCH($E344,学年度总表!$E$3:$E$1025,0))="","",INDEX(学年度总表!$B$3:$B$1025,MATCH($E344,学年度总表!$E$3:$E$1025,0)))</f>
        <v>342</v>
      </c>
      <c r="C344" s="2" t="str">
        <f>IF(INDEX(学年度总表!$C$3:$C$1025,MATCH($E344,学年度总表!$E$3:$E$1025,0))="","",INDEX(学年度总表!$C$3:$C$1025,MATCH($E344,学年度总表!$E$3:$E$1025,0)))</f>
        <v>软工</v>
      </c>
      <c r="D344" s="2" t="str">
        <f>IF(INDEX(学年度总表!$D$3:$D$1025,MATCH($E344,学年度总表!$E$3:$E$1025,0))="","",INDEX(学年度总表!$D$3:$D$1025,MATCH($E344,学年度总表!$E$3:$E$1025,0)))</f>
        <v>软工11班</v>
      </c>
      <c r="E344" s="2" t="s">
        <v>1994</v>
      </c>
      <c r="F344" s="2" t="str">
        <f>IF(INDEX(学年度总表!$F$3:$F$1025,MATCH($E344,学年度总表!$E$3:$E$1025,0))="","",INDEX(学年度总表!$F$3:$F$1025,MATCH($E344,学年度总表!$E$3:$E$1025,0)))</f>
        <v>郝少菡</v>
      </c>
      <c r="G344" s="3">
        <f>IF(INDEX(学年度总表!$G$3:$G$1025,MATCH($E344,学年度总表!$E$3:$E$1025,0))="","",INDEX(学年度总表!$G$3:$G$1025,MATCH($E344,学年度总表!$E$3:$E$1025,0)))</f>
        <v>9.8000000000000007</v>
      </c>
      <c r="H344" s="3">
        <f>IF(INDEX(学年度总表!$H$3:$H$1025,MATCH($E344,学年度总表!$E$3:$E$1025,0))="","",INDEX(学年度总表!$H$3:$H$1025,MATCH($E344,学年度总表!$E$3:$E$1025,0)))</f>
        <v>40.020000000000003</v>
      </c>
      <c r="I344" s="3">
        <f>IF(INDEX(学年度总表!$I$3:$I$1025,MATCH($E344,学年度总表!$E$3:$E$1025,0))="","",INDEX(学年度总表!$I$3:$I$1025,MATCH($E344,学年度总表!$E$3:$E$1025,0)))</f>
        <v>3</v>
      </c>
      <c r="J344" s="3">
        <f>IF(INDEX(学年度总表!$J$3:$J$1025,MATCH($E344,学年度总表!$E$3:$E$1025,0))="","",INDEX(学年度总表!$J$3:$J$1025,MATCH($E344,学年度总表!$E$3:$E$1025,0)))</f>
        <v>52.82</v>
      </c>
      <c r="K344" s="3">
        <f>IF(INDEX(学年度总表!$K$3:$K$1025,MATCH($E344,学年度总表!$E$3:$E$1025,0))="","",INDEX(学年度总表!$K$3:$K$1025,MATCH($E344,学年度总表!$E$3:$E$1025,0)))</f>
        <v>9.8000000000000007</v>
      </c>
      <c r="L344" s="3">
        <f>IF(INDEX(学年度总表!$L$3:$L$1025,MATCH($E344,学年度总表!$E$3:$E$1025,0))="","",INDEX(学年度总表!$L$3:$L$1025,MATCH($E344,学年度总表!$E$3:$E$1025,0)))</f>
        <v>30.92</v>
      </c>
      <c r="M344" s="3">
        <f>IF(INDEX(学年度总表!$M$3:$M$1025,MATCH($E344,学年度总表!$E$3:$E$1025,0))="","",INDEX(学年度总表!$M$3:$M$1025,MATCH($E344,学年度总表!$E$3:$E$1025,0)))</f>
        <v>3</v>
      </c>
      <c r="N344" s="3">
        <f>IF(INDEX(学年度总表!$N$3:$N$1025,MATCH($E344,学年度总表!$E$3:$E$1025,0))="","",INDEX(学年度总表!$N$3:$N$1025,MATCH($E344,学年度总表!$E$3:$E$1025,0)))</f>
        <v>43.72</v>
      </c>
      <c r="O344" s="3">
        <f>IF(INDEX(学年度总表!$O$3:$O$1025,MATCH($E344,学年度总表!$E$3:$E$1025,0))="","",INDEX(学年度总表!$O$3:$O$1025,MATCH($E344,学年度总表!$E$3:$E$1025,0)))</f>
        <v>96.54</v>
      </c>
      <c r="P344" s="2" t="str">
        <f>IF(INDEX(学年度总表!$P$3:$P$1025,MATCH($E344,学年度总表!$E$3:$E$1025,0))="","",INDEX(学年度总表!$P$3:$P$1025,MATCH($E344,学年度总表!$E$3:$E$1025,0)))</f>
        <v/>
      </c>
      <c r="Q344" s="5" t="str">
        <f>IF(INDEX(学年度总表!$Q$3:$Q$1025,MATCH($E344,学年度总表!$E$3:$E$1025,0))="","",INDEX(学年度总表!$Q$3:$Q$1025,MATCH($E344,学年度总表!$E$3:$E$1025,0)))</f>
        <v/>
      </c>
    </row>
    <row r="345" spans="1:17">
      <c r="A345" s="2">
        <f>IF(INDEX(学年度总表!$A$3:$A$1025,MATCH($E345,学年度总表!$E$3:$E$1025,0))="","",INDEX(学年度总表!$A$3:$A$1025,MATCH($E345,学年度总表!$E$3:$E$1025,0)))</f>
        <v>968</v>
      </c>
      <c r="B345" s="2">
        <f>IF(INDEX(学年度总表!$B$3:$B$1025,MATCH($E345,学年度总表!$E$3:$E$1025,0))="","",INDEX(学年度总表!$B$3:$B$1025,MATCH($E345,学年度总表!$E$3:$E$1025,0)))</f>
        <v>343</v>
      </c>
      <c r="C345" s="2" t="str">
        <f>IF(INDEX(学年度总表!$C$3:$C$1025,MATCH($E345,学年度总表!$E$3:$E$1025,0))="","",INDEX(学年度总表!$C$3:$C$1025,MATCH($E345,学年度总表!$E$3:$E$1025,0)))</f>
        <v>软工</v>
      </c>
      <c r="D345" s="2" t="str">
        <f>IF(INDEX(学年度总表!$D$3:$D$1025,MATCH($E345,学年度总表!$E$3:$E$1025,0))="","",INDEX(学年度总表!$D$3:$D$1025,MATCH($E345,学年度总表!$E$3:$E$1025,0)))</f>
        <v>软工12班</v>
      </c>
      <c r="E345" s="2" t="s">
        <v>1996</v>
      </c>
      <c r="F345" s="2" t="str">
        <f>IF(INDEX(学年度总表!$F$3:$F$1025,MATCH($E345,学年度总表!$E$3:$E$1025,0))="","",INDEX(学年度总表!$F$3:$F$1025,MATCH($E345,学年度总表!$E$3:$E$1025,0)))</f>
        <v>武忠阳</v>
      </c>
      <c r="G345" s="3">
        <f>IF(INDEX(学年度总表!$G$3:$G$1025,MATCH($E345,学年度总表!$E$3:$E$1025,0))="","",INDEX(学年度总表!$G$3:$G$1025,MATCH($E345,学年度总表!$E$3:$E$1025,0)))</f>
        <v>9.8000000000000007</v>
      </c>
      <c r="H345" s="3">
        <f>IF(INDEX(学年度总表!$H$3:$H$1025,MATCH($E345,学年度总表!$E$3:$E$1025,0))="","",INDEX(学年度总表!$H$3:$H$1025,MATCH($E345,学年度总表!$E$3:$E$1025,0)))</f>
        <v>40.58</v>
      </c>
      <c r="I345" s="3">
        <f>IF(INDEX(学年度总表!$I$3:$I$1025,MATCH($E345,学年度总表!$E$3:$E$1025,0))="","",INDEX(学年度总表!$I$3:$I$1025,MATCH($E345,学年度总表!$E$3:$E$1025,0)))</f>
        <v>3</v>
      </c>
      <c r="J345" s="3">
        <f>IF(INDEX(学年度总表!$J$3:$J$1025,MATCH($E345,学年度总表!$E$3:$E$1025,0))="","",INDEX(学年度总表!$J$3:$J$1025,MATCH($E345,学年度总表!$E$3:$E$1025,0)))</f>
        <v>53.38</v>
      </c>
      <c r="K345" s="3">
        <f>IF(INDEX(学年度总表!$K$3:$K$1025,MATCH($E345,学年度总表!$E$3:$E$1025,0))="","",INDEX(学年度总表!$K$3:$K$1025,MATCH($E345,学年度总表!$E$3:$E$1025,0)))</f>
        <v>9.8000000000000007</v>
      </c>
      <c r="L345" s="3">
        <f>IF(INDEX(学年度总表!$L$3:$L$1025,MATCH($E345,学年度总表!$E$3:$E$1025,0))="","",INDEX(学年度总表!$L$3:$L$1025,MATCH($E345,学年度总表!$E$3:$E$1025,0)))</f>
        <v>29.01</v>
      </c>
      <c r="M345" s="3">
        <f>IF(INDEX(学年度总表!$M$3:$M$1025,MATCH($E345,学年度总表!$E$3:$E$1025,0))="","",INDEX(学年度总表!$M$3:$M$1025,MATCH($E345,学年度总表!$E$3:$E$1025,0)))</f>
        <v>3.5</v>
      </c>
      <c r="N345" s="3">
        <f>IF(INDEX(学年度总表!$N$3:$N$1025,MATCH($E345,学年度总表!$E$3:$E$1025,0))="","",INDEX(学年度总表!$N$3:$N$1025,MATCH($E345,学年度总表!$E$3:$E$1025,0)))</f>
        <v>42.31</v>
      </c>
      <c r="O345" s="3">
        <f>IF(INDEX(学年度总表!$O$3:$O$1025,MATCH($E345,学年度总表!$E$3:$E$1025,0))="","",INDEX(学年度总表!$O$3:$O$1025,MATCH($E345,学年度总表!$E$3:$E$1025,0)))</f>
        <v>95.69</v>
      </c>
      <c r="P345" s="2" t="str">
        <f>IF(INDEX(学年度总表!$P$3:$P$1025,MATCH($E345,学年度总表!$E$3:$E$1025,0))="","",INDEX(学年度总表!$P$3:$P$1025,MATCH($E345,学年度总表!$E$3:$E$1025,0)))</f>
        <v/>
      </c>
      <c r="Q345" s="5" t="str">
        <f>IF(INDEX(学年度总表!$Q$3:$Q$1025,MATCH($E345,学年度总表!$E$3:$E$1025,0))="","",INDEX(学年度总表!$Q$3:$Q$1025,MATCH($E345,学年度总表!$E$3:$E$1025,0)))</f>
        <v/>
      </c>
    </row>
    <row r="346" spans="1:17">
      <c r="A346" s="2">
        <f>IF(INDEX(学年度总表!$A$3:$A$1025,MATCH($E346,学年度总表!$E$3:$E$1025,0))="","",INDEX(学年度总表!$A$3:$A$1025,MATCH($E346,学年度总表!$E$3:$E$1025,0)))</f>
        <v>969</v>
      </c>
      <c r="B346" s="2">
        <f>IF(INDEX(学年度总表!$B$3:$B$1025,MATCH($E346,学年度总表!$E$3:$E$1025,0))="","",INDEX(学年度总表!$B$3:$B$1025,MATCH($E346,学年度总表!$E$3:$E$1025,0)))</f>
        <v>344</v>
      </c>
      <c r="C346" s="2" t="str">
        <f>IF(INDEX(学年度总表!$C$3:$C$1025,MATCH($E346,学年度总表!$E$3:$E$1025,0))="","",INDEX(学年度总表!$C$3:$C$1025,MATCH($E346,学年度总表!$E$3:$E$1025,0)))</f>
        <v>软工</v>
      </c>
      <c r="D346" s="2" t="str">
        <f>IF(INDEX(学年度总表!$D$3:$D$1025,MATCH($E346,学年度总表!$E$3:$E$1025,0))="","",INDEX(学年度总表!$D$3:$D$1025,MATCH($E346,学年度总表!$E$3:$E$1025,0)))</f>
        <v>软工11班</v>
      </c>
      <c r="E346" s="2" t="s">
        <v>1998</v>
      </c>
      <c r="F346" s="2" t="str">
        <f>IF(INDEX(学年度总表!$F$3:$F$1025,MATCH($E346,学年度总表!$E$3:$E$1025,0))="","",INDEX(学年度总表!$F$3:$F$1025,MATCH($E346,学年度总表!$E$3:$E$1025,0)))</f>
        <v>钱俊名</v>
      </c>
      <c r="G346" s="3">
        <f>IF(INDEX(学年度总表!$G$3:$G$1025,MATCH($E346,学年度总表!$E$3:$E$1025,0))="","",INDEX(学年度总表!$G$3:$G$1025,MATCH($E346,学年度总表!$E$3:$E$1025,0)))</f>
        <v>7.3</v>
      </c>
      <c r="H346" s="3">
        <f>IF(INDEX(学年度总表!$H$3:$H$1025,MATCH($E346,学年度总表!$E$3:$E$1025,0))="","",INDEX(学年度总表!$H$3:$H$1025,MATCH($E346,学年度总表!$E$3:$E$1025,0)))</f>
        <v>42.62</v>
      </c>
      <c r="I346" s="3">
        <f>IF(INDEX(学年度总表!$I$3:$I$1025,MATCH($E346,学年度总表!$E$3:$E$1025,0))="","",INDEX(学年度总表!$I$3:$I$1025,MATCH($E346,学年度总表!$E$3:$E$1025,0)))</f>
        <v>3</v>
      </c>
      <c r="J346" s="3">
        <f>IF(INDEX(学年度总表!$J$3:$J$1025,MATCH($E346,学年度总表!$E$3:$E$1025,0))="","",INDEX(学年度总表!$J$3:$J$1025,MATCH($E346,学年度总表!$E$3:$E$1025,0)))</f>
        <v>52.92</v>
      </c>
      <c r="K346" s="3">
        <f>IF(INDEX(学年度总表!$K$3:$K$1025,MATCH($E346,学年度总表!$E$3:$E$1025,0))="","",INDEX(学年度总表!$K$3:$K$1025,MATCH($E346,学年度总表!$E$3:$E$1025,0)))</f>
        <v>9.8000000000000007</v>
      </c>
      <c r="L346" s="3">
        <f>IF(INDEX(学年度总表!$L$3:$L$1025,MATCH($E346,学年度总表!$E$3:$E$1025,0))="","",INDEX(学年度总表!$L$3:$L$1025,MATCH($E346,学年度总表!$E$3:$E$1025,0)))</f>
        <v>29.78</v>
      </c>
      <c r="M346" s="3">
        <f>IF(INDEX(学年度总表!$M$3:$M$1025,MATCH($E346,学年度总表!$E$3:$E$1025,0))="","",INDEX(学年度总表!$M$3:$M$1025,MATCH($E346,学年度总表!$E$3:$E$1025,0)))</f>
        <v>3</v>
      </c>
      <c r="N346" s="3">
        <f>IF(INDEX(学年度总表!$N$3:$N$1025,MATCH($E346,学年度总表!$E$3:$E$1025,0))="","",INDEX(学年度总表!$N$3:$N$1025,MATCH($E346,学年度总表!$E$3:$E$1025,0)))</f>
        <v>42.58</v>
      </c>
      <c r="O346" s="3">
        <f>IF(INDEX(学年度总表!$O$3:$O$1025,MATCH($E346,学年度总表!$E$3:$E$1025,0))="","",INDEX(学年度总表!$O$3:$O$1025,MATCH($E346,学年度总表!$E$3:$E$1025,0)))</f>
        <v>95.5</v>
      </c>
      <c r="P346" s="2" t="str">
        <f>IF(INDEX(学年度总表!$P$3:$P$1025,MATCH($E346,学年度总表!$E$3:$E$1025,0))="","",INDEX(学年度总表!$P$3:$P$1025,MATCH($E346,学年度总表!$E$3:$E$1025,0)))</f>
        <v/>
      </c>
      <c r="Q346" s="5" t="str">
        <f>IF(INDEX(学年度总表!$Q$3:$Q$1025,MATCH($E346,学年度总表!$E$3:$E$1025,0))="","",INDEX(学年度总表!$Q$3:$Q$1025,MATCH($E346,学年度总表!$E$3:$E$1025,0)))</f>
        <v/>
      </c>
    </row>
    <row r="347" spans="1:17">
      <c r="A347" s="2">
        <f>IF(INDEX(学年度总表!$A$3:$A$1025,MATCH($E347,学年度总表!$E$3:$E$1025,0))="","",INDEX(学年度总表!$A$3:$A$1025,MATCH($E347,学年度总表!$E$3:$E$1025,0)))</f>
        <v>971</v>
      </c>
      <c r="B347" s="2">
        <f>IF(INDEX(学年度总表!$B$3:$B$1025,MATCH($E347,学年度总表!$E$3:$E$1025,0))="","",INDEX(学年度总表!$B$3:$B$1025,MATCH($E347,学年度总表!$E$3:$E$1025,0)))</f>
        <v>345</v>
      </c>
      <c r="C347" s="2" t="str">
        <f>IF(INDEX(学年度总表!$C$3:$C$1025,MATCH($E347,学年度总表!$E$3:$E$1025,0))="","",INDEX(学年度总表!$C$3:$C$1025,MATCH($E347,学年度总表!$E$3:$E$1025,0)))</f>
        <v>软工</v>
      </c>
      <c r="D347" s="2" t="str">
        <f>IF(INDEX(学年度总表!$D$3:$D$1025,MATCH($E347,学年度总表!$E$3:$E$1025,0))="","",INDEX(学年度总表!$D$3:$D$1025,MATCH($E347,学年度总表!$E$3:$E$1025,0)))</f>
        <v>软工11班</v>
      </c>
      <c r="E347" s="2" t="s">
        <v>2002</v>
      </c>
      <c r="F347" s="2" t="str">
        <f>IF(INDEX(学年度总表!$F$3:$F$1025,MATCH($E347,学年度总表!$E$3:$E$1025,0))="","",INDEX(学年度总表!$F$3:$F$1025,MATCH($E347,学年度总表!$E$3:$E$1025,0)))</f>
        <v>李熙晨</v>
      </c>
      <c r="G347" s="3">
        <f>IF(INDEX(学年度总表!$G$3:$G$1025,MATCH($E347,学年度总表!$E$3:$E$1025,0))="","",INDEX(学年度总表!$G$3:$G$1025,MATCH($E347,学年度总表!$E$3:$E$1025,0)))</f>
        <v>7.3</v>
      </c>
      <c r="H347" s="3">
        <f>IF(INDEX(学年度总表!$H$3:$H$1025,MATCH($E347,学年度总表!$E$3:$E$1025,0))="","",INDEX(学年度总表!$H$3:$H$1025,MATCH($E347,学年度总表!$E$3:$E$1025,0)))</f>
        <v>35.18</v>
      </c>
      <c r="I347" s="3">
        <f>IF(INDEX(学年度总表!$I$3:$I$1025,MATCH($E347,学年度总表!$E$3:$E$1025,0))="","",INDEX(学年度总表!$I$3:$I$1025,MATCH($E347,学年度总表!$E$3:$E$1025,0)))</f>
        <v>3</v>
      </c>
      <c r="J347" s="3">
        <f>IF(INDEX(学年度总表!$J$3:$J$1025,MATCH($E347,学年度总表!$E$3:$E$1025,0))="","",INDEX(学年度总表!$J$3:$J$1025,MATCH($E347,学年度总表!$E$3:$E$1025,0)))</f>
        <v>45.48</v>
      </c>
      <c r="K347" s="3">
        <f>IF(INDEX(学年度总表!$K$3:$K$1025,MATCH($E347,学年度总表!$E$3:$E$1025,0))="","",INDEX(学年度总表!$K$3:$K$1025,MATCH($E347,学年度总表!$E$3:$E$1025,0)))</f>
        <v>10</v>
      </c>
      <c r="L347" s="3">
        <f>IF(INDEX(学年度总表!$L$3:$L$1025,MATCH($E347,学年度总表!$E$3:$E$1025,0))="","",INDEX(学年度总表!$L$3:$L$1025,MATCH($E347,学年度总表!$E$3:$E$1025,0)))</f>
        <v>34.22</v>
      </c>
      <c r="M347" s="3">
        <f>IF(INDEX(学年度总表!$M$3:$M$1025,MATCH($E347,学年度总表!$E$3:$E$1025,0))="","",INDEX(学年度总表!$M$3:$M$1025,MATCH($E347,学年度总表!$E$3:$E$1025,0)))</f>
        <v>3</v>
      </c>
      <c r="N347" s="3">
        <f>IF(INDEX(学年度总表!$N$3:$N$1025,MATCH($E347,学年度总表!$E$3:$E$1025,0))="","",INDEX(学年度总表!$N$3:$N$1025,MATCH($E347,学年度总表!$E$3:$E$1025,0)))</f>
        <v>47.22</v>
      </c>
      <c r="O347" s="3">
        <f>IF(INDEX(学年度总表!$O$3:$O$1025,MATCH($E347,学年度总表!$E$3:$E$1025,0))="","",INDEX(学年度总表!$O$3:$O$1025,MATCH($E347,学年度总表!$E$3:$E$1025,0)))</f>
        <v>92.7</v>
      </c>
      <c r="P347" s="2" t="str">
        <f>IF(INDEX(学年度总表!$P$3:$P$1025,MATCH($E347,学年度总表!$E$3:$E$1025,0))="","",INDEX(学年度总表!$P$3:$P$1025,MATCH($E347,学年度总表!$E$3:$E$1025,0)))</f>
        <v/>
      </c>
      <c r="Q347" s="5" t="str">
        <f>IF(INDEX(学年度总表!$Q$3:$Q$1025,MATCH($E347,学年度总表!$E$3:$E$1025,0))="","",INDEX(学年度总表!$Q$3:$Q$1025,MATCH($E347,学年度总表!$E$3:$E$1025,0)))</f>
        <v/>
      </c>
    </row>
    <row r="348" spans="1:17">
      <c r="A348" s="2">
        <f>IF(INDEX(学年度总表!$A$3:$A$1025,MATCH($E348,学年度总表!$E$3:$E$1025,0))="","",INDEX(学年度总表!$A$3:$A$1025,MATCH($E348,学年度总表!$E$3:$E$1025,0)))</f>
        <v>972</v>
      </c>
      <c r="B348" s="2">
        <f>IF(INDEX(学年度总表!$B$3:$B$1025,MATCH($E348,学年度总表!$E$3:$E$1025,0))="","",INDEX(学年度总表!$B$3:$B$1025,MATCH($E348,学年度总表!$E$3:$E$1025,0)))</f>
        <v>346</v>
      </c>
      <c r="C348" s="2" t="str">
        <f>IF(INDEX(学年度总表!$C$3:$C$1025,MATCH($E348,学年度总表!$E$3:$E$1025,0))="","",INDEX(学年度总表!$C$3:$C$1025,MATCH($E348,学年度总表!$E$3:$E$1025,0)))</f>
        <v>软工</v>
      </c>
      <c r="D348" s="2" t="str">
        <f>IF(INDEX(学年度总表!$D$3:$D$1025,MATCH($E348,学年度总表!$E$3:$E$1025,0))="","",INDEX(学年度总表!$D$3:$D$1025,MATCH($E348,学年度总表!$E$3:$E$1025,0)))</f>
        <v>软工12班</v>
      </c>
      <c r="E348" s="2" t="s">
        <v>2004</v>
      </c>
      <c r="F348" s="2" t="str">
        <f>IF(INDEX(学年度总表!$F$3:$F$1025,MATCH($E348,学年度总表!$E$3:$E$1025,0))="","",INDEX(学年度总表!$F$3:$F$1025,MATCH($E348,学年度总表!$E$3:$E$1025,0)))</f>
        <v>李趙龙</v>
      </c>
      <c r="G348" s="3">
        <f>IF(INDEX(学年度总表!$G$3:$G$1025,MATCH($E348,学年度总表!$E$3:$E$1025,0))="","",INDEX(学年度总表!$G$3:$G$1025,MATCH($E348,学年度总表!$E$3:$E$1025,0)))</f>
        <v>10</v>
      </c>
      <c r="H348" s="3">
        <f>IF(INDEX(学年度总表!$H$3:$H$1025,MATCH($E348,学年度总表!$E$3:$E$1025,0))="","",INDEX(学年度总表!$H$3:$H$1025,MATCH($E348,学年度总表!$E$3:$E$1025,0)))</f>
        <v>48.36</v>
      </c>
      <c r="I348" s="3">
        <f>IF(INDEX(学年度总表!$I$3:$I$1025,MATCH($E348,学年度总表!$E$3:$E$1025,0))="","",INDEX(学年度总表!$I$3:$I$1025,MATCH($E348,学年度总表!$E$3:$E$1025,0)))</f>
        <v>3.2</v>
      </c>
      <c r="J348" s="3">
        <f>IF(INDEX(学年度总表!$J$3:$J$1025,MATCH($E348,学年度总表!$E$3:$E$1025,0))="","",INDEX(学年度总表!$J$3:$J$1025,MATCH($E348,学年度总表!$E$3:$E$1025,0)))</f>
        <v>61.56</v>
      </c>
      <c r="K348" s="3">
        <f>IF(INDEX(学年度总表!$K$3:$K$1025,MATCH($E348,学年度总表!$E$3:$E$1025,0))="","",INDEX(学年度总表!$K$3:$K$1025,MATCH($E348,学年度总表!$E$3:$E$1025,0)))</f>
        <v>10</v>
      </c>
      <c r="L348" s="3">
        <f>IF(INDEX(学年度总表!$L$3:$L$1025,MATCH($E348,学年度总表!$E$3:$E$1025,0))="","",INDEX(学年度总表!$L$3:$L$1025,MATCH($E348,学年度总表!$E$3:$E$1025,0)))</f>
        <v>15.53</v>
      </c>
      <c r="M348" s="3">
        <f>IF(INDEX(学年度总表!$M$3:$M$1025,MATCH($E348,学年度总表!$E$3:$E$1025,0))="","",INDEX(学年度总表!$M$3:$M$1025,MATCH($E348,学年度总表!$E$3:$E$1025,0)))</f>
        <v>3.5</v>
      </c>
      <c r="N348" s="3">
        <f>IF(INDEX(学年度总表!$N$3:$N$1025,MATCH($E348,学年度总表!$E$3:$E$1025,0))="","",INDEX(学年度总表!$N$3:$N$1025,MATCH($E348,学年度总表!$E$3:$E$1025,0)))</f>
        <v>29.03</v>
      </c>
      <c r="O348" s="3">
        <f>IF(INDEX(学年度总表!$O$3:$O$1025,MATCH($E348,学年度总表!$E$3:$E$1025,0))="","",INDEX(学年度总表!$O$3:$O$1025,MATCH($E348,学年度总表!$E$3:$E$1025,0)))</f>
        <v>90.59</v>
      </c>
      <c r="P348" s="2" t="str">
        <f>IF(INDEX(学年度总表!$P$3:$P$1025,MATCH($E348,学年度总表!$E$3:$E$1025,0))="","",INDEX(学年度总表!$P$3:$P$1025,MATCH($E348,学年度总表!$E$3:$E$1025,0)))</f>
        <v/>
      </c>
      <c r="Q348" s="5" t="str">
        <f>IF(INDEX(学年度总表!$Q$3:$Q$1025,MATCH($E348,学年度总表!$E$3:$E$1025,0))="","",INDEX(学年度总表!$Q$3:$Q$1025,MATCH($E348,学年度总表!$E$3:$E$1025,0)))</f>
        <v/>
      </c>
    </row>
    <row r="349" spans="1:17">
      <c r="A349" s="2">
        <f>IF(INDEX(学年度总表!$A$3:$A$1025,MATCH($E349,学年度总表!$E$3:$E$1025,0))="","",INDEX(学年度总表!$A$3:$A$1025,MATCH($E349,学年度总表!$E$3:$E$1025,0)))</f>
        <v>973</v>
      </c>
      <c r="B349" s="2">
        <f>IF(INDEX(学年度总表!$B$3:$B$1025,MATCH($E349,学年度总表!$E$3:$E$1025,0))="","",INDEX(学年度总表!$B$3:$B$1025,MATCH($E349,学年度总表!$E$3:$E$1025,0)))</f>
        <v>347</v>
      </c>
      <c r="C349" s="2" t="str">
        <f>IF(INDEX(学年度总表!$C$3:$C$1025,MATCH($E349,学年度总表!$E$3:$E$1025,0))="","",INDEX(学年度总表!$C$3:$C$1025,MATCH($E349,学年度总表!$E$3:$E$1025,0)))</f>
        <v>软工</v>
      </c>
      <c r="D349" s="2" t="str">
        <f>IF(INDEX(学年度总表!$D$3:$D$1025,MATCH($E349,学年度总表!$E$3:$E$1025,0))="","",INDEX(学年度总表!$D$3:$D$1025,MATCH($E349,学年度总表!$E$3:$E$1025,0)))</f>
        <v>软工7班</v>
      </c>
      <c r="E349" s="2" t="s">
        <v>2006</v>
      </c>
      <c r="F349" s="2" t="str">
        <f>IF(INDEX(学年度总表!$F$3:$F$1025,MATCH($E349,学年度总表!$E$3:$E$1025,0))="","",INDEX(学年度总表!$F$3:$F$1025,MATCH($E349,学年度总表!$E$3:$E$1025,0)))</f>
        <v>赵炳然</v>
      </c>
      <c r="G349" s="3">
        <f>IF(INDEX(学年度总表!$G$3:$G$1025,MATCH($E349,学年度总表!$E$3:$E$1025,0))="","",INDEX(学年度总表!$G$3:$G$1025,MATCH($E349,学年度总表!$E$3:$E$1025,0)))</f>
        <v>7.3</v>
      </c>
      <c r="H349" s="3">
        <f>IF(INDEX(学年度总表!$H$3:$H$1025,MATCH($E349,学年度总表!$E$3:$E$1025,0))="","",INDEX(学年度总表!$H$3:$H$1025,MATCH($E349,学年度总表!$E$3:$E$1025,0)))</f>
        <v>36.74</v>
      </c>
      <c r="I349" s="3">
        <f>IF(INDEX(学年度总表!$I$3:$I$1025,MATCH($E349,学年度总表!$E$3:$E$1025,0))="","",INDEX(学年度总表!$I$3:$I$1025,MATCH($E349,学年度总表!$E$3:$E$1025,0)))</f>
        <v>3</v>
      </c>
      <c r="J349" s="3">
        <f>IF(INDEX(学年度总表!$J$3:$J$1025,MATCH($E349,学年度总表!$E$3:$E$1025,0))="","",INDEX(学年度总表!$J$3:$J$1025,MATCH($E349,学年度总表!$E$3:$E$1025,0)))</f>
        <v>47.04</v>
      </c>
      <c r="K349" s="3">
        <f>IF(INDEX(学年度总表!$K$3:$K$1025,MATCH($E349,学年度总表!$E$3:$E$1025,0))="","",INDEX(学年度总表!$K$3:$K$1025,MATCH($E349,学年度总表!$E$3:$E$1025,0)))</f>
        <v>7.3000000000000007</v>
      </c>
      <c r="L349" s="3">
        <f>IF(INDEX(学年度总表!$L$3:$L$1025,MATCH($E349,学年度总表!$E$3:$E$1025,0))="","",INDEX(学年度总表!$L$3:$L$1025,MATCH($E349,学年度总表!$E$3:$E$1025,0)))</f>
        <v>32.61</v>
      </c>
      <c r="M349" s="3">
        <f>IF(INDEX(学年度总表!$M$3:$M$1025,MATCH($E349,学年度总表!$E$3:$E$1025,0))="","",INDEX(学年度总表!$M$3:$M$1025,MATCH($E349,学年度总表!$E$3:$E$1025,0)))</f>
        <v>3</v>
      </c>
      <c r="N349" s="3">
        <f>IF(INDEX(学年度总表!$N$3:$N$1025,MATCH($E349,学年度总表!$E$3:$E$1025,0))="","",INDEX(学年度总表!$N$3:$N$1025,MATCH($E349,学年度总表!$E$3:$E$1025,0)))</f>
        <v>42.91</v>
      </c>
      <c r="O349" s="3">
        <f>IF(INDEX(学年度总表!$O$3:$O$1025,MATCH($E349,学年度总表!$E$3:$E$1025,0))="","",INDEX(学年度总表!$O$3:$O$1025,MATCH($E349,学年度总表!$E$3:$E$1025,0)))</f>
        <v>89.95</v>
      </c>
      <c r="P349" s="2" t="str">
        <f>IF(INDEX(学年度总表!$P$3:$P$1025,MATCH($E349,学年度总表!$E$3:$E$1025,0))="","",INDEX(学年度总表!$P$3:$P$1025,MATCH($E349,学年度总表!$E$3:$E$1025,0)))</f>
        <v/>
      </c>
      <c r="Q349" s="5" t="str">
        <f>IF(INDEX(学年度总表!$Q$3:$Q$1025,MATCH($E349,学年度总表!$E$3:$E$1025,0))="","",INDEX(学年度总表!$Q$3:$Q$1025,MATCH($E349,学年度总表!$E$3:$E$1025,0)))</f>
        <v/>
      </c>
    </row>
    <row r="350" spans="1:17">
      <c r="A350" s="2">
        <f>IF(INDEX(学年度总表!$A$3:$A$1025,MATCH($E350,学年度总表!$E$3:$E$1025,0))="","",INDEX(学年度总表!$A$3:$A$1025,MATCH($E350,学年度总表!$E$3:$E$1025,0)))</f>
        <v>975</v>
      </c>
      <c r="B350" s="2">
        <f>IF(INDEX(学年度总表!$B$3:$B$1025,MATCH($E350,学年度总表!$E$3:$E$1025,0))="","",INDEX(学年度总表!$B$3:$B$1025,MATCH($E350,学年度总表!$E$3:$E$1025,0)))</f>
        <v>348</v>
      </c>
      <c r="C350" s="2" t="str">
        <f>IF(INDEX(学年度总表!$C$3:$C$1025,MATCH($E350,学年度总表!$E$3:$E$1025,0))="","",INDEX(学年度总表!$C$3:$C$1025,MATCH($E350,学年度总表!$E$3:$E$1025,0)))</f>
        <v>软工</v>
      </c>
      <c r="D350" s="2" t="str">
        <f>IF(INDEX(学年度总表!$D$3:$D$1025,MATCH($E350,学年度总表!$E$3:$E$1025,0))="","",INDEX(学年度总表!$D$3:$D$1025,MATCH($E350,学年度总表!$E$3:$E$1025,0)))</f>
        <v>软工11班</v>
      </c>
      <c r="E350" s="2" t="s">
        <v>2010</v>
      </c>
      <c r="F350" s="2" t="str">
        <f>IF(INDEX(学年度总表!$F$3:$F$1025,MATCH($E350,学年度总表!$E$3:$E$1025,0))="","",INDEX(学年度总表!$F$3:$F$1025,MATCH($E350,学年度总表!$E$3:$E$1025,0)))</f>
        <v>刘昀</v>
      </c>
      <c r="G350" s="3">
        <f>IF(INDEX(学年度总表!$G$3:$G$1025,MATCH($E350,学年度总表!$E$3:$E$1025,0))="","",INDEX(学年度总表!$G$3:$G$1025,MATCH($E350,学年度总表!$E$3:$E$1025,0)))</f>
        <v>7.5</v>
      </c>
      <c r="H350" s="3">
        <f>IF(INDEX(学年度总表!$H$3:$H$1025,MATCH($E350,学年度总表!$E$3:$E$1025,0))="","",INDEX(学年度总表!$H$3:$H$1025,MATCH($E350,学年度总表!$E$3:$E$1025,0)))</f>
        <v>36.79</v>
      </c>
      <c r="I350" s="3">
        <f>IF(INDEX(学年度总表!$I$3:$I$1025,MATCH($E350,学年度总表!$E$3:$E$1025,0))="","",INDEX(学年度总表!$I$3:$I$1025,MATCH($E350,学年度总表!$E$3:$E$1025,0)))</f>
        <v>3</v>
      </c>
      <c r="J350" s="3">
        <f>IF(INDEX(学年度总表!$J$3:$J$1025,MATCH($E350,学年度总表!$E$3:$E$1025,0))="","",INDEX(学年度总表!$J$3:$J$1025,MATCH($E350,学年度总表!$E$3:$E$1025,0)))</f>
        <v>47.29</v>
      </c>
      <c r="K350" s="3">
        <f>IF(INDEX(学年度总表!$K$3:$K$1025,MATCH($E350,学年度总表!$E$3:$E$1025,0))="","",INDEX(学年度总表!$K$3:$K$1025,MATCH($E350,学年度总表!$E$3:$E$1025,0)))</f>
        <v>9.4</v>
      </c>
      <c r="L350" s="3">
        <f>IF(INDEX(学年度总表!$L$3:$L$1025,MATCH($E350,学年度总表!$E$3:$E$1025,0))="","",INDEX(学年度总表!$L$3:$L$1025,MATCH($E350,学年度总表!$E$3:$E$1025,0)))</f>
        <v>28.9</v>
      </c>
      <c r="M350" s="3">
        <f>IF(INDEX(学年度总表!$M$3:$M$1025,MATCH($E350,学年度总表!$E$3:$E$1025,0))="","",INDEX(学年度总表!$M$3:$M$1025,MATCH($E350,学年度总表!$E$3:$E$1025,0)))</f>
        <v>3</v>
      </c>
      <c r="N350" s="3">
        <f>IF(INDEX(学年度总表!$N$3:$N$1025,MATCH($E350,学年度总表!$E$3:$E$1025,0))="","",INDEX(学年度总表!$N$3:$N$1025,MATCH($E350,学年度总表!$E$3:$E$1025,0)))</f>
        <v>41.3</v>
      </c>
      <c r="O350" s="3">
        <f>IF(INDEX(学年度总表!$O$3:$O$1025,MATCH($E350,学年度总表!$E$3:$E$1025,0))="","",INDEX(学年度总表!$O$3:$O$1025,MATCH($E350,学年度总表!$E$3:$E$1025,0)))</f>
        <v>88.59</v>
      </c>
      <c r="P350" s="2" t="str">
        <f>IF(INDEX(学年度总表!$P$3:$P$1025,MATCH($E350,学年度总表!$E$3:$E$1025,0))="","",INDEX(学年度总表!$P$3:$P$1025,MATCH($E350,学年度总表!$E$3:$E$1025,0)))</f>
        <v/>
      </c>
      <c r="Q350" s="5" t="str">
        <f>IF(INDEX(学年度总表!$Q$3:$Q$1025,MATCH($E350,学年度总表!$E$3:$E$1025,0))="","",INDEX(学年度总表!$Q$3:$Q$1025,MATCH($E350,学年度总表!$E$3:$E$1025,0)))</f>
        <v/>
      </c>
    </row>
    <row r="351" spans="1:17">
      <c r="A351" s="2">
        <f>IF(INDEX(学年度总表!$A$3:$A$1025,MATCH($E351,学年度总表!$E$3:$E$1025,0))="","",INDEX(学年度总表!$A$3:$A$1025,MATCH($E351,学年度总表!$E$3:$E$1025,0)))</f>
        <v>976</v>
      </c>
      <c r="B351" s="2">
        <f>IF(INDEX(学年度总表!$B$3:$B$1025,MATCH($E351,学年度总表!$E$3:$E$1025,0))="","",INDEX(学年度总表!$B$3:$B$1025,MATCH($E351,学年度总表!$E$3:$E$1025,0)))</f>
        <v>349</v>
      </c>
      <c r="C351" s="2" t="str">
        <f>IF(INDEX(学年度总表!$C$3:$C$1025,MATCH($E351,学年度总表!$E$3:$E$1025,0))="","",INDEX(学年度总表!$C$3:$C$1025,MATCH($E351,学年度总表!$E$3:$E$1025,0)))</f>
        <v>软工</v>
      </c>
      <c r="D351" s="2" t="str">
        <f>IF(INDEX(学年度总表!$D$3:$D$1025,MATCH($E351,学年度总表!$E$3:$E$1025,0))="","",INDEX(学年度总表!$D$3:$D$1025,MATCH($E351,学年度总表!$E$3:$E$1025,0)))</f>
        <v>软工5班</v>
      </c>
      <c r="E351" s="2" t="s">
        <v>2012</v>
      </c>
      <c r="F351" s="2" t="str">
        <f>IF(INDEX(学年度总表!$F$3:$F$1025,MATCH($E351,学年度总表!$E$3:$E$1025,0))="","",INDEX(学年度总表!$F$3:$F$1025,MATCH($E351,学年度总表!$E$3:$E$1025,0)))</f>
        <v>付钰清</v>
      </c>
      <c r="G351" s="3">
        <f>IF(INDEX(学年度总表!$G$3:$G$1025,MATCH($E351,学年度总表!$E$3:$E$1025,0))="","",INDEX(学年度总表!$G$3:$G$1025,MATCH($E351,学年度总表!$E$3:$E$1025,0)))</f>
        <v>9.8000000000000007</v>
      </c>
      <c r="H351" s="3">
        <f>IF(INDEX(学年度总表!$H$3:$H$1025,MATCH($E351,学年度总表!$E$3:$E$1025,0))="","",INDEX(学年度总表!$H$3:$H$1025,MATCH($E351,学年度总表!$E$3:$E$1025,0)))</f>
        <v>32.08</v>
      </c>
      <c r="I351" s="3">
        <f>IF(INDEX(学年度总表!$I$3:$I$1025,MATCH($E351,学年度总表!$E$3:$E$1025,0))="","",INDEX(学年度总表!$I$3:$I$1025,MATCH($E351,学年度总表!$E$3:$E$1025,0)))</f>
        <v>3</v>
      </c>
      <c r="J351" s="3">
        <f>IF(INDEX(学年度总表!$J$3:$J$1025,MATCH($E351,学年度总表!$E$3:$E$1025,0))="","",INDEX(学年度总表!$J$3:$J$1025,MATCH($E351,学年度总表!$E$3:$E$1025,0)))</f>
        <v>44.88</v>
      </c>
      <c r="K351" s="3">
        <f>IF(INDEX(学年度总表!$K$3:$K$1025,MATCH($E351,学年度总表!$E$3:$E$1025,0))="","",INDEX(学年度总表!$K$3:$K$1025,MATCH($E351,学年度总表!$E$3:$E$1025,0)))</f>
        <v>7.3000000000000007</v>
      </c>
      <c r="L351" s="3">
        <f>IF(INDEX(学年度总表!$L$3:$L$1025,MATCH($E351,学年度总表!$E$3:$E$1025,0))="","",INDEX(学年度总表!$L$3:$L$1025,MATCH($E351,学年度总表!$E$3:$E$1025,0)))</f>
        <v>32.82</v>
      </c>
      <c r="M351" s="3">
        <f>IF(INDEX(学年度总表!$M$3:$M$1025,MATCH($E351,学年度总表!$E$3:$E$1025,0))="","",INDEX(学年度总表!$M$3:$M$1025,MATCH($E351,学年度总表!$E$3:$E$1025,0)))</f>
        <v>3.5</v>
      </c>
      <c r="N351" s="3">
        <f>IF(INDEX(学年度总表!$N$3:$N$1025,MATCH($E351,学年度总表!$E$3:$E$1025,0))="","",INDEX(学年度总表!$N$3:$N$1025,MATCH($E351,学年度总表!$E$3:$E$1025,0)))</f>
        <v>43.62</v>
      </c>
      <c r="O351" s="3">
        <f>IF(INDEX(学年度总表!$O$3:$O$1025,MATCH($E351,学年度总表!$E$3:$E$1025,0))="","",INDEX(学年度总表!$O$3:$O$1025,MATCH($E351,学年度总表!$E$3:$E$1025,0)))</f>
        <v>88.5</v>
      </c>
      <c r="P351" s="2" t="str">
        <f>IF(INDEX(学年度总表!$P$3:$P$1025,MATCH($E351,学年度总表!$E$3:$E$1025,0))="","",INDEX(学年度总表!$P$3:$P$1025,MATCH($E351,学年度总表!$E$3:$E$1025,0)))</f>
        <v/>
      </c>
      <c r="Q351" s="5" t="str">
        <f>IF(INDEX(学年度总表!$Q$3:$Q$1025,MATCH($E351,学年度总表!$E$3:$E$1025,0))="","",INDEX(学年度总表!$Q$3:$Q$1025,MATCH($E351,学年度总表!$E$3:$E$1025,0)))</f>
        <v/>
      </c>
    </row>
    <row r="352" spans="1:17">
      <c r="A352" s="2">
        <f>IF(INDEX(学年度总表!$A$3:$A$1025,MATCH($E352,学年度总表!$E$3:$E$1025,0))="","",INDEX(学年度总表!$A$3:$A$1025,MATCH($E352,学年度总表!$E$3:$E$1025,0)))</f>
        <v>977</v>
      </c>
      <c r="B352" s="2">
        <f>IF(INDEX(学年度总表!$B$3:$B$1025,MATCH($E352,学年度总表!$E$3:$E$1025,0))="","",INDEX(学年度总表!$B$3:$B$1025,MATCH($E352,学年度总表!$E$3:$E$1025,0)))</f>
        <v>350</v>
      </c>
      <c r="C352" s="2" t="str">
        <f>IF(INDEX(学年度总表!$C$3:$C$1025,MATCH($E352,学年度总表!$E$3:$E$1025,0))="","",INDEX(学年度总表!$C$3:$C$1025,MATCH($E352,学年度总表!$E$3:$E$1025,0)))</f>
        <v>软工</v>
      </c>
      <c r="D352" s="2" t="str">
        <f>IF(INDEX(学年度总表!$D$3:$D$1025,MATCH($E352,学年度总表!$E$3:$E$1025,0))="","",INDEX(学年度总表!$D$3:$D$1025,MATCH($E352,学年度总表!$E$3:$E$1025,0)))</f>
        <v>软工13班</v>
      </c>
      <c r="E352" s="2" t="s">
        <v>2014</v>
      </c>
      <c r="F352" s="2" t="str">
        <f>IF(INDEX(学年度总表!$F$3:$F$1025,MATCH($E352,学年度总表!$E$3:$E$1025,0))="","",INDEX(学年度总表!$F$3:$F$1025,MATCH($E352,学年度总表!$E$3:$E$1025,0)))</f>
        <v>张雨婷</v>
      </c>
      <c r="G352" s="3">
        <f>IF(INDEX(学年度总表!$G$3:$G$1025,MATCH($E352,学年度总表!$E$3:$E$1025,0))="","",INDEX(学年度总表!$G$3:$G$1025,MATCH($E352,学年度总表!$E$3:$E$1025,0)))</f>
        <v>8.6</v>
      </c>
      <c r="H352" s="3">
        <f>IF(INDEX(学年度总表!$H$3:$H$1025,MATCH($E352,学年度总表!$E$3:$E$1025,0))="","",INDEX(学年度总表!$H$3:$H$1025,MATCH($E352,学年度总表!$E$3:$E$1025,0)))</f>
        <v>43.28</v>
      </c>
      <c r="I352" s="3">
        <f>IF(INDEX(学年度总表!$I$3:$I$1025,MATCH($E352,学年度总表!$E$3:$E$1025,0))="","",INDEX(学年度总表!$I$3:$I$1025,MATCH($E352,学年度总表!$E$3:$E$1025,0)))</f>
        <v>4.0999999999999996</v>
      </c>
      <c r="J352" s="3">
        <f>IF(INDEX(学年度总表!$J$3:$J$1025,MATCH($E352,学年度总表!$E$3:$E$1025,0))="","",INDEX(学年度总表!$J$3:$J$1025,MATCH($E352,学年度总表!$E$3:$E$1025,0)))</f>
        <v>55.98</v>
      </c>
      <c r="K352" s="3">
        <f>IF(INDEX(学年度总表!$K$3:$K$1025,MATCH($E352,学年度总表!$E$3:$E$1025,0))="","",INDEX(学年度总表!$K$3:$K$1025,MATCH($E352,学年度总表!$E$3:$E$1025,0)))</f>
        <v>9</v>
      </c>
      <c r="L352" s="3">
        <f>IF(INDEX(学年度总表!$L$3:$L$1025,MATCH($E352,学年度总表!$E$3:$E$1025,0))="","",INDEX(学年度总表!$L$3:$L$1025,MATCH($E352,学年度总表!$E$3:$E$1025,0)))</f>
        <v>18.96</v>
      </c>
      <c r="M352" s="3">
        <f>IF(INDEX(学年度总表!$M$3:$M$1025,MATCH($E352,学年度总表!$E$3:$E$1025,0))="","",INDEX(学年度总表!$M$3:$M$1025,MATCH($E352,学年度总表!$E$3:$E$1025,0)))</f>
        <v>4.5</v>
      </c>
      <c r="N352" s="3">
        <f>IF(INDEX(学年度总表!$N$3:$N$1025,MATCH($E352,学年度总表!$E$3:$E$1025,0))="","",INDEX(学年度总表!$N$3:$N$1025,MATCH($E352,学年度总表!$E$3:$E$1025,0)))</f>
        <v>32.46</v>
      </c>
      <c r="O352" s="3">
        <f>IF(INDEX(学年度总表!$O$3:$O$1025,MATCH($E352,学年度总表!$E$3:$E$1025,0))="","",INDEX(学年度总表!$O$3:$O$1025,MATCH($E352,学年度总表!$E$3:$E$1025,0)))</f>
        <v>88.44</v>
      </c>
      <c r="P352" s="2" t="str">
        <f>IF(INDEX(学年度总表!$P$3:$P$1025,MATCH($E352,学年度总表!$E$3:$E$1025,0))="","",INDEX(学年度总表!$P$3:$P$1025,MATCH($E352,学年度总表!$E$3:$E$1025,0)))</f>
        <v/>
      </c>
      <c r="Q352" s="5" t="str">
        <f>IF(INDEX(学年度总表!$Q$3:$Q$1025,MATCH($E352,学年度总表!$E$3:$E$1025,0))="","",INDEX(学年度总表!$Q$3:$Q$1025,MATCH($E352,学年度总表!$E$3:$E$1025,0)))</f>
        <v/>
      </c>
    </row>
    <row r="353" spans="1:17">
      <c r="A353" s="2">
        <f>IF(INDEX(学年度总表!$A$3:$A$1025,MATCH($E353,学年度总表!$E$3:$E$1025,0))="","",INDEX(学年度总表!$A$3:$A$1025,MATCH($E353,学年度总表!$E$3:$E$1025,0)))</f>
        <v>980</v>
      </c>
      <c r="B353" s="2">
        <f>IF(INDEX(学年度总表!$B$3:$B$1025,MATCH($E353,学年度总表!$E$3:$E$1025,0))="","",INDEX(学年度总表!$B$3:$B$1025,MATCH($E353,学年度总表!$E$3:$E$1025,0)))</f>
        <v>351</v>
      </c>
      <c r="C353" s="2" t="str">
        <f>IF(INDEX(学年度总表!$C$3:$C$1025,MATCH($E353,学年度总表!$E$3:$E$1025,0))="","",INDEX(学年度总表!$C$3:$C$1025,MATCH($E353,学年度总表!$E$3:$E$1025,0)))</f>
        <v>软工</v>
      </c>
      <c r="D353" s="2" t="str">
        <f>IF(INDEX(学年度总表!$D$3:$D$1025,MATCH($E353,学年度总表!$E$3:$E$1025,0))="","",INDEX(学年度总表!$D$3:$D$1025,MATCH($E353,学年度总表!$E$3:$E$1025,0)))</f>
        <v>软工6班</v>
      </c>
      <c r="E353" s="2" t="s">
        <v>2021</v>
      </c>
      <c r="F353" s="2" t="str">
        <f>IF(INDEX(学年度总表!$F$3:$F$1025,MATCH($E353,学年度总表!$E$3:$E$1025,0))="","",INDEX(学年度总表!$F$3:$F$1025,MATCH($E353,学年度总表!$E$3:$E$1025,0)))</f>
        <v>刘铭朔</v>
      </c>
      <c r="G353" s="3">
        <f>IF(INDEX(学年度总表!$G$3:$G$1025,MATCH($E353,学年度总表!$E$3:$E$1025,0))="","",INDEX(学年度总表!$G$3:$G$1025,MATCH($E353,学年度总表!$E$3:$E$1025,0)))</f>
        <v>7.3</v>
      </c>
      <c r="H353" s="3">
        <f>IF(INDEX(学年度总表!$H$3:$H$1025,MATCH($E353,学年度总表!$E$3:$E$1025,0))="","",INDEX(学年度总表!$H$3:$H$1025,MATCH($E353,学年度总表!$E$3:$E$1025,0)))</f>
        <v>30.285714285714299</v>
      </c>
      <c r="I353" s="3">
        <f>IF(INDEX(学年度总表!$I$3:$I$1025,MATCH($E353,学年度总表!$E$3:$E$1025,0))="","",INDEX(学年度总表!$I$3:$I$1025,MATCH($E353,学年度总表!$E$3:$E$1025,0)))</f>
        <v>3</v>
      </c>
      <c r="J353" s="3">
        <f>IF(INDEX(学年度总表!$J$3:$J$1025,MATCH($E353,学年度总表!$E$3:$E$1025,0))="","",INDEX(学年度总表!$J$3:$J$1025,MATCH($E353,学年度总表!$E$3:$E$1025,0)))</f>
        <v>40.590000000000003</v>
      </c>
      <c r="K353" s="3">
        <f>IF(INDEX(学年度总表!$K$3:$K$1025,MATCH($E353,学年度总表!$E$3:$E$1025,0))="","",INDEX(学年度总表!$K$3:$K$1025,MATCH($E353,学年度总表!$E$3:$E$1025,0)))</f>
        <v>9.8000000000000007</v>
      </c>
      <c r="L353" s="3">
        <f>IF(INDEX(学年度总表!$L$3:$L$1025,MATCH($E353,学年度总表!$E$3:$E$1025,0))="","",INDEX(学年度总表!$L$3:$L$1025,MATCH($E353,学年度总表!$E$3:$E$1025,0)))</f>
        <v>29.19</v>
      </c>
      <c r="M353" s="3">
        <f>IF(INDEX(学年度总表!$M$3:$M$1025,MATCH($E353,学年度总表!$E$3:$E$1025,0))="","",INDEX(学年度总表!$M$3:$M$1025,MATCH($E353,学年度总表!$E$3:$E$1025,0)))</f>
        <v>4</v>
      </c>
      <c r="N353" s="3">
        <f>IF(INDEX(学年度总表!$N$3:$N$1025,MATCH($E353,学年度总表!$E$3:$E$1025,0))="","",INDEX(学年度总表!$N$3:$N$1025,MATCH($E353,学年度总表!$E$3:$E$1025,0)))</f>
        <v>42.99</v>
      </c>
      <c r="O353" s="3">
        <f>IF(INDEX(学年度总表!$O$3:$O$1025,MATCH($E353,学年度总表!$E$3:$E$1025,0))="","",INDEX(学年度总表!$O$3:$O$1025,MATCH($E353,学年度总表!$E$3:$E$1025,0)))</f>
        <v>83.58</v>
      </c>
      <c r="P353" s="2" t="str">
        <f>IF(INDEX(学年度总表!$P$3:$P$1025,MATCH($E353,学年度总表!$E$3:$E$1025,0))="","",INDEX(学年度总表!$P$3:$P$1025,MATCH($E353,学年度总表!$E$3:$E$1025,0)))</f>
        <v/>
      </c>
      <c r="Q353" s="5" t="str">
        <f>IF(INDEX(学年度总表!$Q$3:$Q$1025,MATCH($E353,学年度总表!$E$3:$E$1025,0))="","",INDEX(学年度总表!$Q$3:$Q$1025,MATCH($E353,学年度总表!$E$3:$E$1025,0)))</f>
        <v/>
      </c>
    </row>
    <row r="354" spans="1:17">
      <c r="A354" s="2">
        <f>IF(INDEX(学年度总表!$A$3:$A$1025,MATCH($E354,学年度总表!$E$3:$E$1025,0))="","",INDEX(学年度总表!$A$3:$A$1025,MATCH($E354,学年度总表!$E$3:$E$1025,0)))</f>
        <v>982</v>
      </c>
      <c r="B354" s="2">
        <f>IF(INDEX(学年度总表!$B$3:$B$1025,MATCH($E354,学年度总表!$E$3:$E$1025,0))="","",INDEX(学年度总表!$B$3:$B$1025,MATCH($E354,学年度总表!$E$3:$E$1025,0)))</f>
        <v>352</v>
      </c>
      <c r="C354" s="2" t="str">
        <f>IF(INDEX(学年度总表!$C$3:$C$1025,MATCH($E354,学年度总表!$E$3:$E$1025,0))="","",INDEX(学年度总表!$C$3:$C$1025,MATCH($E354,学年度总表!$E$3:$E$1025,0)))</f>
        <v>软工</v>
      </c>
      <c r="D354" s="2" t="str">
        <f>IF(INDEX(学年度总表!$D$3:$D$1025,MATCH($E354,学年度总表!$E$3:$E$1025,0))="","",INDEX(学年度总表!$D$3:$D$1025,MATCH($E354,学年度总表!$E$3:$E$1025,0)))</f>
        <v>软工8班</v>
      </c>
      <c r="E354" s="2" t="s">
        <v>2027</v>
      </c>
      <c r="F354" s="2" t="str">
        <f>IF(INDEX(学年度总表!$F$3:$F$1025,MATCH($E354,学年度总表!$E$3:$E$1025,0))="","",INDEX(学年度总表!$F$3:$F$1025,MATCH($E354,学年度总表!$E$3:$E$1025,0)))</f>
        <v>曹德海</v>
      </c>
      <c r="G354" s="3">
        <f>IF(INDEX(学年度总表!$G$3:$G$1025,MATCH($E354,学年度总表!$E$3:$E$1025,0))="","",INDEX(学年度总表!$G$3:$G$1025,MATCH($E354,学年度总表!$E$3:$E$1025,0)))</f>
        <v>6.5</v>
      </c>
      <c r="H354" s="3">
        <f>IF(INDEX(学年度总表!$H$3:$H$1025,MATCH($E354,学年度总表!$E$3:$E$1025,0))="","",INDEX(学年度总表!$H$3:$H$1025,MATCH($E354,学年度总表!$E$3:$E$1025,0)))</f>
        <v>37.275510204081598</v>
      </c>
      <c r="I354" s="3">
        <f>IF(INDEX(学年度总表!$I$3:$I$1025,MATCH($E354,学年度总表!$E$3:$E$1025,0))="","",INDEX(学年度总表!$I$3:$I$1025,MATCH($E354,学年度总表!$E$3:$E$1025,0)))</f>
        <v>3</v>
      </c>
      <c r="J354" s="3">
        <f>IF(INDEX(学年度总表!$J$3:$J$1025,MATCH($E354,学年度总表!$E$3:$E$1025,0))="","",INDEX(学年度总表!$J$3:$J$1025,MATCH($E354,学年度总表!$E$3:$E$1025,0)))</f>
        <v>46.78</v>
      </c>
      <c r="K354" s="3">
        <f>IF(INDEX(学年度总表!$K$3:$K$1025,MATCH($E354,学年度总表!$E$3:$E$1025,0))="","",INDEX(学年度总表!$K$3:$K$1025,MATCH($E354,学年度总表!$E$3:$E$1025,0)))</f>
        <v>7.3000000000000007</v>
      </c>
      <c r="L354" s="3">
        <f>IF(INDEX(学年度总表!$L$3:$L$1025,MATCH($E354,学年度总表!$E$3:$E$1025,0))="","",INDEX(学年度总表!$L$3:$L$1025,MATCH($E354,学年度总表!$E$3:$E$1025,0)))</f>
        <v>23.96</v>
      </c>
      <c r="M354" s="3">
        <f>IF(INDEX(学年度总表!$M$3:$M$1025,MATCH($E354,学年度总表!$E$3:$E$1025,0))="","",INDEX(学年度总表!$M$3:$M$1025,MATCH($E354,学年度总表!$E$3:$E$1025,0)))</f>
        <v>3.5</v>
      </c>
      <c r="N354" s="3">
        <f>IF(INDEX(学年度总表!$N$3:$N$1025,MATCH($E354,学年度总表!$E$3:$E$1025,0))="","",INDEX(学年度总表!$N$3:$N$1025,MATCH($E354,学年度总表!$E$3:$E$1025,0)))</f>
        <v>34.76</v>
      </c>
      <c r="O354" s="3">
        <f>IF(INDEX(学年度总表!$O$3:$O$1025,MATCH($E354,学年度总表!$E$3:$E$1025,0))="","",INDEX(学年度总表!$O$3:$O$1025,MATCH($E354,学年度总表!$E$3:$E$1025,0)))</f>
        <v>81.540000000000006</v>
      </c>
      <c r="P354" s="2" t="str">
        <f>IF(INDEX(学年度总表!$P$3:$P$1025,MATCH($E354,学年度总表!$E$3:$E$1025,0))="","",INDEX(学年度总表!$P$3:$P$1025,MATCH($E354,学年度总表!$E$3:$E$1025,0)))</f>
        <v/>
      </c>
      <c r="Q354" s="5" t="str">
        <f>IF(INDEX(学年度总表!$Q$3:$Q$1025,MATCH($E354,学年度总表!$E$3:$E$1025,0))="","",INDEX(学年度总表!$Q$3:$Q$1025,MATCH($E354,学年度总表!$E$3:$E$1025,0)))</f>
        <v/>
      </c>
    </row>
    <row r="355" spans="1:17">
      <c r="A355" s="2">
        <f>IF(INDEX(学年度总表!$A$3:$A$1025,MATCH($E355,学年度总表!$E$3:$E$1025,0))="","",INDEX(学年度总表!$A$3:$A$1025,MATCH($E355,学年度总表!$E$3:$E$1025,0)))</f>
        <v>983</v>
      </c>
      <c r="B355" s="2">
        <f>IF(INDEX(学年度总表!$B$3:$B$1025,MATCH($E355,学年度总表!$E$3:$E$1025,0))="","",INDEX(学年度总表!$B$3:$B$1025,MATCH($E355,学年度总表!$E$3:$E$1025,0)))</f>
        <v>353</v>
      </c>
      <c r="C355" s="2" t="str">
        <f>IF(INDEX(学年度总表!$C$3:$C$1025,MATCH($E355,学年度总表!$E$3:$E$1025,0))="","",INDEX(学年度总表!$C$3:$C$1025,MATCH($E355,学年度总表!$E$3:$E$1025,0)))</f>
        <v>软工</v>
      </c>
      <c r="D355" s="2" t="str">
        <f>IF(INDEX(学年度总表!$D$3:$D$1025,MATCH($E355,学年度总表!$E$3:$E$1025,0))="","",INDEX(学年度总表!$D$3:$D$1025,MATCH($E355,学年度总表!$E$3:$E$1025,0)))</f>
        <v>软工11班</v>
      </c>
      <c r="E355" s="2" t="s">
        <v>2029</v>
      </c>
      <c r="F355" s="2" t="str">
        <f>IF(INDEX(学年度总表!$F$3:$F$1025,MATCH($E355,学年度总表!$E$3:$E$1025,0))="","",INDEX(学年度总表!$F$3:$F$1025,MATCH($E355,学年度总表!$E$3:$E$1025,0)))</f>
        <v>李宇轩</v>
      </c>
      <c r="G355" s="3">
        <f>IF(INDEX(学年度总表!$G$3:$G$1025,MATCH($E355,学年度总表!$E$3:$E$1025,0))="","",INDEX(学年度总表!$G$3:$G$1025,MATCH($E355,学年度总表!$E$3:$E$1025,0)))</f>
        <v>9.8000000000000007</v>
      </c>
      <c r="H355" s="3">
        <f>IF(INDEX(学年度总表!$H$3:$H$1025,MATCH($E355,学年度总表!$E$3:$E$1025,0))="","",INDEX(学年度总表!$H$3:$H$1025,MATCH($E355,学年度总表!$E$3:$E$1025,0)))</f>
        <v>36.630000000000003</v>
      </c>
      <c r="I355" s="3">
        <f>IF(INDEX(学年度总表!$I$3:$I$1025,MATCH($E355,学年度总表!$E$3:$E$1025,0))="","",INDEX(学年度总表!$I$3:$I$1025,MATCH($E355,学年度总表!$E$3:$E$1025,0)))</f>
        <v>3</v>
      </c>
      <c r="J355" s="3">
        <f>IF(INDEX(学年度总表!$J$3:$J$1025,MATCH($E355,学年度总表!$E$3:$E$1025,0))="","",INDEX(学年度总表!$J$3:$J$1025,MATCH($E355,学年度总表!$E$3:$E$1025,0)))</f>
        <v>49.43</v>
      </c>
      <c r="K355" s="3">
        <f>IF(INDEX(学年度总表!$K$3:$K$1025,MATCH($E355,学年度总表!$E$3:$E$1025,0))="","",INDEX(学年度总表!$K$3:$K$1025,MATCH($E355,学年度总表!$E$3:$E$1025,0)))</f>
        <v>9.8000000000000007</v>
      </c>
      <c r="L355" s="3">
        <f>IF(INDEX(学年度总表!$L$3:$L$1025,MATCH($E355,学年度总表!$E$3:$E$1025,0))="","",INDEX(学年度总表!$L$3:$L$1025,MATCH($E355,学年度总表!$E$3:$E$1025,0)))</f>
        <v>14.33</v>
      </c>
      <c r="M355" s="3">
        <f>IF(INDEX(学年度总表!$M$3:$M$1025,MATCH($E355,学年度总表!$E$3:$E$1025,0))="","",INDEX(学年度总表!$M$3:$M$1025,MATCH($E355,学年度总表!$E$3:$E$1025,0)))</f>
        <v>3</v>
      </c>
      <c r="N355" s="3">
        <f>IF(INDEX(学年度总表!$N$3:$N$1025,MATCH($E355,学年度总表!$E$3:$E$1025,0))="","",INDEX(学年度总表!$N$3:$N$1025,MATCH($E355,学年度总表!$E$3:$E$1025,0)))</f>
        <v>27.13</v>
      </c>
      <c r="O355" s="3">
        <f>IF(INDEX(学年度总表!$O$3:$O$1025,MATCH($E355,学年度总表!$E$3:$E$1025,0))="","",INDEX(学年度总表!$O$3:$O$1025,MATCH($E355,学年度总表!$E$3:$E$1025,0)))</f>
        <v>76.56</v>
      </c>
      <c r="P355" s="2" t="str">
        <f>IF(INDEX(学年度总表!$P$3:$P$1025,MATCH($E355,学年度总表!$E$3:$E$1025,0))="","",INDEX(学年度总表!$P$3:$P$1025,MATCH($E355,学年度总表!$E$3:$E$1025,0)))</f>
        <v/>
      </c>
      <c r="Q355" s="5" t="str">
        <f>IF(INDEX(学年度总表!$Q$3:$Q$1025,MATCH($E355,学年度总表!$E$3:$E$1025,0))="","",INDEX(学年度总表!$Q$3:$Q$1025,MATCH($E355,学年度总表!$E$3:$E$1025,0)))</f>
        <v/>
      </c>
    </row>
    <row r="356" spans="1:17">
      <c r="A356" s="2">
        <f>IF(INDEX(学年度总表!$A$3:$A$1025,MATCH($E356,学年度总表!$E$3:$E$1025,0))="","",INDEX(学年度总表!$A$3:$A$1025,MATCH($E356,学年度总表!$E$3:$E$1025,0)))</f>
        <v>984</v>
      </c>
      <c r="B356" s="2">
        <f>IF(INDEX(学年度总表!$B$3:$B$1025,MATCH($E356,学年度总表!$E$3:$E$1025,0))="","",INDEX(学年度总表!$B$3:$B$1025,MATCH($E356,学年度总表!$E$3:$E$1025,0)))</f>
        <v>354</v>
      </c>
      <c r="C356" s="2" t="str">
        <f>IF(INDEX(学年度总表!$C$3:$C$1025,MATCH($E356,学年度总表!$E$3:$E$1025,0))="","",INDEX(学年度总表!$C$3:$C$1025,MATCH($E356,学年度总表!$E$3:$E$1025,0)))</f>
        <v>软工</v>
      </c>
      <c r="D356" s="2" t="str">
        <f>IF(INDEX(学年度总表!$D$3:$D$1025,MATCH($E356,学年度总表!$E$3:$E$1025,0))="","",INDEX(学年度总表!$D$3:$D$1025,MATCH($E356,学年度总表!$E$3:$E$1025,0)))</f>
        <v>软工7班</v>
      </c>
      <c r="E356" s="2" t="s">
        <v>2031</v>
      </c>
      <c r="F356" s="2" t="str">
        <f>IF(INDEX(学年度总表!$F$3:$F$1025,MATCH($E356,学年度总表!$E$3:$E$1025,0))="","",INDEX(学年度总表!$F$3:$F$1025,MATCH($E356,学年度总表!$E$3:$E$1025,0)))</f>
        <v>华中爱</v>
      </c>
      <c r="G356" s="3">
        <f>IF(INDEX(学年度总表!$G$3:$G$1025,MATCH($E356,学年度总表!$E$3:$E$1025,0))="","",INDEX(学年度总表!$G$3:$G$1025,MATCH($E356,学年度总表!$E$3:$E$1025,0)))</f>
        <v>7.3</v>
      </c>
      <c r="H356" s="3">
        <f>IF(INDEX(学年度总表!$H$3:$H$1025,MATCH($E356,学年度总表!$E$3:$E$1025,0))="","",INDEX(学年度总表!$H$3:$H$1025,MATCH($E356,学年度总表!$E$3:$E$1025,0)))</f>
        <v>33.94</v>
      </c>
      <c r="I356" s="3">
        <f>IF(INDEX(学年度总表!$I$3:$I$1025,MATCH($E356,学年度总表!$E$3:$E$1025,0))="","",INDEX(学年度总表!$I$3:$I$1025,MATCH($E356,学年度总表!$E$3:$E$1025,0)))</f>
        <v>3</v>
      </c>
      <c r="J356" s="3">
        <f>IF(INDEX(学年度总表!$J$3:$J$1025,MATCH($E356,学年度总表!$E$3:$E$1025,0))="","",INDEX(学年度总表!$J$3:$J$1025,MATCH($E356,学年度总表!$E$3:$E$1025,0)))</f>
        <v>44.24</v>
      </c>
      <c r="K356" s="3">
        <f>IF(INDEX(学年度总表!$K$3:$K$1025,MATCH($E356,学年度总表!$E$3:$E$1025,0))="","",INDEX(学年度总表!$K$3:$K$1025,MATCH($E356,学年度总表!$E$3:$E$1025,0)))</f>
        <v>7.3000000000000007</v>
      </c>
      <c r="L356" s="3">
        <f>IF(INDEX(学年度总表!$L$3:$L$1025,MATCH($E356,学年度总表!$E$3:$E$1025,0))="","",INDEX(学年度总表!$L$3:$L$1025,MATCH($E356,学年度总表!$E$3:$E$1025,0)))</f>
        <v>18.89</v>
      </c>
      <c r="M356" s="3">
        <f>IF(INDEX(学年度总表!$M$3:$M$1025,MATCH($E356,学年度总表!$E$3:$E$1025,0))="","",INDEX(学年度总表!$M$3:$M$1025,MATCH($E356,学年度总表!$E$3:$E$1025,0)))</f>
        <v>3</v>
      </c>
      <c r="N356" s="3">
        <f>IF(INDEX(学年度总表!$N$3:$N$1025,MATCH($E356,学年度总表!$E$3:$E$1025,0))="","",INDEX(学年度总表!$N$3:$N$1025,MATCH($E356,学年度总表!$E$3:$E$1025,0)))</f>
        <v>29.19</v>
      </c>
      <c r="O356" s="3">
        <f>IF(INDEX(学年度总表!$O$3:$O$1025,MATCH($E356,学年度总表!$E$3:$E$1025,0))="","",INDEX(学年度总表!$O$3:$O$1025,MATCH($E356,学年度总表!$E$3:$E$1025,0)))</f>
        <v>73.430000000000007</v>
      </c>
      <c r="P356" s="2" t="str">
        <f>IF(INDEX(学年度总表!$P$3:$P$1025,MATCH($E356,学年度总表!$E$3:$E$1025,0))="","",INDEX(学年度总表!$P$3:$P$1025,MATCH($E356,学年度总表!$E$3:$E$1025,0)))</f>
        <v/>
      </c>
      <c r="Q356" s="5" t="str">
        <f>IF(INDEX(学年度总表!$Q$3:$Q$1025,MATCH($E356,学年度总表!$E$3:$E$1025,0))="","",INDEX(学年度总表!$Q$3:$Q$1025,MATCH($E356,学年度总表!$E$3:$E$1025,0)))</f>
        <v/>
      </c>
    </row>
    <row r="357" spans="1:17">
      <c r="A357" s="2">
        <f>IF(INDEX(学年度总表!$A$3:$A$1025,MATCH($E357,学年度总表!$E$3:$E$1025,0))="","",INDEX(学年度总表!$A$3:$A$1025,MATCH($E357,学年度总表!$E$3:$E$1025,0)))</f>
        <v>989</v>
      </c>
      <c r="B357" s="2">
        <f>IF(INDEX(学年度总表!$B$3:$B$1025,MATCH($E357,学年度总表!$E$3:$E$1025,0))="","",INDEX(学年度总表!$B$3:$B$1025,MATCH($E357,学年度总表!$E$3:$E$1025,0)))</f>
        <v>355</v>
      </c>
      <c r="C357" s="2" t="str">
        <f>IF(INDEX(学年度总表!$C$3:$C$1025,MATCH($E357,学年度总表!$E$3:$E$1025,0))="","",INDEX(学年度总表!$C$3:$C$1025,MATCH($E357,学年度总表!$E$3:$E$1025,0)))</f>
        <v>软工</v>
      </c>
      <c r="D357" s="2" t="str">
        <f>IF(INDEX(学年度总表!$D$3:$D$1025,MATCH($E357,学年度总表!$E$3:$E$1025,0))="","",INDEX(学年度总表!$D$3:$D$1025,MATCH($E357,学年度总表!$E$3:$E$1025,0)))</f>
        <v>软工5班</v>
      </c>
      <c r="E357" s="2" t="s">
        <v>2041</v>
      </c>
      <c r="F357" s="2" t="str">
        <f>IF(INDEX(学年度总表!$F$3:$F$1025,MATCH($E357,学年度总表!$E$3:$E$1025,0))="","",INDEX(学年度总表!$F$3:$F$1025,MATCH($E357,学年度总表!$E$3:$E$1025,0)))</f>
        <v>陈绎帆</v>
      </c>
      <c r="G357" s="3" t="str">
        <f>IF(INDEX(学年度总表!$G$3:$G$1025,MATCH($E357,学年度总表!$E$3:$E$1025,0))="","",INDEX(学年度总表!$G$3:$G$1025,MATCH($E357,学年度总表!$E$3:$E$1025,0)))</f>
        <v/>
      </c>
      <c r="H357" s="3" t="str">
        <f>IF(INDEX(学年度总表!$H$3:$H$1025,MATCH($E357,学年度总表!$E$3:$E$1025,0))="","",INDEX(学年度总表!$H$3:$H$1025,MATCH($E357,学年度总表!$E$3:$E$1025,0)))</f>
        <v/>
      </c>
      <c r="I357" s="3" t="str">
        <f>IF(INDEX(学年度总表!$I$3:$I$1025,MATCH($E357,学年度总表!$E$3:$E$1025,0))="","",INDEX(学年度总表!$I$3:$I$1025,MATCH($E357,学年度总表!$E$3:$E$1025,0)))</f>
        <v/>
      </c>
      <c r="J357" s="3" t="str">
        <f>IF(INDEX(学年度总表!$J$3:$J$1025,MATCH($E357,学年度总表!$E$3:$E$1025,0))="","",INDEX(学年度总表!$J$3:$J$1025,MATCH($E357,学年度总表!$E$3:$E$1025,0)))</f>
        <v/>
      </c>
      <c r="K357" s="3">
        <f>IF(INDEX(学年度总表!$K$3:$K$1025,MATCH($E357,学年度总表!$E$3:$E$1025,0))="","",INDEX(学年度总表!$K$3:$K$1025,MATCH($E357,学年度总表!$E$3:$E$1025,0)))</f>
        <v>9.8000000000000007</v>
      </c>
      <c r="L357" s="3">
        <f>IF(INDEX(学年度总表!$L$3:$L$1025,MATCH($E357,学年度总表!$E$3:$E$1025,0))="","",INDEX(学年度总表!$L$3:$L$1025,MATCH($E357,学年度总表!$E$3:$E$1025,0)))</f>
        <v>39.29</v>
      </c>
      <c r="M357" s="3">
        <f>IF(INDEX(学年度总表!$M$3:$M$1025,MATCH($E357,学年度总表!$E$3:$E$1025,0))="","",INDEX(学年度总表!$M$3:$M$1025,MATCH($E357,学年度总表!$E$3:$E$1025,0)))</f>
        <v>3.5</v>
      </c>
      <c r="N357" s="3">
        <f>IF(INDEX(学年度总表!$N$3:$N$1025,MATCH($E357,学年度总表!$E$3:$E$1025,0))="","",INDEX(学年度总表!$N$3:$N$1025,MATCH($E357,学年度总表!$E$3:$E$1025,0)))</f>
        <v>52.59</v>
      </c>
      <c r="O357" s="3">
        <f>IF(INDEX(学年度总表!$O$3:$O$1025,MATCH($E357,学年度总表!$E$3:$E$1025,0))="","",INDEX(学年度总表!$O$3:$O$1025,MATCH($E357,学年度总表!$E$3:$E$1025,0)))</f>
        <v>52.59</v>
      </c>
      <c r="P357" s="4" t="str">
        <f>IF(INDEX(学年度总表!$P$3:$P$1025,MATCH($E357,学年度总表!$E$3:$E$1025,0))="","",INDEX(学年度总表!$P$3:$P$1025,MATCH($E357,学年度总表!$E$3:$E$1025,0)))</f>
        <v>优秀退役士兵</v>
      </c>
      <c r="Q357" s="5" t="str">
        <f>IF(INDEX(学年度总表!$Q$3:$Q$1025,MATCH($E357,学年度总表!$E$3:$E$1025,0))="","",INDEX(学年度总表!$Q$3:$Q$1025,MATCH($E357,学年度总表!$E$3:$E$1025,0)))</f>
        <v>无大一上综测成绩</v>
      </c>
    </row>
    <row r="358" spans="1:17">
      <c r="A358" s="2">
        <f>IF(INDEX(学年度总表!$A$3:$A$1025,MATCH($E358,学年度总表!$E$3:$E$1025,0))="","",INDEX(学年度总表!$A$3:$A$1025,MATCH($E358,学年度总表!$E$3:$E$1025,0)))</f>
        <v>990</v>
      </c>
      <c r="B358" s="2">
        <f>IF(INDEX(学年度总表!$B$3:$B$1025,MATCH($E358,学年度总表!$E$3:$E$1025,0))="","",INDEX(学年度总表!$B$3:$B$1025,MATCH($E358,学年度总表!$E$3:$E$1025,0)))</f>
        <v>356</v>
      </c>
      <c r="C358" s="2" t="str">
        <f>IF(INDEX(学年度总表!$C$3:$C$1025,MATCH($E358,学年度总表!$E$3:$E$1025,0))="","",INDEX(学年度总表!$C$3:$C$1025,MATCH($E358,学年度总表!$E$3:$E$1025,0)))</f>
        <v>软工</v>
      </c>
      <c r="D358" s="2" t="str">
        <f>IF(INDEX(学年度总表!$D$3:$D$1025,MATCH($E358,学年度总表!$E$3:$E$1025,0))="","",INDEX(学年度总表!$D$3:$D$1025,MATCH($E358,学年度总表!$E$3:$E$1025,0)))</f>
        <v>软工5班</v>
      </c>
      <c r="E358" s="2" t="s">
        <v>2044</v>
      </c>
      <c r="F358" s="2" t="str">
        <f>IF(INDEX(学年度总表!$F$3:$F$1025,MATCH($E358,学年度总表!$E$3:$E$1025,0))="","",INDEX(学年度总表!$F$3:$F$1025,MATCH($E358,学年度总表!$E$3:$E$1025,0)))</f>
        <v>周洋</v>
      </c>
      <c r="G358" s="3">
        <f>IF(INDEX(学年度总表!$G$3:$G$1025,MATCH($E358,学年度总表!$E$3:$E$1025,0))="","",INDEX(学年度总表!$G$3:$G$1025,MATCH($E358,学年度总表!$E$3:$E$1025,0)))</f>
        <v>8.3000000000000007</v>
      </c>
      <c r="H358" s="3">
        <f>IF(INDEX(学年度总表!$H$3:$H$1025,MATCH($E358,学年度总表!$E$3:$E$1025,0))="","",INDEX(学年度总表!$H$3:$H$1025,MATCH($E358,学年度总表!$E$3:$E$1025,0)))</f>
        <v>22.29</v>
      </c>
      <c r="I358" s="3">
        <f>IF(INDEX(学年度总表!$I$3:$I$1025,MATCH($E358,学年度总表!$E$3:$E$1025,0))="","",INDEX(学年度总表!$I$3:$I$1025,MATCH($E358,学年度总表!$E$3:$E$1025,0)))</f>
        <v>3</v>
      </c>
      <c r="J358" s="3">
        <f>IF(INDEX(学年度总表!$J$3:$J$1025,MATCH($E358,学年度总表!$E$3:$E$1025,0))="","",INDEX(学年度总表!$J$3:$J$1025,MATCH($E358,学年度总表!$E$3:$E$1025,0)))</f>
        <v>33.590000000000003</v>
      </c>
      <c r="K358" s="3">
        <f>IF(INDEX(学年度总表!$K$3:$K$1025,MATCH($E358,学年度总表!$E$3:$E$1025,0))="","",INDEX(学年度总表!$K$3:$K$1025,MATCH($E358,学年度总表!$E$3:$E$1025,0)))</f>
        <v>9.8000000000000007</v>
      </c>
      <c r="L358" s="3">
        <f>IF(INDEX(学年度总表!$L$3:$L$1025,MATCH($E358,学年度总表!$E$3:$E$1025,0))="","",INDEX(学年度总表!$L$3:$L$1025,MATCH($E358,学年度总表!$E$3:$E$1025,0)))</f>
        <v>0</v>
      </c>
      <c r="M358" s="3">
        <f>IF(INDEX(学年度总表!$M$3:$M$1025,MATCH($E358,学年度总表!$E$3:$E$1025,0))="","",INDEX(学年度总表!$M$3:$M$1025,MATCH($E358,学年度总表!$E$3:$E$1025,0)))</f>
        <v>3.5</v>
      </c>
      <c r="N358" s="3">
        <f>IF(INDEX(学年度总表!$N$3:$N$1025,MATCH($E358,学年度总表!$E$3:$E$1025,0))="","",INDEX(学年度总表!$N$3:$N$1025,MATCH($E358,学年度总表!$E$3:$E$1025,0)))</f>
        <v>13.3</v>
      </c>
      <c r="O358" s="3">
        <f>IF(INDEX(学年度总表!$O$3:$O$1025,MATCH($E358,学年度总表!$E$3:$E$1025,0))="","",INDEX(学年度总表!$O$3:$O$1025,MATCH($E358,学年度总表!$E$3:$E$1025,0)))</f>
        <v>46.89</v>
      </c>
      <c r="P358" s="2" t="str">
        <f>IF(INDEX(学年度总表!$P$3:$P$1025,MATCH($E358,学年度总表!$E$3:$E$1025,0))="","",INDEX(学年度总表!$P$3:$P$1025,MATCH($E358,学年度总表!$E$3:$E$1025,0)))</f>
        <v/>
      </c>
      <c r="Q358" s="5" t="str">
        <f>IF(INDEX(学年度总表!$Q$3:$Q$1025,MATCH($E358,学年度总表!$E$3:$E$1025,0))="","",INDEX(学年度总表!$Q$3:$Q$1025,MATCH($E358,学年度总表!$E$3:$E$1025,0)))</f>
        <v/>
      </c>
    </row>
  </sheetData>
  <autoFilter ref="A2:Q358" xr:uid="{00000000-0009-0000-0000-000002000000}"/>
  <mergeCells count="11">
    <mergeCell ref="A1:A2"/>
    <mergeCell ref="P1:P2"/>
    <mergeCell ref="Q1:Q2"/>
    <mergeCell ref="K1:N1"/>
    <mergeCell ref="C1:C2"/>
    <mergeCell ref="B1:B2"/>
    <mergeCell ref="D1:D2"/>
    <mergeCell ref="E1:E2"/>
    <mergeCell ref="F1:F2"/>
    <mergeCell ref="G1:J1"/>
    <mergeCell ref="O1:O2"/>
  </mergeCells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42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2" width="6" customWidth="1"/>
    <col min="3" max="3" width="7" customWidth="1"/>
    <col min="4" max="5" width="11" customWidth="1"/>
    <col min="6" max="6" width="9" customWidth="1"/>
    <col min="7" max="9" width="7.5" customWidth="1"/>
    <col min="10" max="10" width="8" customWidth="1"/>
    <col min="11" max="13" width="7.5" customWidth="1"/>
    <col min="14" max="14" width="8" customWidth="1"/>
    <col min="15" max="15" width="9" customWidth="1"/>
    <col min="16" max="16" width="18" customWidth="1"/>
    <col min="17" max="17" width="22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/>
      <c r="I1" s="8"/>
      <c r="J1" s="8"/>
      <c r="K1" s="8" t="s">
        <v>7</v>
      </c>
      <c r="L1" s="8"/>
      <c r="M1" s="8"/>
      <c r="N1" s="8"/>
      <c r="O1" s="8" t="s">
        <v>8</v>
      </c>
      <c r="P1" s="8" t="s">
        <v>9</v>
      </c>
      <c r="Q1" s="8" t="s">
        <v>10</v>
      </c>
    </row>
    <row r="2" spans="1:17" ht="28" customHeight="1">
      <c r="A2" s="8"/>
      <c r="B2" s="8"/>
      <c r="C2" s="8"/>
      <c r="D2" s="8"/>
      <c r="E2" s="8"/>
      <c r="F2" s="8"/>
      <c r="G2" s="1" t="s">
        <v>11</v>
      </c>
      <c r="H2" s="1" t="s">
        <v>12</v>
      </c>
      <c r="I2" s="1" t="s">
        <v>13</v>
      </c>
      <c r="J2" s="1" t="s">
        <v>14</v>
      </c>
      <c r="K2" s="1" t="s">
        <v>11</v>
      </c>
      <c r="L2" s="1" t="s">
        <v>12</v>
      </c>
      <c r="M2" s="1" t="s">
        <v>13</v>
      </c>
      <c r="N2" s="1" t="s">
        <v>14</v>
      </c>
      <c r="O2" s="8"/>
      <c r="P2" s="8"/>
      <c r="Q2" s="8"/>
    </row>
    <row r="3" spans="1:17">
      <c r="A3" s="2">
        <f>IF(INDEX(学年度总表!$A$3:$A$1025,MATCH($E3,学年度总表!$E$3:$E$1025,0))="","",INDEX(学年度总表!$A$3:$A$1025,MATCH($E3,学年度总表!$E$3:$E$1025,0)))</f>
        <v>1</v>
      </c>
      <c r="B3" s="2">
        <f>IF(INDEX(学年度总表!$B$3:$B$1025,MATCH($E3,学年度总表!$E$3:$E$1025,0))="","",INDEX(学年度总表!$B$3:$B$1025,MATCH($E3,学年度总表!$E$3:$E$1025,0)))</f>
        <v>1</v>
      </c>
      <c r="C3" s="2" t="str">
        <f>IF(INDEX(学年度总表!$C$3:$C$1025,MATCH($E3,学年度总表!$E$3:$E$1025,0))="","",INDEX(学年度总表!$C$3:$C$1025,MATCH($E3,学年度总表!$E$3:$E$1025,0)))</f>
        <v>网工</v>
      </c>
      <c r="D3" s="2" t="str">
        <f>IF(INDEX(学年度总表!$D$3:$D$1025,MATCH($E3,学年度总表!$E$3:$E$1025,0))="","",INDEX(学年度总表!$D$3:$D$1025,MATCH($E3,学年度总表!$E$3:$E$1025,0)))</f>
        <v>网工15班</v>
      </c>
      <c r="E3" s="2" t="s">
        <v>17</v>
      </c>
      <c r="F3" s="2" t="str">
        <f>IF(INDEX(学年度总表!$F$3:$F$1025,MATCH($E3,学年度总表!$E$3:$E$1025,0))="","",INDEX(学年度总表!$F$3:$F$1025,MATCH($E3,学年度总表!$E$3:$E$1025,0)))</f>
        <v>单禹霖</v>
      </c>
      <c r="G3" s="3">
        <f>IF(INDEX(学年度总表!$G$3:$G$1025,MATCH($E3,学年度总表!$E$3:$E$1025,0))="","",INDEX(学年度总表!$G$3:$G$1025,MATCH($E3,学年度总表!$E$3:$E$1025,0)))</f>
        <v>13.5</v>
      </c>
      <c r="H3" s="3">
        <f>IF(INDEX(学年度总表!$H$3:$H$1025,MATCH($E3,学年度总表!$E$3:$E$1025,0))="","",INDEX(学年度总表!$H$3:$H$1025,MATCH($E3,学年度总表!$E$3:$E$1025,0)))</f>
        <v>69.67</v>
      </c>
      <c r="I3" s="3">
        <f>IF(INDEX(学年度总表!$I$3:$I$1025,MATCH($E3,学年度总表!$E$3:$E$1025,0))="","",INDEX(学年度总表!$I$3:$I$1025,MATCH($E3,学年度总表!$E$3:$E$1025,0)))</f>
        <v>7.1</v>
      </c>
      <c r="J3" s="3">
        <f>IF(INDEX(学年度总表!$J$3:$J$1025,MATCH($E3,学年度总表!$E$3:$E$1025,0))="","",INDEX(学年度总表!$J$3:$J$1025,MATCH($E3,学年度总表!$E$3:$E$1025,0)))</f>
        <v>90.27</v>
      </c>
      <c r="K3" s="3">
        <f>IF(INDEX(学年度总表!$K$3:$K$1025,MATCH($E3,学年度总表!$E$3:$E$1025,0))="","",INDEX(学年度总表!$K$3:$K$1025,MATCH($E3,学年度总表!$E$3:$E$1025,0)))</f>
        <v>13</v>
      </c>
      <c r="L3" s="3">
        <f>IF(INDEX(学年度总表!$L$3:$L$1025,MATCH($E3,学年度总表!$E$3:$E$1025,0))="","",INDEX(学年度总表!$L$3:$L$1025,MATCH($E3,学年度总表!$E$3:$E$1025,0)))</f>
        <v>68.429999999999993</v>
      </c>
      <c r="M3" s="3">
        <f>IF(INDEX(学年度总表!$M$3:$M$1025,MATCH($E3,学年度总表!$E$3:$E$1025,0))="","",INDEX(学年度总表!$M$3:$M$1025,MATCH($E3,学年度总表!$E$3:$E$1025,0)))</f>
        <v>9</v>
      </c>
      <c r="N3" s="3">
        <f>IF(INDEX(学年度总表!$N$3:$N$1025,MATCH($E3,学年度总表!$E$3:$E$1025,0))="","",INDEX(学年度总表!$N$3:$N$1025,MATCH($E3,学年度总表!$E$3:$E$1025,0)))</f>
        <v>90.43</v>
      </c>
      <c r="O3" s="3">
        <f>IF(INDEX(学年度总表!$O$3:$O$1025,MATCH($E3,学年度总表!$E$3:$E$1025,0))="","",INDEX(学年度总表!$O$3:$O$1025,MATCH($E3,学年度总表!$E$3:$E$1025,0)))</f>
        <v>180.7</v>
      </c>
      <c r="P3" s="4" t="str">
        <f>IF(INDEX(学年度总表!$P$3:$P$1025,MATCH($E3,学年度总表!$E$3:$E$1025,0))="","",INDEX(学年度总表!$P$3:$P$1025,MATCH($E3,学年度总表!$E$3:$E$1025,0)))</f>
        <v>国奖</v>
      </c>
      <c r="Q3" s="5" t="str">
        <f>IF(INDEX(学年度总表!$Q$3:$Q$1025,MATCH($E3,学年度总表!$E$3:$E$1025,0))="","",INDEX(学年度总表!$Q$3:$Q$1025,MATCH($E3,学年度总表!$E$3:$E$1025,0)))</f>
        <v/>
      </c>
    </row>
    <row r="4" spans="1:17">
      <c r="A4" s="2">
        <f>IF(INDEX(学年度总表!$A$3:$A$1025,MATCH($E4,学年度总表!$E$3:$E$1025,0))="","",INDEX(学年度总表!$A$3:$A$1025,MATCH($E4,学年度总表!$E$3:$E$1025,0)))</f>
        <v>7</v>
      </c>
      <c r="B4" s="2">
        <f>IF(INDEX(学年度总表!$B$3:$B$1025,MATCH($E4,学年度总表!$E$3:$E$1025,0))="","",INDEX(学年度总表!$B$3:$B$1025,MATCH($E4,学年度总表!$E$3:$E$1025,0)))</f>
        <v>2</v>
      </c>
      <c r="C4" s="2" t="str">
        <f>IF(INDEX(学年度总表!$C$3:$C$1025,MATCH($E4,学年度总表!$E$3:$E$1025,0))="","",INDEX(学年度总表!$C$3:$C$1025,MATCH($E4,学年度总表!$E$3:$E$1025,0)))</f>
        <v>网工</v>
      </c>
      <c r="D4" s="2" t="str">
        <f>IF(INDEX(学年度总表!$D$3:$D$1025,MATCH($E4,学年度总表!$E$3:$E$1025,0))="","",INDEX(学年度总表!$D$3:$D$1025,MATCH($E4,学年度总表!$E$3:$E$1025,0)))</f>
        <v>网工16班</v>
      </c>
      <c r="E4" s="2" t="s">
        <v>40</v>
      </c>
      <c r="F4" s="2" t="str">
        <f>IF(INDEX(学年度总表!$F$3:$F$1025,MATCH($E4,学年度总表!$E$3:$E$1025,0))="","",INDEX(学年度总表!$F$3:$F$1025,MATCH($E4,学年度总表!$E$3:$E$1025,0)))</f>
        <v>李辰析</v>
      </c>
      <c r="G4" s="3">
        <f>IF(INDEX(学年度总表!$G$3:$G$1025,MATCH($E4,学年度总表!$E$3:$E$1025,0))="","",INDEX(学年度总表!$G$3:$G$1025,MATCH($E4,学年度总表!$E$3:$E$1025,0)))</f>
        <v>11.4</v>
      </c>
      <c r="H4" s="3">
        <f>IF(INDEX(学年度总表!$H$3:$H$1025,MATCH($E4,学年度总表!$E$3:$E$1025,0))="","",INDEX(学年度总表!$H$3:$H$1025,MATCH($E4,学年度总表!$E$3:$E$1025,0)))</f>
        <v>68.989999999999995</v>
      </c>
      <c r="I4" s="3">
        <f>IF(INDEX(学年度总表!$I$3:$I$1025,MATCH($E4,学年度总表!$E$3:$E$1025,0))="","",INDEX(学年度总表!$I$3:$I$1025,MATCH($E4,学年度总表!$E$3:$E$1025,0)))</f>
        <v>6.4</v>
      </c>
      <c r="J4" s="3">
        <f>IF(INDEX(学年度总表!$J$3:$J$1025,MATCH($E4,学年度总表!$E$3:$E$1025,0))="","",INDEX(学年度总表!$J$3:$J$1025,MATCH($E4,学年度总表!$E$3:$E$1025,0)))</f>
        <v>86.79</v>
      </c>
      <c r="K4" s="3">
        <f>IF(INDEX(学年度总表!$K$3:$K$1025,MATCH($E4,学年度总表!$E$3:$E$1025,0))="","",INDEX(学年度总表!$K$3:$K$1025,MATCH($E4,学年度总表!$E$3:$E$1025,0)))</f>
        <v>9.8000000000000007</v>
      </c>
      <c r="L4" s="3">
        <f>IF(INDEX(学年度总表!$L$3:$L$1025,MATCH($E4,学年度总表!$E$3:$E$1025,0))="","",INDEX(学年度总表!$L$3:$L$1025,MATCH($E4,学年度总表!$E$3:$E$1025,0)))</f>
        <v>69.459999999999994</v>
      </c>
      <c r="M4" s="3">
        <f>IF(INDEX(学年度总表!$M$3:$M$1025,MATCH($E4,学年度总表!$E$3:$E$1025,0))="","",INDEX(学年度总表!$M$3:$M$1025,MATCH($E4,学年度总表!$E$3:$E$1025,0)))</f>
        <v>7.9</v>
      </c>
      <c r="N4" s="3">
        <f>IF(INDEX(学年度总表!$N$3:$N$1025,MATCH($E4,学年度总表!$E$3:$E$1025,0))="","",INDEX(学年度总表!$N$3:$N$1025,MATCH($E4,学年度总表!$E$3:$E$1025,0)))</f>
        <v>87.16</v>
      </c>
      <c r="O4" s="3">
        <f>IF(INDEX(学年度总表!$O$3:$O$1025,MATCH($E4,学年度总表!$E$3:$E$1025,0))="","",INDEX(学年度总表!$O$3:$O$1025,MATCH($E4,学年度总表!$E$3:$E$1025,0)))</f>
        <v>173.95</v>
      </c>
      <c r="P4" s="4" t="str">
        <f>IF(INDEX(学年度总表!$P$3:$P$1025,MATCH($E4,学年度总表!$E$3:$E$1025,0))="","",INDEX(学年度总表!$P$3:$P$1025,MATCH($E4,学年度总表!$E$3:$E$1025,0)))</f>
        <v>校一等</v>
      </c>
      <c r="Q4" s="5" t="str">
        <f>IF(INDEX(学年度总表!$Q$3:$Q$1025,MATCH($E4,学年度总表!$E$3:$E$1025,0))="","",INDEX(学年度总表!$Q$3:$Q$1025,MATCH($E4,学年度总表!$E$3:$E$1025,0)))</f>
        <v/>
      </c>
    </row>
    <row r="5" spans="1:17">
      <c r="A5" s="2">
        <f>IF(INDEX(学年度总表!$A$3:$A$1025,MATCH($E5,学年度总表!$E$3:$E$1025,0))="","",INDEX(学年度总表!$A$3:$A$1025,MATCH($E5,学年度总表!$E$3:$E$1025,0)))</f>
        <v>18</v>
      </c>
      <c r="B5" s="2">
        <f>IF(INDEX(学年度总表!$B$3:$B$1025,MATCH($E5,学年度总表!$E$3:$E$1025,0))="","",INDEX(学年度总表!$B$3:$B$1025,MATCH($E5,学年度总表!$E$3:$E$1025,0)))</f>
        <v>3</v>
      </c>
      <c r="C5" s="2" t="str">
        <f>IF(INDEX(学年度总表!$C$3:$C$1025,MATCH($E5,学年度总表!$E$3:$E$1025,0))="","",INDEX(学年度总表!$C$3:$C$1025,MATCH($E5,学年度总表!$E$3:$E$1025,0)))</f>
        <v>网工</v>
      </c>
      <c r="D5" s="2" t="str">
        <f>IF(INDEX(学年度总表!$D$3:$D$1025,MATCH($E5,学年度总表!$E$3:$E$1025,0))="","",INDEX(学年度总表!$D$3:$D$1025,MATCH($E5,学年度总表!$E$3:$E$1025,0)))</f>
        <v>网工16班</v>
      </c>
      <c r="E5" s="2" t="s">
        <v>70</v>
      </c>
      <c r="F5" s="2" t="str">
        <f>IF(INDEX(学年度总表!$F$3:$F$1025,MATCH($E5,学年度总表!$E$3:$E$1025,0))="","",INDEX(学年度总表!$F$3:$F$1025,MATCH($E5,学年度总表!$E$3:$E$1025,0)))</f>
        <v>吕静怡</v>
      </c>
      <c r="G5" s="3">
        <f>IF(INDEX(学年度总表!$G$3:$G$1025,MATCH($E5,学年度总表!$E$3:$E$1025,0))="","",INDEX(学年度总表!$G$3:$G$1025,MATCH($E5,学年度总表!$E$3:$E$1025,0)))</f>
        <v>9.8000000000000007</v>
      </c>
      <c r="H5" s="3">
        <f>IF(INDEX(学年度总表!$H$3:$H$1025,MATCH($E5,学年度总表!$E$3:$E$1025,0))="","",INDEX(学年度总表!$H$3:$H$1025,MATCH($E5,学年度总表!$E$3:$E$1025,0)))</f>
        <v>69.88</v>
      </c>
      <c r="I5" s="3">
        <f>IF(INDEX(学年度总表!$I$3:$I$1025,MATCH($E5,学年度总表!$E$3:$E$1025,0))="","",INDEX(学年度总表!$I$3:$I$1025,MATCH($E5,学年度总表!$E$3:$E$1025,0)))</f>
        <v>5.2</v>
      </c>
      <c r="J5" s="3">
        <f>IF(INDEX(学年度总表!$J$3:$J$1025,MATCH($E5,学年度总表!$E$3:$E$1025,0))="","",INDEX(学年度总表!$J$3:$J$1025,MATCH($E5,学年度总表!$E$3:$E$1025,0)))</f>
        <v>84.88</v>
      </c>
      <c r="K5" s="3">
        <f>IF(INDEX(学年度总表!$K$3:$K$1025,MATCH($E5,学年度总表!$E$3:$E$1025,0))="","",INDEX(学年度总表!$K$3:$K$1025,MATCH($E5,学年度总表!$E$3:$E$1025,0)))</f>
        <v>9.8000000000000007</v>
      </c>
      <c r="L5" s="3">
        <f>IF(INDEX(学年度总表!$L$3:$L$1025,MATCH($E5,学年度总表!$E$3:$E$1025,0))="","",INDEX(学年度总表!$L$3:$L$1025,MATCH($E5,学年度总表!$E$3:$E$1025,0)))</f>
        <v>67.08</v>
      </c>
      <c r="M5" s="3">
        <f>IF(INDEX(学年度总表!$M$3:$M$1025,MATCH($E5,学年度总表!$E$3:$E$1025,0))="","",INDEX(学年度总表!$M$3:$M$1025,MATCH($E5,学年度总表!$E$3:$E$1025,0)))</f>
        <v>7.5</v>
      </c>
      <c r="N5" s="3">
        <f>IF(INDEX(学年度总表!$N$3:$N$1025,MATCH($E5,学年度总表!$E$3:$E$1025,0))="","",INDEX(学年度总表!$N$3:$N$1025,MATCH($E5,学年度总表!$E$3:$E$1025,0)))</f>
        <v>84.38</v>
      </c>
      <c r="O5" s="3">
        <f>IF(INDEX(学年度总表!$O$3:$O$1025,MATCH($E5,学年度总表!$E$3:$E$1025,0))="","",INDEX(学年度总表!$O$3:$O$1025,MATCH($E5,学年度总表!$E$3:$E$1025,0)))</f>
        <v>169.26</v>
      </c>
      <c r="P5" s="4" t="str">
        <f>IF(INDEX(学年度总表!$P$3:$P$1025,MATCH($E5,学年度总表!$E$3:$E$1025,0))="","",INDEX(学年度总表!$P$3:$P$1025,MATCH($E5,学年度总表!$E$3:$E$1025,0)))</f>
        <v>国励</v>
      </c>
      <c r="Q5" s="5" t="str">
        <f>IF(INDEX(学年度总表!$Q$3:$Q$1025,MATCH($E5,学年度总表!$E$3:$E$1025,0))="","",INDEX(学年度总表!$Q$3:$Q$1025,MATCH($E5,学年度总表!$E$3:$E$1025,0)))</f>
        <v/>
      </c>
    </row>
    <row r="6" spans="1:17">
      <c r="A6" s="2">
        <f>IF(INDEX(学年度总表!$A$3:$A$1025,MATCH($E6,学年度总表!$E$3:$E$1025,0))="","",INDEX(学年度总表!$A$3:$A$1025,MATCH($E6,学年度总表!$E$3:$E$1025,0)))</f>
        <v>21</v>
      </c>
      <c r="B6" s="2">
        <f>IF(INDEX(学年度总表!$B$3:$B$1025,MATCH($E6,学年度总表!$E$3:$E$1025,0))="","",INDEX(学年度总表!$B$3:$B$1025,MATCH($E6,学年度总表!$E$3:$E$1025,0)))</f>
        <v>4</v>
      </c>
      <c r="C6" s="2" t="str">
        <f>IF(INDEX(学年度总表!$C$3:$C$1025,MATCH($E6,学年度总表!$E$3:$E$1025,0))="","",INDEX(学年度总表!$C$3:$C$1025,MATCH($E6,学年度总表!$E$3:$E$1025,0)))</f>
        <v>网工</v>
      </c>
      <c r="D6" s="2" t="str">
        <f>IF(INDEX(学年度总表!$D$3:$D$1025,MATCH($E6,学年度总表!$E$3:$E$1025,0))="","",INDEX(学年度总表!$D$3:$D$1025,MATCH($E6,学年度总表!$E$3:$E$1025,0)))</f>
        <v>网工15班</v>
      </c>
      <c r="E6" s="2" t="s">
        <v>80</v>
      </c>
      <c r="F6" s="2" t="str">
        <f>IF(INDEX(学年度总表!$F$3:$F$1025,MATCH($E6,学年度总表!$E$3:$E$1025,0))="","",INDEX(学年度总表!$F$3:$F$1025,MATCH($E6,学年度总表!$E$3:$E$1025,0)))</f>
        <v>沈乃鑫</v>
      </c>
      <c r="G6" s="3">
        <f>IF(INDEX(学年度总表!$G$3:$G$1025,MATCH($E6,学年度总表!$E$3:$E$1025,0))="","",INDEX(学年度总表!$G$3:$G$1025,MATCH($E6,学年度总表!$E$3:$E$1025,0)))</f>
        <v>9.8000000000000007</v>
      </c>
      <c r="H6" s="3">
        <f>IF(INDEX(学年度总表!$H$3:$H$1025,MATCH($E6,学年度总表!$E$3:$E$1025,0))="","",INDEX(学年度总表!$H$3:$H$1025,MATCH($E6,学年度总表!$E$3:$E$1025,0)))</f>
        <v>67</v>
      </c>
      <c r="I6" s="3">
        <f>IF(INDEX(学年度总表!$I$3:$I$1025,MATCH($E6,学年度总表!$E$3:$E$1025,0))="","",INDEX(学年度总表!$I$3:$I$1025,MATCH($E6,学年度总表!$E$3:$E$1025,0)))</f>
        <v>5.0999999999999996</v>
      </c>
      <c r="J6" s="3">
        <f>IF(INDEX(学年度总表!$J$3:$J$1025,MATCH($E6,学年度总表!$E$3:$E$1025,0))="","",INDEX(学年度总表!$J$3:$J$1025,MATCH($E6,学年度总表!$E$3:$E$1025,0)))</f>
        <v>81.900000000000006</v>
      </c>
      <c r="K6" s="3">
        <f>IF(INDEX(学年度总表!$K$3:$K$1025,MATCH($E6,学年度总表!$E$3:$E$1025,0))="","",INDEX(学年度总表!$K$3:$K$1025,MATCH($E6,学年度总表!$E$3:$E$1025,0)))</f>
        <v>9.8000000000000007</v>
      </c>
      <c r="L6" s="3">
        <f>IF(INDEX(学年度总表!$L$3:$L$1025,MATCH($E6,学年度总表!$E$3:$E$1025,0))="","",INDEX(学年度总表!$L$3:$L$1025,MATCH($E6,学年度总表!$E$3:$E$1025,0)))</f>
        <v>70.02</v>
      </c>
      <c r="M6" s="3">
        <f>IF(INDEX(学年度总表!$M$3:$M$1025,MATCH($E6,学年度总表!$E$3:$E$1025,0))="","",INDEX(学年度总表!$M$3:$M$1025,MATCH($E6,学年度总表!$E$3:$E$1025,0)))</f>
        <v>6.9</v>
      </c>
      <c r="N6" s="3">
        <f>IF(INDEX(学年度总表!$N$3:$N$1025,MATCH($E6,学年度总表!$E$3:$E$1025,0))="","",INDEX(学年度总表!$N$3:$N$1025,MATCH($E6,学年度总表!$E$3:$E$1025,0)))</f>
        <v>86.72</v>
      </c>
      <c r="O6" s="3">
        <f>IF(INDEX(学年度总表!$O$3:$O$1025,MATCH($E6,学年度总表!$E$3:$E$1025,0))="","",INDEX(学年度总表!$O$3:$O$1025,MATCH($E6,学年度总表!$E$3:$E$1025,0)))</f>
        <v>168.62</v>
      </c>
      <c r="P6" s="4" t="str">
        <f>IF(INDEX(学年度总表!$P$3:$P$1025,MATCH($E6,学年度总表!$E$3:$E$1025,0))="","",INDEX(学年度总表!$P$3:$P$1025,MATCH($E6,学年度总表!$E$3:$E$1025,0)))</f>
        <v>校一等</v>
      </c>
      <c r="Q6" s="5" t="str">
        <f>IF(INDEX(学年度总表!$Q$3:$Q$1025,MATCH($E6,学年度总表!$E$3:$E$1025,0))="","",INDEX(学年度总表!$Q$3:$Q$1025,MATCH($E6,学年度总表!$E$3:$E$1025,0)))</f>
        <v/>
      </c>
    </row>
    <row r="7" spans="1:17">
      <c r="A7" s="2">
        <f>IF(INDEX(学年度总表!$A$3:$A$1025,MATCH($E7,学年度总表!$E$3:$E$1025,0))="","",INDEX(学年度总表!$A$3:$A$1025,MATCH($E7,学年度总表!$E$3:$E$1025,0)))</f>
        <v>35</v>
      </c>
      <c r="B7" s="2">
        <f>IF(INDEX(学年度总表!$B$3:$B$1025,MATCH($E7,学年度总表!$E$3:$E$1025,0))="","",INDEX(学年度总表!$B$3:$B$1025,MATCH($E7,学年度总表!$E$3:$E$1025,0)))</f>
        <v>5</v>
      </c>
      <c r="C7" s="2" t="str">
        <f>IF(INDEX(学年度总表!$C$3:$C$1025,MATCH($E7,学年度总表!$E$3:$E$1025,0))="","",INDEX(学年度总表!$C$3:$C$1025,MATCH($E7,学年度总表!$E$3:$E$1025,0)))</f>
        <v>网工</v>
      </c>
      <c r="D7" s="2" t="str">
        <f>IF(INDEX(学年度总表!$D$3:$D$1025,MATCH($E7,学年度总表!$E$3:$E$1025,0))="","",INDEX(学年度总表!$D$3:$D$1025,MATCH($E7,学年度总表!$E$3:$E$1025,0)))</f>
        <v>网工15班</v>
      </c>
      <c r="E7" s="2" t="s">
        <v>112</v>
      </c>
      <c r="F7" s="2" t="str">
        <f>IF(INDEX(学年度总表!$F$3:$F$1025,MATCH($E7,学年度总表!$E$3:$E$1025,0))="","",INDEX(学年度总表!$F$3:$F$1025,MATCH($E7,学年度总表!$E$3:$E$1025,0)))</f>
        <v>赵一婷</v>
      </c>
      <c r="G7" s="3">
        <f>IF(INDEX(学年度总表!$G$3:$G$1025,MATCH($E7,学年度总表!$E$3:$E$1025,0))="","",INDEX(学年度总表!$G$3:$G$1025,MATCH($E7,学年度总表!$E$3:$E$1025,0)))</f>
        <v>13</v>
      </c>
      <c r="H7" s="3">
        <f>IF(INDEX(学年度总表!$H$3:$H$1025,MATCH($E7,学年度总表!$E$3:$E$1025,0))="","",INDEX(学年度总表!$H$3:$H$1025,MATCH($E7,学年度总表!$E$3:$E$1025,0)))</f>
        <v>64.38</v>
      </c>
      <c r="I7" s="3">
        <f>IF(INDEX(学年度总表!$I$3:$I$1025,MATCH($E7,学年度总表!$E$3:$E$1025,0))="","",INDEX(学年度总表!$I$3:$I$1025,MATCH($E7,学年度总表!$E$3:$E$1025,0)))</f>
        <v>5.6</v>
      </c>
      <c r="J7" s="3">
        <f>IF(INDEX(学年度总表!$J$3:$J$1025,MATCH($E7,学年度总表!$E$3:$E$1025,0))="","",INDEX(学年度总表!$J$3:$J$1025,MATCH($E7,学年度总表!$E$3:$E$1025,0)))</f>
        <v>82.98</v>
      </c>
      <c r="K7" s="3">
        <f>IF(INDEX(学年度总表!$K$3:$K$1025,MATCH($E7,学年度总表!$E$3:$E$1025,0))="","",INDEX(学年度总表!$K$3:$K$1025,MATCH($E7,学年度总表!$E$3:$E$1025,0)))</f>
        <v>12</v>
      </c>
      <c r="L7" s="3">
        <f>IF(INDEX(学年度总表!$L$3:$L$1025,MATCH($E7,学年度总表!$E$3:$E$1025,0))="","",INDEX(学年度总表!$L$3:$L$1025,MATCH($E7,学年度总表!$E$3:$E$1025,0)))</f>
        <v>62.04</v>
      </c>
      <c r="M7" s="3">
        <f>IF(INDEX(学年度总表!$M$3:$M$1025,MATCH($E7,学年度总表!$E$3:$E$1025,0))="","",INDEX(学年度总表!$M$3:$M$1025,MATCH($E7,学年度总表!$E$3:$E$1025,0)))</f>
        <v>9</v>
      </c>
      <c r="N7" s="3">
        <f>IF(INDEX(学年度总表!$N$3:$N$1025,MATCH($E7,学年度总表!$E$3:$E$1025,0))="","",INDEX(学年度总表!$N$3:$N$1025,MATCH($E7,学年度总表!$E$3:$E$1025,0)))</f>
        <v>83.04</v>
      </c>
      <c r="O7" s="3">
        <f>IF(INDEX(学年度总表!$O$3:$O$1025,MATCH($E7,学年度总表!$E$3:$E$1025,0))="","",INDEX(学年度总表!$O$3:$O$1025,MATCH($E7,学年度总表!$E$3:$E$1025,0)))</f>
        <v>166.02</v>
      </c>
      <c r="P7" s="4" t="str">
        <f>IF(INDEX(学年度总表!$P$3:$P$1025,MATCH($E7,学年度总表!$E$3:$E$1025,0))="","",INDEX(学年度总表!$P$3:$P$1025,MATCH($E7,学年度总表!$E$3:$E$1025,0)))</f>
        <v>校一等</v>
      </c>
      <c r="Q7" s="5" t="str">
        <f>IF(INDEX(学年度总表!$Q$3:$Q$1025,MATCH($E7,学年度总表!$E$3:$E$1025,0))="","",INDEX(学年度总表!$Q$3:$Q$1025,MATCH($E7,学年度总表!$E$3:$E$1025,0)))</f>
        <v/>
      </c>
    </row>
    <row r="8" spans="1:17">
      <c r="A8" s="2">
        <f>IF(INDEX(学年度总表!$A$3:$A$1025,MATCH($E8,学年度总表!$E$3:$E$1025,0))="","",INDEX(学年度总表!$A$3:$A$1025,MATCH($E8,学年度总表!$E$3:$E$1025,0)))</f>
        <v>56</v>
      </c>
      <c r="B8" s="2">
        <f>IF(INDEX(学年度总表!$B$3:$B$1025,MATCH($E8,学年度总表!$E$3:$E$1025,0))="","",INDEX(学年度总表!$B$3:$B$1025,MATCH($E8,学年度总表!$E$3:$E$1025,0)))</f>
        <v>6</v>
      </c>
      <c r="C8" s="2" t="str">
        <f>IF(INDEX(学年度总表!$C$3:$C$1025,MATCH($E8,学年度总表!$E$3:$E$1025,0))="","",INDEX(学年度总表!$C$3:$C$1025,MATCH($E8,学年度总表!$E$3:$E$1025,0)))</f>
        <v>网工</v>
      </c>
      <c r="D8" s="2" t="str">
        <f>IF(INDEX(学年度总表!$D$3:$D$1025,MATCH($E8,学年度总表!$E$3:$E$1025,0))="","",INDEX(学年度总表!$D$3:$D$1025,MATCH($E8,学年度总表!$E$3:$E$1025,0)))</f>
        <v>网工16班</v>
      </c>
      <c r="E8" s="2" t="s">
        <v>158</v>
      </c>
      <c r="F8" s="2" t="str">
        <f>IF(INDEX(学年度总表!$F$3:$F$1025,MATCH($E8,学年度总表!$E$3:$E$1025,0))="","",INDEX(学年度总表!$F$3:$F$1025,MATCH($E8,学年度总表!$E$3:$E$1025,0)))</f>
        <v>夏舶航</v>
      </c>
      <c r="G8" s="3">
        <f>IF(INDEX(学年度总表!$G$3:$G$1025,MATCH($E8,学年度总表!$E$3:$E$1025,0))="","",INDEX(学年度总表!$G$3:$G$1025,MATCH($E8,学年度总表!$E$3:$E$1025,0)))</f>
        <v>10</v>
      </c>
      <c r="H8" s="3">
        <f>IF(INDEX(学年度总表!$H$3:$H$1025,MATCH($E8,学年度总表!$E$3:$E$1025,0))="","",INDEX(学年度总表!$H$3:$H$1025,MATCH($E8,学年度总表!$E$3:$E$1025,0)))</f>
        <v>65.53</v>
      </c>
      <c r="I8" s="3">
        <f>IF(INDEX(学年度总表!$I$3:$I$1025,MATCH($E8,学年度总表!$E$3:$E$1025,0))="","",INDEX(学年度总表!$I$3:$I$1025,MATCH($E8,学年度总表!$E$3:$E$1025,0)))</f>
        <v>5.0999999999999996</v>
      </c>
      <c r="J8" s="3">
        <f>IF(INDEX(学年度总表!$J$3:$J$1025,MATCH($E8,学年度总表!$E$3:$E$1025,0))="","",INDEX(学年度总表!$J$3:$J$1025,MATCH($E8,学年度总表!$E$3:$E$1025,0)))</f>
        <v>80.63</v>
      </c>
      <c r="K8" s="3">
        <f>IF(INDEX(学年度总表!$K$3:$K$1025,MATCH($E8,学年度总表!$E$3:$E$1025,0))="","",INDEX(学年度总表!$K$3:$K$1025,MATCH($E8,学年度总表!$E$3:$E$1025,0)))</f>
        <v>10</v>
      </c>
      <c r="L8" s="3">
        <f>IF(INDEX(学年度总表!$L$3:$L$1025,MATCH($E8,学年度总表!$E$3:$E$1025,0))="","",INDEX(学年度总表!$L$3:$L$1025,MATCH($E8,学年度总表!$E$3:$E$1025,0)))</f>
        <v>66.42</v>
      </c>
      <c r="M8" s="3">
        <f>IF(INDEX(学年度总表!$M$3:$M$1025,MATCH($E8,学年度总表!$E$3:$E$1025,0))="","",INDEX(学年度总表!$M$3:$M$1025,MATCH($E8,学年度总表!$E$3:$E$1025,0)))</f>
        <v>6.1</v>
      </c>
      <c r="N8" s="3">
        <f>IF(INDEX(学年度总表!$N$3:$N$1025,MATCH($E8,学年度总表!$E$3:$E$1025,0))="","",INDEX(学年度总表!$N$3:$N$1025,MATCH($E8,学年度总表!$E$3:$E$1025,0)))</f>
        <v>82.52</v>
      </c>
      <c r="O8" s="3">
        <f>IF(INDEX(学年度总表!$O$3:$O$1025,MATCH($E8,学年度总表!$E$3:$E$1025,0))="","",INDEX(学年度总表!$O$3:$O$1025,MATCH($E8,学年度总表!$E$3:$E$1025,0)))</f>
        <v>163.15</v>
      </c>
      <c r="P8" s="4" t="str">
        <f>IF(INDEX(学年度总表!$P$3:$P$1025,MATCH($E8,学年度总表!$E$3:$E$1025,0))="","",INDEX(学年度总表!$P$3:$P$1025,MATCH($E8,学年度总表!$E$3:$E$1025,0)))</f>
        <v>校二等</v>
      </c>
      <c r="Q8" s="5" t="str">
        <f>IF(INDEX(学年度总表!$Q$3:$Q$1025,MATCH($E8,学年度总表!$E$3:$E$1025,0))="","",INDEX(学年度总表!$Q$3:$Q$1025,MATCH($E8,学年度总表!$E$3:$E$1025,0)))</f>
        <v/>
      </c>
    </row>
    <row r="9" spans="1:17">
      <c r="A9" s="2">
        <f>IF(INDEX(学年度总表!$A$3:$A$1025,MATCH($E9,学年度总表!$E$3:$E$1025,0))="","",INDEX(学年度总表!$A$3:$A$1025,MATCH($E9,学年度总表!$E$3:$E$1025,0)))</f>
        <v>58</v>
      </c>
      <c r="B9" s="2">
        <f>IF(INDEX(学年度总表!$B$3:$B$1025,MATCH($E9,学年度总表!$E$3:$E$1025,0))="","",INDEX(学年度总表!$B$3:$B$1025,MATCH($E9,学年度总表!$E$3:$E$1025,0)))</f>
        <v>7</v>
      </c>
      <c r="C9" s="2" t="str">
        <f>IF(INDEX(学年度总表!$C$3:$C$1025,MATCH($E9,学年度总表!$E$3:$E$1025,0))="","",INDEX(学年度总表!$C$3:$C$1025,MATCH($E9,学年度总表!$E$3:$E$1025,0)))</f>
        <v>网工</v>
      </c>
      <c r="D9" s="2" t="str">
        <f>IF(INDEX(学年度总表!$D$3:$D$1025,MATCH($E9,学年度总表!$E$3:$E$1025,0))="","",INDEX(学年度总表!$D$3:$D$1025,MATCH($E9,学年度总表!$E$3:$E$1025,0)))</f>
        <v>网工15班</v>
      </c>
      <c r="E9" s="2" t="s">
        <v>162</v>
      </c>
      <c r="F9" s="2" t="str">
        <f>IF(INDEX(学年度总表!$F$3:$F$1025,MATCH($E9,学年度总表!$E$3:$E$1025,0))="","",INDEX(学年度总表!$F$3:$F$1025,MATCH($E9,学年度总表!$E$3:$E$1025,0)))</f>
        <v>李依蔓</v>
      </c>
      <c r="G9" s="3">
        <f>IF(INDEX(学年度总表!$G$3:$G$1025,MATCH($E9,学年度总表!$E$3:$E$1025,0))="","",INDEX(学年度总表!$G$3:$G$1025,MATCH($E9,学年度总表!$E$3:$E$1025,0)))</f>
        <v>10.6</v>
      </c>
      <c r="H9" s="3">
        <f>IF(INDEX(学年度总表!$H$3:$H$1025,MATCH($E9,学年度总表!$E$3:$E$1025,0))="","",INDEX(学年度总表!$H$3:$H$1025,MATCH($E9,学年度总表!$E$3:$E$1025,0)))</f>
        <v>69.66</v>
      </c>
      <c r="I9" s="3">
        <f>IF(INDEX(学年度总表!$I$3:$I$1025,MATCH($E9,学年度总表!$E$3:$E$1025,0))="","",INDEX(学年度总表!$I$3:$I$1025,MATCH($E9,学年度总表!$E$3:$E$1025,0)))</f>
        <v>3</v>
      </c>
      <c r="J9" s="3">
        <f>IF(INDEX(学年度总表!$J$3:$J$1025,MATCH($E9,学年度总表!$E$3:$E$1025,0))="","",INDEX(学年度总表!$J$3:$J$1025,MATCH($E9,学年度总表!$E$3:$E$1025,0)))</f>
        <v>83.26</v>
      </c>
      <c r="K9" s="3">
        <f>IF(INDEX(学年度总表!$K$3:$K$1025,MATCH($E9,学年度总表!$E$3:$E$1025,0))="","",INDEX(学年度总表!$K$3:$K$1025,MATCH($E9,学年度总表!$E$3:$E$1025,0)))</f>
        <v>9.8000000000000007</v>
      </c>
      <c r="L9" s="3">
        <f>IF(INDEX(学年度总表!$L$3:$L$1025,MATCH($E9,学年度总表!$E$3:$E$1025,0))="","",INDEX(学年度总表!$L$3:$L$1025,MATCH($E9,学年度总表!$E$3:$E$1025,0)))</f>
        <v>62.2</v>
      </c>
      <c r="M9" s="3">
        <f>IF(INDEX(学年度总表!$M$3:$M$1025,MATCH($E9,学年度总表!$E$3:$E$1025,0))="","",INDEX(学年度总表!$M$3:$M$1025,MATCH($E9,学年度总表!$E$3:$E$1025,0)))</f>
        <v>7</v>
      </c>
      <c r="N9" s="3">
        <f>IF(INDEX(学年度总表!$N$3:$N$1025,MATCH($E9,学年度总表!$E$3:$E$1025,0))="","",INDEX(学年度总表!$N$3:$N$1025,MATCH($E9,学年度总表!$E$3:$E$1025,0)))</f>
        <v>79</v>
      </c>
      <c r="O9" s="3">
        <f>IF(INDEX(学年度总表!$O$3:$O$1025,MATCH($E9,学年度总表!$E$3:$E$1025,0))="","",INDEX(学年度总表!$O$3:$O$1025,MATCH($E9,学年度总表!$E$3:$E$1025,0)))</f>
        <v>162.26</v>
      </c>
      <c r="P9" s="2" t="str">
        <f>IF(INDEX(学年度总表!$P$3:$P$1025,MATCH($E9,学年度总表!$E$3:$E$1025,0))="","",INDEX(学年度总表!$P$3:$P$1025,MATCH($E9,学年度总表!$E$3:$E$1025,0)))</f>
        <v/>
      </c>
      <c r="Q9" s="5" t="str">
        <f>IF(INDEX(学年度总表!$Q$3:$Q$1025,MATCH($E9,学年度总表!$E$3:$E$1025,0))="","",INDEX(学年度总表!$Q$3:$Q$1025,MATCH($E9,学年度总表!$E$3:$E$1025,0)))</f>
        <v/>
      </c>
    </row>
    <row r="10" spans="1:17">
      <c r="A10" s="2">
        <f>IF(INDEX(学年度总表!$A$3:$A$1025,MATCH($E10,学年度总表!$E$3:$E$1025,0))="","",INDEX(学年度总表!$A$3:$A$1025,MATCH($E10,学年度总表!$E$3:$E$1025,0)))</f>
        <v>60</v>
      </c>
      <c r="B10" s="2">
        <f>IF(INDEX(学年度总表!$B$3:$B$1025,MATCH($E10,学年度总表!$E$3:$E$1025,0))="","",INDEX(学年度总表!$B$3:$B$1025,MATCH($E10,学年度总表!$E$3:$E$1025,0)))</f>
        <v>8</v>
      </c>
      <c r="C10" s="2" t="str">
        <f>IF(INDEX(学年度总表!$C$3:$C$1025,MATCH($E10,学年度总表!$E$3:$E$1025,0))="","",INDEX(学年度总表!$C$3:$C$1025,MATCH($E10,学年度总表!$E$3:$E$1025,0)))</f>
        <v>网工</v>
      </c>
      <c r="D10" s="2" t="str">
        <f>IF(INDEX(学年度总表!$D$3:$D$1025,MATCH($E10,学年度总表!$E$3:$E$1025,0))="","",INDEX(学年度总表!$D$3:$D$1025,MATCH($E10,学年度总表!$E$3:$E$1025,0)))</f>
        <v>网工15班</v>
      </c>
      <c r="E10" s="2" t="s">
        <v>167</v>
      </c>
      <c r="F10" s="2" t="str">
        <f>IF(INDEX(学年度总表!$F$3:$F$1025,MATCH($E10,学年度总表!$E$3:$E$1025,0))="","",INDEX(学年度总表!$F$3:$F$1025,MATCH($E10,学年度总表!$E$3:$E$1025,0)))</f>
        <v>管奕暄</v>
      </c>
      <c r="G10" s="3">
        <f>IF(INDEX(学年度总表!$G$3:$G$1025,MATCH($E10,学年度总表!$E$3:$E$1025,0))="","",INDEX(学年度总表!$G$3:$G$1025,MATCH($E10,学年度总表!$E$3:$E$1025,0)))</f>
        <v>10.8</v>
      </c>
      <c r="H10" s="3">
        <f>IF(INDEX(学年度总表!$H$3:$H$1025,MATCH($E10,学年度总表!$E$3:$E$1025,0))="","",INDEX(学年度总表!$H$3:$H$1025,MATCH($E10,学年度总表!$E$3:$E$1025,0)))</f>
        <v>68.680000000000007</v>
      </c>
      <c r="I10" s="3">
        <f>IF(INDEX(学年度总表!$I$3:$I$1025,MATCH($E10,学年度总表!$E$3:$E$1025,0))="","",INDEX(学年度总表!$I$3:$I$1025,MATCH($E10,学年度总表!$E$3:$E$1025,0)))</f>
        <v>3</v>
      </c>
      <c r="J10" s="3">
        <f>IF(INDEX(学年度总表!$J$3:$J$1025,MATCH($E10,学年度总表!$E$3:$E$1025,0))="","",INDEX(学年度总表!$J$3:$J$1025,MATCH($E10,学年度总表!$E$3:$E$1025,0)))</f>
        <v>82.48</v>
      </c>
      <c r="K10" s="3">
        <f>IF(INDEX(学年度总表!$K$3:$K$1025,MATCH($E10,学年度总表!$E$3:$E$1025,0))="","",INDEX(学年度总表!$K$3:$K$1025,MATCH($E10,学年度总表!$E$3:$E$1025,0)))</f>
        <v>8.3000000000000007</v>
      </c>
      <c r="L10" s="3">
        <f>IF(INDEX(学年度总表!$L$3:$L$1025,MATCH($E10,学年度总表!$E$3:$E$1025,0))="","",INDEX(学年度总表!$L$3:$L$1025,MATCH($E10,学年度总表!$E$3:$E$1025,0)))</f>
        <v>64.41</v>
      </c>
      <c r="M10" s="3">
        <f>IF(INDEX(学年度总表!$M$3:$M$1025,MATCH($E10,学年度总表!$E$3:$E$1025,0))="","",INDEX(学年度总表!$M$3:$M$1025,MATCH($E10,学年度总表!$E$3:$E$1025,0)))</f>
        <v>7</v>
      </c>
      <c r="N10" s="3">
        <f>IF(INDEX(学年度总表!$N$3:$N$1025,MATCH($E10,学年度总表!$E$3:$E$1025,0))="","",INDEX(学年度总表!$N$3:$N$1025,MATCH($E10,学年度总表!$E$3:$E$1025,0)))</f>
        <v>79.709999999999994</v>
      </c>
      <c r="O10" s="3">
        <f>IF(INDEX(学年度总表!$O$3:$O$1025,MATCH($E10,学年度总表!$E$3:$E$1025,0))="","",INDEX(学年度总表!$O$3:$O$1025,MATCH($E10,学年度总表!$E$3:$E$1025,0)))</f>
        <v>162.19</v>
      </c>
      <c r="P10" s="4" t="str">
        <f>IF(INDEX(学年度总表!$P$3:$P$1025,MATCH($E10,学年度总表!$E$3:$E$1025,0))="","",INDEX(学年度总表!$P$3:$P$1025,MATCH($E10,学年度总表!$E$3:$E$1025,0)))</f>
        <v>校二等</v>
      </c>
      <c r="Q10" s="5" t="str">
        <f>IF(INDEX(学年度总表!$Q$3:$Q$1025,MATCH($E10,学年度总表!$E$3:$E$1025,0))="","",INDEX(学年度总表!$Q$3:$Q$1025,MATCH($E10,学年度总表!$E$3:$E$1025,0)))</f>
        <v/>
      </c>
    </row>
    <row r="11" spans="1:17">
      <c r="A11" s="2">
        <f>IF(INDEX(学年度总表!$A$3:$A$1025,MATCH($E11,学年度总表!$E$3:$E$1025,0))="","",INDEX(学年度总表!$A$3:$A$1025,MATCH($E11,学年度总表!$E$3:$E$1025,0)))</f>
        <v>67</v>
      </c>
      <c r="B11" s="2">
        <f>IF(INDEX(学年度总表!$B$3:$B$1025,MATCH($E11,学年度总表!$E$3:$E$1025,0))="","",INDEX(学年度总表!$B$3:$B$1025,MATCH($E11,学年度总表!$E$3:$E$1025,0)))</f>
        <v>9</v>
      </c>
      <c r="C11" s="2" t="str">
        <f>IF(INDEX(学年度总表!$C$3:$C$1025,MATCH($E11,学年度总表!$E$3:$E$1025,0))="","",INDEX(学年度总表!$C$3:$C$1025,MATCH($E11,学年度总表!$E$3:$E$1025,0)))</f>
        <v>网工</v>
      </c>
      <c r="D11" s="2" t="str">
        <f>IF(INDEX(学年度总表!$D$3:$D$1025,MATCH($E11,学年度总表!$E$3:$E$1025,0))="","",INDEX(学年度总表!$D$3:$D$1025,MATCH($E11,学年度总表!$E$3:$E$1025,0)))</f>
        <v>网工18班</v>
      </c>
      <c r="E11" s="2" t="s">
        <v>182</v>
      </c>
      <c r="F11" s="2" t="str">
        <f>IF(INDEX(学年度总表!$F$3:$F$1025,MATCH($E11,学年度总表!$E$3:$E$1025,0))="","",INDEX(学年度总表!$F$3:$F$1025,MATCH($E11,学年度总表!$E$3:$E$1025,0)))</f>
        <v>姜皓元</v>
      </c>
      <c r="G11" s="3">
        <f>IF(INDEX(学年度总表!$G$3:$G$1025,MATCH($E11,学年度总表!$E$3:$E$1025,0))="","",INDEX(学年度总表!$G$3:$G$1025,MATCH($E11,学年度总表!$E$3:$E$1025,0)))</f>
        <v>11.5</v>
      </c>
      <c r="H11" s="3">
        <f>IF(INDEX(学年度总表!$H$3:$H$1025,MATCH($E11,学年度总表!$E$3:$E$1025,0))="","",INDEX(学年度总表!$H$3:$H$1025,MATCH($E11,学年度总表!$E$3:$E$1025,0)))</f>
        <v>66.55</v>
      </c>
      <c r="I11" s="3">
        <f>IF(INDEX(学年度总表!$I$3:$I$1025,MATCH($E11,学年度总表!$E$3:$E$1025,0))="","",INDEX(学年度总表!$I$3:$I$1025,MATCH($E11,学年度总表!$E$3:$E$1025,0)))</f>
        <v>4.95</v>
      </c>
      <c r="J11" s="3">
        <f>IF(INDEX(学年度总表!$J$3:$J$1025,MATCH($E11,学年度总表!$E$3:$E$1025,0))="","",INDEX(学年度总表!$J$3:$J$1025,MATCH($E11,学年度总表!$E$3:$E$1025,0)))</f>
        <v>83</v>
      </c>
      <c r="K11" s="3">
        <f>IF(INDEX(学年度总表!$K$3:$K$1025,MATCH($E11,学年度总表!$E$3:$E$1025,0))="","",INDEX(学年度总表!$K$3:$K$1025,MATCH($E11,学年度总表!$E$3:$E$1025,0)))</f>
        <v>10</v>
      </c>
      <c r="L11" s="3">
        <f>IF(INDEX(学年度总表!$L$3:$L$1025,MATCH($E11,学年度总表!$E$3:$E$1025,0))="","",INDEX(学年度总表!$L$3:$L$1025,MATCH($E11,学年度总表!$E$3:$E$1025,0)))</f>
        <v>61.81</v>
      </c>
      <c r="M11" s="3">
        <f>IF(INDEX(学年度总表!$M$3:$M$1025,MATCH($E11,学年度总表!$E$3:$E$1025,0))="","",INDEX(学年度总表!$M$3:$M$1025,MATCH($E11,学年度总表!$E$3:$E$1025,0)))</f>
        <v>6.7</v>
      </c>
      <c r="N11" s="3">
        <f>IF(INDEX(学年度总表!$N$3:$N$1025,MATCH($E11,学年度总表!$E$3:$E$1025,0))="","",INDEX(学年度总表!$N$3:$N$1025,MATCH($E11,学年度总表!$E$3:$E$1025,0)))</f>
        <v>78.510000000000005</v>
      </c>
      <c r="O11" s="3">
        <f>IF(INDEX(学年度总表!$O$3:$O$1025,MATCH($E11,学年度总表!$E$3:$E$1025,0))="","",INDEX(学年度总表!$O$3:$O$1025,MATCH($E11,学年度总表!$E$3:$E$1025,0)))</f>
        <v>161.51</v>
      </c>
      <c r="P11" s="4" t="str">
        <f>IF(INDEX(学年度总表!$P$3:$P$1025,MATCH($E11,学年度总表!$E$3:$E$1025,0))="","",INDEX(学年度总表!$P$3:$P$1025,MATCH($E11,学年度总表!$E$3:$E$1025,0)))</f>
        <v>校二等</v>
      </c>
      <c r="Q11" s="5" t="str">
        <f>IF(INDEX(学年度总表!$Q$3:$Q$1025,MATCH($E11,学年度总表!$E$3:$E$1025,0))="","",INDEX(学年度总表!$Q$3:$Q$1025,MATCH($E11,学年度总表!$E$3:$E$1025,0)))</f>
        <v/>
      </c>
    </row>
    <row r="12" spans="1:17">
      <c r="A12" s="2">
        <f>IF(INDEX(学年度总表!$A$3:$A$1025,MATCH($E12,学年度总表!$E$3:$E$1025,0))="","",INDEX(学年度总表!$A$3:$A$1025,MATCH($E12,学年度总表!$E$3:$E$1025,0)))</f>
        <v>74</v>
      </c>
      <c r="B12" s="2">
        <f>IF(INDEX(学年度总表!$B$3:$B$1025,MATCH($E12,学年度总表!$E$3:$E$1025,0))="","",INDEX(学年度总表!$B$3:$B$1025,MATCH($E12,学年度总表!$E$3:$E$1025,0)))</f>
        <v>10</v>
      </c>
      <c r="C12" s="2" t="str">
        <f>IF(INDEX(学年度总表!$C$3:$C$1025,MATCH($E12,学年度总表!$E$3:$E$1025,0))="","",INDEX(学年度总表!$C$3:$C$1025,MATCH($E12,学年度总表!$E$3:$E$1025,0)))</f>
        <v>网工</v>
      </c>
      <c r="D12" s="2" t="str">
        <f>IF(INDEX(学年度总表!$D$3:$D$1025,MATCH($E12,学年度总表!$E$3:$E$1025,0))="","",INDEX(学年度总表!$D$3:$D$1025,MATCH($E12,学年度总表!$E$3:$E$1025,0)))</f>
        <v>网工16班</v>
      </c>
      <c r="E12" s="2" t="s">
        <v>197</v>
      </c>
      <c r="F12" s="2" t="str">
        <f>IF(INDEX(学年度总表!$F$3:$F$1025,MATCH($E12,学年度总表!$E$3:$E$1025,0))="","",INDEX(学年度总表!$F$3:$F$1025,MATCH($E12,学年度总表!$E$3:$E$1025,0)))</f>
        <v>孙铭晗</v>
      </c>
      <c r="G12" s="3">
        <f>IF(INDEX(学年度总表!$G$3:$G$1025,MATCH($E12,学年度总表!$E$3:$E$1025,0))="","",INDEX(学年度总表!$G$3:$G$1025,MATCH($E12,学年度总表!$E$3:$E$1025,0)))</f>
        <v>11.8</v>
      </c>
      <c r="H12" s="3">
        <f>IF(INDEX(学年度总表!$H$3:$H$1025,MATCH($E12,学年度总表!$E$3:$E$1025,0))="","",INDEX(学年度总表!$H$3:$H$1025,MATCH($E12,学年度总表!$E$3:$E$1025,0)))</f>
        <v>62.69</v>
      </c>
      <c r="I12" s="3">
        <f>IF(INDEX(学年度总表!$I$3:$I$1025,MATCH($E12,学年度总表!$E$3:$E$1025,0))="","",INDEX(学年度总表!$I$3:$I$1025,MATCH($E12,学年度总表!$E$3:$E$1025,0)))</f>
        <v>5.0999999999999996</v>
      </c>
      <c r="J12" s="3">
        <f>IF(INDEX(学年度总表!$J$3:$J$1025,MATCH($E12,学年度总表!$E$3:$E$1025,0))="","",INDEX(学年度总表!$J$3:$J$1025,MATCH($E12,学年度总表!$E$3:$E$1025,0)))</f>
        <v>79.59</v>
      </c>
      <c r="K12" s="3">
        <f>IF(INDEX(学年度总表!$K$3:$K$1025,MATCH($E12,学年度总表!$E$3:$E$1025,0))="","",INDEX(学年度总表!$K$3:$K$1025,MATCH($E12,学年度总表!$E$3:$E$1025,0)))</f>
        <v>11.5</v>
      </c>
      <c r="L12" s="3">
        <f>IF(INDEX(学年度总表!$L$3:$L$1025,MATCH($E12,学年度总表!$E$3:$E$1025,0))="","",INDEX(学年度总表!$L$3:$L$1025,MATCH($E12,学年度总表!$E$3:$E$1025,0)))</f>
        <v>64.510000000000005</v>
      </c>
      <c r="M12" s="3">
        <f>IF(INDEX(学年度总表!$M$3:$M$1025,MATCH($E12,学年度总表!$E$3:$E$1025,0))="","",INDEX(学年度总表!$M$3:$M$1025,MATCH($E12,学年度总表!$E$3:$E$1025,0)))</f>
        <v>4.9000000000000004</v>
      </c>
      <c r="N12" s="3">
        <f>IF(INDEX(学年度总表!$N$3:$N$1025,MATCH($E12,学年度总表!$E$3:$E$1025,0))="","",INDEX(学年度总表!$N$3:$N$1025,MATCH($E12,学年度总表!$E$3:$E$1025,0)))</f>
        <v>80.91</v>
      </c>
      <c r="O12" s="3">
        <f>IF(INDEX(学年度总表!$O$3:$O$1025,MATCH($E12,学年度总表!$E$3:$E$1025,0))="","",INDEX(学年度总表!$O$3:$O$1025,MATCH($E12,学年度总表!$E$3:$E$1025,0)))</f>
        <v>160.5</v>
      </c>
      <c r="P12" s="4" t="str">
        <f>IF(INDEX(学年度总表!$P$3:$P$1025,MATCH($E12,学年度总表!$E$3:$E$1025,0))="","",INDEX(学年度总表!$P$3:$P$1025,MATCH($E12,学年度总表!$E$3:$E$1025,0)))</f>
        <v>校二等</v>
      </c>
      <c r="Q12" s="5" t="str">
        <f>IF(INDEX(学年度总表!$Q$3:$Q$1025,MATCH($E12,学年度总表!$E$3:$E$1025,0))="","",INDEX(学年度总表!$Q$3:$Q$1025,MATCH($E12,学年度总表!$E$3:$E$1025,0)))</f>
        <v/>
      </c>
    </row>
    <row r="13" spans="1:17">
      <c r="A13" s="2">
        <f>IF(INDEX(学年度总表!$A$3:$A$1025,MATCH($E13,学年度总表!$E$3:$E$1025,0))="","",INDEX(学年度总表!$A$3:$A$1025,MATCH($E13,学年度总表!$E$3:$E$1025,0)))</f>
        <v>102</v>
      </c>
      <c r="B13" s="2">
        <f>IF(INDEX(学年度总表!$B$3:$B$1025,MATCH($E13,学年度总表!$E$3:$E$1025,0))="","",INDEX(学年度总表!$B$3:$B$1025,MATCH($E13,学年度总表!$E$3:$E$1025,0)))</f>
        <v>11</v>
      </c>
      <c r="C13" s="2" t="str">
        <f>IF(INDEX(学年度总表!$C$3:$C$1025,MATCH($E13,学年度总表!$E$3:$E$1025,0))="","",INDEX(学年度总表!$C$3:$C$1025,MATCH($E13,学年度总表!$E$3:$E$1025,0)))</f>
        <v>网工</v>
      </c>
      <c r="D13" s="2" t="str">
        <f>IF(INDEX(学年度总表!$D$3:$D$1025,MATCH($E13,学年度总表!$E$3:$E$1025,0))="","",INDEX(学年度总表!$D$3:$D$1025,MATCH($E13,学年度总表!$E$3:$E$1025,0)))</f>
        <v>网工17班</v>
      </c>
      <c r="E13" s="2" t="s">
        <v>258</v>
      </c>
      <c r="F13" s="2" t="str">
        <f>IF(INDEX(学年度总表!$F$3:$F$1025,MATCH($E13,学年度总表!$E$3:$E$1025,0))="","",INDEX(学年度总表!$F$3:$F$1025,MATCH($E13,学年度总表!$E$3:$E$1025,0)))</f>
        <v>孟欣</v>
      </c>
      <c r="G13" s="3">
        <f>IF(INDEX(学年度总表!$G$3:$G$1025,MATCH($E13,学年度总表!$E$3:$E$1025,0))="","",INDEX(学年度总表!$G$3:$G$1025,MATCH($E13,学年度总表!$E$3:$E$1025,0)))</f>
        <v>10.8</v>
      </c>
      <c r="H13" s="3">
        <f>IF(INDEX(学年度总表!$H$3:$H$1025,MATCH($E13,学年度总表!$E$3:$E$1025,0))="","",INDEX(学年度总表!$H$3:$H$1025,MATCH($E13,学年度总表!$E$3:$E$1025,0)))</f>
        <v>64.290000000000006</v>
      </c>
      <c r="I13" s="3">
        <f>IF(INDEX(学年度总表!$I$3:$I$1025,MATCH($E13,学年度总表!$E$3:$E$1025,0))="","",INDEX(学年度总表!$I$3:$I$1025,MATCH($E13,学年度总表!$E$3:$E$1025,0)))</f>
        <v>5</v>
      </c>
      <c r="J13" s="3">
        <f>IF(INDEX(学年度总表!$J$3:$J$1025,MATCH($E13,学年度总表!$E$3:$E$1025,0))="","",INDEX(学年度总表!$J$3:$J$1025,MATCH($E13,学年度总表!$E$3:$E$1025,0)))</f>
        <v>80.09</v>
      </c>
      <c r="K13" s="3">
        <f>IF(INDEX(学年度总表!$K$3:$K$1025,MATCH($E13,学年度总表!$E$3:$E$1025,0))="","",INDEX(学年度总表!$K$3:$K$1025,MATCH($E13,学年度总表!$E$3:$E$1025,0)))</f>
        <v>11.3</v>
      </c>
      <c r="L13" s="3">
        <f>IF(INDEX(学年度总表!$L$3:$L$1025,MATCH($E13,学年度总表!$E$3:$E$1025,0))="","",INDEX(学年度总表!$L$3:$L$1025,MATCH($E13,学年度总表!$E$3:$E$1025,0)))</f>
        <v>60.6</v>
      </c>
      <c r="M13" s="3">
        <f>IF(INDEX(学年度总表!$M$3:$M$1025,MATCH($E13,学年度总表!$E$3:$E$1025,0))="","",INDEX(学年度总表!$M$3:$M$1025,MATCH($E13,学年度总表!$E$3:$E$1025,0)))</f>
        <v>5.7</v>
      </c>
      <c r="N13" s="3">
        <f>IF(INDEX(学年度总表!$N$3:$N$1025,MATCH($E13,学年度总表!$E$3:$E$1025,0))="","",INDEX(学年度总表!$N$3:$N$1025,MATCH($E13,学年度总表!$E$3:$E$1025,0)))</f>
        <v>77.599999999999994</v>
      </c>
      <c r="O13" s="3">
        <f>IF(INDEX(学年度总表!$O$3:$O$1025,MATCH($E13,学年度总表!$E$3:$E$1025,0))="","",INDEX(学年度总表!$O$3:$O$1025,MATCH($E13,学年度总表!$E$3:$E$1025,0)))</f>
        <v>157.69</v>
      </c>
      <c r="P13" s="4" t="str">
        <f>IF(INDEX(学年度总表!$P$3:$P$1025,MATCH($E13,学年度总表!$E$3:$E$1025,0))="","",INDEX(学年度总表!$P$3:$P$1025,MATCH($E13,学年度总表!$E$3:$E$1025,0)))</f>
        <v>校三等</v>
      </c>
      <c r="Q13" s="5" t="str">
        <f>IF(INDEX(学年度总表!$Q$3:$Q$1025,MATCH($E13,学年度总表!$E$3:$E$1025,0))="","",INDEX(学年度总表!$Q$3:$Q$1025,MATCH($E13,学年度总表!$E$3:$E$1025,0)))</f>
        <v/>
      </c>
    </row>
    <row r="14" spans="1:17">
      <c r="A14" s="2">
        <f>IF(INDEX(学年度总表!$A$3:$A$1025,MATCH($E14,学年度总表!$E$3:$E$1025,0))="","",INDEX(学年度总表!$A$3:$A$1025,MATCH($E14,学年度总表!$E$3:$E$1025,0)))</f>
        <v>103</v>
      </c>
      <c r="B14" s="2">
        <f>IF(INDEX(学年度总表!$B$3:$B$1025,MATCH($E14,学年度总表!$E$3:$E$1025,0))="","",INDEX(学年度总表!$B$3:$B$1025,MATCH($E14,学年度总表!$E$3:$E$1025,0)))</f>
        <v>12</v>
      </c>
      <c r="C14" s="2" t="str">
        <f>IF(INDEX(学年度总表!$C$3:$C$1025,MATCH($E14,学年度总表!$E$3:$E$1025,0))="","",INDEX(学年度总表!$C$3:$C$1025,MATCH($E14,学年度总表!$E$3:$E$1025,0)))</f>
        <v>网工</v>
      </c>
      <c r="D14" s="2" t="str">
        <f>IF(INDEX(学年度总表!$D$3:$D$1025,MATCH($E14,学年度总表!$E$3:$E$1025,0))="","",INDEX(学年度总表!$D$3:$D$1025,MATCH($E14,学年度总表!$E$3:$E$1025,0)))</f>
        <v>网工15班</v>
      </c>
      <c r="E14" s="2" t="s">
        <v>260</v>
      </c>
      <c r="F14" s="2" t="str">
        <f>IF(INDEX(学年度总表!$F$3:$F$1025,MATCH($E14,学年度总表!$E$3:$E$1025,0))="","",INDEX(学年度总表!$F$3:$F$1025,MATCH($E14,学年度总表!$E$3:$E$1025,0)))</f>
        <v>陈佳慧</v>
      </c>
      <c r="G14" s="3">
        <f>IF(INDEX(学年度总表!$G$3:$G$1025,MATCH($E14,学年度总表!$E$3:$E$1025,0))="","",INDEX(学年度总表!$G$3:$G$1025,MATCH($E14,学年度总表!$E$3:$E$1025,0)))</f>
        <v>10.8</v>
      </c>
      <c r="H14" s="3">
        <f>IF(INDEX(学年度总表!$H$3:$H$1025,MATCH($E14,学年度总表!$E$3:$E$1025,0))="","",INDEX(学年度总表!$H$3:$H$1025,MATCH($E14,学年度总表!$E$3:$E$1025,0)))</f>
        <v>67.349999999999994</v>
      </c>
      <c r="I14" s="3">
        <f>IF(INDEX(学年度总表!$I$3:$I$1025,MATCH($E14,学年度总表!$E$3:$E$1025,0))="","",INDEX(学年度总表!$I$3:$I$1025,MATCH($E14,学年度总表!$E$3:$E$1025,0)))</f>
        <v>4</v>
      </c>
      <c r="J14" s="3">
        <f>IF(INDEX(学年度总表!$J$3:$J$1025,MATCH($E14,学年度总表!$E$3:$E$1025,0))="","",INDEX(学年度总表!$J$3:$J$1025,MATCH($E14,学年度总表!$E$3:$E$1025,0)))</f>
        <v>82.15</v>
      </c>
      <c r="K14" s="3">
        <f>IF(INDEX(学年度总表!$K$3:$K$1025,MATCH($E14,学年度总表!$E$3:$E$1025,0))="","",INDEX(学年度总表!$K$3:$K$1025,MATCH($E14,学年度总表!$E$3:$E$1025,0)))</f>
        <v>7.3000000000000007</v>
      </c>
      <c r="L14" s="3">
        <f>IF(INDEX(学年度总表!$L$3:$L$1025,MATCH($E14,学年度总表!$E$3:$E$1025,0))="","",INDEX(学年度总表!$L$3:$L$1025,MATCH($E14,学年度总表!$E$3:$E$1025,0)))</f>
        <v>60.94</v>
      </c>
      <c r="M14" s="3">
        <f>IF(INDEX(学年度总表!$M$3:$M$1025,MATCH($E14,学年度总表!$E$3:$E$1025,0))="","",INDEX(学年度总表!$M$3:$M$1025,MATCH($E14,学年度总表!$E$3:$E$1025,0)))</f>
        <v>7.2</v>
      </c>
      <c r="N14" s="3">
        <f>IF(INDEX(学年度总表!$N$3:$N$1025,MATCH($E14,学年度总表!$E$3:$E$1025,0))="","",INDEX(学年度总表!$N$3:$N$1025,MATCH($E14,学年度总表!$E$3:$E$1025,0)))</f>
        <v>75.44</v>
      </c>
      <c r="O14" s="3">
        <f>IF(INDEX(学年度总表!$O$3:$O$1025,MATCH($E14,学年度总表!$E$3:$E$1025,0))="","",INDEX(学年度总表!$O$3:$O$1025,MATCH($E14,学年度总表!$E$3:$E$1025,0)))</f>
        <v>157.59</v>
      </c>
      <c r="P14" s="4" t="str">
        <f>IF(INDEX(学年度总表!$P$3:$P$1025,MATCH($E14,学年度总表!$E$3:$E$1025,0))="","",INDEX(学年度总表!$P$3:$P$1025,MATCH($E14,学年度总表!$E$3:$E$1025,0)))</f>
        <v>校三等</v>
      </c>
      <c r="Q14" s="5" t="str">
        <f>IF(INDEX(学年度总表!$Q$3:$Q$1025,MATCH($E14,学年度总表!$E$3:$E$1025,0))="","",INDEX(学年度总表!$Q$3:$Q$1025,MATCH($E14,学年度总表!$E$3:$E$1025,0)))</f>
        <v/>
      </c>
    </row>
    <row r="15" spans="1:17">
      <c r="A15" s="2">
        <f>IF(INDEX(学年度总表!$A$3:$A$1025,MATCH($E15,学年度总表!$E$3:$E$1025,0))="","",INDEX(学年度总表!$A$3:$A$1025,MATCH($E15,学年度总表!$E$3:$E$1025,0)))</f>
        <v>109</v>
      </c>
      <c r="B15" s="2">
        <f>IF(INDEX(学年度总表!$B$3:$B$1025,MATCH($E15,学年度总表!$E$3:$E$1025,0))="","",INDEX(学年度总表!$B$3:$B$1025,MATCH($E15,学年度总表!$E$3:$E$1025,0)))</f>
        <v>13</v>
      </c>
      <c r="C15" s="2" t="str">
        <f>IF(INDEX(学年度总表!$C$3:$C$1025,MATCH($E15,学年度总表!$E$3:$E$1025,0))="","",INDEX(学年度总表!$C$3:$C$1025,MATCH($E15,学年度总表!$E$3:$E$1025,0)))</f>
        <v>网工</v>
      </c>
      <c r="D15" s="2" t="str">
        <f>IF(INDEX(学年度总表!$D$3:$D$1025,MATCH($E15,学年度总表!$E$3:$E$1025,0))="","",INDEX(学年度总表!$D$3:$D$1025,MATCH($E15,学年度总表!$E$3:$E$1025,0)))</f>
        <v>网工18班</v>
      </c>
      <c r="E15" s="2" t="s">
        <v>273</v>
      </c>
      <c r="F15" s="2" t="str">
        <f>IF(INDEX(学年度总表!$F$3:$F$1025,MATCH($E15,学年度总表!$E$3:$E$1025,0))="","",INDEX(学年度总表!$F$3:$F$1025,MATCH($E15,学年度总表!$E$3:$E$1025,0)))</f>
        <v>宋蕾</v>
      </c>
      <c r="G15" s="3">
        <f>IF(INDEX(学年度总表!$G$3:$G$1025,MATCH($E15,学年度总表!$E$3:$E$1025,0))="","",INDEX(学年度总表!$G$3:$G$1025,MATCH($E15,学年度总表!$E$3:$E$1025,0)))</f>
        <v>10</v>
      </c>
      <c r="H15" s="3">
        <f>IF(INDEX(学年度总表!$H$3:$H$1025,MATCH($E15,学年度总表!$E$3:$E$1025,0))="","",INDEX(学年度总表!$H$3:$H$1025,MATCH($E15,学年度总表!$E$3:$E$1025,0)))</f>
        <v>64.06</v>
      </c>
      <c r="I15" s="3">
        <f>IF(INDEX(学年度总表!$I$3:$I$1025,MATCH($E15,学年度总表!$E$3:$E$1025,0))="","",INDEX(学年度总表!$I$3:$I$1025,MATCH($E15,学年度总表!$E$3:$E$1025,0)))</f>
        <v>3</v>
      </c>
      <c r="J15" s="3">
        <f>IF(INDEX(学年度总表!$J$3:$J$1025,MATCH($E15,学年度总表!$E$3:$E$1025,0))="","",INDEX(学年度总表!$J$3:$J$1025,MATCH($E15,学年度总表!$E$3:$E$1025,0)))</f>
        <v>77.06</v>
      </c>
      <c r="K15" s="3">
        <f>IF(INDEX(学年度总表!$K$3:$K$1025,MATCH($E15,学年度总表!$E$3:$E$1025,0))="","",INDEX(学年度总表!$K$3:$K$1025,MATCH($E15,学年度总表!$E$3:$E$1025,0)))</f>
        <v>10</v>
      </c>
      <c r="L15" s="3">
        <f>IF(INDEX(学年度总表!$L$3:$L$1025,MATCH($E15,学年度总表!$E$3:$E$1025,0))="","",INDEX(学年度总表!$L$3:$L$1025,MATCH($E15,学年度总表!$E$3:$E$1025,0)))</f>
        <v>66.849999999999994</v>
      </c>
      <c r="M15" s="3">
        <f>IF(INDEX(学年度总表!$M$3:$M$1025,MATCH($E15,学年度总表!$E$3:$E$1025,0))="","",INDEX(学年度总表!$M$3:$M$1025,MATCH($E15,学年度总表!$E$3:$E$1025,0)))</f>
        <v>3.5</v>
      </c>
      <c r="N15" s="3">
        <f>IF(INDEX(学年度总表!$N$3:$N$1025,MATCH($E15,学年度总表!$E$3:$E$1025,0))="","",INDEX(学年度总表!$N$3:$N$1025,MATCH($E15,学年度总表!$E$3:$E$1025,0)))</f>
        <v>80.349999999999994</v>
      </c>
      <c r="O15" s="3">
        <f>IF(INDEX(学年度总表!$O$3:$O$1025,MATCH($E15,学年度总表!$E$3:$E$1025,0))="","",INDEX(学年度总表!$O$3:$O$1025,MATCH($E15,学年度总表!$E$3:$E$1025,0)))</f>
        <v>157.41</v>
      </c>
      <c r="P15" s="4" t="str">
        <f>IF(INDEX(学年度总表!$P$3:$P$1025,MATCH($E15,学年度总表!$E$3:$E$1025,0))="","",INDEX(学年度总表!$P$3:$P$1025,MATCH($E15,学年度总表!$E$3:$E$1025,0)))</f>
        <v>校三等</v>
      </c>
      <c r="Q15" s="5" t="str">
        <f>IF(INDEX(学年度总表!$Q$3:$Q$1025,MATCH($E15,学年度总表!$E$3:$E$1025,0))="","",INDEX(学年度总表!$Q$3:$Q$1025,MATCH($E15,学年度总表!$E$3:$E$1025,0)))</f>
        <v/>
      </c>
    </row>
    <row r="16" spans="1:17">
      <c r="A16" s="2">
        <f>IF(INDEX(学年度总表!$A$3:$A$1025,MATCH($E16,学年度总表!$E$3:$E$1025,0))="","",INDEX(学年度总表!$A$3:$A$1025,MATCH($E16,学年度总表!$E$3:$E$1025,0)))</f>
        <v>111</v>
      </c>
      <c r="B16" s="2">
        <f>IF(INDEX(学年度总表!$B$3:$B$1025,MATCH($E16,学年度总表!$E$3:$E$1025,0))="","",INDEX(学年度总表!$B$3:$B$1025,MATCH($E16,学年度总表!$E$3:$E$1025,0)))</f>
        <v>14</v>
      </c>
      <c r="C16" s="2" t="str">
        <f>IF(INDEX(学年度总表!$C$3:$C$1025,MATCH($E16,学年度总表!$E$3:$E$1025,0))="","",INDEX(学年度总表!$C$3:$C$1025,MATCH($E16,学年度总表!$E$3:$E$1025,0)))</f>
        <v>网工</v>
      </c>
      <c r="D16" s="2" t="str">
        <f>IF(INDEX(学年度总表!$D$3:$D$1025,MATCH($E16,学年度总表!$E$3:$E$1025,0))="","",INDEX(学年度总表!$D$3:$D$1025,MATCH($E16,学年度总表!$E$3:$E$1025,0)))</f>
        <v>网工18班</v>
      </c>
      <c r="E16" s="2" t="s">
        <v>277</v>
      </c>
      <c r="F16" s="2" t="str">
        <f>IF(INDEX(学年度总表!$F$3:$F$1025,MATCH($E16,学年度总表!$E$3:$E$1025,0))="","",INDEX(学年度总表!$F$3:$F$1025,MATCH($E16,学年度总表!$E$3:$E$1025,0)))</f>
        <v>解明子昂</v>
      </c>
      <c r="G16" s="3">
        <f>IF(INDEX(学年度总表!$G$3:$G$1025,MATCH($E16,学年度总表!$E$3:$E$1025,0))="","",INDEX(学年度总表!$G$3:$G$1025,MATCH($E16,学年度总表!$E$3:$E$1025,0)))</f>
        <v>11.3</v>
      </c>
      <c r="H16" s="3">
        <f>IF(INDEX(学年度总表!$H$3:$H$1025,MATCH($E16,学年度总表!$E$3:$E$1025,0))="","",INDEX(学年度总表!$H$3:$H$1025,MATCH($E16,学年度总表!$E$3:$E$1025,0)))</f>
        <v>66.760000000000005</v>
      </c>
      <c r="I16" s="3">
        <f>IF(INDEX(学年度总表!$I$3:$I$1025,MATCH($E16,学年度总表!$E$3:$E$1025,0))="","",INDEX(学年度总表!$I$3:$I$1025,MATCH($E16,学年度总表!$E$3:$E$1025,0)))</f>
        <v>4.75</v>
      </c>
      <c r="J16" s="3">
        <f>IF(INDEX(学年度总表!$J$3:$J$1025,MATCH($E16,学年度总表!$E$3:$E$1025,0))="","",INDEX(学年度总表!$J$3:$J$1025,MATCH($E16,学年度总表!$E$3:$E$1025,0)))</f>
        <v>82.81</v>
      </c>
      <c r="K16" s="3">
        <f>IF(INDEX(学年度总表!$K$3:$K$1025,MATCH($E16,学年度总表!$E$3:$E$1025,0))="","",INDEX(学年度总表!$K$3:$K$1025,MATCH($E16,学年度总表!$E$3:$E$1025,0)))</f>
        <v>9.8000000000000007</v>
      </c>
      <c r="L16" s="3">
        <f>IF(INDEX(学年度总表!$L$3:$L$1025,MATCH($E16,学年度总表!$E$3:$E$1025,0))="","",INDEX(学年度总表!$L$3:$L$1025,MATCH($E16,学年度总表!$E$3:$E$1025,0)))</f>
        <v>59.26</v>
      </c>
      <c r="M16" s="3">
        <f>IF(INDEX(学年度总表!$M$3:$M$1025,MATCH($E16,学年度总表!$E$3:$E$1025,0))="","",INDEX(学年度总表!$M$3:$M$1025,MATCH($E16,学年度总表!$E$3:$E$1025,0)))</f>
        <v>5.3</v>
      </c>
      <c r="N16" s="3">
        <f>IF(INDEX(学年度总表!$N$3:$N$1025,MATCH($E16,学年度总表!$E$3:$E$1025,0))="","",INDEX(学年度总表!$N$3:$N$1025,MATCH($E16,学年度总表!$E$3:$E$1025,0)))</f>
        <v>74.36</v>
      </c>
      <c r="O16" s="3">
        <f>IF(INDEX(学年度总表!$O$3:$O$1025,MATCH($E16,学年度总表!$E$3:$E$1025,0))="","",INDEX(学年度总表!$O$3:$O$1025,MATCH($E16,学年度总表!$E$3:$E$1025,0)))</f>
        <v>157.16999999999999</v>
      </c>
      <c r="P16" s="2" t="str">
        <f>IF(INDEX(学年度总表!$P$3:$P$1025,MATCH($E16,学年度总表!$E$3:$E$1025,0))="","",INDEX(学年度总表!$P$3:$P$1025,MATCH($E16,学年度总表!$E$3:$E$1025,0)))</f>
        <v/>
      </c>
      <c r="Q16" s="5" t="str">
        <f>IF(INDEX(学年度总表!$Q$3:$Q$1025,MATCH($E16,学年度总表!$E$3:$E$1025,0))="","",INDEX(学年度总表!$Q$3:$Q$1025,MATCH($E16,学年度总表!$E$3:$E$1025,0)))</f>
        <v/>
      </c>
    </row>
    <row r="17" spans="1:17">
      <c r="A17" s="2">
        <f>IF(INDEX(学年度总表!$A$3:$A$1025,MATCH($E17,学年度总表!$E$3:$E$1025,0))="","",INDEX(学年度总表!$A$3:$A$1025,MATCH($E17,学年度总表!$E$3:$E$1025,0)))</f>
        <v>126</v>
      </c>
      <c r="B17" s="2">
        <f>IF(INDEX(学年度总表!$B$3:$B$1025,MATCH($E17,学年度总表!$E$3:$E$1025,0))="","",INDEX(学年度总表!$B$3:$B$1025,MATCH($E17,学年度总表!$E$3:$E$1025,0)))</f>
        <v>15</v>
      </c>
      <c r="C17" s="2" t="str">
        <f>IF(INDEX(学年度总表!$C$3:$C$1025,MATCH($E17,学年度总表!$E$3:$E$1025,0))="","",INDEX(学年度总表!$C$3:$C$1025,MATCH($E17,学年度总表!$E$3:$E$1025,0)))</f>
        <v>网工</v>
      </c>
      <c r="D17" s="2" t="str">
        <f>IF(INDEX(学年度总表!$D$3:$D$1025,MATCH($E17,学年度总表!$E$3:$E$1025,0))="","",INDEX(学年度总表!$D$3:$D$1025,MATCH($E17,学年度总表!$E$3:$E$1025,0)))</f>
        <v>网工17班</v>
      </c>
      <c r="E17" s="2" t="s">
        <v>307</v>
      </c>
      <c r="F17" s="2" t="str">
        <f>IF(INDEX(学年度总表!$F$3:$F$1025,MATCH($E17,学年度总表!$E$3:$E$1025,0))="","",INDEX(学年度总表!$F$3:$F$1025,MATCH($E17,学年度总表!$E$3:$E$1025,0)))</f>
        <v>张宸瑞</v>
      </c>
      <c r="G17" s="3">
        <f>IF(INDEX(学年度总表!$G$3:$G$1025,MATCH($E17,学年度总表!$E$3:$E$1025,0))="","",INDEX(学年度总表!$G$3:$G$1025,MATCH($E17,学年度总表!$E$3:$E$1025,0)))</f>
        <v>11.6</v>
      </c>
      <c r="H17" s="3">
        <f>IF(INDEX(学年度总表!$H$3:$H$1025,MATCH($E17,学年度总表!$E$3:$E$1025,0))="","",INDEX(学年度总表!$H$3:$H$1025,MATCH($E17,学年度总表!$E$3:$E$1025,0)))</f>
        <v>56.87</v>
      </c>
      <c r="I17" s="3">
        <f>IF(INDEX(学年度总表!$I$3:$I$1025,MATCH($E17,学年度总表!$E$3:$E$1025,0))="","",INDEX(学年度总表!$I$3:$I$1025,MATCH($E17,学年度总表!$E$3:$E$1025,0)))</f>
        <v>8.3000000000000007</v>
      </c>
      <c r="J17" s="3">
        <f>IF(INDEX(学年度总表!$J$3:$J$1025,MATCH($E17,学年度总表!$E$3:$E$1025,0))="","",INDEX(学年度总表!$J$3:$J$1025,MATCH($E17,学年度总表!$E$3:$E$1025,0)))</f>
        <v>76.77</v>
      </c>
      <c r="K17" s="3">
        <f>IF(INDEX(学年度总表!$K$3:$K$1025,MATCH($E17,学年度总表!$E$3:$E$1025,0))="","",INDEX(学年度总表!$K$3:$K$1025,MATCH($E17,学年度总表!$E$3:$E$1025,0)))</f>
        <v>11.3</v>
      </c>
      <c r="L17" s="3">
        <f>IF(INDEX(学年度总表!$L$3:$L$1025,MATCH($E17,学年度总表!$E$3:$E$1025,0))="","",INDEX(学年度总表!$L$3:$L$1025,MATCH($E17,学年度总表!$E$3:$E$1025,0)))</f>
        <v>59.38</v>
      </c>
      <c r="M17" s="3">
        <f>IF(INDEX(学年度总表!$M$3:$M$1025,MATCH($E17,学年度总表!$E$3:$E$1025,0))="","",INDEX(学年度总表!$M$3:$M$1025,MATCH($E17,学年度总表!$E$3:$E$1025,0)))</f>
        <v>8.8000000000000007</v>
      </c>
      <c r="N17" s="3">
        <f>IF(INDEX(学年度总表!$N$3:$N$1025,MATCH($E17,学年度总表!$E$3:$E$1025,0))="","",INDEX(学年度总表!$N$3:$N$1025,MATCH($E17,学年度总表!$E$3:$E$1025,0)))</f>
        <v>79.48</v>
      </c>
      <c r="O17" s="3">
        <f>IF(INDEX(学年度总表!$O$3:$O$1025,MATCH($E17,学年度总表!$E$3:$E$1025,0))="","",INDEX(学年度总表!$O$3:$O$1025,MATCH($E17,学年度总表!$E$3:$E$1025,0)))</f>
        <v>156.25</v>
      </c>
      <c r="P17" s="4" t="str">
        <f>IF(INDEX(学年度总表!$P$3:$P$1025,MATCH($E17,学年度总表!$E$3:$E$1025,0))="","",INDEX(学年度总表!$P$3:$P$1025,MATCH($E17,学年度总表!$E$3:$E$1025,0)))</f>
        <v>校三等</v>
      </c>
      <c r="Q17" s="5" t="str">
        <f>IF(INDEX(学年度总表!$Q$3:$Q$1025,MATCH($E17,学年度总表!$E$3:$E$1025,0))="","",INDEX(学年度总表!$Q$3:$Q$1025,MATCH($E17,学年度总表!$E$3:$E$1025,0)))</f>
        <v/>
      </c>
    </row>
    <row r="18" spans="1:17">
      <c r="A18" s="2">
        <f>IF(INDEX(学年度总表!$A$3:$A$1025,MATCH($E18,学年度总表!$E$3:$E$1025,0))="","",INDEX(学年度总表!$A$3:$A$1025,MATCH($E18,学年度总表!$E$3:$E$1025,0)))</f>
        <v>129</v>
      </c>
      <c r="B18" s="2">
        <f>IF(INDEX(学年度总表!$B$3:$B$1025,MATCH($E18,学年度总表!$E$3:$E$1025,0))="","",INDEX(学年度总表!$B$3:$B$1025,MATCH($E18,学年度总表!$E$3:$E$1025,0)))</f>
        <v>16</v>
      </c>
      <c r="C18" s="2" t="str">
        <f>IF(INDEX(学年度总表!$C$3:$C$1025,MATCH($E18,学年度总表!$E$3:$E$1025,0))="","",INDEX(学年度总表!$C$3:$C$1025,MATCH($E18,学年度总表!$E$3:$E$1025,0)))</f>
        <v>网工</v>
      </c>
      <c r="D18" s="2" t="str">
        <f>IF(INDEX(学年度总表!$D$3:$D$1025,MATCH($E18,学年度总表!$E$3:$E$1025,0))="","",INDEX(学年度总表!$D$3:$D$1025,MATCH($E18,学年度总表!$E$3:$E$1025,0)))</f>
        <v>网工18班</v>
      </c>
      <c r="E18" s="2" t="s">
        <v>313</v>
      </c>
      <c r="F18" s="2" t="str">
        <f>IF(INDEX(学年度总表!$F$3:$F$1025,MATCH($E18,学年度总表!$E$3:$E$1025,0))="","",INDEX(学年度总表!$F$3:$F$1025,MATCH($E18,学年度总表!$E$3:$E$1025,0)))</f>
        <v>范一铭</v>
      </c>
      <c r="G18" s="3">
        <f>IF(INDEX(学年度总表!$G$3:$G$1025,MATCH($E18,学年度总表!$E$3:$E$1025,0))="","",INDEX(学年度总表!$G$3:$G$1025,MATCH($E18,学年度总表!$E$3:$E$1025,0)))</f>
        <v>10</v>
      </c>
      <c r="H18" s="3">
        <f>IF(INDEX(学年度总表!$H$3:$H$1025,MATCH($E18,学年度总表!$E$3:$E$1025,0))="","",INDEX(学年度总表!$H$3:$H$1025,MATCH($E18,学年度总表!$E$3:$E$1025,0)))</f>
        <v>65.209999999999994</v>
      </c>
      <c r="I18" s="3">
        <f>IF(INDEX(学年度总表!$I$3:$I$1025,MATCH($E18,学年度总表!$E$3:$E$1025,0))="","",INDEX(学年度总表!$I$3:$I$1025,MATCH($E18,学年度总表!$E$3:$E$1025,0)))</f>
        <v>4</v>
      </c>
      <c r="J18" s="3">
        <f>IF(INDEX(学年度总表!$J$3:$J$1025,MATCH($E18,学年度总表!$E$3:$E$1025,0))="","",INDEX(学年度总表!$J$3:$J$1025,MATCH($E18,学年度总表!$E$3:$E$1025,0)))</f>
        <v>79.209999999999994</v>
      </c>
      <c r="K18" s="3">
        <f>IF(INDEX(学年度总表!$K$3:$K$1025,MATCH($E18,学年度总表!$E$3:$E$1025,0))="","",INDEX(学年度总表!$K$3:$K$1025,MATCH($E18,学年度总表!$E$3:$E$1025,0)))</f>
        <v>10</v>
      </c>
      <c r="L18" s="3">
        <f>IF(INDEX(学年度总表!$L$3:$L$1025,MATCH($E18,学年度总表!$E$3:$E$1025,0))="","",INDEX(学年度总表!$L$3:$L$1025,MATCH($E18,学年度总表!$E$3:$E$1025,0)))</f>
        <v>62.47</v>
      </c>
      <c r="M18" s="3">
        <f>IF(INDEX(学年度总表!$M$3:$M$1025,MATCH($E18,学年度总表!$E$3:$E$1025,0))="","",INDEX(学年度总表!$M$3:$M$1025,MATCH($E18,学年度总表!$E$3:$E$1025,0)))</f>
        <v>4.4000000000000004</v>
      </c>
      <c r="N18" s="3">
        <f>IF(INDEX(学年度总表!$N$3:$N$1025,MATCH($E18,学年度总表!$E$3:$E$1025,0))="","",INDEX(学年度总表!$N$3:$N$1025,MATCH($E18,学年度总表!$E$3:$E$1025,0)))</f>
        <v>76.87</v>
      </c>
      <c r="O18" s="3">
        <f>IF(INDEX(学年度总表!$O$3:$O$1025,MATCH($E18,学年度总表!$E$3:$E$1025,0))="","",INDEX(学年度总表!$O$3:$O$1025,MATCH($E18,学年度总表!$E$3:$E$1025,0)))</f>
        <v>156.08000000000001</v>
      </c>
      <c r="P18" s="4" t="str">
        <f>IF(INDEX(学年度总表!$P$3:$P$1025,MATCH($E18,学年度总表!$E$3:$E$1025,0))="","",INDEX(学年度总表!$P$3:$P$1025,MATCH($E18,学年度总表!$E$3:$E$1025,0)))</f>
        <v>校三等</v>
      </c>
      <c r="Q18" s="5" t="str">
        <f>IF(INDEX(学年度总表!$Q$3:$Q$1025,MATCH($E18,学年度总表!$E$3:$E$1025,0))="","",INDEX(学年度总表!$Q$3:$Q$1025,MATCH($E18,学年度总表!$E$3:$E$1025,0)))</f>
        <v/>
      </c>
    </row>
    <row r="19" spans="1:17">
      <c r="A19" s="2">
        <f>IF(INDEX(学年度总表!$A$3:$A$1025,MATCH($E19,学年度总表!$E$3:$E$1025,0))="","",INDEX(学年度总表!$A$3:$A$1025,MATCH($E19,学年度总表!$E$3:$E$1025,0)))</f>
        <v>137</v>
      </c>
      <c r="B19" s="2">
        <f>IF(INDEX(学年度总表!$B$3:$B$1025,MATCH($E19,学年度总表!$E$3:$E$1025,0))="","",INDEX(学年度总表!$B$3:$B$1025,MATCH($E19,学年度总表!$E$3:$E$1025,0)))</f>
        <v>17</v>
      </c>
      <c r="C19" s="2" t="str">
        <f>IF(INDEX(学年度总表!$C$3:$C$1025,MATCH($E19,学年度总表!$E$3:$E$1025,0))="","",INDEX(学年度总表!$C$3:$C$1025,MATCH($E19,学年度总表!$E$3:$E$1025,0)))</f>
        <v>网工</v>
      </c>
      <c r="D19" s="2" t="str">
        <f>IF(INDEX(学年度总表!$D$3:$D$1025,MATCH($E19,学年度总表!$E$3:$E$1025,0))="","",INDEX(学年度总表!$D$3:$D$1025,MATCH($E19,学年度总表!$E$3:$E$1025,0)))</f>
        <v>网工16班</v>
      </c>
      <c r="E19" s="2" t="s">
        <v>329</v>
      </c>
      <c r="F19" s="2" t="str">
        <f>IF(INDEX(学年度总表!$F$3:$F$1025,MATCH($E19,学年度总表!$E$3:$E$1025,0))="","",INDEX(学年度总表!$F$3:$F$1025,MATCH($E19,学年度总表!$E$3:$E$1025,0)))</f>
        <v>夏清淼</v>
      </c>
      <c r="G19" s="3">
        <f>IF(INDEX(学年度总表!$G$3:$G$1025,MATCH($E19,学年度总表!$E$3:$E$1025,0))="","",INDEX(学年度总表!$G$3:$G$1025,MATCH($E19,学年度总表!$E$3:$E$1025,0)))</f>
        <v>9.8000000000000007</v>
      </c>
      <c r="H19" s="3">
        <f>IF(INDEX(学年度总表!$H$3:$H$1025,MATCH($E19,学年度总表!$E$3:$E$1025,0))="","",INDEX(学年度总表!$H$3:$H$1025,MATCH($E19,学年度总表!$E$3:$E$1025,0)))</f>
        <v>64.22</v>
      </c>
      <c r="I19" s="3">
        <f>IF(INDEX(学年度总表!$I$3:$I$1025,MATCH($E19,学年度总表!$E$3:$E$1025,0))="","",INDEX(学年度总表!$I$3:$I$1025,MATCH($E19,学年度总表!$E$3:$E$1025,0)))</f>
        <v>4.4000000000000004</v>
      </c>
      <c r="J19" s="3">
        <f>IF(INDEX(学年度总表!$J$3:$J$1025,MATCH($E19,学年度总表!$E$3:$E$1025,0))="","",INDEX(学年度总表!$J$3:$J$1025,MATCH($E19,学年度总表!$E$3:$E$1025,0)))</f>
        <v>78.42</v>
      </c>
      <c r="K19" s="3">
        <f>IF(INDEX(学年度总表!$K$3:$K$1025,MATCH($E19,学年度总表!$E$3:$E$1025,0))="","",INDEX(学年度总表!$K$3:$K$1025,MATCH($E19,学年度总表!$E$3:$E$1025,0)))</f>
        <v>9.8000000000000007</v>
      </c>
      <c r="L19" s="3">
        <f>IF(INDEX(学年度总表!$L$3:$L$1025,MATCH($E19,学年度总表!$E$3:$E$1025,0))="","",INDEX(学年度总表!$L$3:$L$1025,MATCH($E19,学年度总表!$E$3:$E$1025,0)))</f>
        <v>62.1</v>
      </c>
      <c r="M19" s="3">
        <f>IF(INDEX(学年度总表!$M$3:$M$1025,MATCH($E19,学年度总表!$E$3:$E$1025,0))="","",INDEX(学年度总表!$M$3:$M$1025,MATCH($E19,学年度总表!$E$3:$E$1025,0)))</f>
        <v>5.0999999999999996</v>
      </c>
      <c r="N19" s="3">
        <f>IF(INDEX(学年度总表!$N$3:$N$1025,MATCH($E19,学年度总表!$E$3:$E$1025,0))="","",INDEX(学年度总表!$N$3:$N$1025,MATCH($E19,学年度总表!$E$3:$E$1025,0)))</f>
        <v>77</v>
      </c>
      <c r="O19" s="3">
        <f>IF(INDEX(学年度总表!$O$3:$O$1025,MATCH($E19,学年度总表!$E$3:$E$1025,0))="","",INDEX(学年度总表!$O$3:$O$1025,MATCH($E19,学年度总表!$E$3:$E$1025,0)))</f>
        <v>155.41999999999999</v>
      </c>
      <c r="P19" s="4" t="str">
        <f>IF(INDEX(学年度总表!$P$3:$P$1025,MATCH($E19,学年度总表!$E$3:$E$1025,0))="","",INDEX(学年度总表!$P$3:$P$1025,MATCH($E19,学年度总表!$E$3:$E$1025,0)))</f>
        <v>校三等</v>
      </c>
      <c r="Q19" s="5" t="str">
        <f>IF(INDEX(学年度总表!$Q$3:$Q$1025,MATCH($E19,学年度总表!$E$3:$E$1025,0))="","",INDEX(学年度总表!$Q$3:$Q$1025,MATCH($E19,学年度总表!$E$3:$E$1025,0)))</f>
        <v/>
      </c>
    </row>
    <row r="20" spans="1:17">
      <c r="A20" s="2">
        <f>IF(INDEX(学年度总表!$A$3:$A$1025,MATCH($E20,学年度总表!$E$3:$E$1025,0))="","",INDEX(学年度总表!$A$3:$A$1025,MATCH($E20,学年度总表!$E$3:$E$1025,0)))</f>
        <v>142</v>
      </c>
      <c r="B20" s="2">
        <f>IF(INDEX(学年度总表!$B$3:$B$1025,MATCH($E20,学年度总表!$E$3:$E$1025,0))="","",INDEX(学年度总表!$B$3:$B$1025,MATCH($E20,学年度总表!$E$3:$E$1025,0)))</f>
        <v>18</v>
      </c>
      <c r="C20" s="2" t="str">
        <f>IF(INDEX(学年度总表!$C$3:$C$1025,MATCH($E20,学年度总表!$E$3:$E$1025,0))="","",INDEX(学年度总表!$C$3:$C$1025,MATCH($E20,学年度总表!$E$3:$E$1025,0)))</f>
        <v>网工</v>
      </c>
      <c r="D20" s="2" t="str">
        <f>IF(INDEX(学年度总表!$D$3:$D$1025,MATCH($E20,学年度总表!$E$3:$E$1025,0))="","",INDEX(学年度总表!$D$3:$D$1025,MATCH($E20,学年度总表!$E$3:$E$1025,0)))</f>
        <v>网工17班</v>
      </c>
      <c r="E20" s="2" t="s">
        <v>339</v>
      </c>
      <c r="F20" s="2" t="str">
        <f>IF(INDEX(学年度总表!$F$3:$F$1025,MATCH($E20,学年度总表!$E$3:$E$1025,0))="","",INDEX(学年度总表!$F$3:$F$1025,MATCH($E20,学年度总表!$E$3:$E$1025,0)))</f>
        <v>赵梓雯</v>
      </c>
      <c r="G20" s="3">
        <f>IF(INDEX(学年度总表!$G$3:$G$1025,MATCH($E20,学年度总表!$E$3:$E$1025,0))="","",INDEX(学年度总表!$G$3:$G$1025,MATCH($E20,学年度总表!$E$3:$E$1025,0)))</f>
        <v>9.8000000000000007</v>
      </c>
      <c r="H20" s="3">
        <f>IF(INDEX(学年度总表!$H$3:$H$1025,MATCH($E20,学年度总表!$E$3:$E$1025,0))="","",INDEX(学年度总表!$H$3:$H$1025,MATCH($E20,学年度总表!$E$3:$E$1025,0)))</f>
        <v>63.71</v>
      </c>
      <c r="I20" s="3">
        <f>IF(INDEX(学年度总表!$I$3:$I$1025,MATCH($E20,学年度总表!$E$3:$E$1025,0))="","",INDEX(学年度总表!$I$3:$I$1025,MATCH($E20,学年度总表!$E$3:$E$1025,0)))</f>
        <v>4.2</v>
      </c>
      <c r="J20" s="3">
        <f>IF(INDEX(学年度总表!$J$3:$J$1025,MATCH($E20,学年度总表!$E$3:$E$1025,0))="","",INDEX(学年度总表!$J$3:$J$1025,MATCH($E20,学年度总表!$E$3:$E$1025,0)))</f>
        <v>77.709999999999994</v>
      </c>
      <c r="K20" s="3">
        <f>IF(INDEX(学年度总表!$K$3:$K$1025,MATCH($E20,学年度总表!$E$3:$E$1025,0))="","",INDEX(学年度总表!$K$3:$K$1025,MATCH($E20,学年度总表!$E$3:$E$1025,0)))</f>
        <v>9.8000000000000007</v>
      </c>
      <c r="L20" s="3">
        <f>IF(INDEX(学年度总表!$L$3:$L$1025,MATCH($E20,学年度总表!$E$3:$E$1025,0))="","",INDEX(学年度总表!$L$3:$L$1025,MATCH($E20,学年度总表!$E$3:$E$1025,0)))</f>
        <v>62.98</v>
      </c>
      <c r="M20" s="3">
        <f>IF(INDEX(学年度总表!$M$3:$M$1025,MATCH($E20,学年度总表!$E$3:$E$1025,0))="","",INDEX(学年度总表!$M$3:$M$1025,MATCH($E20,学年度总表!$E$3:$E$1025,0)))</f>
        <v>4.8</v>
      </c>
      <c r="N20" s="3">
        <f>IF(INDEX(学年度总表!$N$3:$N$1025,MATCH($E20,学年度总表!$E$3:$E$1025,0))="","",INDEX(学年度总表!$N$3:$N$1025,MATCH($E20,学年度总表!$E$3:$E$1025,0)))</f>
        <v>77.58</v>
      </c>
      <c r="O20" s="3">
        <f>IF(INDEX(学年度总表!$O$3:$O$1025,MATCH($E20,学年度总表!$E$3:$E$1025,0))="","",INDEX(学年度总表!$O$3:$O$1025,MATCH($E20,学年度总表!$E$3:$E$1025,0)))</f>
        <v>155.29</v>
      </c>
      <c r="P20" s="4" t="str">
        <f>IF(INDEX(学年度总表!$P$3:$P$1025,MATCH($E20,学年度总表!$E$3:$E$1025,0))="","",INDEX(学年度总表!$P$3:$P$1025,MATCH($E20,学年度总表!$E$3:$E$1025,0)))</f>
        <v>校三等</v>
      </c>
      <c r="Q20" s="5" t="str">
        <f>IF(INDEX(学年度总表!$Q$3:$Q$1025,MATCH($E20,学年度总表!$E$3:$E$1025,0))="","",INDEX(学年度总表!$Q$3:$Q$1025,MATCH($E20,学年度总表!$E$3:$E$1025,0)))</f>
        <v/>
      </c>
    </row>
    <row r="21" spans="1:17">
      <c r="A21" s="2">
        <f>IF(INDEX(学年度总表!$A$3:$A$1025,MATCH($E21,学年度总表!$E$3:$E$1025,0))="","",INDEX(学年度总表!$A$3:$A$1025,MATCH($E21,学年度总表!$E$3:$E$1025,0)))</f>
        <v>146</v>
      </c>
      <c r="B21" s="2">
        <f>IF(INDEX(学年度总表!$B$3:$B$1025,MATCH($E21,学年度总表!$E$3:$E$1025,0))="","",INDEX(学年度总表!$B$3:$B$1025,MATCH($E21,学年度总表!$E$3:$E$1025,0)))</f>
        <v>19</v>
      </c>
      <c r="C21" s="2" t="str">
        <f>IF(INDEX(学年度总表!$C$3:$C$1025,MATCH($E21,学年度总表!$E$3:$E$1025,0))="","",INDEX(学年度总表!$C$3:$C$1025,MATCH($E21,学年度总表!$E$3:$E$1025,0)))</f>
        <v>网工</v>
      </c>
      <c r="D21" s="2" t="str">
        <f>IF(INDEX(学年度总表!$D$3:$D$1025,MATCH($E21,学年度总表!$E$3:$E$1025,0))="","",INDEX(学年度总表!$D$3:$D$1025,MATCH($E21,学年度总表!$E$3:$E$1025,0)))</f>
        <v>网工17班</v>
      </c>
      <c r="E21" s="2" t="s">
        <v>348</v>
      </c>
      <c r="F21" s="2" t="str">
        <f>IF(INDEX(学年度总表!$F$3:$F$1025,MATCH($E21,学年度总表!$E$3:$E$1025,0))="","",INDEX(学年度总表!$F$3:$F$1025,MATCH($E21,学年度总表!$E$3:$E$1025,0)))</f>
        <v>左佳灵</v>
      </c>
      <c r="G21" s="3">
        <f>IF(INDEX(学年度总表!$G$3:$G$1025,MATCH($E21,学年度总表!$E$3:$E$1025,0))="","",INDEX(学年度总表!$G$3:$G$1025,MATCH($E21,学年度总表!$E$3:$E$1025,0)))</f>
        <v>12</v>
      </c>
      <c r="H21" s="3">
        <f>IF(INDEX(学年度总表!$H$3:$H$1025,MATCH($E21,学年度总表!$E$3:$E$1025,0))="","",INDEX(学年度总表!$H$3:$H$1025,MATCH($E21,学年度总表!$E$3:$E$1025,0)))</f>
        <v>61.53</v>
      </c>
      <c r="I21" s="3">
        <f>IF(INDEX(学年度总表!$I$3:$I$1025,MATCH($E21,学年度总表!$E$3:$E$1025,0))="","",INDEX(学年度总表!$I$3:$I$1025,MATCH($E21,学年度总表!$E$3:$E$1025,0)))</f>
        <v>4.2</v>
      </c>
      <c r="J21" s="3">
        <f>IF(INDEX(学年度总表!$J$3:$J$1025,MATCH($E21,学年度总表!$E$3:$E$1025,0))="","",INDEX(学年度总表!$J$3:$J$1025,MATCH($E21,学年度总表!$E$3:$E$1025,0)))</f>
        <v>77.73</v>
      </c>
      <c r="K21" s="3">
        <f>IF(INDEX(学年度总表!$K$3:$K$1025,MATCH($E21,学年度总表!$E$3:$E$1025,0))="","",INDEX(学年度总表!$K$3:$K$1025,MATCH($E21,学年度总表!$E$3:$E$1025,0)))</f>
        <v>9.5</v>
      </c>
      <c r="L21" s="3">
        <f>IF(INDEX(学年度总表!$L$3:$L$1025,MATCH($E21,学年度总表!$E$3:$E$1025,0))="","",INDEX(学年度总表!$L$3:$L$1025,MATCH($E21,学年度总表!$E$3:$E$1025,0)))</f>
        <v>63.94</v>
      </c>
      <c r="M21" s="3">
        <f>IF(INDEX(学年度总表!$M$3:$M$1025,MATCH($E21,学年度总表!$E$3:$E$1025,0))="","",INDEX(学年度总表!$M$3:$M$1025,MATCH($E21,学年度总表!$E$3:$E$1025,0)))</f>
        <v>4</v>
      </c>
      <c r="N21" s="3">
        <f>IF(INDEX(学年度总表!$N$3:$N$1025,MATCH($E21,学年度总表!$E$3:$E$1025,0))="","",INDEX(学年度总表!$N$3:$N$1025,MATCH($E21,学年度总表!$E$3:$E$1025,0)))</f>
        <v>77.44</v>
      </c>
      <c r="O21" s="3">
        <f>IF(INDEX(学年度总表!$O$3:$O$1025,MATCH($E21,学年度总表!$E$3:$E$1025,0))="","",INDEX(学年度总表!$O$3:$O$1025,MATCH($E21,学年度总表!$E$3:$E$1025,0)))</f>
        <v>155.16999999999999</v>
      </c>
      <c r="P21" s="4" t="str">
        <f>IF(INDEX(学年度总表!$P$3:$P$1025,MATCH($E21,学年度总表!$E$3:$E$1025,0))="","",INDEX(学年度总表!$P$3:$P$1025,MATCH($E21,学年度总表!$E$3:$E$1025,0)))</f>
        <v>校三等</v>
      </c>
      <c r="Q21" s="5" t="str">
        <f>IF(INDEX(学年度总表!$Q$3:$Q$1025,MATCH($E21,学年度总表!$E$3:$E$1025,0))="","",INDEX(学年度总表!$Q$3:$Q$1025,MATCH($E21,学年度总表!$E$3:$E$1025,0)))</f>
        <v/>
      </c>
    </row>
    <row r="22" spans="1:17">
      <c r="A22" s="2">
        <f>IF(INDEX(学年度总表!$A$3:$A$1025,MATCH($E22,学年度总表!$E$3:$E$1025,0))="","",INDEX(学年度总表!$A$3:$A$1025,MATCH($E22,学年度总表!$E$3:$E$1025,0)))</f>
        <v>158</v>
      </c>
      <c r="B22" s="2">
        <f>IF(INDEX(学年度总表!$B$3:$B$1025,MATCH($E22,学年度总表!$E$3:$E$1025,0))="","",INDEX(学年度总表!$B$3:$B$1025,MATCH($E22,学年度总表!$E$3:$E$1025,0)))</f>
        <v>20</v>
      </c>
      <c r="C22" s="2" t="str">
        <f>IF(INDEX(学年度总表!$C$3:$C$1025,MATCH($E22,学年度总表!$E$3:$E$1025,0))="","",INDEX(学年度总表!$C$3:$C$1025,MATCH($E22,学年度总表!$E$3:$E$1025,0)))</f>
        <v>网工</v>
      </c>
      <c r="D22" s="2" t="str">
        <f>IF(INDEX(学年度总表!$D$3:$D$1025,MATCH($E22,学年度总表!$E$3:$E$1025,0))="","",INDEX(学年度总表!$D$3:$D$1025,MATCH($E22,学年度总表!$E$3:$E$1025,0)))</f>
        <v>网工17班</v>
      </c>
      <c r="E22" s="2" t="s">
        <v>372</v>
      </c>
      <c r="F22" s="2" t="str">
        <f>IF(INDEX(学年度总表!$F$3:$F$1025,MATCH($E22,学年度总表!$E$3:$E$1025,0))="","",INDEX(学年度总表!$F$3:$F$1025,MATCH($E22,学年度总表!$E$3:$E$1025,0)))</f>
        <v>袁子依</v>
      </c>
      <c r="G22" s="3">
        <f>IF(INDEX(学年度总表!$G$3:$G$1025,MATCH($E22,学年度总表!$E$3:$E$1025,0))="","",INDEX(学年度总表!$G$3:$G$1025,MATCH($E22,学年度总表!$E$3:$E$1025,0)))</f>
        <v>9.8000000000000007</v>
      </c>
      <c r="H22" s="3">
        <f>IF(INDEX(学年度总表!$H$3:$H$1025,MATCH($E22,学年度总表!$E$3:$E$1025,0))="","",INDEX(学年度总表!$H$3:$H$1025,MATCH($E22,学年度总表!$E$3:$E$1025,0)))</f>
        <v>64.569999999999993</v>
      </c>
      <c r="I22" s="3">
        <f>IF(INDEX(学年度总表!$I$3:$I$1025,MATCH($E22,学年度总表!$E$3:$E$1025,0))="","",INDEX(学年度总表!$I$3:$I$1025,MATCH($E22,学年度总表!$E$3:$E$1025,0)))</f>
        <v>3</v>
      </c>
      <c r="J22" s="3">
        <f>IF(INDEX(学年度总表!$J$3:$J$1025,MATCH($E22,学年度总表!$E$3:$E$1025,0))="","",INDEX(学年度总表!$J$3:$J$1025,MATCH($E22,学年度总表!$E$3:$E$1025,0)))</f>
        <v>77.37</v>
      </c>
      <c r="K22" s="3">
        <f>IF(INDEX(学年度总表!$K$3:$K$1025,MATCH($E22,学年度总表!$E$3:$E$1025,0))="","",INDEX(学年度总表!$K$3:$K$1025,MATCH($E22,学年度总表!$E$3:$E$1025,0)))</f>
        <v>9.8000000000000007</v>
      </c>
      <c r="L22" s="3">
        <f>IF(INDEX(学年度总表!$L$3:$L$1025,MATCH($E22,学年度总表!$E$3:$E$1025,0))="","",INDEX(学年度总表!$L$3:$L$1025,MATCH($E22,学年度总表!$E$3:$E$1025,0)))</f>
        <v>63.66</v>
      </c>
      <c r="M22" s="3">
        <f>IF(INDEX(学年度总表!$M$3:$M$1025,MATCH($E22,学年度总表!$E$3:$E$1025,0))="","",INDEX(学年度总表!$M$3:$M$1025,MATCH($E22,学年度总表!$E$3:$E$1025,0)))</f>
        <v>3.7</v>
      </c>
      <c r="N22" s="3">
        <f>IF(INDEX(学年度总表!$N$3:$N$1025,MATCH($E22,学年度总表!$E$3:$E$1025,0))="","",INDEX(学年度总表!$N$3:$N$1025,MATCH($E22,学年度总表!$E$3:$E$1025,0)))</f>
        <v>77.16</v>
      </c>
      <c r="O22" s="3">
        <f>IF(INDEX(学年度总表!$O$3:$O$1025,MATCH($E22,学年度总表!$E$3:$E$1025,0))="","",INDEX(学年度总表!$O$3:$O$1025,MATCH($E22,学年度总表!$E$3:$E$1025,0)))</f>
        <v>154.53</v>
      </c>
      <c r="P22" s="4" t="str">
        <f>IF(INDEX(学年度总表!$P$3:$P$1025,MATCH($E22,学年度总表!$E$3:$E$1025,0))="","",INDEX(学年度总表!$P$3:$P$1025,MATCH($E22,学年度总表!$E$3:$E$1025,0)))</f>
        <v>校三等</v>
      </c>
      <c r="Q22" s="5" t="str">
        <f>IF(INDEX(学年度总表!$Q$3:$Q$1025,MATCH($E22,学年度总表!$E$3:$E$1025,0))="","",INDEX(学年度总表!$Q$3:$Q$1025,MATCH($E22,学年度总表!$E$3:$E$1025,0)))</f>
        <v/>
      </c>
    </row>
    <row r="23" spans="1:17">
      <c r="A23" s="2">
        <f>IF(INDEX(学年度总表!$A$3:$A$1025,MATCH($E23,学年度总表!$E$3:$E$1025,0))="","",INDEX(学年度总表!$A$3:$A$1025,MATCH($E23,学年度总表!$E$3:$E$1025,0)))</f>
        <v>159</v>
      </c>
      <c r="B23" s="2">
        <f>IF(INDEX(学年度总表!$B$3:$B$1025,MATCH($E23,学年度总表!$E$3:$E$1025,0))="","",INDEX(学年度总表!$B$3:$B$1025,MATCH($E23,学年度总表!$E$3:$E$1025,0)))</f>
        <v>21</v>
      </c>
      <c r="C23" s="2" t="str">
        <f>IF(INDEX(学年度总表!$C$3:$C$1025,MATCH($E23,学年度总表!$E$3:$E$1025,0))="","",INDEX(学年度总表!$C$3:$C$1025,MATCH($E23,学年度总表!$E$3:$E$1025,0)))</f>
        <v>网工</v>
      </c>
      <c r="D23" s="2" t="str">
        <f>IF(INDEX(学年度总表!$D$3:$D$1025,MATCH($E23,学年度总表!$E$3:$E$1025,0))="","",INDEX(学年度总表!$D$3:$D$1025,MATCH($E23,学年度总表!$E$3:$E$1025,0)))</f>
        <v>网工17班</v>
      </c>
      <c r="E23" s="2" t="s">
        <v>374</v>
      </c>
      <c r="F23" s="2" t="str">
        <f>IF(INDEX(学年度总表!$F$3:$F$1025,MATCH($E23,学年度总表!$E$3:$E$1025,0))="","",INDEX(学年度总表!$F$3:$F$1025,MATCH($E23,学年度总表!$E$3:$E$1025,0)))</f>
        <v>杨馨婷</v>
      </c>
      <c r="G23" s="3">
        <f>IF(INDEX(学年度总表!$G$3:$G$1025,MATCH($E23,学年度总表!$E$3:$E$1025,0))="","",INDEX(学年度总表!$G$3:$G$1025,MATCH($E23,学年度总表!$E$3:$E$1025,0)))</f>
        <v>9.8000000000000007</v>
      </c>
      <c r="H23" s="3">
        <f>IF(INDEX(学年度总表!$H$3:$H$1025,MATCH($E23,学年度总表!$E$3:$E$1025,0))="","",INDEX(学年度总表!$H$3:$H$1025,MATCH($E23,学年度总表!$E$3:$E$1025,0)))</f>
        <v>62.85</v>
      </c>
      <c r="I23" s="3">
        <f>IF(INDEX(学年度总表!$I$3:$I$1025,MATCH($E23,学年度总表!$E$3:$E$1025,0))="","",INDEX(学年度总表!$I$3:$I$1025,MATCH($E23,学年度总表!$E$3:$E$1025,0)))</f>
        <v>5.0999999999999996</v>
      </c>
      <c r="J23" s="3">
        <f>IF(INDEX(学年度总表!$J$3:$J$1025,MATCH($E23,学年度总表!$E$3:$E$1025,0))="","",INDEX(学年度总表!$J$3:$J$1025,MATCH($E23,学年度总表!$E$3:$E$1025,0)))</f>
        <v>77.75</v>
      </c>
      <c r="K23" s="3">
        <f>IF(INDEX(学年度总表!$K$3:$K$1025,MATCH($E23,学年度总表!$E$3:$E$1025,0))="","",INDEX(学年度总表!$K$3:$K$1025,MATCH($E23,学年度总表!$E$3:$E$1025,0)))</f>
        <v>9.8000000000000007</v>
      </c>
      <c r="L23" s="3">
        <f>IF(INDEX(学年度总表!$L$3:$L$1025,MATCH($E23,学年度总表!$E$3:$E$1025,0))="","",INDEX(学年度总表!$L$3:$L$1025,MATCH($E23,学年度总表!$E$3:$E$1025,0)))</f>
        <v>63.52</v>
      </c>
      <c r="M23" s="3">
        <f>IF(INDEX(学年度总表!$M$3:$M$1025,MATCH($E23,学年度总表!$E$3:$E$1025,0))="","",INDEX(学年度总表!$M$3:$M$1025,MATCH($E23,学年度总表!$E$3:$E$1025,0)))</f>
        <v>3.4</v>
      </c>
      <c r="N23" s="3">
        <f>IF(INDEX(学年度总表!$N$3:$N$1025,MATCH($E23,学年度总表!$E$3:$E$1025,0))="","",INDEX(学年度总表!$N$3:$N$1025,MATCH($E23,学年度总表!$E$3:$E$1025,0)))</f>
        <v>76.72</v>
      </c>
      <c r="O23" s="3">
        <f>IF(INDEX(学年度总表!$O$3:$O$1025,MATCH($E23,学年度总表!$E$3:$E$1025,0))="","",INDEX(学年度总表!$O$3:$O$1025,MATCH($E23,学年度总表!$E$3:$E$1025,0)))</f>
        <v>154.47</v>
      </c>
      <c r="P23" s="4" t="str">
        <f>IF(INDEX(学年度总表!$P$3:$P$1025,MATCH($E23,学年度总表!$E$3:$E$1025,0))="","",INDEX(学年度总表!$P$3:$P$1025,MATCH($E23,学年度总表!$E$3:$E$1025,0)))</f>
        <v>校三等</v>
      </c>
      <c r="Q23" s="5" t="str">
        <f>IF(INDEX(学年度总表!$Q$3:$Q$1025,MATCH($E23,学年度总表!$E$3:$E$1025,0))="","",INDEX(学年度总表!$Q$3:$Q$1025,MATCH($E23,学年度总表!$E$3:$E$1025,0)))</f>
        <v/>
      </c>
    </row>
    <row r="24" spans="1:17">
      <c r="A24" s="2">
        <f>IF(INDEX(学年度总表!$A$3:$A$1025,MATCH($E24,学年度总表!$E$3:$E$1025,0))="","",INDEX(学年度总表!$A$3:$A$1025,MATCH($E24,学年度总表!$E$3:$E$1025,0)))</f>
        <v>162</v>
      </c>
      <c r="B24" s="2">
        <f>IF(INDEX(学年度总表!$B$3:$B$1025,MATCH($E24,学年度总表!$E$3:$E$1025,0))="","",INDEX(学年度总表!$B$3:$B$1025,MATCH($E24,学年度总表!$E$3:$E$1025,0)))</f>
        <v>22</v>
      </c>
      <c r="C24" s="2" t="str">
        <f>IF(INDEX(学年度总表!$C$3:$C$1025,MATCH($E24,学年度总表!$E$3:$E$1025,0))="","",INDEX(学年度总表!$C$3:$C$1025,MATCH($E24,学年度总表!$E$3:$E$1025,0)))</f>
        <v>网工</v>
      </c>
      <c r="D24" s="2" t="str">
        <f>IF(INDEX(学年度总表!$D$3:$D$1025,MATCH($E24,学年度总表!$E$3:$E$1025,0))="","",INDEX(学年度总表!$D$3:$D$1025,MATCH($E24,学年度总表!$E$3:$E$1025,0)))</f>
        <v>网工15班</v>
      </c>
      <c r="E24" s="2" t="s">
        <v>380</v>
      </c>
      <c r="F24" s="2" t="str">
        <f>IF(INDEX(学年度总表!$F$3:$F$1025,MATCH($E24,学年度总表!$E$3:$E$1025,0))="","",INDEX(学年度总表!$F$3:$F$1025,MATCH($E24,学年度总表!$E$3:$E$1025,0)))</f>
        <v>马铭骏</v>
      </c>
      <c r="G24" s="3">
        <f>IF(INDEX(学年度总表!$G$3:$G$1025,MATCH($E24,学年度总表!$E$3:$E$1025,0))="","",INDEX(学年度总表!$G$3:$G$1025,MATCH($E24,学年度总表!$E$3:$E$1025,0)))</f>
        <v>10</v>
      </c>
      <c r="H24" s="3">
        <f>IF(INDEX(学年度总表!$H$3:$H$1025,MATCH($E24,学年度总表!$E$3:$E$1025,0))="","",INDEX(学年度总表!$H$3:$H$1025,MATCH($E24,学年度总表!$E$3:$E$1025,0)))</f>
        <v>60.14</v>
      </c>
      <c r="I24" s="3">
        <f>IF(INDEX(学年度总表!$I$3:$I$1025,MATCH($E24,学年度总表!$E$3:$E$1025,0))="","",INDEX(学年度总表!$I$3:$I$1025,MATCH($E24,学年度总表!$E$3:$E$1025,0)))</f>
        <v>3</v>
      </c>
      <c r="J24" s="3">
        <f>IF(INDEX(学年度总表!$J$3:$J$1025,MATCH($E24,学年度总表!$E$3:$E$1025,0))="","",INDEX(学年度总表!$J$3:$J$1025,MATCH($E24,学年度总表!$E$3:$E$1025,0)))</f>
        <v>73.14</v>
      </c>
      <c r="K24" s="3">
        <f>IF(INDEX(学年度总表!$K$3:$K$1025,MATCH($E24,学年度总表!$E$3:$E$1025,0))="","",INDEX(学年度总表!$K$3:$K$1025,MATCH($E24,学年度总表!$E$3:$E$1025,0)))</f>
        <v>10</v>
      </c>
      <c r="L24" s="3">
        <f>IF(INDEX(学年度总表!$L$3:$L$1025,MATCH($E24,学年度总表!$E$3:$E$1025,0))="","",INDEX(学年度总表!$L$3:$L$1025,MATCH($E24,学年度总表!$E$3:$E$1025,0)))</f>
        <v>66.319999999999993</v>
      </c>
      <c r="M24" s="3">
        <f>IF(INDEX(学年度总表!$M$3:$M$1025,MATCH($E24,学年度总表!$E$3:$E$1025,0))="","",INDEX(学年度总表!$M$3:$M$1025,MATCH($E24,学年度总表!$E$3:$E$1025,0)))</f>
        <v>4.9000000000000004</v>
      </c>
      <c r="N24" s="3">
        <f>IF(INDEX(学年度总表!$N$3:$N$1025,MATCH($E24,学年度总表!$E$3:$E$1025,0))="","",INDEX(学年度总表!$N$3:$N$1025,MATCH($E24,学年度总表!$E$3:$E$1025,0)))</f>
        <v>81.22</v>
      </c>
      <c r="O24" s="3">
        <f>IF(INDEX(学年度总表!$O$3:$O$1025,MATCH($E24,学年度总表!$E$3:$E$1025,0))="","",INDEX(学年度总表!$O$3:$O$1025,MATCH($E24,学年度总表!$E$3:$E$1025,0)))</f>
        <v>154.36000000000001</v>
      </c>
      <c r="P24" s="4" t="str">
        <f>IF(INDEX(学年度总表!$P$3:$P$1025,MATCH($E24,学年度总表!$E$3:$E$1025,0))="","",INDEX(学年度总表!$P$3:$P$1025,MATCH($E24,学年度总表!$E$3:$E$1025,0)))</f>
        <v>校三等</v>
      </c>
      <c r="Q24" s="5" t="str">
        <f>IF(INDEX(学年度总表!$Q$3:$Q$1025,MATCH($E24,学年度总表!$E$3:$E$1025,0))="","",INDEX(学年度总表!$Q$3:$Q$1025,MATCH($E24,学年度总表!$E$3:$E$1025,0)))</f>
        <v/>
      </c>
    </row>
    <row r="25" spans="1:17">
      <c r="A25" s="2">
        <f>IF(INDEX(学年度总表!$A$3:$A$1025,MATCH($E25,学年度总表!$E$3:$E$1025,0))="","",INDEX(学年度总表!$A$3:$A$1025,MATCH($E25,学年度总表!$E$3:$E$1025,0)))</f>
        <v>165</v>
      </c>
      <c r="B25" s="2">
        <f>IF(INDEX(学年度总表!$B$3:$B$1025,MATCH($E25,学年度总表!$E$3:$E$1025,0))="","",INDEX(学年度总表!$B$3:$B$1025,MATCH($E25,学年度总表!$E$3:$E$1025,0)))</f>
        <v>23</v>
      </c>
      <c r="C25" s="2" t="str">
        <f>IF(INDEX(学年度总表!$C$3:$C$1025,MATCH($E25,学年度总表!$E$3:$E$1025,0))="","",INDEX(学年度总表!$C$3:$C$1025,MATCH($E25,学年度总表!$E$3:$E$1025,0)))</f>
        <v>网工</v>
      </c>
      <c r="D25" s="2" t="str">
        <f>IF(INDEX(学年度总表!$D$3:$D$1025,MATCH($E25,学年度总表!$E$3:$E$1025,0))="","",INDEX(学年度总表!$D$3:$D$1025,MATCH($E25,学年度总表!$E$3:$E$1025,0)))</f>
        <v>网工15班</v>
      </c>
      <c r="E25" s="2" t="s">
        <v>386</v>
      </c>
      <c r="F25" s="2" t="str">
        <f>IF(INDEX(学年度总表!$F$3:$F$1025,MATCH($E25,学年度总表!$E$3:$E$1025,0))="","",INDEX(学年度总表!$F$3:$F$1025,MATCH($E25,学年度总表!$E$3:$E$1025,0)))</f>
        <v>耿佳文</v>
      </c>
      <c r="G25" s="3">
        <f>IF(INDEX(学年度总表!$G$3:$G$1025,MATCH($E25,学年度总表!$E$3:$E$1025,0))="","",INDEX(学年度总表!$G$3:$G$1025,MATCH($E25,学年度总表!$E$3:$E$1025,0)))</f>
        <v>10</v>
      </c>
      <c r="H25" s="3">
        <f>IF(INDEX(学年度总表!$H$3:$H$1025,MATCH($E25,学年度总表!$E$3:$E$1025,0))="","",INDEX(学年度总表!$H$3:$H$1025,MATCH($E25,学年度总表!$E$3:$E$1025,0)))</f>
        <v>64.97</v>
      </c>
      <c r="I25" s="3">
        <f>IF(INDEX(学年度总表!$I$3:$I$1025,MATCH($E25,学年度总表!$E$3:$E$1025,0))="","",INDEX(学年度总表!$I$3:$I$1025,MATCH($E25,学年度总表!$E$3:$E$1025,0)))</f>
        <v>4</v>
      </c>
      <c r="J25" s="3">
        <f>IF(INDEX(学年度总表!$J$3:$J$1025,MATCH($E25,学年度总表!$E$3:$E$1025,0))="","",INDEX(学年度总表!$J$3:$J$1025,MATCH($E25,学年度总表!$E$3:$E$1025,0)))</f>
        <v>78.97</v>
      </c>
      <c r="K25" s="3">
        <f>IF(INDEX(学年度总表!$K$3:$K$1025,MATCH($E25,学年度总表!$E$3:$E$1025,0))="","",INDEX(学年度总表!$K$3:$K$1025,MATCH($E25,学年度总表!$E$3:$E$1025,0)))</f>
        <v>10</v>
      </c>
      <c r="L25" s="3">
        <f>IF(INDEX(学年度总表!$L$3:$L$1025,MATCH($E25,学年度总表!$E$3:$E$1025,0))="","",INDEX(学年度总表!$L$3:$L$1025,MATCH($E25,学年度总表!$E$3:$E$1025,0)))</f>
        <v>60.86</v>
      </c>
      <c r="M25" s="3">
        <f>IF(INDEX(学年度总表!$M$3:$M$1025,MATCH($E25,学年度总表!$E$3:$E$1025,0))="","",INDEX(学年度总表!$M$3:$M$1025,MATCH($E25,学年度总表!$E$3:$E$1025,0)))</f>
        <v>4.4000000000000004</v>
      </c>
      <c r="N25" s="3">
        <f>IF(INDEX(学年度总表!$N$3:$N$1025,MATCH($E25,学年度总表!$E$3:$E$1025,0))="","",INDEX(学年度总表!$N$3:$N$1025,MATCH($E25,学年度总表!$E$3:$E$1025,0)))</f>
        <v>75.260000000000005</v>
      </c>
      <c r="O25" s="3">
        <f>IF(INDEX(学年度总表!$O$3:$O$1025,MATCH($E25,学年度总表!$E$3:$E$1025,0))="","",INDEX(学年度总表!$O$3:$O$1025,MATCH($E25,学年度总表!$E$3:$E$1025,0)))</f>
        <v>154.22999999999999</v>
      </c>
      <c r="P25" s="4" t="str">
        <f>IF(INDEX(学年度总表!$P$3:$P$1025,MATCH($E25,学年度总表!$E$3:$E$1025,0))="","",INDEX(学年度总表!$P$3:$P$1025,MATCH($E25,学年度总表!$E$3:$E$1025,0)))</f>
        <v>校三等</v>
      </c>
      <c r="Q25" s="5" t="str">
        <f>IF(INDEX(学年度总表!$Q$3:$Q$1025,MATCH($E25,学年度总表!$E$3:$E$1025,0))="","",INDEX(学年度总表!$Q$3:$Q$1025,MATCH($E25,学年度总表!$E$3:$E$1025,0)))</f>
        <v/>
      </c>
    </row>
    <row r="26" spans="1:17">
      <c r="A26" s="2">
        <f>IF(INDEX(学年度总表!$A$3:$A$1025,MATCH($E26,学年度总表!$E$3:$E$1025,0))="","",INDEX(学年度总表!$A$3:$A$1025,MATCH($E26,学年度总表!$E$3:$E$1025,0)))</f>
        <v>166</v>
      </c>
      <c r="B26" s="2">
        <f>IF(INDEX(学年度总表!$B$3:$B$1025,MATCH($E26,学年度总表!$E$3:$E$1025,0))="","",INDEX(学年度总表!$B$3:$B$1025,MATCH($E26,学年度总表!$E$3:$E$1025,0)))</f>
        <v>24</v>
      </c>
      <c r="C26" s="2" t="str">
        <f>IF(INDEX(学年度总表!$C$3:$C$1025,MATCH($E26,学年度总表!$E$3:$E$1025,0))="","",INDEX(学年度总表!$C$3:$C$1025,MATCH($E26,学年度总表!$E$3:$E$1025,0)))</f>
        <v>网工</v>
      </c>
      <c r="D26" s="2" t="str">
        <f>IF(INDEX(学年度总表!$D$3:$D$1025,MATCH($E26,学年度总表!$E$3:$E$1025,0))="","",INDEX(学年度总表!$D$3:$D$1025,MATCH($E26,学年度总表!$E$3:$E$1025,0)))</f>
        <v>网工18班</v>
      </c>
      <c r="E26" s="2" t="s">
        <v>388</v>
      </c>
      <c r="F26" s="2" t="str">
        <f>IF(INDEX(学年度总表!$F$3:$F$1025,MATCH($E26,学年度总表!$E$3:$E$1025,0))="","",INDEX(学年度总表!$F$3:$F$1025,MATCH($E26,学年度总表!$E$3:$E$1025,0)))</f>
        <v>赵思涵</v>
      </c>
      <c r="G26" s="3">
        <f>IF(INDEX(学年度总表!$G$3:$G$1025,MATCH($E26,学年度总表!$E$3:$E$1025,0))="","",INDEX(学年度总表!$G$3:$G$1025,MATCH($E26,学年度总表!$E$3:$E$1025,0)))</f>
        <v>9.8000000000000007</v>
      </c>
      <c r="H26" s="3">
        <f>IF(INDEX(学年度总表!$H$3:$H$1025,MATCH($E26,学年度总表!$E$3:$E$1025,0))="","",INDEX(学年度总表!$H$3:$H$1025,MATCH($E26,学年度总表!$E$3:$E$1025,0)))</f>
        <v>65.34</v>
      </c>
      <c r="I26" s="3">
        <f>IF(INDEX(学年度总表!$I$3:$I$1025,MATCH($E26,学年度总表!$E$3:$E$1025,0))="","",INDEX(学年度总表!$I$3:$I$1025,MATCH($E26,学年度总表!$E$3:$E$1025,0)))</f>
        <v>4</v>
      </c>
      <c r="J26" s="3">
        <f>IF(INDEX(学年度总表!$J$3:$J$1025,MATCH($E26,学年度总表!$E$3:$E$1025,0))="","",INDEX(学年度总表!$J$3:$J$1025,MATCH($E26,学年度总表!$E$3:$E$1025,0)))</f>
        <v>79.14</v>
      </c>
      <c r="K26" s="3">
        <f>IF(INDEX(学年度总表!$K$3:$K$1025,MATCH($E26,学年度总表!$E$3:$E$1025,0))="","",INDEX(学年度总表!$K$3:$K$1025,MATCH($E26,学年度总表!$E$3:$E$1025,0)))</f>
        <v>8.8000000000000007</v>
      </c>
      <c r="L26" s="3">
        <f>IF(INDEX(学年度总表!$L$3:$L$1025,MATCH($E26,学年度总表!$E$3:$E$1025,0))="","",INDEX(学年度总表!$L$3:$L$1025,MATCH($E26,学年度总表!$E$3:$E$1025,0)))</f>
        <v>60.19</v>
      </c>
      <c r="M26" s="3">
        <f>IF(INDEX(学年度总表!$M$3:$M$1025,MATCH($E26,学年度总表!$E$3:$E$1025,0))="","",INDEX(学年度总表!$M$3:$M$1025,MATCH($E26,学年度总表!$E$3:$E$1025,0)))</f>
        <v>6.05</v>
      </c>
      <c r="N26" s="3">
        <f>IF(INDEX(学年度总表!$N$3:$N$1025,MATCH($E26,学年度总表!$E$3:$E$1025,0))="","",INDEX(学年度总表!$N$3:$N$1025,MATCH($E26,学年度总表!$E$3:$E$1025,0)))</f>
        <v>75.040000000000006</v>
      </c>
      <c r="O26" s="3">
        <f>IF(INDEX(学年度总表!$O$3:$O$1025,MATCH($E26,学年度总表!$E$3:$E$1025,0))="","",INDEX(学年度总表!$O$3:$O$1025,MATCH($E26,学年度总表!$E$3:$E$1025,0)))</f>
        <v>154.18</v>
      </c>
      <c r="P26" s="4" t="str">
        <f>IF(INDEX(学年度总表!$P$3:$P$1025,MATCH($E26,学年度总表!$E$3:$E$1025,0))="","",INDEX(学年度总表!$P$3:$P$1025,MATCH($E26,学年度总表!$E$3:$E$1025,0)))</f>
        <v>国励、文体奖学金</v>
      </c>
      <c r="Q26" s="5" t="str">
        <f>IF(INDEX(学年度总表!$Q$3:$Q$1025,MATCH($E26,学年度总表!$E$3:$E$1025,0))="","",INDEX(学年度总表!$Q$3:$Q$1025,MATCH($E26,学年度总表!$E$3:$E$1025,0)))</f>
        <v/>
      </c>
    </row>
    <row r="27" spans="1:17">
      <c r="A27" s="2">
        <f>IF(INDEX(学年度总表!$A$3:$A$1025,MATCH($E27,学年度总表!$E$3:$E$1025,0))="","",INDEX(学年度总表!$A$3:$A$1025,MATCH($E27,学年度总表!$E$3:$E$1025,0)))</f>
        <v>171</v>
      </c>
      <c r="B27" s="2">
        <f>IF(INDEX(学年度总表!$B$3:$B$1025,MATCH($E27,学年度总表!$E$3:$E$1025,0))="","",INDEX(学年度总表!$B$3:$B$1025,MATCH($E27,学年度总表!$E$3:$E$1025,0)))</f>
        <v>25</v>
      </c>
      <c r="C27" s="2" t="str">
        <f>IF(INDEX(学年度总表!$C$3:$C$1025,MATCH($E27,学年度总表!$E$3:$E$1025,0))="","",INDEX(学年度总表!$C$3:$C$1025,MATCH($E27,学年度总表!$E$3:$E$1025,0)))</f>
        <v>网工</v>
      </c>
      <c r="D27" s="2" t="str">
        <f>IF(INDEX(学年度总表!$D$3:$D$1025,MATCH($E27,学年度总表!$E$3:$E$1025,0))="","",INDEX(学年度总表!$D$3:$D$1025,MATCH($E27,学年度总表!$E$3:$E$1025,0)))</f>
        <v>网工15班</v>
      </c>
      <c r="E27" s="2" t="s">
        <v>399</v>
      </c>
      <c r="F27" s="2" t="str">
        <f>IF(INDEX(学年度总表!$F$3:$F$1025,MATCH($E27,学年度总表!$E$3:$E$1025,0))="","",INDEX(学年度总表!$F$3:$F$1025,MATCH($E27,学年度总表!$E$3:$E$1025,0)))</f>
        <v>王珏</v>
      </c>
      <c r="G27" s="3">
        <f>IF(INDEX(学年度总表!$G$3:$G$1025,MATCH($E27,学年度总表!$E$3:$E$1025,0))="","",INDEX(学年度总表!$G$3:$G$1025,MATCH($E27,学年度总表!$E$3:$E$1025,0)))</f>
        <v>10</v>
      </c>
      <c r="H27" s="3">
        <f>IF(INDEX(学年度总表!$H$3:$H$1025,MATCH($E27,学年度总表!$E$3:$E$1025,0))="","",INDEX(学年度总表!$H$3:$H$1025,MATCH($E27,学年度总表!$E$3:$E$1025,0)))</f>
        <v>63.7</v>
      </c>
      <c r="I27" s="3">
        <f>IF(INDEX(学年度总表!$I$3:$I$1025,MATCH($E27,学年度总表!$E$3:$E$1025,0))="","",INDEX(学年度总表!$I$3:$I$1025,MATCH($E27,学年度总表!$E$3:$E$1025,0)))</f>
        <v>3</v>
      </c>
      <c r="J27" s="3">
        <f>IF(INDEX(学年度总表!$J$3:$J$1025,MATCH($E27,学年度总表!$E$3:$E$1025,0))="","",INDEX(学年度总表!$J$3:$J$1025,MATCH($E27,学年度总表!$E$3:$E$1025,0)))</f>
        <v>76.7</v>
      </c>
      <c r="K27" s="3">
        <f>IF(INDEX(学年度总表!$K$3:$K$1025,MATCH($E27,学年度总表!$E$3:$E$1025,0))="","",INDEX(学年度总表!$K$3:$K$1025,MATCH($E27,学年度总表!$E$3:$E$1025,0)))</f>
        <v>10</v>
      </c>
      <c r="L27" s="3">
        <f>IF(INDEX(学年度总表!$L$3:$L$1025,MATCH($E27,学年度总表!$E$3:$E$1025,0))="","",INDEX(学年度总表!$L$3:$L$1025,MATCH($E27,学年度总表!$E$3:$E$1025,0)))</f>
        <v>63.45</v>
      </c>
      <c r="M27" s="3">
        <f>IF(INDEX(学年度总表!$M$3:$M$1025,MATCH($E27,学年度总表!$E$3:$E$1025,0))="","",INDEX(学年度总表!$M$3:$M$1025,MATCH($E27,学年度总表!$E$3:$E$1025,0)))</f>
        <v>3.9</v>
      </c>
      <c r="N27" s="3">
        <f>IF(INDEX(学年度总表!$N$3:$N$1025,MATCH($E27,学年度总表!$E$3:$E$1025,0))="","",INDEX(学年度总表!$N$3:$N$1025,MATCH($E27,学年度总表!$E$3:$E$1025,0)))</f>
        <v>77.349999999999994</v>
      </c>
      <c r="O27" s="3">
        <f>IF(INDEX(学年度总表!$O$3:$O$1025,MATCH($E27,学年度总表!$E$3:$E$1025,0))="","",INDEX(学年度总表!$O$3:$O$1025,MATCH($E27,学年度总表!$E$3:$E$1025,0)))</f>
        <v>154.05000000000001</v>
      </c>
      <c r="P27" s="4" t="str">
        <f>IF(INDEX(学年度总表!$P$3:$P$1025,MATCH($E27,学年度总表!$E$3:$E$1025,0))="","",INDEX(学年度总表!$P$3:$P$1025,MATCH($E27,学年度总表!$E$3:$E$1025,0)))</f>
        <v>校三等</v>
      </c>
      <c r="Q27" s="5" t="str">
        <f>IF(INDEX(学年度总表!$Q$3:$Q$1025,MATCH($E27,学年度总表!$E$3:$E$1025,0))="","",INDEX(学年度总表!$Q$3:$Q$1025,MATCH($E27,学年度总表!$E$3:$E$1025,0)))</f>
        <v/>
      </c>
    </row>
    <row r="28" spans="1:17">
      <c r="A28" s="2">
        <f>IF(INDEX(学年度总表!$A$3:$A$1025,MATCH($E28,学年度总表!$E$3:$E$1025,0))="","",INDEX(学年度总表!$A$3:$A$1025,MATCH($E28,学年度总表!$E$3:$E$1025,0)))</f>
        <v>178</v>
      </c>
      <c r="B28" s="2">
        <f>IF(INDEX(学年度总表!$B$3:$B$1025,MATCH($E28,学年度总表!$E$3:$E$1025,0))="","",INDEX(学年度总表!$B$3:$B$1025,MATCH($E28,学年度总表!$E$3:$E$1025,0)))</f>
        <v>26</v>
      </c>
      <c r="C28" s="2" t="str">
        <f>IF(INDEX(学年度总表!$C$3:$C$1025,MATCH($E28,学年度总表!$E$3:$E$1025,0))="","",INDEX(学年度总表!$C$3:$C$1025,MATCH($E28,学年度总表!$E$3:$E$1025,0)))</f>
        <v>网工</v>
      </c>
      <c r="D28" s="2" t="str">
        <f>IF(INDEX(学年度总表!$D$3:$D$1025,MATCH($E28,学年度总表!$E$3:$E$1025,0))="","",INDEX(学年度总表!$D$3:$D$1025,MATCH($E28,学年度总表!$E$3:$E$1025,0)))</f>
        <v>网工16班</v>
      </c>
      <c r="E28" s="2" t="s">
        <v>413</v>
      </c>
      <c r="F28" s="2" t="str">
        <f>IF(INDEX(学年度总表!$F$3:$F$1025,MATCH($E28,学年度总表!$E$3:$E$1025,0))="","",INDEX(学年度总表!$F$3:$F$1025,MATCH($E28,学年度总表!$E$3:$E$1025,0)))</f>
        <v>白佳卉</v>
      </c>
      <c r="G28" s="3">
        <f>IF(INDEX(学年度总表!$G$3:$G$1025,MATCH($E28,学年度总表!$E$3:$E$1025,0))="","",INDEX(学年度总表!$G$3:$G$1025,MATCH($E28,学年度总表!$E$3:$E$1025,0)))</f>
        <v>10</v>
      </c>
      <c r="H28" s="3">
        <f>IF(INDEX(学年度总表!$H$3:$H$1025,MATCH($E28,学年度总表!$E$3:$E$1025,0))="","",INDEX(学年度总表!$H$3:$H$1025,MATCH($E28,学年度总表!$E$3:$E$1025,0)))</f>
        <v>62.24</v>
      </c>
      <c r="I28" s="3">
        <f>IF(INDEX(学年度总表!$I$3:$I$1025,MATCH($E28,学年度总表!$E$3:$E$1025,0))="","",INDEX(学年度总表!$I$3:$I$1025,MATCH($E28,学年度总表!$E$3:$E$1025,0)))</f>
        <v>5.4</v>
      </c>
      <c r="J28" s="3">
        <f>IF(INDEX(学年度总表!$J$3:$J$1025,MATCH($E28,学年度总表!$E$3:$E$1025,0))="","",INDEX(学年度总表!$J$3:$J$1025,MATCH($E28,学年度总表!$E$3:$E$1025,0)))</f>
        <v>77.64</v>
      </c>
      <c r="K28" s="3">
        <f>IF(INDEX(学年度总表!$K$3:$K$1025,MATCH($E28,学年度总表!$E$3:$E$1025,0))="","",INDEX(学年度总表!$K$3:$K$1025,MATCH($E28,学年度总表!$E$3:$E$1025,0)))</f>
        <v>7.5</v>
      </c>
      <c r="L28" s="3">
        <f>IF(INDEX(学年度总表!$L$3:$L$1025,MATCH($E28,学年度总表!$E$3:$E$1025,0))="","",INDEX(学年度总表!$L$3:$L$1025,MATCH($E28,学年度总表!$E$3:$E$1025,0)))</f>
        <v>62.44</v>
      </c>
      <c r="M28" s="3">
        <f>IF(INDEX(学年度总表!$M$3:$M$1025,MATCH($E28,学年度总表!$E$3:$E$1025,0))="","",INDEX(学年度总表!$M$3:$M$1025,MATCH($E28,学年度总表!$E$3:$E$1025,0)))</f>
        <v>5.9</v>
      </c>
      <c r="N28" s="3">
        <f>IF(INDEX(学年度总表!$N$3:$N$1025,MATCH($E28,学年度总表!$E$3:$E$1025,0))="","",INDEX(学年度总表!$N$3:$N$1025,MATCH($E28,学年度总表!$E$3:$E$1025,0)))</f>
        <v>75.84</v>
      </c>
      <c r="O28" s="3">
        <f>IF(INDEX(学年度总表!$O$3:$O$1025,MATCH($E28,学年度总表!$E$3:$E$1025,0))="","",INDEX(学年度总表!$O$3:$O$1025,MATCH($E28,学年度总表!$E$3:$E$1025,0)))</f>
        <v>153.47999999999999</v>
      </c>
      <c r="P28" s="4" t="str">
        <f>IF(INDEX(学年度总表!$P$3:$P$1025,MATCH($E28,学年度总表!$E$3:$E$1025,0))="","",INDEX(学年度总表!$P$3:$P$1025,MATCH($E28,学年度总表!$E$3:$E$1025,0)))</f>
        <v>校三等</v>
      </c>
      <c r="Q28" s="5" t="str">
        <f>IF(INDEX(学年度总表!$Q$3:$Q$1025,MATCH($E28,学年度总表!$E$3:$E$1025,0))="","",INDEX(学年度总表!$Q$3:$Q$1025,MATCH($E28,学年度总表!$E$3:$E$1025,0)))</f>
        <v/>
      </c>
    </row>
    <row r="29" spans="1:17">
      <c r="A29" s="2">
        <f>IF(INDEX(学年度总表!$A$3:$A$1025,MATCH($E29,学年度总表!$E$3:$E$1025,0))="","",INDEX(学年度总表!$A$3:$A$1025,MATCH($E29,学年度总表!$E$3:$E$1025,0)))</f>
        <v>187</v>
      </c>
      <c r="B29" s="2">
        <f>IF(INDEX(学年度总表!$B$3:$B$1025,MATCH($E29,学年度总表!$E$3:$E$1025,0))="","",INDEX(学年度总表!$B$3:$B$1025,MATCH($E29,学年度总表!$E$3:$E$1025,0)))</f>
        <v>27</v>
      </c>
      <c r="C29" s="2" t="str">
        <f>IF(INDEX(学年度总表!$C$3:$C$1025,MATCH($E29,学年度总表!$E$3:$E$1025,0))="","",INDEX(学年度总表!$C$3:$C$1025,MATCH($E29,学年度总表!$E$3:$E$1025,0)))</f>
        <v>网工</v>
      </c>
      <c r="D29" s="2" t="str">
        <f>IF(INDEX(学年度总表!$D$3:$D$1025,MATCH($E29,学年度总表!$E$3:$E$1025,0))="","",INDEX(学年度总表!$D$3:$D$1025,MATCH($E29,学年度总表!$E$3:$E$1025,0)))</f>
        <v>网工16班</v>
      </c>
      <c r="E29" s="2" t="s">
        <v>433</v>
      </c>
      <c r="F29" s="2" t="str">
        <f>IF(INDEX(学年度总表!$F$3:$F$1025,MATCH($E29,学年度总表!$E$3:$E$1025,0))="","",INDEX(学年度总表!$F$3:$F$1025,MATCH($E29,学年度总表!$E$3:$E$1025,0)))</f>
        <v>班奥鑫</v>
      </c>
      <c r="G29" s="3">
        <f>IF(INDEX(学年度总表!$G$3:$G$1025,MATCH($E29,学年度总表!$E$3:$E$1025,0))="","",INDEX(学年度总表!$G$3:$G$1025,MATCH($E29,学年度总表!$E$3:$E$1025,0)))</f>
        <v>9.8000000000000007</v>
      </c>
      <c r="H29" s="3">
        <f>IF(INDEX(学年度总表!$H$3:$H$1025,MATCH($E29,学年度总表!$E$3:$E$1025,0))="","",INDEX(学年度总表!$H$3:$H$1025,MATCH($E29,学年度总表!$E$3:$E$1025,0)))</f>
        <v>62.17</v>
      </c>
      <c r="I29" s="3">
        <f>IF(INDEX(学年度总表!$I$3:$I$1025,MATCH($E29,学年度总表!$E$3:$E$1025,0))="","",INDEX(学年度总表!$I$3:$I$1025,MATCH($E29,学年度总表!$E$3:$E$1025,0)))</f>
        <v>4</v>
      </c>
      <c r="J29" s="3">
        <f>IF(INDEX(学年度总表!$J$3:$J$1025,MATCH($E29,学年度总表!$E$3:$E$1025,0))="","",INDEX(学年度总表!$J$3:$J$1025,MATCH($E29,学年度总表!$E$3:$E$1025,0)))</f>
        <v>75.97</v>
      </c>
      <c r="K29" s="3">
        <f>IF(INDEX(学年度总表!$K$3:$K$1025,MATCH($E29,学年度总表!$E$3:$E$1025,0))="","",INDEX(学年度总表!$K$3:$K$1025,MATCH($E29,学年度总表!$E$3:$E$1025,0)))</f>
        <v>9.8000000000000007</v>
      </c>
      <c r="L29" s="3">
        <f>IF(INDEX(学年度总表!$L$3:$L$1025,MATCH($E29,学年度总表!$E$3:$E$1025,0))="","",INDEX(学年度总表!$L$3:$L$1025,MATCH($E29,学年度总表!$E$3:$E$1025,0)))</f>
        <v>61.29</v>
      </c>
      <c r="M29" s="3">
        <f>IF(INDEX(学年度总表!$M$3:$M$1025,MATCH($E29,学年度总表!$E$3:$E$1025,0))="","",INDEX(学年度总表!$M$3:$M$1025,MATCH($E29,学年度总表!$E$3:$E$1025,0)))</f>
        <v>5.9</v>
      </c>
      <c r="N29" s="3">
        <f>IF(INDEX(学年度总表!$N$3:$N$1025,MATCH($E29,学年度总表!$E$3:$E$1025,0))="","",INDEX(学年度总表!$N$3:$N$1025,MATCH($E29,学年度总表!$E$3:$E$1025,0)))</f>
        <v>76.989999999999995</v>
      </c>
      <c r="O29" s="3">
        <f>IF(INDEX(学年度总表!$O$3:$O$1025,MATCH($E29,学年度总表!$E$3:$E$1025,0))="","",INDEX(学年度总表!$O$3:$O$1025,MATCH($E29,学年度总表!$E$3:$E$1025,0)))</f>
        <v>152.96</v>
      </c>
      <c r="P29" s="2" t="str">
        <f>IF(INDEX(学年度总表!$P$3:$P$1025,MATCH($E29,学年度总表!$E$3:$E$1025,0))="","",INDEX(学年度总表!$P$3:$P$1025,MATCH($E29,学年度总表!$E$3:$E$1025,0)))</f>
        <v/>
      </c>
      <c r="Q29" s="5" t="str">
        <f>IF(INDEX(学年度总表!$Q$3:$Q$1025,MATCH($E29,学年度总表!$E$3:$E$1025,0))="","",INDEX(学年度总表!$Q$3:$Q$1025,MATCH($E29,学年度总表!$E$3:$E$1025,0)))</f>
        <v/>
      </c>
    </row>
    <row r="30" spans="1:17">
      <c r="A30" s="2">
        <f>IF(INDEX(学年度总表!$A$3:$A$1025,MATCH($E30,学年度总表!$E$3:$E$1025,0))="","",INDEX(学年度总表!$A$3:$A$1025,MATCH($E30,学年度总表!$E$3:$E$1025,0)))</f>
        <v>190</v>
      </c>
      <c r="B30" s="2">
        <f>IF(INDEX(学年度总表!$B$3:$B$1025,MATCH($E30,学年度总表!$E$3:$E$1025,0))="","",INDEX(学年度总表!$B$3:$B$1025,MATCH($E30,学年度总表!$E$3:$E$1025,0)))</f>
        <v>28</v>
      </c>
      <c r="C30" s="2" t="str">
        <f>IF(INDEX(学年度总表!$C$3:$C$1025,MATCH($E30,学年度总表!$E$3:$E$1025,0))="","",INDEX(学年度总表!$C$3:$C$1025,MATCH($E30,学年度总表!$E$3:$E$1025,0)))</f>
        <v>网工</v>
      </c>
      <c r="D30" s="2" t="str">
        <f>IF(INDEX(学年度总表!$D$3:$D$1025,MATCH($E30,学年度总表!$E$3:$E$1025,0))="","",INDEX(学年度总表!$D$3:$D$1025,MATCH($E30,学年度总表!$E$3:$E$1025,0)))</f>
        <v>网工16班</v>
      </c>
      <c r="E30" s="2" t="s">
        <v>439</v>
      </c>
      <c r="F30" s="2" t="str">
        <f>IF(INDEX(学年度总表!$F$3:$F$1025,MATCH($E30,学年度总表!$E$3:$E$1025,0))="","",INDEX(学年度总表!$F$3:$F$1025,MATCH($E30,学年度总表!$E$3:$E$1025,0)))</f>
        <v>张津豪</v>
      </c>
      <c r="G30" s="3">
        <f>IF(INDEX(学年度总表!$G$3:$G$1025,MATCH($E30,学年度总表!$E$3:$E$1025,0))="","",INDEX(学年度总表!$G$3:$G$1025,MATCH($E30,学年度总表!$E$3:$E$1025,0)))</f>
        <v>9.8000000000000007</v>
      </c>
      <c r="H30" s="3">
        <f>IF(INDEX(学年度总表!$H$3:$H$1025,MATCH($E30,学年度总表!$E$3:$E$1025,0))="","",INDEX(学年度总表!$H$3:$H$1025,MATCH($E30,学年度总表!$E$3:$E$1025,0)))</f>
        <v>60.93</v>
      </c>
      <c r="I30" s="3">
        <f>IF(INDEX(学年度总表!$I$3:$I$1025,MATCH($E30,学年度总表!$E$3:$E$1025,0))="","",INDEX(学年度总表!$I$3:$I$1025,MATCH($E30,学年度总表!$E$3:$E$1025,0)))</f>
        <v>4.4000000000000004</v>
      </c>
      <c r="J30" s="3">
        <f>IF(INDEX(学年度总表!$J$3:$J$1025,MATCH($E30,学年度总表!$E$3:$E$1025,0))="","",INDEX(学年度总表!$J$3:$J$1025,MATCH($E30,学年度总表!$E$3:$E$1025,0)))</f>
        <v>75.13</v>
      </c>
      <c r="K30" s="3">
        <f>IF(INDEX(学年度总表!$K$3:$K$1025,MATCH($E30,学年度总表!$E$3:$E$1025,0))="","",INDEX(学年度总表!$K$3:$K$1025,MATCH($E30,学年度总表!$E$3:$E$1025,0)))</f>
        <v>9.8000000000000007</v>
      </c>
      <c r="L30" s="3">
        <f>IF(INDEX(学年度总表!$L$3:$L$1025,MATCH($E30,学年度总表!$E$3:$E$1025,0))="","",INDEX(学年度总表!$L$3:$L$1025,MATCH($E30,学年度总表!$E$3:$E$1025,0)))</f>
        <v>62.78</v>
      </c>
      <c r="M30" s="3">
        <f>IF(INDEX(学年度总表!$M$3:$M$1025,MATCH($E30,学年度总表!$E$3:$E$1025,0))="","",INDEX(学年度总表!$M$3:$M$1025,MATCH($E30,学年度总表!$E$3:$E$1025,0)))</f>
        <v>5.15</v>
      </c>
      <c r="N30" s="3">
        <f>IF(INDEX(学年度总表!$N$3:$N$1025,MATCH($E30,学年度总表!$E$3:$E$1025,0))="","",INDEX(学年度总表!$N$3:$N$1025,MATCH($E30,学年度总表!$E$3:$E$1025,0)))</f>
        <v>77.73</v>
      </c>
      <c r="O30" s="3">
        <f>IF(INDEX(学年度总表!$O$3:$O$1025,MATCH($E30,学年度总表!$E$3:$E$1025,0))="","",INDEX(学年度总表!$O$3:$O$1025,MATCH($E30,学年度总表!$E$3:$E$1025,0)))</f>
        <v>152.86000000000001</v>
      </c>
      <c r="P30" s="2" t="str">
        <f>IF(INDEX(学年度总表!$P$3:$P$1025,MATCH($E30,学年度总表!$E$3:$E$1025,0))="","",INDEX(学年度总表!$P$3:$P$1025,MATCH($E30,学年度总表!$E$3:$E$1025,0)))</f>
        <v/>
      </c>
      <c r="Q30" s="5" t="str">
        <f>IF(INDEX(学年度总表!$Q$3:$Q$1025,MATCH($E30,学年度总表!$E$3:$E$1025,0))="","",INDEX(学年度总表!$Q$3:$Q$1025,MATCH($E30,学年度总表!$E$3:$E$1025,0)))</f>
        <v/>
      </c>
    </row>
    <row r="31" spans="1:17">
      <c r="A31" s="2">
        <f>IF(INDEX(学年度总表!$A$3:$A$1025,MATCH($E31,学年度总表!$E$3:$E$1025,0))="","",INDEX(学年度总表!$A$3:$A$1025,MATCH($E31,学年度总表!$E$3:$E$1025,0)))</f>
        <v>195</v>
      </c>
      <c r="B31" s="2">
        <f>IF(INDEX(学年度总表!$B$3:$B$1025,MATCH($E31,学年度总表!$E$3:$E$1025,0))="","",INDEX(学年度总表!$B$3:$B$1025,MATCH($E31,学年度总表!$E$3:$E$1025,0)))</f>
        <v>29</v>
      </c>
      <c r="C31" s="2" t="str">
        <f>IF(INDEX(学年度总表!$C$3:$C$1025,MATCH($E31,学年度总表!$E$3:$E$1025,0))="","",INDEX(学年度总表!$C$3:$C$1025,MATCH($E31,学年度总表!$E$3:$E$1025,0)))</f>
        <v>网工</v>
      </c>
      <c r="D31" s="2" t="str">
        <f>IF(INDEX(学年度总表!$D$3:$D$1025,MATCH($E31,学年度总表!$E$3:$E$1025,0))="","",INDEX(学年度总表!$D$3:$D$1025,MATCH($E31,学年度总表!$E$3:$E$1025,0)))</f>
        <v>网工15班</v>
      </c>
      <c r="E31" s="2" t="s">
        <v>449</v>
      </c>
      <c r="F31" s="2" t="str">
        <f>IF(INDEX(学年度总表!$F$3:$F$1025,MATCH($E31,学年度总表!$E$3:$E$1025,0))="","",INDEX(学年度总表!$F$3:$F$1025,MATCH($E31,学年度总表!$E$3:$E$1025,0)))</f>
        <v>吴语灵</v>
      </c>
      <c r="G31" s="3">
        <f>IF(INDEX(学年度总表!$G$3:$G$1025,MATCH($E31,学年度总表!$E$3:$E$1025,0))="","",INDEX(学年度总表!$G$3:$G$1025,MATCH($E31,学年度总表!$E$3:$E$1025,0)))</f>
        <v>10.6</v>
      </c>
      <c r="H31" s="3">
        <f>IF(INDEX(学年度总表!$H$3:$H$1025,MATCH($E31,学年度总表!$E$3:$E$1025,0))="","",INDEX(学年度总表!$H$3:$H$1025,MATCH($E31,学年度总表!$E$3:$E$1025,0)))</f>
        <v>63.71</v>
      </c>
      <c r="I31" s="3">
        <f>IF(INDEX(学年度总表!$I$3:$I$1025,MATCH($E31,学年度总表!$E$3:$E$1025,0))="","",INDEX(学年度总表!$I$3:$I$1025,MATCH($E31,学年度总表!$E$3:$E$1025,0)))</f>
        <v>3.2</v>
      </c>
      <c r="J31" s="3">
        <f>IF(INDEX(学年度总表!$J$3:$J$1025,MATCH($E31,学年度总表!$E$3:$E$1025,0))="","",INDEX(学年度总表!$J$3:$J$1025,MATCH($E31,学年度总表!$E$3:$E$1025,0)))</f>
        <v>77.510000000000005</v>
      </c>
      <c r="K31" s="3">
        <f>IF(INDEX(学年度总表!$K$3:$K$1025,MATCH($E31,学年度总表!$E$3:$E$1025,0))="","",INDEX(学年度总表!$K$3:$K$1025,MATCH($E31,学年度总表!$E$3:$E$1025,0)))</f>
        <v>9.8000000000000007</v>
      </c>
      <c r="L31" s="3">
        <f>IF(INDEX(学年度总表!$L$3:$L$1025,MATCH($E31,学年度总表!$E$3:$E$1025,0))="","",INDEX(学年度总表!$L$3:$L$1025,MATCH($E31,学年度总表!$E$3:$E$1025,0)))</f>
        <v>61.08</v>
      </c>
      <c r="M31" s="3">
        <f>IF(INDEX(学年度总表!$M$3:$M$1025,MATCH($E31,学年度总表!$E$3:$E$1025,0))="","",INDEX(学年度总表!$M$3:$M$1025,MATCH($E31,学年度总表!$E$3:$E$1025,0)))</f>
        <v>4</v>
      </c>
      <c r="N31" s="3">
        <f>IF(INDEX(学年度总表!$N$3:$N$1025,MATCH($E31,学年度总表!$E$3:$E$1025,0))="","",INDEX(学年度总表!$N$3:$N$1025,MATCH($E31,学年度总表!$E$3:$E$1025,0)))</f>
        <v>74.88</v>
      </c>
      <c r="O31" s="3">
        <f>IF(INDEX(学年度总表!$O$3:$O$1025,MATCH($E31,学年度总表!$E$3:$E$1025,0))="","",INDEX(学年度总表!$O$3:$O$1025,MATCH($E31,学年度总表!$E$3:$E$1025,0)))</f>
        <v>152.38999999999999</v>
      </c>
      <c r="P31" s="2" t="str">
        <f>IF(INDEX(学年度总表!$P$3:$P$1025,MATCH($E31,学年度总表!$E$3:$E$1025,0))="","",INDEX(学年度总表!$P$3:$P$1025,MATCH($E31,学年度总表!$E$3:$E$1025,0)))</f>
        <v/>
      </c>
      <c r="Q31" s="5" t="str">
        <f>IF(INDEX(学年度总表!$Q$3:$Q$1025,MATCH($E31,学年度总表!$E$3:$E$1025,0))="","",INDEX(学年度总表!$Q$3:$Q$1025,MATCH($E31,学年度总表!$E$3:$E$1025,0)))</f>
        <v/>
      </c>
    </row>
    <row r="32" spans="1:17">
      <c r="A32" s="2">
        <f>IF(INDEX(学年度总表!$A$3:$A$1025,MATCH($E32,学年度总表!$E$3:$E$1025,0))="","",INDEX(学年度总表!$A$3:$A$1025,MATCH($E32,学年度总表!$E$3:$E$1025,0)))</f>
        <v>198</v>
      </c>
      <c r="B32" s="2">
        <f>IF(INDEX(学年度总表!$B$3:$B$1025,MATCH($E32,学年度总表!$E$3:$E$1025,0))="","",INDEX(学年度总表!$B$3:$B$1025,MATCH($E32,学年度总表!$E$3:$E$1025,0)))</f>
        <v>30</v>
      </c>
      <c r="C32" s="2" t="str">
        <f>IF(INDEX(学年度总表!$C$3:$C$1025,MATCH($E32,学年度总表!$E$3:$E$1025,0))="","",INDEX(学年度总表!$C$3:$C$1025,MATCH($E32,学年度总表!$E$3:$E$1025,0)))</f>
        <v>网工</v>
      </c>
      <c r="D32" s="2" t="str">
        <f>IF(INDEX(学年度总表!$D$3:$D$1025,MATCH($E32,学年度总表!$E$3:$E$1025,0))="","",INDEX(学年度总表!$D$3:$D$1025,MATCH($E32,学年度总表!$E$3:$E$1025,0)))</f>
        <v>网工18班</v>
      </c>
      <c r="E32" s="2" t="s">
        <v>455</v>
      </c>
      <c r="F32" s="2" t="str">
        <f>IF(INDEX(学年度总表!$F$3:$F$1025,MATCH($E32,学年度总表!$E$3:$E$1025,0))="","",INDEX(学年度总表!$F$3:$F$1025,MATCH($E32,学年度总表!$E$3:$E$1025,0)))</f>
        <v>赵纪铭</v>
      </c>
      <c r="G32" s="3">
        <f>IF(INDEX(学年度总表!$G$3:$G$1025,MATCH($E32,学年度总表!$E$3:$E$1025,0))="","",INDEX(学年度总表!$G$3:$G$1025,MATCH($E32,学年度总表!$E$3:$E$1025,0)))</f>
        <v>11.1</v>
      </c>
      <c r="H32" s="3">
        <f>IF(INDEX(学年度总表!$H$3:$H$1025,MATCH($E32,学年度总表!$E$3:$E$1025,0))="","",INDEX(学年度总表!$H$3:$H$1025,MATCH($E32,学年度总表!$E$3:$E$1025,0)))</f>
        <v>63.94</v>
      </c>
      <c r="I32" s="3">
        <f>IF(INDEX(学年度总表!$I$3:$I$1025,MATCH($E32,学年度总表!$E$3:$E$1025,0))="","",INDEX(学年度总表!$I$3:$I$1025,MATCH($E32,学年度总表!$E$3:$E$1025,0)))</f>
        <v>3.45</v>
      </c>
      <c r="J32" s="3">
        <f>IF(INDEX(学年度总表!$J$3:$J$1025,MATCH($E32,学年度总表!$E$3:$E$1025,0))="","",INDEX(学年度总表!$J$3:$J$1025,MATCH($E32,学年度总表!$E$3:$E$1025,0)))</f>
        <v>78.489999999999995</v>
      </c>
      <c r="K32" s="3">
        <f>IF(INDEX(学年度总表!$K$3:$K$1025,MATCH($E32,学年度总表!$E$3:$E$1025,0))="","",INDEX(学年度总表!$K$3:$K$1025,MATCH($E32,学年度总表!$E$3:$E$1025,0)))</f>
        <v>9.8000000000000007</v>
      </c>
      <c r="L32" s="3">
        <f>IF(INDEX(学年度总表!$L$3:$L$1025,MATCH($E32,学年度总表!$E$3:$E$1025,0))="","",INDEX(学年度总表!$L$3:$L$1025,MATCH($E32,学年度总表!$E$3:$E$1025,0)))</f>
        <v>59.32</v>
      </c>
      <c r="M32" s="3">
        <f>IF(INDEX(学年度总表!$M$3:$M$1025,MATCH($E32,学年度总表!$E$3:$E$1025,0))="","",INDEX(学年度总表!$M$3:$M$1025,MATCH($E32,学年度总表!$E$3:$E$1025,0)))</f>
        <v>4.5999999999999996</v>
      </c>
      <c r="N32" s="3">
        <f>IF(INDEX(学年度总表!$N$3:$N$1025,MATCH($E32,学年度总表!$E$3:$E$1025,0))="","",INDEX(学年度总表!$N$3:$N$1025,MATCH($E32,学年度总表!$E$3:$E$1025,0)))</f>
        <v>73.72</v>
      </c>
      <c r="O32" s="3">
        <f>IF(INDEX(学年度总表!$O$3:$O$1025,MATCH($E32,学年度总表!$E$3:$E$1025,0))="","",INDEX(学年度总表!$O$3:$O$1025,MATCH($E32,学年度总表!$E$3:$E$1025,0)))</f>
        <v>152.21</v>
      </c>
      <c r="P32" s="2" t="str">
        <f>IF(INDEX(学年度总表!$P$3:$P$1025,MATCH($E32,学年度总表!$E$3:$E$1025,0))="","",INDEX(学年度总表!$P$3:$P$1025,MATCH($E32,学年度总表!$E$3:$E$1025,0)))</f>
        <v/>
      </c>
      <c r="Q32" s="5" t="str">
        <f>IF(INDEX(学年度总表!$Q$3:$Q$1025,MATCH($E32,学年度总表!$E$3:$E$1025,0))="","",INDEX(学年度总表!$Q$3:$Q$1025,MATCH($E32,学年度总表!$E$3:$E$1025,0)))</f>
        <v/>
      </c>
    </row>
    <row r="33" spans="1:17">
      <c r="A33" s="2">
        <f>IF(INDEX(学年度总表!$A$3:$A$1025,MATCH($E33,学年度总表!$E$3:$E$1025,0))="","",INDEX(学年度总表!$A$3:$A$1025,MATCH($E33,学年度总表!$E$3:$E$1025,0)))</f>
        <v>199</v>
      </c>
      <c r="B33" s="2">
        <f>IF(INDEX(学年度总表!$B$3:$B$1025,MATCH($E33,学年度总表!$E$3:$E$1025,0))="","",INDEX(学年度总表!$B$3:$B$1025,MATCH($E33,学年度总表!$E$3:$E$1025,0)))</f>
        <v>31</v>
      </c>
      <c r="C33" s="2" t="str">
        <f>IF(INDEX(学年度总表!$C$3:$C$1025,MATCH($E33,学年度总表!$E$3:$E$1025,0))="","",INDEX(学年度总表!$C$3:$C$1025,MATCH($E33,学年度总表!$E$3:$E$1025,0)))</f>
        <v>网工</v>
      </c>
      <c r="D33" s="2" t="str">
        <f>IF(INDEX(学年度总表!$D$3:$D$1025,MATCH($E33,学年度总表!$E$3:$E$1025,0))="","",INDEX(学年度总表!$D$3:$D$1025,MATCH($E33,学年度总表!$E$3:$E$1025,0)))</f>
        <v>网工16班</v>
      </c>
      <c r="E33" s="2" t="s">
        <v>459</v>
      </c>
      <c r="F33" s="2" t="str">
        <f>IF(INDEX(学年度总表!$F$3:$F$1025,MATCH($E33,学年度总表!$E$3:$E$1025,0))="","",INDEX(学年度总表!$F$3:$F$1025,MATCH($E33,学年度总表!$E$3:$E$1025,0)))</f>
        <v>马旭</v>
      </c>
      <c r="G33" s="3">
        <f>IF(INDEX(学年度总表!$G$3:$G$1025,MATCH($E33,学年度总表!$E$3:$E$1025,0))="","",INDEX(学年度总表!$G$3:$G$1025,MATCH($E33,学年度总表!$E$3:$E$1025,0)))</f>
        <v>9.8000000000000007</v>
      </c>
      <c r="H33" s="3">
        <f>IF(INDEX(学年度总表!$H$3:$H$1025,MATCH($E33,学年度总表!$E$3:$E$1025,0))="","",INDEX(学年度总表!$H$3:$H$1025,MATCH($E33,学年度总表!$E$3:$E$1025,0)))</f>
        <v>63.85</v>
      </c>
      <c r="I33" s="3">
        <f>IF(INDEX(学年度总表!$I$3:$I$1025,MATCH($E33,学年度总表!$E$3:$E$1025,0))="","",INDEX(学年度总表!$I$3:$I$1025,MATCH($E33,学年度总表!$E$3:$E$1025,0)))</f>
        <v>4.3</v>
      </c>
      <c r="J33" s="3">
        <f>IF(INDEX(学年度总表!$J$3:$J$1025,MATCH($E33,学年度总表!$E$3:$E$1025,0))="","",INDEX(学年度总表!$J$3:$J$1025,MATCH($E33,学年度总表!$E$3:$E$1025,0)))</f>
        <v>77.95</v>
      </c>
      <c r="K33" s="3">
        <f>IF(INDEX(学年度总表!$K$3:$K$1025,MATCH($E33,学年度总表!$E$3:$E$1025,0))="","",INDEX(学年度总表!$K$3:$K$1025,MATCH($E33,学年度总表!$E$3:$E$1025,0)))</f>
        <v>7.3000000000000007</v>
      </c>
      <c r="L33" s="3">
        <f>IF(INDEX(学年度总表!$L$3:$L$1025,MATCH($E33,学年度总表!$E$3:$E$1025,0))="","",INDEX(学年度总表!$L$3:$L$1025,MATCH($E33,学年度总表!$E$3:$E$1025,0)))</f>
        <v>62.79</v>
      </c>
      <c r="M33" s="3">
        <f>IF(INDEX(学年度总表!$M$3:$M$1025,MATCH($E33,学年度总表!$E$3:$E$1025,0))="","",INDEX(学年度总表!$M$3:$M$1025,MATCH($E33,学年度总表!$E$3:$E$1025,0)))</f>
        <v>4</v>
      </c>
      <c r="N33" s="3">
        <f>IF(INDEX(学年度总表!$N$3:$N$1025,MATCH($E33,学年度总表!$E$3:$E$1025,0))="","",INDEX(学年度总表!$N$3:$N$1025,MATCH($E33,学年度总表!$E$3:$E$1025,0)))</f>
        <v>74.09</v>
      </c>
      <c r="O33" s="3">
        <f>IF(INDEX(学年度总表!$O$3:$O$1025,MATCH($E33,学年度总表!$E$3:$E$1025,0))="","",INDEX(学年度总表!$O$3:$O$1025,MATCH($E33,学年度总表!$E$3:$E$1025,0)))</f>
        <v>152.04</v>
      </c>
      <c r="P33" s="2" t="str">
        <f>IF(INDEX(学年度总表!$P$3:$P$1025,MATCH($E33,学年度总表!$E$3:$E$1025,0))="","",INDEX(学年度总表!$P$3:$P$1025,MATCH($E33,学年度总表!$E$3:$E$1025,0)))</f>
        <v/>
      </c>
      <c r="Q33" s="5" t="str">
        <f>IF(INDEX(学年度总表!$Q$3:$Q$1025,MATCH($E33,学年度总表!$E$3:$E$1025,0))="","",INDEX(学年度总表!$Q$3:$Q$1025,MATCH($E33,学年度总表!$E$3:$E$1025,0)))</f>
        <v/>
      </c>
    </row>
    <row r="34" spans="1:17">
      <c r="A34" s="2">
        <f>IF(INDEX(学年度总表!$A$3:$A$1025,MATCH($E34,学年度总表!$E$3:$E$1025,0))="","",INDEX(学年度总表!$A$3:$A$1025,MATCH($E34,学年度总表!$E$3:$E$1025,0)))</f>
        <v>202</v>
      </c>
      <c r="B34" s="2">
        <f>IF(INDEX(学年度总表!$B$3:$B$1025,MATCH($E34,学年度总表!$E$3:$E$1025,0))="","",INDEX(学年度总表!$B$3:$B$1025,MATCH($E34,学年度总表!$E$3:$E$1025,0)))</f>
        <v>32</v>
      </c>
      <c r="C34" s="2" t="str">
        <f>IF(INDEX(学年度总表!$C$3:$C$1025,MATCH($E34,学年度总表!$E$3:$E$1025,0))="","",INDEX(学年度总表!$C$3:$C$1025,MATCH($E34,学年度总表!$E$3:$E$1025,0)))</f>
        <v>网工</v>
      </c>
      <c r="D34" s="2" t="str">
        <f>IF(INDEX(学年度总表!$D$3:$D$1025,MATCH($E34,学年度总表!$E$3:$E$1025,0))="","",INDEX(学年度总表!$D$3:$D$1025,MATCH($E34,学年度总表!$E$3:$E$1025,0)))</f>
        <v>网工17班</v>
      </c>
      <c r="E34" s="2" t="s">
        <v>463</v>
      </c>
      <c r="F34" s="2" t="str">
        <f>IF(INDEX(学年度总表!$F$3:$F$1025,MATCH($E34,学年度总表!$E$3:$E$1025,0))="","",INDEX(学年度总表!$F$3:$F$1025,MATCH($E34,学年度总表!$E$3:$E$1025,0)))</f>
        <v>徐佳淇</v>
      </c>
      <c r="G34" s="3">
        <f>IF(INDEX(学年度总表!$G$3:$G$1025,MATCH($E34,学年度总表!$E$3:$E$1025,0))="","",INDEX(学年度总表!$G$3:$G$1025,MATCH($E34,学年度总表!$E$3:$E$1025,0)))</f>
        <v>9.8000000000000007</v>
      </c>
      <c r="H34" s="3">
        <f>IF(INDEX(学年度总表!$H$3:$H$1025,MATCH($E34,学年度总表!$E$3:$E$1025,0))="","",INDEX(学年度总表!$H$3:$H$1025,MATCH($E34,学年度总表!$E$3:$E$1025,0)))</f>
        <v>62.04</v>
      </c>
      <c r="I34" s="3">
        <f>IF(INDEX(学年度总表!$I$3:$I$1025,MATCH($E34,学年度总表!$E$3:$E$1025,0))="","",INDEX(学年度总表!$I$3:$I$1025,MATCH($E34,学年度总表!$E$3:$E$1025,0)))</f>
        <v>5.0999999999999996</v>
      </c>
      <c r="J34" s="3">
        <f>IF(INDEX(学年度总表!$J$3:$J$1025,MATCH($E34,学年度总表!$E$3:$E$1025,0))="","",INDEX(学年度总表!$J$3:$J$1025,MATCH($E34,学年度总表!$E$3:$E$1025,0)))</f>
        <v>76.94</v>
      </c>
      <c r="K34" s="3">
        <f>IF(INDEX(学年度总表!$K$3:$K$1025,MATCH($E34,学年度总表!$E$3:$E$1025,0))="","",INDEX(学年度总表!$K$3:$K$1025,MATCH($E34,学年度总表!$E$3:$E$1025,0)))</f>
        <v>7.3000000000000007</v>
      </c>
      <c r="L34" s="3">
        <f>IF(INDEX(学年度总表!$L$3:$L$1025,MATCH($E34,学年度总表!$E$3:$E$1025,0))="","",INDEX(学年度总表!$L$3:$L$1025,MATCH($E34,学年度总表!$E$3:$E$1025,0)))</f>
        <v>62.25</v>
      </c>
      <c r="M34" s="3">
        <f>IF(INDEX(学年度总表!$M$3:$M$1025,MATCH($E34,学年度总表!$E$3:$E$1025,0))="","",INDEX(学年度总表!$M$3:$M$1025,MATCH($E34,学年度总表!$E$3:$E$1025,0)))</f>
        <v>5.5</v>
      </c>
      <c r="N34" s="3">
        <f>IF(INDEX(学年度总表!$N$3:$N$1025,MATCH($E34,学年度总表!$E$3:$E$1025,0))="","",INDEX(学年度总表!$N$3:$N$1025,MATCH($E34,学年度总表!$E$3:$E$1025,0)))</f>
        <v>75.05</v>
      </c>
      <c r="O34" s="3">
        <f>IF(INDEX(学年度总表!$O$3:$O$1025,MATCH($E34,学年度总表!$E$3:$E$1025,0))="","",INDEX(学年度总表!$O$3:$O$1025,MATCH($E34,学年度总表!$E$3:$E$1025,0)))</f>
        <v>151.99</v>
      </c>
      <c r="P34" s="2" t="str">
        <f>IF(INDEX(学年度总表!$P$3:$P$1025,MATCH($E34,学年度总表!$E$3:$E$1025,0))="","",INDEX(学年度总表!$P$3:$P$1025,MATCH($E34,学年度总表!$E$3:$E$1025,0)))</f>
        <v/>
      </c>
      <c r="Q34" s="5" t="str">
        <f>IF(INDEX(学年度总表!$Q$3:$Q$1025,MATCH($E34,学年度总表!$E$3:$E$1025,0))="","",INDEX(学年度总表!$Q$3:$Q$1025,MATCH($E34,学年度总表!$E$3:$E$1025,0)))</f>
        <v/>
      </c>
    </row>
    <row r="35" spans="1:17">
      <c r="A35" s="2">
        <f>IF(INDEX(学年度总表!$A$3:$A$1025,MATCH($E35,学年度总表!$E$3:$E$1025,0))="","",INDEX(学年度总表!$A$3:$A$1025,MATCH($E35,学年度总表!$E$3:$E$1025,0)))</f>
        <v>218</v>
      </c>
      <c r="B35" s="2">
        <f>IF(INDEX(学年度总表!$B$3:$B$1025,MATCH($E35,学年度总表!$E$3:$E$1025,0))="","",INDEX(学年度总表!$B$3:$B$1025,MATCH($E35,学年度总表!$E$3:$E$1025,0)))</f>
        <v>33</v>
      </c>
      <c r="C35" s="2" t="str">
        <f>IF(INDEX(学年度总表!$C$3:$C$1025,MATCH($E35,学年度总表!$E$3:$E$1025,0))="","",INDEX(学年度总表!$C$3:$C$1025,MATCH($E35,学年度总表!$E$3:$E$1025,0)))</f>
        <v>网工</v>
      </c>
      <c r="D35" s="2" t="str">
        <f>IF(INDEX(学年度总表!$D$3:$D$1025,MATCH($E35,学年度总表!$E$3:$E$1025,0))="","",INDEX(学年度总表!$D$3:$D$1025,MATCH($E35,学年度总表!$E$3:$E$1025,0)))</f>
        <v>网工17班</v>
      </c>
      <c r="E35" s="2" t="s">
        <v>495</v>
      </c>
      <c r="F35" s="2" t="str">
        <f>IF(INDEX(学年度总表!$F$3:$F$1025,MATCH($E35,学年度总表!$E$3:$E$1025,0))="","",INDEX(学年度总表!$F$3:$F$1025,MATCH($E35,学年度总表!$E$3:$E$1025,0)))</f>
        <v>朱瑞航</v>
      </c>
      <c r="G35" s="3">
        <f>IF(INDEX(学年度总表!$G$3:$G$1025,MATCH($E35,学年度总表!$E$3:$E$1025,0))="","",INDEX(学年度总表!$G$3:$G$1025,MATCH($E35,学年度总表!$E$3:$E$1025,0)))</f>
        <v>10.8</v>
      </c>
      <c r="H35" s="3">
        <f>IF(INDEX(学年度总表!$H$3:$H$1025,MATCH($E35,学年度总表!$E$3:$E$1025,0))="","",INDEX(学年度总表!$H$3:$H$1025,MATCH($E35,学年度总表!$E$3:$E$1025,0)))</f>
        <v>60.26</v>
      </c>
      <c r="I35" s="3">
        <f>IF(INDEX(学年度总表!$I$3:$I$1025,MATCH($E35,学年度总表!$E$3:$E$1025,0))="","",INDEX(学年度总表!$I$3:$I$1025,MATCH($E35,学年度总表!$E$3:$E$1025,0)))</f>
        <v>4</v>
      </c>
      <c r="J35" s="3">
        <f>IF(INDEX(学年度总表!$J$3:$J$1025,MATCH($E35,学年度总表!$E$3:$E$1025,0))="","",INDEX(学年度总表!$J$3:$J$1025,MATCH($E35,学年度总表!$E$3:$E$1025,0)))</f>
        <v>75.06</v>
      </c>
      <c r="K35" s="3">
        <f>IF(INDEX(学年度总表!$K$3:$K$1025,MATCH($E35,学年度总表!$E$3:$E$1025,0))="","",INDEX(学年度总表!$K$3:$K$1025,MATCH($E35,学年度总表!$E$3:$E$1025,0)))</f>
        <v>9.8000000000000007</v>
      </c>
      <c r="L35" s="3">
        <f>IF(INDEX(学年度总表!$L$3:$L$1025,MATCH($E35,学年度总表!$E$3:$E$1025,0))="","",INDEX(学年度总表!$L$3:$L$1025,MATCH($E35,学年度总表!$E$3:$E$1025,0)))</f>
        <v>61.48</v>
      </c>
      <c r="M35" s="3">
        <f>IF(INDEX(学年度总表!$M$3:$M$1025,MATCH($E35,学年度总表!$E$3:$E$1025,0))="","",INDEX(学年度总表!$M$3:$M$1025,MATCH($E35,学年度总表!$E$3:$E$1025,0)))</f>
        <v>4.7</v>
      </c>
      <c r="N35" s="3">
        <f>IF(INDEX(学年度总表!$N$3:$N$1025,MATCH($E35,学年度总表!$E$3:$E$1025,0))="","",INDEX(学年度总表!$N$3:$N$1025,MATCH($E35,学年度总表!$E$3:$E$1025,0)))</f>
        <v>75.98</v>
      </c>
      <c r="O35" s="3">
        <f>IF(INDEX(学年度总表!$O$3:$O$1025,MATCH($E35,学年度总表!$E$3:$E$1025,0))="","",INDEX(学年度总表!$O$3:$O$1025,MATCH($E35,学年度总表!$E$3:$E$1025,0)))</f>
        <v>151.04</v>
      </c>
      <c r="P35" s="2" t="str">
        <f>IF(INDEX(学年度总表!$P$3:$P$1025,MATCH($E35,学年度总表!$E$3:$E$1025,0))="","",INDEX(学年度总表!$P$3:$P$1025,MATCH($E35,学年度总表!$E$3:$E$1025,0)))</f>
        <v/>
      </c>
      <c r="Q35" s="5" t="str">
        <f>IF(INDEX(学年度总表!$Q$3:$Q$1025,MATCH($E35,学年度总表!$E$3:$E$1025,0))="","",INDEX(学年度总表!$Q$3:$Q$1025,MATCH($E35,学年度总表!$E$3:$E$1025,0)))</f>
        <v/>
      </c>
    </row>
    <row r="36" spans="1:17">
      <c r="A36" s="2">
        <f>IF(INDEX(学年度总表!$A$3:$A$1025,MATCH($E36,学年度总表!$E$3:$E$1025,0))="","",INDEX(学年度总表!$A$3:$A$1025,MATCH($E36,学年度总表!$E$3:$E$1025,0)))</f>
        <v>229</v>
      </c>
      <c r="B36" s="2">
        <f>IF(INDEX(学年度总表!$B$3:$B$1025,MATCH($E36,学年度总表!$E$3:$E$1025,0))="","",INDEX(学年度总表!$B$3:$B$1025,MATCH($E36,学年度总表!$E$3:$E$1025,0)))</f>
        <v>34</v>
      </c>
      <c r="C36" s="2" t="str">
        <f>IF(INDEX(学年度总表!$C$3:$C$1025,MATCH($E36,学年度总表!$E$3:$E$1025,0))="","",INDEX(学年度总表!$C$3:$C$1025,MATCH($E36,学年度总表!$E$3:$E$1025,0)))</f>
        <v>网工</v>
      </c>
      <c r="D36" s="2" t="str">
        <f>IF(INDEX(学年度总表!$D$3:$D$1025,MATCH($E36,学年度总表!$E$3:$E$1025,0))="","",INDEX(学年度总表!$D$3:$D$1025,MATCH($E36,学年度总表!$E$3:$E$1025,0)))</f>
        <v>网工18班</v>
      </c>
      <c r="E36" s="2" t="s">
        <v>517</v>
      </c>
      <c r="F36" s="2" t="str">
        <f>IF(INDEX(学年度总表!$F$3:$F$1025,MATCH($E36,学年度总表!$E$3:$E$1025,0))="","",INDEX(学年度总表!$F$3:$F$1025,MATCH($E36,学年度总表!$E$3:$E$1025,0)))</f>
        <v>郭纾妍</v>
      </c>
      <c r="G36" s="3">
        <f>IF(INDEX(学年度总表!$G$3:$G$1025,MATCH($E36,学年度总表!$E$3:$E$1025,0))="","",INDEX(学年度总表!$G$3:$G$1025,MATCH($E36,学年度总表!$E$3:$E$1025,0)))</f>
        <v>9.8000000000000007</v>
      </c>
      <c r="H36" s="3">
        <f>IF(INDEX(学年度总表!$H$3:$H$1025,MATCH($E36,学年度总表!$E$3:$E$1025,0))="","",INDEX(学年度总表!$H$3:$H$1025,MATCH($E36,学年度总表!$E$3:$E$1025,0)))</f>
        <v>62.28</v>
      </c>
      <c r="I36" s="3">
        <f>IF(INDEX(学年度总表!$I$3:$I$1025,MATCH($E36,学年度总表!$E$3:$E$1025,0))="","",INDEX(学年度总表!$I$3:$I$1025,MATCH($E36,学年度总表!$E$3:$E$1025,0)))</f>
        <v>4</v>
      </c>
      <c r="J36" s="3">
        <f>IF(INDEX(学年度总表!$J$3:$J$1025,MATCH($E36,学年度总表!$E$3:$E$1025,0))="","",INDEX(学年度总表!$J$3:$J$1025,MATCH($E36,学年度总表!$E$3:$E$1025,0)))</f>
        <v>76.08</v>
      </c>
      <c r="K36" s="3">
        <f>IF(INDEX(学年度总表!$K$3:$K$1025,MATCH($E36,学年度总表!$E$3:$E$1025,0))="","",INDEX(学年度总表!$K$3:$K$1025,MATCH($E36,学年度总表!$E$3:$E$1025,0)))</f>
        <v>7.3000000000000007</v>
      </c>
      <c r="L36" s="3">
        <f>IF(INDEX(学年度总表!$L$3:$L$1025,MATCH($E36,学年度总表!$E$3:$E$1025,0))="","",INDEX(学年度总表!$L$3:$L$1025,MATCH($E36,学年度总表!$E$3:$E$1025,0)))</f>
        <v>63.04</v>
      </c>
      <c r="M36" s="3">
        <f>IF(INDEX(学年度总表!$M$3:$M$1025,MATCH($E36,学年度总表!$E$3:$E$1025,0))="","",INDEX(学年度总表!$M$3:$M$1025,MATCH($E36,学年度总表!$E$3:$E$1025,0)))</f>
        <v>4.2</v>
      </c>
      <c r="N36" s="3">
        <f>IF(INDEX(学年度总表!$N$3:$N$1025,MATCH($E36,学年度总表!$E$3:$E$1025,0))="","",INDEX(学年度总表!$N$3:$N$1025,MATCH($E36,学年度总表!$E$3:$E$1025,0)))</f>
        <v>74.540000000000006</v>
      </c>
      <c r="O36" s="3">
        <f>IF(INDEX(学年度总表!$O$3:$O$1025,MATCH($E36,学年度总表!$E$3:$E$1025,0))="","",INDEX(学年度总表!$O$3:$O$1025,MATCH($E36,学年度总表!$E$3:$E$1025,0)))</f>
        <v>150.62</v>
      </c>
      <c r="P36" s="2" t="str">
        <f>IF(INDEX(学年度总表!$P$3:$P$1025,MATCH($E36,学年度总表!$E$3:$E$1025,0))="","",INDEX(学年度总表!$P$3:$P$1025,MATCH($E36,学年度总表!$E$3:$E$1025,0)))</f>
        <v/>
      </c>
      <c r="Q36" s="5" t="str">
        <f>IF(INDEX(学年度总表!$Q$3:$Q$1025,MATCH($E36,学年度总表!$E$3:$E$1025,0))="","",INDEX(学年度总表!$Q$3:$Q$1025,MATCH($E36,学年度总表!$E$3:$E$1025,0)))</f>
        <v/>
      </c>
    </row>
    <row r="37" spans="1:17">
      <c r="A37" s="2">
        <f>IF(INDEX(学年度总表!$A$3:$A$1025,MATCH($E37,学年度总表!$E$3:$E$1025,0))="","",INDEX(学年度总表!$A$3:$A$1025,MATCH($E37,学年度总表!$E$3:$E$1025,0)))</f>
        <v>243</v>
      </c>
      <c r="B37" s="2">
        <f>IF(INDEX(学年度总表!$B$3:$B$1025,MATCH($E37,学年度总表!$E$3:$E$1025,0))="","",INDEX(学年度总表!$B$3:$B$1025,MATCH($E37,学年度总表!$E$3:$E$1025,0)))</f>
        <v>35</v>
      </c>
      <c r="C37" s="2" t="str">
        <f>IF(INDEX(学年度总表!$C$3:$C$1025,MATCH($E37,学年度总表!$E$3:$E$1025,0))="","",INDEX(学年度总表!$C$3:$C$1025,MATCH($E37,学年度总表!$E$3:$E$1025,0)))</f>
        <v>网工</v>
      </c>
      <c r="D37" s="2" t="str">
        <f>IF(INDEX(学年度总表!$D$3:$D$1025,MATCH($E37,学年度总表!$E$3:$E$1025,0))="","",INDEX(学年度总表!$D$3:$D$1025,MATCH($E37,学年度总表!$E$3:$E$1025,0)))</f>
        <v>网工17班</v>
      </c>
      <c r="E37" s="2" t="s">
        <v>545</v>
      </c>
      <c r="F37" s="2" t="str">
        <f>IF(INDEX(学年度总表!$F$3:$F$1025,MATCH($E37,学年度总表!$E$3:$E$1025,0))="","",INDEX(学年度总表!$F$3:$F$1025,MATCH($E37,学年度总表!$E$3:$E$1025,0)))</f>
        <v>张馨月</v>
      </c>
      <c r="G37" s="3">
        <f>IF(INDEX(学年度总表!$G$3:$G$1025,MATCH($E37,学年度总表!$E$3:$E$1025,0))="","",INDEX(学年度总表!$G$3:$G$1025,MATCH($E37,学年度总表!$E$3:$E$1025,0)))</f>
        <v>9.8000000000000007</v>
      </c>
      <c r="H37" s="3">
        <f>IF(INDEX(学年度总表!$H$3:$H$1025,MATCH($E37,学年度总表!$E$3:$E$1025,0))="","",INDEX(学年度总表!$H$3:$H$1025,MATCH($E37,学年度总表!$E$3:$E$1025,0)))</f>
        <v>61.1</v>
      </c>
      <c r="I37" s="3">
        <f>IF(INDEX(学年度总表!$I$3:$I$1025,MATCH($E37,学年度总表!$E$3:$E$1025,0))="","",INDEX(学年度总表!$I$3:$I$1025,MATCH($E37,学年度总表!$E$3:$E$1025,0)))</f>
        <v>4.5</v>
      </c>
      <c r="J37" s="3">
        <f>IF(INDEX(学年度总表!$J$3:$J$1025,MATCH($E37,学年度总表!$E$3:$E$1025,0))="","",INDEX(学年度总表!$J$3:$J$1025,MATCH($E37,学年度总表!$E$3:$E$1025,0)))</f>
        <v>75.400000000000006</v>
      </c>
      <c r="K37" s="3">
        <f>IF(INDEX(学年度总表!$K$3:$K$1025,MATCH($E37,学年度总表!$E$3:$E$1025,0))="","",INDEX(学年度总表!$K$3:$K$1025,MATCH($E37,学年度总表!$E$3:$E$1025,0)))</f>
        <v>7.3000000000000007</v>
      </c>
      <c r="L37" s="3">
        <f>IF(INDEX(学年度总表!$L$3:$L$1025,MATCH($E37,学年度总表!$E$3:$E$1025,0))="","",INDEX(学年度总表!$L$3:$L$1025,MATCH($E37,学年度总表!$E$3:$E$1025,0)))</f>
        <v>62.81</v>
      </c>
      <c r="M37" s="3">
        <f>IF(INDEX(学年度总表!$M$3:$M$1025,MATCH($E37,学年度总表!$E$3:$E$1025,0))="","",INDEX(学年度总表!$M$3:$M$1025,MATCH($E37,学年度总表!$E$3:$E$1025,0)))</f>
        <v>4.7</v>
      </c>
      <c r="N37" s="3">
        <f>IF(INDEX(学年度总表!$N$3:$N$1025,MATCH($E37,学年度总表!$E$3:$E$1025,0))="","",INDEX(学年度总表!$N$3:$N$1025,MATCH($E37,学年度总表!$E$3:$E$1025,0)))</f>
        <v>74.81</v>
      </c>
      <c r="O37" s="3">
        <f>IF(INDEX(学年度总表!$O$3:$O$1025,MATCH($E37,学年度总表!$E$3:$E$1025,0))="","",INDEX(学年度总表!$O$3:$O$1025,MATCH($E37,学年度总表!$E$3:$E$1025,0)))</f>
        <v>150.21</v>
      </c>
      <c r="P37" s="2" t="str">
        <f>IF(INDEX(学年度总表!$P$3:$P$1025,MATCH($E37,学年度总表!$E$3:$E$1025,0))="","",INDEX(学年度总表!$P$3:$P$1025,MATCH($E37,学年度总表!$E$3:$E$1025,0)))</f>
        <v/>
      </c>
      <c r="Q37" s="5" t="str">
        <f>IF(INDEX(学年度总表!$Q$3:$Q$1025,MATCH($E37,学年度总表!$E$3:$E$1025,0))="","",INDEX(学年度总表!$Q$3:$Q$1025,MATCH($E37,学年度总表!$E$3:$E$1025,0)))</f>
        <v/>
      </c>
    </row>
    <row r="38" spans="1:17">
      <c r="A38" s="2">
        <f>IF(INDEX(学年度总表!$A$3:$A$1025,MATCH($E38,学年度总表!$E$3:$E$1025,0))="","",INDEX(学年度总表!$A$3:$A$1025,MATCH($E38,学年度总表!$E$3:$E$1025,0)))</f>
        <v>253</v>
      </c>
      <c r="B38" s="2">
        <f>IF(INDEX(学年度总表!$B$3:$B$1025,MATCH($E38,学年度总表!$E$3:$E$1025,0))="","",INDEX(学年度总表!$B$3:$B$1025,MATCH($E38,学年度总表!$E$3:$E$1025,0)))</f>
        <v>36</v>
      </c>
      <c r="C38" s="2" t="str">
        <f>IF(INDEX(学年度总表!$C$3:$C$1025,MATCH($E38,学年度总表!$E$3:$E$1025,0))="","",INDEX(学年度总表!$C$3:$C$1025,MATCH($E38,学年度总表!$E$3:$E$1025,0)))</f>
        <v>网工</v>
      </c>
      <c r="D38" s="2" t="str">
        <f>IF(INDEX(学年度总表!$D$3:$D$1025,MATCH($E38,学年度总表!$E$3:$E$1025,0))="","",INDEX(学年度总表!$D$3:$D$1025,MATCH($E38,学年度总表!$E$3:$E$1025,0)))</f>
        <v>网工16班</v>
      </c>
      <c r="E38" s="2" t="s">
        <v>567</v>
      </c>
      <c r="F38" s="2" t="str">
        <f>IF(INDEX(学年度总表!$F$3:$F$1025,MATCH($E38,学年度总表!$E$3:$E$1025,0))="","",INDEX(学年度总表!$F$3:$F$1025,MATCH($E38,学年度总表!$E$3:$E$1025,0)))</f>
        <v>傅子瑞</v>
      </c>
      <c r="G38" s="3">
        <f>IF(INDEX(学年度总表!$G$3:$G$1025,MATCH($E38,学年度总表!$E$3:$E$1025,0))="","",INDEX(学年度总表!$G$3:$G$1025,MATCH($E38,学年度总表!$E$3:$E$1025,0)))</f>
        <v>9.8000000000000007</v>
      </c>
      <c r="H38" s="3">
        <f>IF(INDEX(学年度总表!$H$3:$H$1025,MATCH($E38,学年度总表!$E$3:$E$1025,0))="","",INDEX(学年度总表!$H$3:$H$1025,MATCH($E38,学年度总表!$E$3:$E$1025,0)))</f>
        <v>62.88</v>
      </c>
      <c r="I38" s="3">
        <f>IF(INDEX(学年度总表!$I$3:$I$1025,MATCH($E38,学年度总表!$E$3:$E$1025,0))="","",INDEX(学年度总表!$I$3:$I$1025,MATCH($E38,学年度总表!$E$3:$E$1025,0)))</f>
        <v>4.5999999999999996</v>
      </c>
      <c r="J38" s="3">
        <f>IF(INDEX(学年度总表!$J$3:$J$1025,MATCH($E38,学年度总表!$E$3:$E$1025,0))="","",INDEX(学年度总表!$J$3:$J$1025,MATCH($E38,学年度总表!$E$3:$E$1025,0)))</f>
        <v>77.28</v>
      </c>
      <c r="K38" s="3">
        <f>IF(INDEX(学年度总表!$K$3:$K$1025,MATCH($E38,学年度总表!$E$3:$E$1025,0))="","",INDEX(学年度总表!$K$3:$K$1025,MATCH($E38,学年度总表!$E$3:$E$1025,0)))</f>
        <v>8.8000000000000007</v>
      </c>
      <c r="L38" s="3">
        <f>IF(INDEX(学年度总表!$L$3:$L$1025,MATCH($E38,学年度总表!$E$3:$E$1025,0))="","",INDEX(学年度总表!$L$3:$L$1025,MATCH($E38,学年度总表!$E$3:$E$1025,0)))</f>
        <v>58.88</v>
      </c>
      <c r="M38" s="3">
        <f>IF(INDEX(学年度总表!$M$3:$M$1025,MATCH($E38,学年度总表!$E$3:$E$1025,0))="","",INDEX(学年度总表!$M$3:$M$1025,MATCH($E38,学年度总表!$E$3:$E$1025,0)))</f>
        <v>4.8</v>
      </c>
      <c r="N38" s="3">
        <f>IF(INDEX(学年度总表!$N$3:$N$1025,MATCH($E38,学年度总表!$E$3:$E$1025,0))="","",INDEX(学年度总表!$N$3:$N$1025,MATCH($E38,学年度总表!$E$3:$E$1025,0)))</f>
        <v>72.48</v>
      </c>
      <c r="O38" s="3">
        <f>IF(INDEX(学年度总表!$O$3:$O$1025,MATCH($E38,学年度总表!$E$3:$E$1025,0))="","",INDEX(学年度总表!$O$3:$O$1025,MATCH($E38,学年度总表!$E$3:$E$1025,0)))</f>
        <v>149.76</v>
      </c>
      <c r="P38" s="2" t="str">
        <f>IF(INDEX(学年度总表!$P$3:$P$1025,MATCH($E38,学年度总表!$E$3:$E$1025,0))="","",INDEX(学年度总表!$P$3:$P$1025,MATCH($E38,学年度总表!$E$3:$E$1025,0)))</f>
        <v/>
      </c>
      <c r="Q38" s="5" t="str">
        <f>IF(INDEX(学年度总表!$Q$3:$Q$1025,MATCH($E38,学年度总表!$E$3:$E$1025,0))="","",INDEX(学年度总表!$Q$3:$Q$1025,MATCH($E38,学年度总表!$E$3:$E$1025,0)))</f>
        <v/>
      </c>
    </row>
    <row r="39" spans="1:17">
      <c r="A39" s="2">
        <f>IF(INDEX(学年度总表!$A$3:$A$1025,MATCH($E39,学年度总表!$E$3:$E$1025,0))="","",INDEX(学年度总表!$A$3:$A$1025,MATCH($E39,学年度总表!$E$3:$E$1025,0)))</f>
        <v>256</v>
      </c>
      <c r="B39" s="2">
        <f>IF(INDEX(学年度总表!$B$3:$B$1025,MATCH($E39,学年度总表!$E$3:$E$1025,0))="","",INDEX(学年度总表!$B$3:$B$1025,MATCH($E39,学年度总表!$E$3:$E$1025,0)))</f>
        <v>37</v>
      </c>
      <c r="C39" s="2" t="str">
        <f>IF(INDEX(学年度总表!$C$3:$C$1025,MATCH($E39,学年度总表!$E$3:$E$1025,0))="","",INDEX(学年度总表!$C$3:$C$1025,MATCH($E39,学年度总表!$E$3:$E$1025,0)))</f>
        <v>网工</v>
      </c>
      <c r="D39" s="2" t="str">
        <f>IF(INDEX(学年度总表!$D$3:$D$1025,MATCH($E39,学年度总表!$E$3:$E$1025,0))="","",INDEX(学年度总表!$D$3:$D$1025,MATCH($E39,学年度总表!$E$3:$E$1025,0)))</f>
        <v>网工16班</v>
      </c>
      <c r="E39" s="2" t="s">
        <v>571</v>
      </c>
      <c r="F39" s="2" t="str">
        <f>IF(INDEX(学年度总表!$F$3:$F$1025,MATCH($E39,学年度总表!$E$3:$E$1025,0))="","",INDEX(学年度总表!$F$3:$F$1025,MATCH($E39,学年度总表!$E$3:$E$1025,0)))</f>
        <v>杨雨竹</v>
      </c>
      <c r="G39" s="3">
        <f>IF(INDEX(学年度总表!$G$3:$G$1025,MATCH($E39,学年度总表!$E$3:$E$1025,0))="","",INDEX(学年度总表!$G$3:$G$1025,MATCH($E39,学年度总表!$E$3:$E$1025,0)))</f>
        <v>10</v>
      </c>
      <c r="H39" s="3">
        <f>IF(INDEX(学年度总表!$H$3:$H$1025,MATCH($E39,学年度总表!$E$3:$E$1025,0))="","",INDEX(学年度总表!$H$3:$H$1025,MATCH($E39,学年度总表!$E$3:$E$1025,0)))</f>
        <v>60.99</v>
      </c>
      <c r="I39" s="3">
        <f>IF(INDEX(学年度总表!$I$3:$I$1025,MATCH($E39,学年度总表!$E$3:$E$1025,0))="","",INDEX(学年度总表!$I$3:$I$1025,MATCH($E39,学年度总表!$E$3:$E$1025,0)))</f>
        <v>4</v>
      </c>
      <c r="J39" s="3">
        <f>IF(INDEX(学年度总表!$J$3:$J$1025,MATCH($E39,学年度总表!$E$3:$E$1025,0))="","",INDEX(学年度总表!$J$3:$J$1025,MATCH($E39,学年度总表!$E$3:$E$1025,0)))</f>
        <v>74.989999999999995</v>
      </c>
      <c r="K39" s="3">
        <f>IF(INDEX(学年度总表!$K$3:$K$1025,MATCH($E39,学年度总表!$E$3:$E$1025,0))="","",INDEX(学年度总表!$K$3:$K$1025,MATCH($E39,学年度总表!$E$3:$E$1025,0)))</f>
        <v>7.5</v>
      </c>
      <c r="L39" s="3">
        <f>IF(INDEX(学年度总表!$L$3:$L$1025,MATCH($E39,学年度总表!$E$3:$E$1025,0))="","",INDEX(学年度总表!$L$3:$L$1025,MATCH($E39,学年度总表!$E$3:$E$1025,0)))</f>
        <v>62.93</v>
      </c>
      <c r="M39" s="3">
        <f>IF(INDEX(学年度总表!$M$3:$M$1025,MATCH($E39,学年度总表!$E$3:$E$1025,0))="","",INDEX(学年度总表!$M$3:$M$1025,MATCH($E39,学年度总表!$E$3:$E$1025,0)))</f>
        <v>4.3</v>
      </c>
      <c r="N39" s="3">
        <f>IF(INDEX(学年度总表!$N$3:$N$1025,MATCH($E39,学年度总表!$E$3:$E$1025,0))="","",INDEX(学年度总表!$N$3:$N$1025,MATCH($E39,学年度总表!$E$3:$E$1025,0)))</f>
        <v>74.73</v>
      </c>
      <c r="O39" s="3">
        <f>IF(INDEX(学年度总表!$O$3:$O$1025,MATCH($E39,学年度总表!$E$3:$E$1025,0))="","",INDEX(学年度总表!$O$3:$O$1025,MATCH($E39,学年度总表!$E$3:$E$1025,0)))</f>
        <v>149.72</v>
      </c>
      <c r="P39" s="2" t="str">
        <f>IF(INDEX(学年度总表!$P$3:$P$1025,MATCH($E39,学年度总表!$E$3:$E$1025,0))="","",INDEX(学年度总表!$P$3:$P$1025,MATCH($E39,学年度总表!$E$3:$E$1025,0)))</f>
        <v/>
      </c>
      <c r="Q39" s="5" t="str">
        <f>IF(INDEX(学年度总表!$Q$3:$Q$1025,MATCH($E39,学年度总表!$E$3:$E$1025,0))="","",INDEX(学年度总表!$Q$3:$Q$1025,MATCH($E39,学年度总表!$E$3:$E$1025,0)))</f>
        <v/>
      </c>
    </row>
    <row r="40" spans="1:17">
      <c r="A40" s="2">
        <f>IF(INDEX(学年度总表!$A$3:$A$1025,MATCH($E40,学年度总表!$E$3:$E$1025,0))="","",INDEX(学年度总表!$A$3:$A$1025,MATCH($E40,学年度总表!$E$3:$E$1025,0)))</f>
        <v>261</v>
      </c>
      <c r="B40" s="2">
        <f>IF(INDEX(学年度总表!$B$3:$B$1025,MATCH($E40,学年度总表!$E$3:$E$1025,0))="","",INDEX(学年度总表!$B$3:$B$1025,MATCH($E40,学年度总表!$E$3:$E$1025,0)))</f>
        <v>38</v>
      </c>
      <c r="C40" s="2" t="str">
        <f>IF(INDEX(学年度总表!$C$3:$C$1025,MATCH($E40,学年度总表!$E$3:$E$1025,0))="","",INDEX(学年度总表!$C$3:$C$1025,MATCH($E40,学年度总表!$E$3:$E$1025,0)))</f>
        <v>网工</v>
      </c>
      <c r="D40" s="2" t="str">
        <f>IF(INDEX(学年度总表!$D$3:$D$1025,MATCH($E40,学年度总表!$E$3:$E$1025,0))="","",INDEX(学年度总表!$D$3:$D$1025,MATCH($E40,学年度总表!$E$3:$E$1025,0)))</f>
        <v>网工16班</v>
      </c>
      <c r="E40" s="2" t="s">
        <v>582</v>
      </c>
      <c r="F40" s="2" t="str">
        <f>IF(INDEX(学年度总表!$F$3:$F$1025,MATCH($E40,学年度总表!$E$3:$E$1025,0))="","",INDEX(学年度总表!$F$3:$F$1025,MATCH($E40,学年度总表!$E$3:$E$1025,0)))</f>
        <v>董禹彤</v>
      </c>
      <c r="G40" s="3">
        <f>IF(INDEX(学年度总表!$G$3:$G$1025,MATCH($E40,学年度总表!$E$3:$E$1025,0))="","",INDEX(学年度总表!$G$3:$G$1025,MATCH($E40,学年度总表!$E$3:$E$1025,0)))</f>
        <v>9.8000000000000007</v>
      </c>
      <c r="H40" s="3">
        <f>IF(INDEX(学年度总表!$H$3:$H$1025,MATCH($E40,学年度总表!$E$3:$E$1025,0))="","",INDEX(学年度总表!$H$3:$H$1025,MATCH($E40,学年度总表!$E$3:$E$1025,0)))</f>
        <v>65.06</v>
      </c>
      <c r="I40" s="3">
        <f>IF(INDEX(学年度总表!$I$3:$I$1025,MATCH($E40,学年度总表!$E$3:$E$1025,0))="","",INDEX(学年度总表!$I$3:$I$1025,MATCH($E40,学年度总表!$E$3:$E$1025,0)))</f>
        <v>4</v>
      </c>
      <c r="J40" s="3">
        <f>IF(INDEX(学年度总表!$J$3:$J$1025,MATCH($E40,学年度总表!$E$3:$E$1025,0))="","",INDEX(学年度总表!$J$3:$J$1025,MATCH($E40,学年度总表!$E$3:$E$1025,0)))</f>
        <v>78.86</v>
      </c>
      <c r="K40" s="3">
        <f>IF(INDEX(学年度总表!$K$3:$K$1025,MATCH($E40,学年度总表!$E$3:$E$1025,0))="","",INDEX(学年度总表!$K$3:$K$1025,MATCH($E40,学年度总表!$E$3:$E$1025,0)))</f>
        <v>8.3000000000000007</v>
      </c>
      <c r="L40" s="3">
        <f>IF(INDEX(学年度总表!$L$3:$L$1025,MATCH($E40,学年度总表!$E$3:$E$1025,0))="","",INDEX(学年度总表!$L$3:$L$1025,MATCH($E40,学年度总表!$E$3:$E$1025,0)))</f>
        <v>58.49</v>
      </c>
      <c r="M40" s="3">
        <f>IF(INDEX(学年度总表!$M$3:$M$1025,MATCH($E40,学年度总表!$E$3:$E$1025,0))="","",INDEX(学年度总表!$M$3:$M$1025,MATCH($E40,学年度总表!$E$3:$E$1025,0)))</f>
        <v>3.8</v>
      </c>
      <c r="N40" s="3">
        <f>IF(INDEX(学年度总表!$N$3:$N$1025,MATCH($E40,学年度总表!$E$3:$E$1025,0))="","",INDEX(学年度总表!$N$3:$N$1025,MATCH($E40,学年度总表!$E$3:$E$1025,0)))</f>
        <v>70.59</v>
      </c>
      <c r="O40" s="3">
        <f>IF(INDEX(学年度总表!$O$3:$O$1025,MATCH($E40,学年度总表!$E$3:$E$1025,0))="","",INDEX(学年度总表!$O$3:$O$1025,MATCH($E40,学年度总表!$E$3:$E$1025,0)))</f>
        <v>149.44999999999999</v>
      </c>
      <c r="P40" s="2" t="str">
        <f>IF(INDEX(学年度总表!$P$3:$P$1025,MATCH($E40,学年度总表!$E$3:$E$1025,0))="","",INDEX(学年度总表!$P$3:$P$1025,MATCH($E40,学年度总表!$E$3:$E$1025,0)))</f>
        <v/>
      </c>
      <c r="Q40" s="5" t="str">
        <f>IF(INDEX(学年度总表!$Q$3:$Q$1025,MATCH($E40,学年度总表!$E$3:$E$1025,0))="","",INDEX(学年度总表!$Q$3:$Q$1025,MATCH($E40,学年度总表!$E$3:$E$1025,0)))</f>
        <v/>
      </c>
    </row>
    <row r="41" spans="1:17">
      <c r="A41" s="2">
        <f>IF(INDEX(学年度总表!$A$3:$A$1025,MATCH($E41,学年度总表!$E$3:$E$1025,0))="","",INDEX(学年度总表!$A$3:$A$1025,MATCH($E41,学年度总表!$E$3:$E$1025,0)))</f>
        <v>264</v>
      </c>
      <c r="B41" s="2">
        <f>IF(INDEX(学年度总表!$B$3:$B$1025,MATCH($E41,学年度总表!$E$3:$E$1025,0))="","",INDEX(学年度总表!$B$3:$B$1025,MATCH($E41,学年度总表!$E$3:$E$1025,0)))</f>
        <v>39</v>
      </c>
      <c r="C41" s="2" t="str">
        <f>IF(INDEX(学年度总表!$C$3:$C$1025,MATCH($E41,学年度总表!$E$3:$E$1025,0))="","",INDEX(学年度总表!$C$3:$C$1025,MATCH($E41,学年度总表!$E$3:$E$1025,0)))</f>
        <v>网工</v>
      </c>
      <c r="D41" s="2" t="str">
        <f>IF(INDEX(学年度总表!$D$3:$D$1025,MATCH($E41,学年度总表!$E$3:$E$1025,0))="","",INDEX(学年度总表!$D$3:$D$1025,MATCH($E41,学年度总表!$E$3:$E$1025,0)))</f>
        <v>网工18班</v>
      </c>
      <c r="E41" s="2" t="s">
        <v>588</v>
      </c>
      <c r="F41" s="2" t="str">
        <f>IF(INDEX(学年度总表!$F$3:$F$1025,MATCH($E41,学年度总表!$E$3:$E$1025,0))="","",INDEX(学年度总表!$F$3:$F$1025,MATCH($E41,学年度总表!$E$3:$E$1025,0)))</f>
        <v>尹红爽</v>
      </c>
      <c r="G41" s="3">
        <f>IF(INDEX(学年度总表!$G$3:$G$1025,MATCH($E41,学年度总表!$E$3:$E$1025,0))="","",INDEX(学年度总表!$G$3:$G$1025,MATCH($E41,学年度总表!$E$3:$E$1025,0)))</f>
        <v>9.8000000000000007</v>
      </c>
      <c r="H41" s="3">
        <f>IF(INDEX(学年度总表!$H$3:$H$1025,MATCH($E41,学年度总表!$E$3:$E$1025,0))="","",INDEX(学年度总表!$H$3:$H$1025,MATCH($E41,学年度总表!$E$3:$E$1025,0)))</f>
        <v>61.03</v>
      </c>
      <c r="I41" s="3">
        <f>IF(INDEX(学年度总表!$I$3:$I$1025,MATCH($E41,学年度总表!$E$3:$E$1025,0))="","",INDEX(学年度总表!$I$3:$I$1025,MATCH($E41,学年度总表!$E$3:$E$1025,0)))</f>
        <v>4.9000000000000004</v>
      </c>
      <c r="J41" s="3">
        <f>IF(INDEX(学年度总表!$J$3:$J$1025,MATCH($E41,学年度总表!$E$3:$E$1025,0))="","",INDEX(学年度总表!$J$3:$J$1025,MATCH($E41,学年度总表!$E$3:$E$1025,0)))</f>
        <v>75.73</v>
      </c>
      <c r="K41" s="3">
        <f>IF(INDEX(学年度总表!$K$3:$K$1025,MATCH($E41,学年度总表!$E$3:$E$1025,0))="","",INDEX(学年度总表!$K$3:$K$1025,MATCH($E41,学年度总表!$E$3:$E$1025,0)))</f>
        <v>7.3000000000000007</v>
      </c>
      <c r="L41" s="3">
        <f>IF(INDEX(学年度总表!$L$3:$L$1025,MATCH($E41,学年度总表!$E$3:$E$1025,0))="","",INDEX(学年度总表!$L$3:$L$1025,MATCH($E41,学年度总表!$E$3:$E$1025,0)))</f>
        <v>61.29</v>
      </c>
      <c r="M41" s="3">
        <f>IF(INDEX(学年度总表!$M$3:$M$1025,MATCH($E41,学年度总表!$E$3:$E$1025,0))="","",INDEX(学年度总表!$M$3:$M$1025,MATCH($E41,学年度总表!$E$3:$E$1025,0)))</f>
        <v>4.9000000000000004</v>
      </c>
      <c r="N41" s="3">
        <f>IF(INDEX(学年度总表!$N$3:$N$1025,MATCH($E41,学年度总表!$E$3:$E$1025,0))="","",INDEX(学年度总表!$N$3:$N$1025,MATCH($E41,学年度总表!$E$3:$E$1025,0)))</f>
        <v>73.489999999999995</v>
      </c>
      <c r="O41" s="3">
        <f>IF(INDEX(学年度总表!$O$3:$O$1025,MATCH($E41,学年度总表!$E$3:$E$1025,0))="","",INDEX(学年度总表!$O$3:$O$1025,MATCH($E41,学年度总表!$E$3:$E$1025,0)))</f>
        <v>149.22</v>
      </c>
      <c r="P41" s="2" t="str">
        <f>IF(INDEX(学年度总表!$P$3:$P$1025,MATCH($E41,学年度总表!$E$3:$E$1025,0))="","",INDEX(学年度总表!$P$3:$P$1025,MATCH($E41,学年度总表!$E$3:$E$1025,0)))</f>
        <v/>
      </c>
      <c r="Q41" s="5" t="str">
        <f>IF(INDEX(学年度总表!$Q$3:$Q$1025,MATCH($E41,学年度总表!$E$3:$E$1025,0))="","",INDEX(学年度总表!$Q$3:$Q$1025,MATCH($E41,学年度总表!$E$3:$E$1025,0)))</f>
        <v/>
      </c>
    </row>
    <row r="42" spans="1:17">
      <c r="A42" s="2">
        <f>IF(INDEX(学年度总表!$A$3:$A$1025,MATCH($E42,学年度总表!$E$3:$E$1025,0))="","",INDEX(学年度总表!$A$3:$A$1025,MATCH($E42,学年度总表!$E$3:$E$1025,0)))</f>
        <v>284</v>
      </c>
      <c r="B42" s="2">
        <f>IF(INDEX(学年度总表!$B$3:$B$1025,MATCH($E42,学年度总表!$E$3:$E$1025,0))="","",INDEX(学年度总表!$B$3:$B$1025,MATCH($E42,学年度总表!$E$3:$E$1025,0)))</f>
        <v>40</v>
      </c>
      <c r="C42" s="2" t="str">
        <f>IF(INDEX(学年度总表!$C$3:$C$1025,MATCH($E42,学年度总表!$E$3:$E$1025,0))="","",INDEX(学年度总表!$C$3:$C$1025,MATCH($E42,学年度总表!$E$3:$E$1025,0)))</f>
        <v>网工</v>
      </c>
      <c r="D42" s="2" t="str">
        <f>IF(INDEX(学年度总表!$D$3:$D$1025,MATCH($E42,学年度总表!$E$3:$E$1025,0))="","",INDEX(学年度总表!$D$3:$D$1025,MATCH($E42,学年度总表!$E$3:$E$1025,0)))</f>
        <v>网工18班</v>
      </c>
      <c r="E42" s="2" t="s">
        <v>628</v>
      </c>
      <c r="F42" s="2" t="str">
        <f>IF(INDEX(学年度总表!$F$3:$F$1025,MATCH($E42,学年度总表!$E$3:$E$1025,0))="","",INDEX(学年度总表!$F$3:$F$1025,MATCH($E42,学年度总表!$E$3:$E$1025,0)))</f>
        <v>王艺潼</v>
      </c>
      <c r="G42" s="3">
        <f>IF(INDEX(学年度总表!$G$3:$G$1025,MATCH($E42,学年度总表!$E$3:$E$1025,0))="","",INDEX(学年度总表!$G$3:$G$1025,MATCH($E42,学年度总表!$E$3:$E$1025,0)))</f>
        <v>10.8</v>
      </c>
      <c r="H42" s="3">
        <f>IF(INDEX(学年度总表!$H$3:$H$1025,MATCH($E42,学年度总表!$E$3:$E$1025,0))="","",INDEX(学年度总表!$H$3:$H$1025,MATCH($E42,学年度总表!$E$3:$E$1025,0)))</f>
        <v>58.33</v>
      </c>
      <c r="I42" s="3">
        <f>IF(INDEX(学年度总表!$I$3:$I$1025,MATCH($E42,学年度总表!$E$3:$E$1025,0))="","",INDEX(学年度总表!$I$3:$I$1025,MATCH($E42,学年度总表!$E$3:$E$1025,0)))</f>
        <v>4.8499999999999996</v>
      </c>
      <c r="J42" s="3">
        <f>IF(INDEX(学年度总表!$J$3:$J$1025,MATCH($E42,学年度总表!$E$3:$E$1025,0))="","",INDEX(学年度总表!$J$3:$J$1025,MATCH($E42,学年度总表!$E$3:$E$1025,0)))</f>
        <v>73.98</v>
      </c>
      <c r="K42" s="3">
        <f>IF(INDEX(学年度总表!$K$3:$K$1025,MATCH($E42,学年度总表!$E$3:$E$1025,0))="","",INDEX(学年度总表!$K$3:$K$1025,MATCH($E42,学年度总表!$E$3:$E$1025,0)))</f>
        <v>11.3</v>
      </c>
      <c r="L42" s="3">
        <f>IF(INDEX(学年度总表!$L$3:$L$1025,MATCH($E42,学年度总表!$E$3:$E$1025,0))="","",INDEX(学年度总表!$L$3:$L$1025,MATCH($E42,学年度总表!$E$3:$E$1025,0)))</f>
        <v>57.54</v>
      </c>
      <c r="M42" s="3">
        <f>IF(INDEX(学年度总表!$M$3:$M$1025,MATCH($E42,学年度总表!$E$3:$E$1025,0))="","",INDEX(学年度总表!$M$3:$M$1025,MATCH($E42,学年度总表!$E$3:$E$1025,0)))</f>
        <v>5.55</v>
      </c>
      <c r="N42" s="3">
        <f>IF(INDEX(学年度总表!$N$3:$N$1025,MATCH($E42,学年度总表!$E$3:$E$1025,0))="","",INDEX(学年度总表!$N$3:$N$1025,MATCH($E42,学年度总表!$E$3:$E$1025,0)))</f>
        <v>74.39</v>
      </c>
      <c r="O42" s="3">
        <f>IF(INDEX(学年度总表!$O$3:$O$1025,MATCH($E42,学年度总表!$E$3:$E$1025,0))="","",INDEX(学年度总表!$O$3:$O$1025,MATCH($E42,学年度总表!$E$3:$E$1025,0)))</f>
        <v>148.37</v>
      </c>
      <c r="P42" s="2" t="str">
        <f>IF(INDEX(学年度总表!$P$3:$P$1025,MATCH($E42,学年度总表!$E$3:$E$1025,0))="","",INDEX(学年度总表!$P$3:$P$1025,MATCH($E42,学年度总表!$E$3:$E$1025,0)))</f>
        <v/>
      </c>
      <c r="Q42" s="5" t="str">
        <f>IF(INDEX(学年度总表!$Q$3:$Q$1025,MATCH($E42,学年度总表!$E$3:$E$1025,0))="","",INDEX(学年度总表!$Q$3:$Q$1025,MATCH($E42,学年度总表!$E$3:$E$1025,0)))</f>
        <v/>
      </c>
    </row>
    <row r="43" spans="1:17">
      <c r="A43" s="2">
        <f>IF(INDEX(学年度总表!$A$3:$A$1025,MATCH($E43,学年度总表!$E$3:$E$1025,0))="","",INDEX(学年度总表!$A$3:$A$1025,MATCH($E43,学年度总表!$E$3:$E$1025,0)))</f>
        <v>301</v>
      </c>
      <c r="B43" s="2">
        <f>IF(INDEX(学年度总表!$B$3:$B$1025,MATCH($E43,学年度总表!$E$3:$E$1025,0))="","",INDEX(学年度总表!$B$3:$B$1025,MATCH($E43,学年度总表!$E$3:$E$1025,0)))</f>
        <v>41</v>
      </c>
      <c r="C43" s="2" t="str">
        <f>IF(INDEX(学年度总表!$C$3:$C$1025,MATCH($E43,学年度总表!$E$3:$E$1025,0))="","",INDEX(学年度总表!$C$3:$C$1025,MATCH($E43,学年度总表!$E$3:$E$1025,0)))</f>
        <v>网工</v>
      </c>
      <c r="D43" s="2" t="str">
        <f>IF(INDEX(学年度总表!$D$3:$D$1025,MATCH($E43,学年度总表!$E$3:$E$1025,0))="","",INDEX(学年度总表!$D$3:$D$1025,MATCH($E43,学年度总表!$E$3:$E$1025,0)))</f>
        <v>网工15班</v>
      </c>
      <c r="E43" s="2" t="s">
        <v>662</v>
      </c>
      <c r="F43" s="2" t="str">
        <f>IF(INDEX(学年度总表!$F$3:$F$1025,MATCH($E43,学年度总表!$E$3:$E$1025,0))="","",INDEX(学年度总表!$F$3:$F$1025,MATCH($E43,学年度总表!$E$3:$E$1025,0)))</f>
        <v>杨一凡</v>
      </c>
      <c r="G43" s="3">
        <f>IF(INDEX(学年度总表!$G$3:$G$1025,MATCH($E43,学年度总表!$E$3:$E$1025,0))="","",INDEX(学年度总表!$G$3:$G$1025,MATCH($E43,学年度总表!$E$3:$E$1025,0)))</f>
        <v>9.8000000000000007</v>
      </c>
      <c r="H43" s="3">
        <f>IF(INDEX(学年度总表!$H$3:$H$1025,MATCH($E43,学年度总表!$E$3:$E$1025,0))="","",INDEX(学年度总表!$H$3:$H$1025,MATCH($E43,学年度总表!$E$3:$E$1025,0)))</f>
        <v>62.68</v>
      </c>
      <c r="I43" s="3">
        <f>IF(INDEX(学年度总表!$I$3:$I$1025,MATCH($E43,学年度总表!$E$3:$E$1025,0))="","",INDEX(学年度总表!$I$3:$I$1025,MATCH($E43,学年度总表!$E$3:$E$1025,0)))</f>
        <v>5.7</v>
      </c>
      <c r="J43" s="3">
        <f>IF(INDEX(学年度总表!$J$3:$J$1025,MATCH($E43,学年度总表!$E$3:$E$1025,0))="","",INDEX(学年度总表!$J$3:$J$1025,MATCH($E43,学年度总表!$E$3:$E$1025,0)))</f>
        <v>78.180000000000007</v>
      </c>
      <c r="K43" s="3">
        <f>IF(INDEX(学年度总表!$K$3:$K$1025,MATCH($E43,学年度总表!$E$3:$E$1025,0))="","",INDEX(学年度总表!$K$3:$K$1025,MATCH($E43,学年度总表!$E$3:$E$1025,0)))</f>
        <v>7.3000000000000007</v>
      </c>
      <c r="L43" s="3">
        <f>IF(INDEX(学年度总表!$L$3:$L$1025,MATCH($E43,学年度总表!$E$3:$E$1025,0))="","",INDEX(学年度总表!$L$3:$L$1025,MATCH($E43,学年度总表!$E$3:$E$1025,0)))</f>
        <v>57.53</v>
      </c>
      <c r="M43" s="3">
        <f>IF(INDEX(学年度总表!$M$3:$M$1025,MATCH($E43,学年度总表!$E$3:$E$1025,0))="","",INDEX(学年度总表!$M$3:$M$1025,MATCH($E43,学年度总表!$E$3:$E$1025,0)))</f>
        <v>4.5</v>
      </c>
      <c r="N43" s="3">
        <f>IF(INDEX(学年度总表!$N$3:$N$1025,MATCH($E43,学年度总表!$E$3:$E$1025,0))="","",INDEX(学年度总表!$N$3:$N$1025,MATCH($E43,学年度总表!$E$3:$E$1025,0)))</f>
        <v>69.33</v>
      </c>
      <c r="O43" s="3">
        <f>IF(INDEX(学年度总表!$O$3:$O$1025,MATCH($E43,学年度总表!$E$3:$E$1025,0))="","",INDEX(学年度总表!$O$3:$O$1025,MATCH($E43,学年度总表!$E$3:$E$1025,0)))</f>
        <v>147.51</v>
      </c>
      <c r="P43" s="2" t="str">
        <f>IF(INDEX(学年度总表!$P$3:$P$1025,MATCH($E43,学年度总表!$E$3:$E$1025,0))="","",INDEX(学年度总表!$P$3:$P$1025,MATCH($E43,学年度总表!$E$3:$E$1025,0)))</f>
        <v/>
      </c>
      <c r="Q43" s="5" t="str">
        <f>IF(INDEX(学年度总表!$Q$3:$Q$1025,MATCH($E43,学年度总表!$E$3:$E$1025,0))="","",INDEX(学年度总表!$Q$3:$Q$1025,MATCH($E43,学年度总表!$E$3:$E$1025,0)))</f>
        <v/>
      </c>
    </row>
    <row r="44" spans="1:17">
      <c r="A44" s="2">
        <f>IF(INDEX(学年度总表!$A$3:$A$1025,MATCH($E44,学年度总表!$E$3:$E$1025,0))="","",INDEX(学年度总表!$A$3:$A$1025,MATCH($E44,学年度总表!$E$3:$E$1025,0)))</f>
        <v>304</v>
      </c>
      <c r="B44" s="2">
        <f>IF(INDEX(学年度总表!$B$3:$B$1025,MATCH($E44,学年度总表!$E$3:$E$1025,0))="","",INDEX(学年度总表!$B$3:$B$1025,MATCH($E44,学年度总表!$E$3:$E$1025,0)))</f>
        <v>42</v>
      </c>
      <c r="C44" s="2" t="str">
        <f>IF(INDEX(学年度总表!$C$3:$C$1025,MATCH($E44,学年度总表!$E$3:$E$1025,0))="","",INDEX(学年度总表!$C$3:$C$1025,MATCH($E44,学年度总表!$E$3:$E$1025,0)))</f>
        <v>网工</v>
      </c>
      <c r="D44" s="2" t="str">
        <f>IF(INDEX(学年度总表!$D$3:$D$1025,MATCH($E44,学年度总表!$E$3:$E$1025,0))="","",INDEX(学年度总表!$D$3:$D$1025,MATCH($E44,学年度总表!$E$3:$E$1025,0)))</f>
        <v>网工15班</v>
      </c>
      <c r="E44" s="2" t="s">
        <v>668</v>
      </c>
      <c r="F44" s="2" t="str">
        <f>IF(INDEX(学年度总表!$F$3:$F$1025,MATCH($E44,学年度总表!$E$3:$E$1025,0))="","",INDEX(学年度总表!$F$3:$F$1025,MATCH($E44,学年度总表!$E$3:$E$1025,0)))</f>
        <v>吴若宁</v>
      </c>
      <c r="G44" s="3">
        <f>IF(INDEX(学年度总表!$G$3:$G$1025,MATCH($E44,学年度总表!$E$3:$E$1025,0))="","",INDEX(学年度总表!$G$3:$G$1025,MATCH($E44,学年度总表!$E$3:$E$1025,0)))</f>
        <v>9.8000000000000007</v>
      </c>
      <c r="H44" s="3">
        <f>IF(INDEX(学年度总表!$H$3:$H$1025,MATCH($E44,学年度总表!$E$3:$E$1025,0))="","",INDEX(学年度总表!$H$3:$H$1025,MATCH($E44,学年度总表!$E$3:$E$1025,0)))</f>
        <v>60.81</v>
      </c>
      <c r="I44" s="3">
        <f>IF(INDEX(学年度总表!$I$3:$I$1025,MATCH($E44,学年度总表!$E$3:$E$1025,0))="","",INDEX(学年度总表!$I$3:$I$1025,MATCH($E44,学年度总表!$E$3:$E$1025,0)))</f>
        <v>4</v>
      </c>
      <c r="J44" s="3">
        <f>IF(INDEX(学年度总表!$J$3:$J$1025,MATCH($E44,学年度总表!$E$3:$E$1025,0))="","",INDEX(学年度总表!$J$3:$J$1025,MATCH($E44,学年度总表!$E$3:$E$1025,0)))</f>
        <v>74.61</v>
      </c>
      <c r="K44" s="3">
        <f>IF(INDEX(学年度总表!$K$3:$K$1025,MATCH($E44,学年度总表!$E$3:$E$1025,0))="","",INDEX(学年度总表!$K$3:$K$1025,MATCH($E44,学年度总表!$E$3:$E$1025,0)))</f>
        <v>7.3000000000000007</v>
      </c>
      <c r="L44" s="3">
        <f>IF(INDEX(学年度总表!$L$3:$L$1025,MATCH($E44,学年度总表!$E$3:$E$1025,0))="","",INDEX(学年度总表!$L$3:$L$1025,MATCH($E44,学年度总表!$E$3:$E$1025,0)))</f>
        <v>61.07</v>
      </c>
      <c r="M44" s="3">
        <f>IF(INDEX(学年度总表!$M$3:$M$1025,MATCH($E44,学年度总表!$E$3:$E$1025,0))="","",INDEX(学年度总表!$M$3:$M$1025,MATCH($E44,学年度总表!$E$3:$E$1025,0)))</f>
        <v>4.5</v>
      </c>
      <c r="N44" s="3">
        <f>IF(INDEX(学年度总表!$N$3:$N$1025,MATCH($E44,学年度总表!$E$3:$E$1025,0))="","",INDEX(学年度总表!$N$3:$N$1025,MATCH($E44,学年度总表!$E$3:$E$1025,0)))</f>
        <v>72.87</v>
      </c>
      <c r="O44" s="3">
        <f>IF(INDEX(学年度总表!$O$3:$O$1025,MATCH($E44,学年度总表!$E$3:$E$1025,0))="","",INDEX(学年度总表!$O$3:$O$1025,MATCH($E44,学年度总表!$E$3:$E$1025,0)))</f>
        <v>147.47999999999999</v>
      </c>
      <c r="P44" s="2" t="str">
        <f>IF(INDEX(学年度总表!$P$3:$P$1025,MATCH($E44,学年度总表!$E$3:$E$1025,0))="","",INDEX(学年度总表!$P$3:$P$1025,MATCH($E44,学年度总表!$E$3:$E$1025,0)))</f>
        <v/>
      </c>
      <c r="Q44" s="5" t="str">
        <f>IF(INDEX(学年度总表!$Q$3:$Q$1025,MATCH($E44,学年度总表!$E$3:$E$1025,0))="","",INDEX(学年度总表!$Q$3:$Q$1025,MATCH($E44,学年度总表!$E$3:$E$1025,0)))</f>
        <v/>
      </c>
    </row>
    <row r="45" spans="1:17">
      <c r="A45" s="2">
        <f>IF(INDEX(学年度总表!$A$3:$A$1025,MATCH($E45,学年度总表!$E$3:$E$1025,0))="","",INDEX(学年度总表!$A$3:$A$1025,MATCH($E45,学年度总表!$E$3:$E$1025,0)))</f>
        <v>306</v>
      </c>
      <c r="B45" s="2">
        <f>IF(INDEX(学年度总表!$B$3:$B$1025,MATCH($E45,学年度总表!$E$3:$E$1025,0))="","",INDEX(学年度总表!$B$3:$B$1025,MATCH($E45,学年度总表!$E$3:$E$1025,0)))</f>
        <v>43</v>
      </c>
      <c r="C45" s="2" t="str">
        <f>IF(INDEX(学年度总表!$C$3:$C$1025,MATCH($E45,学年度总表!$E$3:$E$1025,0))="","",INDEX(学年度总表!$C$3:$C$1025,MATCH($E45,学年度总表!$E$3:$E$1025,0)))</f>
        <v>网工</v>
      </c>
      <c r="D45" s="2" t="str">
        <f>IF(INDEX(学年度总表!$D$3:$D$1025,MATCH($E45,学年度总表!$E$3:$E$1025,0))="","",INDEX(学年度总表!$D$3:$D$1025,MATCH($E45,学年度总表!$E$3:$E$1025,0)))</f>
        <v>网工15班</v>
      </c>
      <c r="E45" s="2" t="s">
        <v>674</v>
      </c>
      <c r="F45" s="2" t="str">
        <f>IF(INDEX(学年度总表!$F$3:$F$1025,MATCH($E45,学年度总表!$E$3:$E$1025,0))="","",INDEX(学年度总表!$F$3:$F$1025,MATCH($E45,学年度总表!$E$3:$E$1025,0)))</f>
        <v>吴芮萱</v>
      </c>
      <c r="G45" s="3">
        <f>IF(INDEX(学年度总表!$G$3:$G$1025,MATCH($E45,学年度总表!$E$3:$E$1025,0))="","",INDEX(学年度总表!$G$3:$G$1025,MATCH($E45,学年度总表!$E$3:$E$1025,0)))</f>
        <v>10.3</v>
      </c>
      <c r="H45" s="3">
        <f>IF(INDEX(学年度总表!$H$3:$H$1025,MATCH($E45,学年度总表!$E$3:$E$1025,0))="","",INDEX(学年度总表!$H$3:$H$1025,MATCH($E45,学年度总表!$E$3:$E$1025,0)))</f>
        <v>59.11</v>
      </c>
      <c r="I45" s="3">
        <f>IF(INDEX(学年度总表!$I$3:$I$1025,MATCH($E45,学年度总表!$E$3:$E$1025,0))="","",INDEX(学年度总表!$I$3:$I$1025,MATCH($E45,学年度总表!$E$3:$E$1025,0)))</f>
        <v>3.2</v>
      </c>
      <c r="J45" s="3">
        <f>IF(INDEX(学年度总表!$J$3:$J$1025,MATCH($E45,学年度总表!$E$3:$E$1025,0))="","",INDEX(学年度总表!$J$3:$J$1025,MATCH($E45,学年度总表!$E$3:$E$1025,0)))</f>
        <v>72.61</v>
      </c>
      <c r="K45" s="3">
        <f>IF(INDEX(学年度总表!$K$3:$K$1025,MATCH($E45,学年度总表!$E$3:$E$1025,0))="","",INDEX(学年度总表!$K$3:$K$1025,MATCH($E45,学年度总表!$E$3:$E$1025,0)))</f>
        <v>9.8000000000000007</v>
      </c>
      <c r="L45" s="3">
        <f>IF(INDEX(学年度总表!$L$3:$L$1025,MATCH($E45,学年度总表!$E$3:$E$1025,0))="","",INDEX(学年度总表!$L$3:$L$1025,MATCH($E45,学年度总表!$E$3:$E$1025,0)))</f>
        <v>61.48</v>
      </c>
      <c r="M45" s="3">
        <f>IF(INDEX(学年度总表!$M$3:$M$1025,MATCH($E45,学年度总表!$E$3:$E$1025,0))="","",INDEX(学年度总表!$M$3:$M$1025,MATCH($E45,学年度总表!$E$3:$E$1025,0)))</f>
        <v>3.5</v>
      </c>
      <c r="N45" s="3">
        <f>IF(INDEX(学年度总表!$N$3:$N$1025,MATCH($E45,学年度总表!$E$3:$E$1025,0))="","",INDEX(学年度总表!$N$3:$N$1025,MATCH($E45,学年度总表!$E$3:$E$1025,0)))</f>
        <v>74.78</v>
      </c>
      <c r="O45" s="3">
        <f>IF(INDEX(学年度总表!$O$3:$O$1025,MATCH($E45,学年度总表!$E$3:$E$1025,0))="","",INDEX(学年度总表!$O$3:$O$1025,MATCH($E45,学年度总表!$E$3:$E$1025,0)))</f>
        <v>147.38999999999999</v>
      </c>
      <c r="P45" s="2" t="str">
        <f>IF(INDEX(学年度总表!$P$3:$P$1025,MATCH($E45,学年度总表!$E$3:$E$1025,0))="","",INDEX(学年度总表!$P$3:$P$1025,MATCH($E45,学年度总表!$E$3:$E$1025,0)))</f>
        <v/>
      </c>
      <c r="Q45" s="5" t="str">
        <f>IF(INDEX(学年度总表!$Q$3:$Q$1025,MATCH($E45,学年度总表!$E$3:$E$1025,0))="","",INDEX(学年度总表!$Q$3:$Q$1025,MATCH($E45,学年度总表!$E$3:$E$1025,0)))</f>
        <v/>
      </c>
    </row>
    <row r="46" spans="1:17">
      <c r="A46" s="2">
        <f>IF(INDEX(学年度总表!$A$3:$A$1025,MATCH($E46,学年度总表!$E$3:$E$1025,0))="","",INDEX(学年度总表!$A$3:$A$1025,MATCH($E46,学年度总表!$E$3:$E$1025,0)))</f>
        <v>308</v>
      </c>
      <c r="B46" s="2">
        <f>IF(INDEX(学年度总表!$B$3:$B$1025,MATCH($E46,学年度总表!$E$3:$E$1025,0))="","",INDEX(学年度总表!$B$3:$B$1025,MATCH($E46,学年度总表!$E$3:$E$1025,0)))</f>
        <v>44</v>
      </c>
      <c r="C46" s="2" t="str">
        <f>IF(INDEX(学年度总表!$C$3:$C$1025,MATCH($E46,学年度总表!$E$3:$E$1025,0))="","",INDEX(学年度总表!$C$3:$C$1025,MATCH($E46,学年度总表!$E$3:$E$1025,0)))</f>
        <v>网工</v>
      </c>
      <c r="D46" s="2" t="str">
        <f>IF(INDEX(学年度总表!$D$3:$D$1025,MATCH($E46,学年度总表!$E$3:$E$1025,0))="","",INDEX(学年度总表!$D$3:$D$1025,MATCH($E46,学年度总表!$E$3:$E$1025,0)))</f>
        <v>网工16班</v>
      </c>
      <c r="E46" s="2" t="s">
        <v>676</v>
      </c>
      <c r="F46" s="2" t="str">
        <f>IF(INDEX(学年度总表!$F$3:$F$1025,MATCH($E46,学年度总表!$E$3:$E$1025,0))="","",INDEX(学年度总表!$F$3:$F$1025,MATCH($E46,学年度总表!$E$3:$E$1025,0)))</f>
        <v>盖嘉悦</v>
      </c>
      <c r="G46" s="3">
        <f>IF(INDEX(学年度总表!$G$3:$G$1025,MATCH($E46,学年度总表!$E$3:$E$1025,0))="","",INDEX(学年度总表!$G$3:$G$1025,MATCH($E46,学年度总表!$E$3:$E$1025,0)))</f>
        <v>9.8000000000000007</v>
      </c>
      <c r="H46" s="3">
        <f>IF(INDEX(学年度总表!$H$3:$H$1025,MATCH($E46,学年度总表!$E$3:$E$1025,0))="","",INDEX(学年度总表!$H$3:$H$1025,MATCH($E46,学年度总表!$E$3:$E$1025,0)))</f>
        <v>61.22</v>
      </c>
      <c r="I46" s="3">
        <f>IF(INDEX(学年度总表!$I$3:$I$1025,MATCH($E46,学年度总表!$E$3:$E$1025,0))="","",INDEX(学年度总表!$I$3:$I$1025,MATCH($E46,学年度总表!$E$3:$E$1025,0)))</f>
        <v>4.6500000000000004</v>
      </c>
      <c r="J46" s="3">
        <f>IF(INDEX(学年度总表!$J$3:$J$1025,MATCH($E46,学年度总表!$E$3:$E$1025,0))="","",INDEX(学年度总表!$J$3:$J$1025,MATCH($E46,学年度总表!$E$3:$E$1025,0)))</f>
        <v>75.67</v>
      </c>
      <c r="K46" s="3">
        <f>IF(INDEX(学年度总表!$K$3:$K$1025,MATCH($E46,学年度总表!$E$3:$E$1025,0))="","",INDEX(学年度总表!$K$3:$K$1025,MATCH($E46,学年度总表!$E$3:$E$1025,0)))</f>
        <v>7.3000000000000007</v>
      </c>
      <c r="L46" s="3">
        <f>IF(INDEX(学年度总表!$L$3:$L$1025,MATCH($E46,学年度总表!$E$3:$E$1025,0))="","",INDEX(学年度总表!$L$3:$L$1025,MATCH($E46,学年度总表!$E$3:$E$1025,0)))</f>
        <v>58.16</v>
      </c>
      <c r="M46" s="3">
        <f>IF(INDEX(学年度总表!$M$3:$M$1025,MATCH($E46,学年度总表!$E$3:$E$1025,0))="","",INDEX(学年度总表!$M$3:$M$1025,MATCH($E46,学年度总表!$E$3:$E$1025,0)))</f>
        <v>6.2</v>
      </c>
      <c r="N46" s="3">
        <f>IF(INDEX(学年度总表!$N$3:$N$1025,MATCH($E46,学年度总表!$E$3:$E$1025,0))="","",INDEX(学年度总表!$N$3:$N$1025,MATCH($E46,学年度总表!$E$3:$E$1025,0)))</f>
        <v>71.66</v>
      </c>
      <c r="O46" s="3">
        <f>IF(INDEX(学年度总表!$O$3:$O$1025,MATCH($E46,学年度总表!$E$3:$E$1025,0))="","",INDEX(学年度总表!$O$3:$O$1025,MATCH($E46,学年度总表!$E$3:$E$1025,0)))</f>
        <v>147.33000000000001</v>
      </c>
      <c r="P46" s="2" t="str">
        <f>IF(INDEX(学年度总表!$P$3:$P$1025,MATCH($E46,学年度总表!$E$3:$E$1025,0))="","",INDEX(学年度总表!$P$3:$P$1025,MATCH($E46,学年度总表!$E$3:$E$1025,0)))</f>
        <v/>
      </c>
      <c r="Q46" s="5" t="str">
        <f>IF(INDEX(学年度总表!$Q$3:$Q$1025,MATCH($E46,学年度总表!$E$3:$E$1025,0))="","",INDEX(学年度总表!$Q$3:$Q$1025,MATCH($E46,学年度总表!$E$3:$E$1025,0)))</f>
        <v/>
      </c>
    </row>
    <row r="47" spans="1:17">
      <c r="A47" s="2">
        <f>IF(INDEX(学年度总表!$A$3:$A$1025,MATCH($E47,学年度总表!$E$3:$E$1025,0))="","",INDEX(学年度总表!$A$3:$A$1025,MATCH($E47,学年度总表!$E$3:$E$1025,0)))</f>
        <v>310</v>
      </c>
      <c r="B47" s="2">
        <f>IF(INDEX(学年度总表!$B$3:$B$1025,MATCH($E47,学年度总表!$E$3:$E$1025,0))="","",INDEX(学年度总表!$B$3:$B$1025,MATCH($E47,学年度总表!$E$3:$E$1025,0)))</f>
        <v>45</v>
      </c>
      <c r="C47" s="2" t="str">
        <f>IF(INDEX(学年度总表!$C$3:$C$1025,MATCH($E47,学年度总表!$E$3:$E$1025,0))="","",INDEX(学年度总表!$C$3:$C$1025,MATCH($E47,学年度总表!$E$3:$E$1025,0)))</f>
        <v>网工</v>
      </c>
      <c r="D47" s="2" t="str">
        <f>IF(INDEX(学年度总表!$D$3:$D$1025,MATCH($E47,学年度总表!$E$3:$E$1025,0))="","",INDEX(学年度总表!$D$3:$D$1025,MATCH($E47,学年度总表!$E$3:$E$1025,0)))</f>
        <v>网工15班</v>
      </c>
      <c r="E47" s="2" t="s">
        <v>680</v>
      </c>
      <c r="F47" s="2" t="str">
        <f>IF(INDEX(学年度总表!$F$3:$F$1025,MATCH($E47,学年度总表!$E$3:$E$1025,0))="","",INDEX(学年度总表!$F$3:$F$1025,MATCH($E47,学年度总表!$E$3:$E$1025,0)))</f>
        <v>王祎铭</v>
      </c>
      <c r="G47" s="3">
        <f>IF(INDEX(学年度总表!$G$3:$G$1025,MATCH($E47,学年度总表!$E$3:$E$1025,0))="","",INDEX(学年度总表!$G$3:$G$1025,MATCH($E47,学年度总表!$E$3:$E$1025,0)))</f>
        <v>9.8000000000000007</v>
      </c>
      <c r="H47" s="3">
        <f>IF(INDEX(学年度总表!$H$3:$H$1025,MATCH($E47,学年度总表!$E$3:$E$1025,0))="","",INDEX(学年度总表!$H$3:$H$1025,MATCH($E47,学年度总表!$E$3:$E$1025,0)))</f>
        <v>61.67</v>
      </c>
      <c r="I47" s="3">
        <f>IF(INDEX(学年度总表!$I$3:$I$1025,MATCH($E47,学年度总表!$E$3:$E$1025,0))="","",INDEX(学年度总表!$I$3:$I$1025,MATCH($E47,学年度总表!$E$3:$E$1025,0)))</f>
        <v>4</v>
      </c>
      <c r="J47" s="3">
        <f>IF(INDEX(学年度总表!$J$3:$J$1025,MATCH($E47,学年度总表!$E$3:$E$1025,0))="","",INDEX(学年度总表!$J$3:$J$1025,MATCH($E47,学年度总表!$E$3:$E$1025,0)))</f>
        <v>75.47</v>
      </c>
      <c r="K47" s="3">
        <f>IF(INDEX(学年度总表!$K$3:$K$1025,MATCH($E47,学年度总表!$E$3:$E$1025,0))="","",INDEX(学年度总表!$K$3:$K$1025,MATCH($E47,学年度总表!$E$3:$E$1025,0)))</f>
        <v>7.3000000000000007</v>
      </c>
      <c r="L47" s="3">
        <f>IF(INDEX(学年度总表!$L$3:$L$1025,MATCH($E47,学年度总表!$E$3:$E$1025,0))="","",INDEX(学年度总表!$L$3:$L$1025,MATCH($E47,学年度总表!$E$3:$E$1025,0)))</f>
        <v>60.96</v>
      </c>
      <c r="M47" s="3">
        <f>IF(INDEX(学年度总表!$M$3:$M$1025,MATCH($E47,学年度总表!$E$3:$E$1025,0))="","",INDEX(学年度总表!$M$3:$M$1025,MATCH($E47,学年度总表!$E$3:$E$1025,0)))</f>
        <v>3.5</v>
      </c>
      <c r="N47" s="3">
        <f>IF(INDEX(学年度总表!$N$3:$N$1025,MATCH($E47,学年度总表!$E$3:$E$1025,0))="","",INDEX(学年度总表!$N$3:$N$1025,MATCH($E47,学年度总表!$E$3:$E$1025,0)))</f>
        <v>71.760000000000005</v>
      </c>
      <c r="O47" s="3">
        <f>IF(INDEX(学年度总表!$O$3:$O$1025,MATCH($E47,学年度总表!$E$3:$E$1025,0))="","",INDEX(学年度总表!$O$3:$O$1025,MATCH($E47,学年度总表!$E$3:$E$1025,0)))</f>
        <v>147.22999999999999</v>
      </c>
      <c r="P47" s="2" t="str">
        <f>IF(INDEX(学年度总表!$P$3:$P$1025,MATCH($E47,学年度总表!$E$3:$E$1025,0))="","",INDEX(学年度总表!$P$3:$P$1025,MATCH($E47,学年度总表!$E$3:$E$1025,0)))</f>
        <v/>
      </c>
      <c r="Q47" s="5" t="str">
        <f>IF(INDEX(学年度总表!$Q$3:$Q$1025,MATCH($E47,学年度总表!$E$3:$E$1025,0))="","",INDEX(学年度总表!$Q$3:$Q$1025,MATCH($E47,学年度总表!$E$3:$E$1025,0)))</f>
        <v/>
      </c>
    </row>
    <row r="48" spans="1:17">
      <c r="A48" s="2">
        <f>IF(INDEX(学年度总表!$A$3:$A$1025,MATCH($E48,学年度总表!$E$3:$E$1025,0))="","",INDEX(学年度总表!$A$3:$A$1025,MATCH($E48,学年度总表!$E$3:$E$1025,0)))</f>
        <v>321</v>
      </c>
      <c r="B48" s="2">
        <f>IF(INDEX(学年度总表!$B$3:$B$1025,MATCH($E48,学年度总表!$E$3:$E$1025,0))="","",INDEX(学年度总表!$B$3:$B$1025,MATCH($E48,学年度总表!$E$3:$E$1025,0)))</f>
        <v>46</v>
      </c>
      <c r="C48" s="2" t="str">
        <f>IF(INDEX(学年度总表!$C$3:$C$1025,MATCH($E48,学年度总表!$E$3:$E$1025,0))="","",INDEX(学年度总表!$C$3:$C$1025,MATCH($E48,学年度总表!$E$3:$E$1025,0)))</f>
        <v>网工</v>
      </c>
      <c r="D48" s="2" t="str">
        <f>IF(INDEX(学年度总表!$D$3:$D$1025,MATCH($E48,学年度总表!$E$3:$E$1025,0))="","",INDEX(学年度总表!$D$3:$D$1025,MATCH($E48,学年度总表!$E$3:$E$1025,0)))</f>
        <v>网工18班</v>
      </c>
      <c r="E48" s="2" t="s">
        <v>702</v>
      </c>
      <c r="F48" s="2" t="str">
        <f>IF(INDEX(学年度总表!$F$3:$F$1025,MATCH($E48,学年度总表!$E$3:$E$1025,0))="","",INDEX(学年度总表!$F$3:$F$1025,MATCH($E48,学年度总表!$E$3:$E$1025,0)))</f>
        <v>崔少伦</v>
      </c>
      <c r="G48" s="3">
        <f>IF(INDEX(学年度总表!$G$3:$G$1025,MATCH($E48,学年度总表!$E$3:$E$1025,0))="","",INDEX(学年度总表!$G$3:$G$1025,MATCH($E48,学年度总表!$E$3:$E$1025,0)))</f>
        <v>10.8</v>
      </c>
      <c r="H48" s="3">
        <f>IF(INDEX(学年度总表!$H$3:$H$1025,MATCH($E48,学年度总表!$E$3:$E$1025,0))="","",INDEX(学年度总表!$H$3:$H$1025,MATCH($E48,学年度总表!$E$3:$E$1025,0)))</f>
        <v>59.79</v>
      </c>
      <c r="I48" s="3">
        <f>IF(INDEX(学年度总表!$I$3:$I$1025,MATCH($E48,学年度总表!$E$3:$E$1025,0))="","",INDEX(学年度总表!$I$3:$I$1025,MATCH($E48,学年度总表!$E$3:$E$1025,0)))</f>
        <v>5.45</v>
      </c>
      <c r="J48" s="3">
        <f>IF(INDEX(学年度总表!$J$3:$J$1025,MATCH($E48,学年度总表!$E$3:$E$1025,0))="","",INDEX(学年度总表!$J$3:$J$1025,MATCH($E48,学年度总表!$E$3:$E$1025,0)))</f>
        <v>76.040000000000006</v>
      </c>
      <c r="K48" s="3">
        <f>IF(INDEX(学年度总表!$K$3:$K$1025,MATCH($E48,学年度总表!$E$3:$E$1025,0))="","",INDEX(学年度总表!$K$3:$K$1025,MATCH($E48,学年度总表!$E$3:$E$1025,0)))</f>
        <v>9.8000000000000007</v>
      </c>
      <c r="L48" s="3">
        <f>IF(INDEX(学年度总表!$L$3:$L$1025,MATCH($E48,学年度总表!$E$3:$E$1025,0))="","",INDEX(学年度总表!$L$3:$L$1025,MATCH($E48,学年度总表!$E$3:$E$1025,0)))</f>
        <v>53.02</v>
      </c>
      <c r="M48" s="3">
        <f>IF(INDEX(学年度总表!$M$3:$M$1025,MATCH($E48,学年度总表!$E$3:$E$1025,0))="","",INDEX(学年度总表!$M$3:$M$1025,MATCH($E48,学年度总表!$E$3:$E$1025,0)))</f>
        <v>7.7</v>
      </c>
      <c r="N48" s="3">
        <f>IF(INDEX(学年度总表!$N$3:$N$1025,MATCH($E48,学年度总表!$E$3:$E$1025,0))="","",INDEX(学年度总表!$N$3:$N$1025,MATCH($E48,学年度总表!$E$3:$E$1025,0)))</f>
        <v>70.52</v>
      </c>
      <c r="O48" s="3">
        <f>IF(INDEX(学年度总表!$O$3:$O$1025,MATCH($E48,学年度总表!$E$3:$E$1025,0))="","",INDEX(学年度总表!$O$3:$O$1025,MATCH($E48,学年度总表!$E$3:$E$1025,0)))</f>
        <v>146.56</v>
      </c>
      <c r="P48" s="2" t="str">
        <f>IF(INDEX(学年度总表!$P$3:$P$1025,MATCH($E48,学年度总表!$E$3:$E$1025,0))="","",INDEX(学年度总表!$P$3:$P$1025,MATCH($E48,学年度总表!$E$3:$E$1025,0)))</f>
        <v/>
      </c>
      <c r="Q48" s="5" t="str">
        <f>IF(INDEX(学年度总表!$Q$3:$Q$1025,MATCH($E48,学年度总表!$E$3:$E$1025,0))="","",INDEX(学年度总表!$Q$3:$Q$1025,MATCH($E48,学年度总表!$E$3:$E$1025,0)))</f>
        <v/>
      </c>
    </row>
    <row r="49" spans="1:17">
      <c r="A49" s="2">
        <f>IF(INDEX(学年度总表!$A$3:$A$1025,MATCH($E49,学年度总表!$E$3:$E$1025,0))="","",INDEX(学年度总表!$A$3:$A$1025,MATCH($E49,学年度总表!$E$3:$E$1025,0)))</f>
        <v>331</v>
      </c>
      <c r="B49" s="2">
        <f>IF(INDEX(学年度总表!$B$3:$B$1025,MATCH($E49,学年度总表!$E$3:$E$1025,0))="","",INDEX(学年度总表!$B$3:$B$1025,MATCH($E49,学年度总表!$E$3:$E$1025,0)))</f>
        <v>47</v>
      </c>
      <c r="C49" s="2" t="str">
        <f>IF(INDEX(学年度总表!$C$3:$C$1025,MATCH($E49,学年度总表!$E$3:$E$1025,0))="","",INDEX(学年度总表!$C$3:$C$1025,MATCH($E49,学年度总表!$E$3:$E$1025,0)))</f>
        <v>网工</v>
      </c>
      <c r="D49" s="2" t="str">
        <f>IF(INDEX(学年度总表!$D$3:$D$1025,MATCH($E49,学年度总表!$E$3:$E$1025,0))="","",INDEX(学年度总表!$D$3:$D$1025,MATCH($E49,学年度总表!$E$3:$E$1025,0)))</f>
        <v>网工15班</v>
      </c>
      <c r="E49" s="2" t="s">
        <v>722</v>
      </c>
      <c r="F49" s="2" t="str">
        <f>IF(INDEX(学年度总表!$F$3:$F$1025,MATCH($E49,学年度总表!$E$3:$E$1025,0))="","",INDEX(学年度总表!$F$3:$F$1025,MATCH($E49,学年度总表!$E$3:$E$1025,0)))</f>
        <v>任轩仪</v>
      </c>
      <c r="G49" s="3">
        <f>IF(INDEX(学年度总表!$G$3:$G$1025,MATCH($E49,学年度总表!$E$3:$E$1025,0))="","",INDEX(学年度总表!$G$3:$G$1025,MATCH($E49,学年度总表!$E$3:$E$1025,0)))</f>
        <v>10.3</v>
      </c>
      <c r="H49" s="3">
        <f>IF(INDEX(学年度总表!$H$3:$H$1025,MATCH($E49,学年度总表!$E$3:$E$1025,0))="","",INDEX(学年度总表!$H$3:$H$1025,MATCH($E49,学年度总表!$E$3:$E$1025,0)))</f>
        <v>60.39</v>
      </c>
      <c r="I49" s="3">
        <f>IF(INDEX(学年度总表!$I$3:$I$1025,MATCH($E49,学年度总表!$E$3:$E$1025,0))="","",INDEX(学年度总表!$I$3:$I$1025,MATCH($E49,学年度总表!$E$3:$E$1025,0)))</f>
        <v>4.5</v>
      </c>
      <c r="J49" s="3">
        <f>IF(INDEX(学年度总表!$J$3:$J$1025,MATCH($E49,学年度总表!$E$3:$E$1025,0))="","",INDEX(学年度总表!$J$3:$J$1025,MATCH($E49,学年度总表!$E$3:$E$1025,0)))</f>
        <v>75.19</v>
      </c>
      <c r="K49" s="3">
        <f>IF(INDEX(学年度总表!$K$3:$K$1025,MATCH($E49,学年度总表!$E$3:$E$1025,0))="","",INDEX(学年度总表!$K$3:$K$1025,MATCH($E49,学年度总表!$E$3:$E$1025,0)))</f>
        <v>7.3000000000000007</v>
      </c>
      <c r="L49" s="3">
        <f>IF(INDEX(学年度总表!$L$3:$L$1025,MATCH($E49,学年度总表!$E$3:$E$1025,0))="","",INDEX(学年度总表!$L$3:$L$1025,MATCH($E49,学年度总表!$E$3:$E$1025,0)))</f>
        <v>58.88</v>
      </c>
      <c r="M49" s="3">
        <f>IF(INDEX(学年度总表!$M$3:$M$1025,MATCH($E49,学年度总表!$E$3:$E$1025,0))="","",INDEX(学年度总表!$M$3:$M$1025,MATCH($E49,学年度总表!$E$3:$E$1025,0)))</f>
        <v>4.8</v>
      </c>
      <c r="N49" s="3">
        <f>IF(INDEX(学年度总表!$N$3:$N$1025,MATCH($E49,学年度总表!$E$3:$E$1025,0))="","",INDEX(学年度总表!$N$3:$N$1025,MATCH($E49,学年度总表!$E$3:$E$1025,0)))</f>
        <v>70.98</v>
      </c>
      <c r="O49" s="3">
        <f>IF(INDEX(学年度总表!$O$3:$O$1025,MATCH($E49,学年度总表!$E$3:$E$1025,0))="","",INDEX(学年度总表!$O$3:$O$1025,MATCH($E49,学年度总表!$E$3:$E$1025,0)))</f>
        <v>146.16999999999999</v>
      </c>
      <c r="P49" s="2" t="str">
        <f>IF(INDEX(学年度总表!$P$3:$P$1025,MATCH($E49,学年度总表!$E$3:$E$1025,0))="","",INDEX(学年度总表!$P$3:$P$1025,MATCH($E49,学年度总表!$E$3:$E$1025,0)))</f>
        <v/>
      </c>
      <c r="Q49" s="5" t="str">
        <f>IF(INDEX(学年度总表!$Q$3:$Q$1025,MATCH($E49,学年度总表!$E$3:$E$1025,0))="","",INDEX(学年度总表!$Q$3:$Q$1025,MATCH($E49,学年度总表!$E$3:$E$1025,0)))</f>
        <v/>
      </c>
    </row>
    <row r="50" spans="1:17">
      <c r="A50" s="2">
        <f>IF(INDEX(学年度总表!$A$3:$A$1025,MATCH($E50,学年度总表!$E$3:$E$1025,0))="","",INDEX(学年度总表!$A$3:$A$1025,MATCH($E50,学年度总表!$E$3:$E$1025,0)))</f>
        <v>339</v>
      </c>
      <c r="B50" s="2">
        <f>IF(INDEX(学年度总表!$B$3:$B$1025,MATCH($E50,学年度总表!$E$3:$E$1025,0))="","",INDEX(学年度总表!$B$3:$B$1025,MATCH($E50,学年度总表!$E$3:$E$1025,0)))</f>
        <v>48</v>
      </c>
      <c r="C50" s="2" t="str">
        <f>IF(INDEX(学年度总表!$C$3:$C$1025,MATCH($E50,学年度总表!$E$3:$E$1025,0))="","",INDEX(学年度总表!$C$3:$C$1025,MATCH($E50,学年度总表!$E$3:$E$1025,0)))</f>
        <v>网工</v>
      </c>
      <c r="D50" s="2" t="str">
        <f>IF(INDEX(学年度总表!$D$3:$D$1025,MATCH($E50,学年度总表!$E$3:$E$1025,0))="","",INDEX(学年度总表!$D$3:$D$1025,MATCH($E50,学年度总表!$E$3:$E$1025,0)))</f>
        <v>网工15班</v>
      </c>
      <c r="E50" s="2" t="s">
        <v>738</v>
      </c>
      <c r="F50" s="2" t="str">
        <f>IF(INDEX(学年度总表!$F$3:$F$1025,MATCH($E50,学年度总表!$E$3:$E$1025,0))="","",INDEX(学年度总表!$F$3:$F$1025,MATCH($E50,学年度总表!$E$3:$E$1025,0)))</f>
        <v>云朵</v>
      </c>
      <c r="G50" s="3">
        <f>IF(INDEX(学年度总表!$G$3:$G$1025,MATCH($E50,学年度总表!$E$3:$E$1025,0))="","",INDEX(学年度总表!$G$3:$G$1025,MATCH($E50,学年度总表!$E$3:$E$1025,0)))</f>
        <v>10.8</v>
      </c>
      <c r="H50" s="3">
        <f>IF(INDEX(学年度总表!$H$3:$H$1025,MATCH($E50,学年度总表!$E$3:$E$1025,0))="","",INDEX(学年度总表!$H$3:$H$1025,MATCH($E50,学年度总表!$E$3:$E$1025,0)))</f>
        <v>61.47</v>
      </c>
      <c r="I50" s="3">
        <f>IF(INDEX(学年度总表!$I$3:$I$1025,MATCH($E50,学年度总表!$E$3:$E$1025,0))="","",INDEX(学年度总表!$I$3:$I$1025,MATCH($E50,学年度总表!$E$3:$E$1025,0)))</f>
        <v>3</v>
      </c>
      <c r="J50" s="3">
        <f>IF(INDEX(学年度总表!$J$3:$J$1025,MATCH($E50,学年度总表!$E$3:$E$1025,0))="","",INDEX(学年度总表!$J$3:$J$1025,MATCH($E50,学年度总表!$E$3:$E$1025,0)))</f>
        <v>75.27</v>
      </c>
      <c r="K50" s="3">
        <f>IF(INDEX(学年度总表!$K$3:$K$1025,MATCH($E50,学年度总表!$E$3:$E$1025,0))="","",INDEX(学年度总表!$K$3:$K$1025,MATCH($E50,学年度总表!$E$3:$E$1025,0)))</f>
        <v>8.8000000000000007</v>
      </c>
      <c r="L50" s="3">
        <f>IF(INDEX(学年度总表!$L$3:$L$1025,MATCH($E50,学年度总表!$E$3:$E$1025,0))="","",INDEX(学年度总表!$L$3:$L$1025,MATCH($E50,学年度总表!$E$3:$E$1025,0)))</f>
        <v>57.42</v>
      </c>
      <c r="M50" s="3">
        <f>IF(INDEX(学年度总表!$M$3:$M$1025,MATCH($E50,学年度总表!$E$3:$E$1025,0))="","",INDEX(学年度总表!$M$3:$M$1025,MATCH($E50,学年度总表!$E$3:$E$1025,0)))</f>
        <v>4.0999999999999996</v>
      </c>
      <c r="N50" s="3">
        <f>IF(INDEX(学年度总表!$N$3:$N$1025,MATCH($E50,学年度总表!$E$3:$E$1025,0))="","",INDEX(学年度总表!$N$3:$N$1025,MATCH($E50,学年度总表!$E$3:$E$1025,0)))</f>
        <v>70.319999999999993</v>
      </c>
      <c r="O50" s="3">
        <f>IF(INDEX(学年度总表!$O$3:$O$1025,MATCH($E50,学年度总表!$E$3:$E$1025,0))="","",INDEX(学年度总表!$O$3:$O$1025,MATCH($E50,学年度总表!$E$3:$E$1025,0)))</f>
        <v>145.59</v>
      </c>
      <c r="P50" s="2" t="str">
        <f>IF(INDEX(学年度总表!$P$3:$P$1025,MATCH($E50,学年度总表!$E$3:$E$1025,0))="","",INDEX(学年度总表!$P$3:$P$1025,MATCH($E50,学年度总表!$E$3:$E$1025,0)))</f>
        <v/>
      </c>
      <c r="Q50" s="5" t="str">
        <f>IF(INDEX(学年度总表!$Q$3:$Q$1025,MATCH($E50,学年度总表!$E$3:$E$1025,0))="","",INDEX(学年度总表!$Q$3:$Q$1025,MATCH($E50,学年度总表!$E$3:$E$1025,0)))</f>
        <v/>
      </c>
    </row>
    <row r="51" spans="1:17">
      <c r="A51" s="2">
        <f>IF(INDEX(学年度总表!$A$3:$A$1025,MATCH($E51,学年度总表!$E$3:$E$1025,0))="","",INDEX(学年度总表!$A$3:$A$1025,MATCH($E51,学年度总表!$E$3:$E$1025,0)))</f>
        <v>343</v>
      </c>
      <c r="B51" s="2">
        <f>IF(INDEX(学年度总表!$B$3:$B$1025,MATCH($E51,学年度总表!$E$3:$E$1025,0))="","",INDEX(学年度总表!$B$3:$B$1025,MATCH($E51,学年度总表!$E$3:$E$1025,0)))</f>
        <v>49</v>
      </c>
      <c r="C51" s="2" t="str">
        <f>IF(INDEX(学年度总表!$C$3:$C$1025,MATCH($E51,学年度总表!$E$3:$E$1025,0))="","",INDEX(学年度总表!$C$3:$C$1025,MATCH($E51,学年度总表!$E$3:$E$1025,0)))</f>
        <v>网工</v>
      </c>
      <c r="D51" s="2" t="str">
        <f>IF(INDEX(学年度总表!$D$3:$D$1025,MATCH($E51,学年度总表!$E$3:$E$1025,0))="","",INDEX(学年度总表!$D$3:$D$1025,MATCH($E51,学年度总表!$E$3:$E$1025,0)))</f>
        <v>网工16班</v>
      </c>
      <c r="E51" s="2" t="s">
        <v>746</v>
      </c>
      <c r="F51" s="2" t="str">
        <f>IF(INDEX(学年度总表!$F$3:$F$1025,MATCH($E51,学年度总表!$E$3:$E$1025,0))="","",INDEX(学年度总表!$F$3:$F$1025,MATCH($E51,学年度总表!$E$3:$E$1025,0)))</f>
        <v>于晓彤</v>
      </c>
      <c r="G51" s="3">
        <f>IF(INDEX(学年度总表!$G$3:$G$1025,MATCH($E51,学年度总表!$E$3:$E$1025,0))="","",INDEX(学年度总表!$G$3:$G$1025,MATCH($E51,学年度总表!$E$3:$E$1025,0)))</f>
        <v>10.8</v>
      </c>
      <c r="H51" s="3">
        <f>IF(INDEX(学年度总表!$H$3:$H$1025,MATCH($E51,学年度总表!$E$3:$E$1025,0))="","",INDEX(学年度总表!$H$3:$H$1025,MATCH($E51,学年度总表!$E$3:$E$1025,0)))</f>
        <v>62.35</v>
      </c>
      <c r="I51" s="3">
        <f>IF(INDEX(学年度总表!$I$3:$I$1025,MATCH($E51,学年度总表!$E$3:$E$1025,0))="","",INDEX(学年度总表!$I$3:$I$1025,MATCH($E51,学年度总表!$E$3:$E$1025,0)))</f>
        <v>3</v>
      </c>
      <c r="J51" s="3">
        <f>IF(INDEX(学年度总表!$J$3:$J$1025,MATCH($E51,学年度总表!$E$3:$E$1025,0))="","",INDEX(学年度总表!$J$3:$J$1025,MATCH($E51,学年度总表!$E$3:$E$1025,0)))</f>
        <v>76.150000000000006</v>
      </c>
      <c r="K51" s="3">
        <f>IF(INDEX(学年度总表!$K$3:$K$1025,MATCH($E51,学年度总表!$E$3:$E$1025,0))="","",INDEX(学年度总表!$K$3:$K$1025,MATCH($E51,学年度总表!$E$3:$E$1025,0)))</f>
        <v>9.8000000000000007</v>
      </c>
      <c r="L51" s="3">
        <f>IF(INDEX(学年度总表!$L$3:$L$1025,MATCH($E51,学年度总表!$E$3:$E$1025,0))="","",INDEX(学年度总表!$L$3:$L$1025,MATCH($E51,学年度总表!$E$3:$E$1025,0)))</f>
        <v>55.99</v>
      </c>
      <c r="M51" s="3">
        <f>IF(INDEX(学年度总表!$M$3:$M$1025,MATCH($E51,学年度总表!$E$3:$E$1025,0))="","",INDEX(学年度总表!$M$3:$M$1025,MATCH($E51,学年度总表!$E$3:$E$1025,0)))</f>
        <v>3.5</v>
      </c>
      <c r="N51" s="3">
        <f>IF(INDEX(学年度总表!$N$3:$N$1025,MATCH($E51,学年度总表!$E$3:$E$1025,0))="","",INDEX(学年度总表!$N$3:$N$1025,MATCH($E51,学年度总表!$E$3:$E$1025,0)))</f>
        <v>69.290000000000006</v>
      </c>
      <c r="O51" s="3">
        <f>IF(INDEX(学年度总表!$O$3:$O$1025,MATCH($E51,学年度总表!$E$3:$E$1025,0))="","",INDEX(学年度总表!$O$3:$O$1025,MATCH($E51,学年度总表!$E$3:$E$1025,0)))</f>
        <v>145.44</v>
      </c>
      <c r="P51" s="2" t="str">
        <f>IF(INDEX(学年度总表!$P$3:$P$1025,MATCH($E51,学年度总表!$E$3:$E$1025,0))="","",INDEX(学年度总表!$P$3:$P$1025,MATCH($E51,学年度总表!$E$3:$E$1025,0)))</f>
        <v/>
      </c>
      <c r="Q51" s="5" t="str">
        <f>IF(INDEX(学年度总表!$Q$3:$Q$1025,MATCH($E51,学年度总表!$E$3:$E$1025,0))="","",INDEX(学年度总表!$Q$3:$Q$1025,MATCH($E51,学年度总表!$E$3:$E$1025,0)))</f>
        <v/>
      </c>
    </row>
    <row r="52" spans="1:17">
      <c r="A52" s="2">
        <f>IF(INDEX(学年度总表!$A$3:$A$1025,MATCH($E52,学年度总表!$E$3:$E$1025,0))="","",INDEX(学年度总表!$A$3:$A$1025,MATCH($E52,学年度总表!$E$3:$E$1025,0)))</f>
        <v>345</v>
      </c>
      <c r="B52" s="2">
        <f>IF(INDEX(学年度总表!$B$3:$B$1025,MATCH($E52,学年度总表!$E$3:$E$1025,0))="","",INDEX(学年度总表!$B$3:$B$1025,MATCH($E52,学年度总表!$E$3:$E$1025,0)))</f>
        <v>50</v>
      </c>
      <c r="C52" s="2" t="str">
        <f>IF(INDEX(学年度总表!$C$3:$C$1025,MATCH($E52,学年度总表!$E$3:$E$1025,0))="","",INDEX(学年度总表!$C$3:$C$1025,MATCH($E52,学年度总表!$E$3:$E$1025,0)))</f>
        <v>网工</v>
      </c>
      <c r="D52" s="2" t="str">
        <f>IF(INDEX(学年度总表!$D$3:$D$1025,MATCH($E52,学年度总表!$E$3:$E$1025,0))="","",INDEX(学年度总表!$D$3:$D$1025,MATCH($E52,学年度总表!$E$3:$E$1025,0)))</f>
        <v>网工16班</v>
      </c>
      <c r="E52" s="2" t="s">
        <v>750</v>
      </c>
      <c r="F52" s="2" t="str">
        <f>IF(INDEX(学年度总表!$F$3:$F$1025,MATCH($E52,学年度总表!$E$3:$E$1025,0))="","",INDEX(学年度总表!$F$3:$F$1025,MATCH($E52,学年度总表!$E$3:$E$1025,0)))</f>
        <v>李昕彤</v>
      </c>
      <c r="G52" s="3">
        <f>IF(INDEX(学年度总表!$G$3:$G$1025,MATCH($E52,学年度总表!$E$3:$E$1025,0))="","",INDEX(学年度总表!$G$3:$G$1025,MATCH($E52,学年度总表!$E$3:$E$1025,0)))</f>
        <v>9.4</v>
      </c>
      <c r="H52" s="3">
        <f>IF(INDEX(学年度总表!$H$3:$H$1025,MATCH($E52,学年度总表!$E$3:$E$1025,0))="","",INDEX(学年度总表!$H$3:$H$1025,MATCH($E52,学年度总表!$E$3:$E$1025,0)))</f>
        <v>59.56</v>
      </c>
      <c r="I52" s="3">
        <f>IF(INDEX(学年度总表!$I$3:$I$1025,MATCH($E52,学年度总表!$E$3:$E$1025,0))="","",INDEX(学年度总表!$I$3:$I$1025,MATCH($E52,学年度总表!$E$3:$E$1025,0)))</f>
        <v>3</v>
      </c>
      <c r="J52" s="3">
        <f>IF(INDEX(学年度总表!$J$3:$J$1025,MATCH($E52,学年度总表!$E$3:$E$1025,0))="","",INDEX(学年度总表!$J$3:$J$1025,MATCH($E52,学年度总表!$E$3:$E$1025,0)))</f>
        <v>71.959999999999994</v>
      </c>
      <c r="K52" s="3">
        <f>IF(INDEX(学年度总表!$K$3:$K$1025,MATCH($E52,学年度总表!$E$3:$E$1025,0))="","",INDEX(学年度总表!$K$3:$K$1025,MATCH($E52,学年度总表!$E$3:$E$1025,0)))</f>
        <v>7.3000000000000007</v>
      </c>
      <c r="L52" s="3">
        <f>IF(INDEX(学年度总表!$L$3:$L$1025,MATCH($E52,学年度总表!$E$3:$E$1025,0))="","",INDEX(学年度总表!$L$3:$L$1025,MATCH($E52,学年度总表!$E$3:$E$1025,0)))</f>
        <v>61.38</v>
      </c>
      <c r="M52" s="3">
        <f>IF(INDEX(学年度总表!$M$3:$M$1025,MATCH($E52,学年度总表!$E$3:$E$1025,0))="","",INDEX(学年度总表!$M$3:$M$1025,MATCH($E52,学年度总表!$E$3:$E$1025,0)))</f>
        <v>4.7</v>
      </c>
      <c r="N52" s="3">
        <f>IF(INDEX(学年度总表!$N$3:$N$1025,MATCH($E52,学年度总表!$E$3:$E$1025,0))="","",INDEX(学年度总表!$N$3:$N$1025,MATCH($E52,学年度总表!$E$3:$E$1025,0)))</f>
        <v>73.38</v>
      </c>
      <c r="O52" s="3">
        <f>IF(INDEX(学年度总表!$O$3:$O$1025,MATCH($E52,学年度总表!$E$3:$E$1025,0))="","",INDEX(学年度总表!$O$3:$O$1025,MATCH($E52,学年度总表!$E$3:$E$1025,0)))</f>
        <v>145.34</v>
      </c>
      <c r="P52" s="2" t="str">
        <f>IF(INDEX(学年度总表!$P$3:$P$1025,MATCH($E52,学年度总表!$E$3:$E$1025,0))="","",INDEX(学年度总表!$P$3:$P$1025,MATCH($E52,学年度总表!$E$3:$E$1025,0)))</f>
        <v/>
      </c>
      <c r="Q52" s="5" t="str">
        <f>IF(INDEX(学年度总表!$Q$3:$Q$1025,MATCH($E52,学年度总表!$E$3:$E$1025,0))="","",INDEX(学年度总表!$Q$3:$Q$1025,MATCH($E52,学年度总表!$E$3:$E$1025,0)))</f>
        <v/>
      </c>
    </row>
    <row r="53" spans="1:17">
      <c r="A53" s="2">
        <f>IF(INDEX(学年度总表!$A$3:$A$1025,MATCH($E53,学年度总表!$E$3:$E$1025,0))="","",INDEX(学年度总表!$A$3:$A$1025,MATCH($E53,学年度总表!$E$3:$E$1025,0)))</f>
        <v>348</v>
      </c>
      <c r="B53" s="2">
        <f>IF(INDEX(学年度总表!$B$3:$B$1025,MATCH($E53,学年度总表!$E$3:$E$1025,0))="","",INDEX(学年度总表!$B$3:$B$1025,MATCH($E53,学年度总表!$E$3:$E$1025,0)))</f>
        <v>51</v>
      </c>
      <c r="C53" s="2" t="str">
        <f>IF(INDEX(学年度总表!$C$3:$C$1025,MATCH($E53,学年度总表!$E$3:$E$1025,0))="","",INDEX(学年度总表!$C$3:$C$1025,MATCH($E53,学年度总表!$E$3:$E$1025,0)))</f>
        <v>网工</v>
      </c>
      <c r="D53" s="2" t="str">
        <f>IF(INDEX(学年度总表!$D$3:$D$1025,MATCH($E53,学年度总表!$E$3:$E$1025,0))="","",INDEX(学年度总表!$D$3:$D$1025,MATCH($E53,学年度总表!$E$3:$E$1025,0)))</f>
        <v>网工17班</v>
      </c>
      <c r="E53" s="2" t="s">
        <v>756</v>
      </c>
      <c r="F53" s="2" t="str">
        <f>IF(INDEX(学年度总表!$F$3:$F$1025,MATCH($E53,学年度总表!$E$3:$E$1025,0))="","",INDEX(学年度总表!$F$3:$F$1025,MATCH($E53,学年度总表!$E$3:$E$1025,0)))</f>
        <v>孟禹彤</v>
      </c>
      <c r="G53" s="3">
        <f>IF(INDEX(学年度总表!$G$3:$G$1025,MATCH($E53,学年度总表!$E$3:$E$1025,0))="","",INDEX(学年度总表!$G$3:$G$1025,MATCH($E53,学年度总表!$E$3:$E$1025,0)))</f>
        <v>10</v>
      </c>
      <c r="H53" s="3">
        <f>IF(INDEX(学年度总表!$H$3:$H$1025,MATCH($E53,学年度总表!$E$3:$E$1025,0))="","",INDEX(学年度总表!$H$3:$H$1025,MATCH($E53,学年度总表!$E$3:$E$1025,0)))</f>
        <v>58.79</v>
      </c>
      <c r="I53" s="3">
        <f>IF(INDEX(学年度总表!$I$3:$I$1025,MATCH($E53,学年度总表!$E$3:$E$1025,0))="","",INDEX(学年度总表!$I$3:$I$1025,MATCH($E53,学年度总表!$E$3:$E$1025,0)))</f>
        <v>3.9</v>
      </c>
      <c r="J53" s="3">
        <f>IF(INDEX(学年度总表!$J$3:$J$1025,MATCH($E53,学年度总表!$E$3:$E$1025,0))="","",INDEX(学年度总表!$J$3:$J$1025,MATCH($E53,学年度总表!$E$3:$E$1025,0)))</f>
        <v>72.69</v>
      </c>
      <c r="K53" s="3">
        <f>IF(INDEX(学年度总表!$K$3:$K$1025,MATCH($E53,学年度总表!$E$3:$E$1025,0))="","",INDEX(学年度总表!$K$3:$K$1025,MATCH($E53,学年度总表!$E$3:$E$1025,0)))</f>
        <v>10</v>
      </c>
      <c r="L53" s="3">
        <f>IF(INDEX(学年度总表!$L$3:$L$1025,MATCH($E53,学年度总表!$E$3:$E$1025,0))="","",INDEX(学年度总表!$L$3:$L$1025,MATCH($E53,学年度总表!$E$3:$E$1025,0)))</f>
        <v>58.54</v>
      </c>
      <c r="M53" s="3">
        <f>IF(INDEX(学年度总表!$M$3:$M$1025,MATCH($E53,学年度总表!$E$3:$E$1025,0))="","",INDEX(学年度总表!$M$3:$M$1025,MATCH($E53,学年度总表!$E$3:$E$1025,0)))</f>
        <v>4</v>
      </c>
      <c r="N53" s="3">
        <f>IF(INDEX(学年度总表!$N$3:$N$1025,MATCH($E53,学年度总表!$E$3:$E$1025,0))="","",INDEX(学年度总表!$N$3:$N$1025,MATCH($E53,学年度总表!$E$3:$E$1025,0)))</f>
        <v>72.540000000000006</v>
      </c>
      <c r="O53" s="3">
        <f>IF(INDEX(学年度总表!$O$3:$O$1025,MATCH($E53,学年度总表!$E$3:$E$1025,0))="","",INDEX(学年度总表!$O$3:$O$1025,MATCH($E53,学年度总表!$E$3:$E$1025,0)))</f>
        <v>145.22999999999999</v>
      </c>
      <c r="P53" s="4" t="str">
        <f>IF(INDEX(学年度总表!$P$3:$P$1025,MATCH($E53,学年度总表!$E$3:$E$1025,0))="","",INDEX(学年度总表!$P$3:$P$1025,MATCH($E53,学年度总表!$E$3:$E$1025,0)))</f>
        <v>校励</v>
      </c>
      <c r="Q53" s="5" t="str">
        <f>IF(INDEX(学年度总表!$Q$3:$Q$1025,MATCH($E53,学年度总表!$E$3:$E$1025,0))="","",INDEX(学年度总表!$Q$3:$Q$1025,MATCH($E53,学年度总表!$E$3:$E$1025,0)))</f>
        <v/>
      </c>
    </row>
    <row r="54" spans="1:17">
      <c r="A54" s="2">
        <f>IF(INDEX(学年度总表!$A$3:$A$1025,MATCH($E54,学年度总表!$E$3:$E$1025,0))="","",INDEX(学年度总表!$A$3:$A$1025,MATCH($E54,学年度总表!$E$3:$E$1025,0)))</f>
        <v>376</v>
      </c>
      <c r="B54" s="2">
        <f>IF(INDEX(学年度总表!$B$3:$B$1025,MATCH($E54,学年度总表!$E$3:$E$1025,0))="","",INDEX(学年度总表!$B$3:$B$1025,MATCH($E54,学年度总表!$E$3:$E$1025,0)))</f>
        <v>52</v>
      </c>
      <c r="C54" s="2" t="str">
        <f>IF(INDEX(学年度总表!$C$3:$C$1025,MATCH($E54,学年度总表!$E$3:$E$1025,0))="","",INDEX(学年度总表!$C$3:$C$1025,MATCH($E54,学年度总表!$E$3:$E$1025,0)))</f>
        <v>网工</v>
      </c>
      <c r="D54" s="2" t="str">
        <f>IF(INDEX(学年度总表!$D$3:$D$1025,MATCH($E54,学年度总表!$E$3:$E$1025,0))="","",INDEX(学年度总表!$D$3:$D$1025,MATCH($E54,学年度总表!$E$3:$E$1025,0)))</f>
        <v>网工17班</v>
      </c>
      <c r="E54" s="2" t="s">
        <v>816</v>
      </c>
      <c r="F54" s="2" t="str">
        <f>IF(INDEX(学年度总表!$F$3:$F$1025,MATCH($E54,学年度总表!$E$3:$E$1025,0))="","",INDEX(学年度总表!$F$3:$F$1025,MATCH($E54,学年度总表!$E$3:$E$1025,0)))</f>
        <v>冯晰月</v>
      </c>
      <c r="G54" s="3">
        <f>IF(INDEX(学年度总表!$G$3:$G$1025,MATCH($E54,学年度总表!$E$3:$E$1025,0))="","",INDEX(学年度总表!$G$3:$G$1025,MATCH($E54,学年度总表!$E$3:$E$1025,0)))</f>
        <v>9.8000000000000007</v>
      </c>
      <c r="H54" s="3">
        <f>IF(INDEX(学年度总表!$H$3:$H$1025,MATCH($E54,学年度总表!$E$3:$E$1025,0))="","",INDEX(学年度总表!$H$3:$H$1025,MATCH($E54,学年度总表!$E$3:$E$1025,0)))</f>
        <v>58.99</v>
      </c>
      <c r="I54" s="3">
        <f>IF(INDEX(学年度总表!$I$3:$I$1025,MATCH($E54,学年度总表!$E$3:$E$1025,0))="","",INDEX(学年度总表!$I$3:$I$1025,MATCH($E54,学年度总表!$E$3:$E$1025,0)))</f>
        <v>4.2</v>
      </c>
      <c r="J54" s="3">
        <f>IF(INDEX(学年度总表!$J$3:$J$1025,MATCH($E54,学年度总表!$E$3:$E$1025,0))="","",INDEX(学年度总表!$J$3:$J$1025,MATCH($E54,学年度总表!$E$3:$E$1025,0)))</f>
        <v>72.989999999999995</v>
      </c>
      <c r="K54" s="3">
        <f>IF(INDEX(学年度总表!$K$3:$K$1025,MATCH($E54,学年度总表!$E$3:$E$1025,0))="","",INDEX(学年度总表!$K$3:$K$1025,MATCH($E54,学年度总表!$E$3:$E$1025,0)))</f>
        <v>7.3000000000000007</v>
      </c>
      <c r="L54" s="3">
        <f>IF(INDEX(学年度总表!$L$3:$L$1025,MATCH($E54,学年度总表!$E$3:$E$1025,0))="","",INDEX(学年度总表!$L$3:$L$1025,MATCH($E54,学年度总表!$E$3:$E$1025,0)))</f>
        <v>58.55</v>
      </c>
      <c r="M54" s="3">
        <f>IF(INDEX(学年度总表!$M$3:$M$1025,MATCH($E54,学年度总表!$E$3:$E$1025,0))="","",INDEX(学年度总表!$M$3:$M$1025,MATCH($E54,学年度总表!$E$3:$E$1025,0)))</f>
        <v>5.5</v>
      </c>
      <c r="N54" s="3">
        <f>IF(INDEX(学年度总表!$N$3:$N$1025,MATCH($E54,学年度总表!$E$3:$E$1025,0))="","",INDEX(学年度总表!$N$3:$N$1025,MATCH($E54,学年度总表!$E$3:$E$1025,0)))</f>
        <v>71.349999999999994</v>
      </c>
      <c r="O54" s="3">
        <f>IF(INDEX(学年度总表!$O$3:$O$1025,MATCH($E54,学年度总表!$E$3:$E$1025,0))="","",INDEX(学年度总表!$O$3:$O$1025,MATCH($E54,学年度总表!$E$3:$E$1025,0)))</f>
        <v>144.34</v>
      </c>
      <c r="P54" s="2" t="str">
        <f>IF(INDEX(学年度总表!$P$3:$P$1025,MATCH($E54,学年度总表!$E$3:$E$1025,0))="","",INDEX(学年度总表!$P$3:$P$1025,MATCH($E54,学年度总表!$E$3:$E$1025,0)))</f>
        <v/>
      </c>
      <c r="Q54" s="5" t="str">
        <f>IF(INDEX(学年度总表!$Q$3:$Q$1025,MATCH($E54,学年度总表!$E$3:$E$1025,0))="","",INDEX(学年度总表!$Q$3:$Q$1025,MATCH($E54,学年度总表!$E$3:$E$1025,0)))</f>
        <v/>
      </c>
    </row>
    <row r="55" spans="1:17">
      <c r="A55" s="2">
        <f>IF(INDEX(学年度总表!$A$3:$A$1025,MATCH($E55,学年度总表!$E$3:$E$1025,0))="","",INDEX(学年度总表!$A$3:$A$1025,MATCH($E55,学年度总表!$E$3:$E$1025,0)))</f>
        <v>390</v>
      </c>
      <c r="B55" s="2">
        <f>IF(INDEX(学年度总表!$B$3:$B$1025,MATCH($E55,学年度总表!$E$3:$E$1025,0))="","",INDEX(学年度总表!$B$3:$B$1025,MATCH($E55,学年度总表!$E$3:$E$1025,0)))</f>
        <v>53</v>
      </c>
      <c r="C55" s="2" t="str">
        <f>IF(INDEX(学年度总表!$C$3:$C$1025,MATCH($E55,学年度总表!$E$3:$E$1025,0))="","",INDEX(学年度总表!$C$3:$C$1025,MATCH($E55,学年度总表!$E$3:$E$1025,0)))</f>
        <v>网工</v>
      </c>
      <c r="D55" s="2" t="str">
        <f>IF(INDEX(学年度总表!$D$3:$D$1025,MATCH($E55,学年度总表!$E$3:$E$1025,0))="","",INDEX(学年度总表!$D$3:$D$1025,MATCH($E55,学年度总表!$E$3:$E$1025,0)))</f>
        <v>网工17班</v>
      </c>
      <c r="E55" s="2" t="s">
        <v>842</v>
      </c>
      <c r="F55" s="2" t="str">
        <f>IF(INDEX(学年度总表!$F$3:$F$1025,MATCH($E55,学年度总表!$E$3:$E$1025,0))="","",INDEX(学年度总表!$F$3:$F$1025,MATCH($E55,学年度总表!$E$3:$E$1025,0)))</f>
        <v>王薪皓</v>
      </c>
      <c r="G55" s="3">
        <f>IF(INDEX(学年度总表!$G$3:$G$1025,MATCH($E55,学年度总表!$E$3:$E$1025,0))="","",INDEX(学年度总表!$G$3:$G$1025,MATCH($E55,学年度总表!$E$3:$E$1025,0)))</f>
        <v>10.3</v>
      </c>
      <c r="H55" s="3">
        <f>IF(INDEX(学年度总表!$H$3:$H$1025,MATCH($E55,学年度总表!$E$3:$E$1025,0))="","",INDEX(学年度总表!$H$3:$H$1025,MATCH($E55,学年度总表!$E$3:$E$1025,0)))</f>
        <v>58.56</v>
      </c>
      <c r="I55" s="3">
        <f>IF(INDEX(学年度总表!$I$3:$I$1025,MATCH($E55,学年度总表!$E$3:$E$1025,0))="","",INDEX(学年度总表!$I$3:$I$1025,MATCH($E55,学年度总表!$E$3:$E$1025,0)))</f>
        <v>4</v>
      </c>
      <c r="J55" s="3">
        <f>IF(INDEX(学年度总表!$J$3:$J$1025,MATCH($E55,学年度总表!$E$3:$E$1025,0))="","",INDEX(学年度总表!$J$3:$J$1025,MATCH($E55,学年度总表!$E$3:$E$1025,0)))</f>
        <v>72.86</v>
      </c>
      <c r="K55" s="3">
        <f>IF(INDEX(学年度总表!$K$3:$K$1025,MATCH($E55,学年度总表!$E$3:$E$1025,0))="","",INDEX(学年度总表!$K$3:$K$1025,MATCH($E55,学年度总表!$E$3:$E$1025,0)))</f>
        <v>8.8000000000000007</v>
      </c>
      <c r="L55" s="3">
        <f>IF(INDEX(学年度总表!$L$3:$L$1025,MATCH($E55,学年度总表!$E$3:$E$1025,0))="","",INDEX(学年度总表!$L$3:$L$1025,MATCH($E55,学年度总表!$E$3:$E$1025,0)))</f>
        <v>56.33</v>
      </c>
      <c r="M55" s="3">
        <f>IF(INDEX(学年度总表!$M$3:$M$1025,MATCH($E55,学年度总表!$E$3:$E$1025,0))="","",INDEX(学年度总表!$M$3:$M$1025,MATCH($E55,学年度总表!$E$3:$E$1025,0)))</f>
        <v>5.6</v>
      </c>
      <c r="N55" s="3">
        <f>IF(INDEX(学年度总表!$N$3:$N$1025,MATCH($E55,学年度总表!$E$3:$E$1025,0))="","",INDEX(学年度总表!$N$3:$N$1025,MATCH($E55,学年度总表!$E$3:$E$1025,0)))</f>
        <v>70.73</v>
      </c>
      <c r="O55" s="3">
        <f>IF(INDEX(学年度总表!$O$3:$O$1025,MATCH($E55,学年度总表!$E$3:$E$1025,0))="","",INDEX(学年度总表!$O$3:$O$1025,MATCH($E55,学年度总表!$E$3:$E$1025,0)))</f>
        <v>143.59</v>
      </c>
      <c r="P55" s="4" t="str">
        <f>IF(INDEX(学年度总表!$P$3:$P$1025,MATCH($E55,学年度总表!$E$3:$E$1025,0))="","",INDEX(学年度总表!$P$3:$P$1025,MATCH($E55,学年度总表!$E$3:$E$1025,0)))</f>
        <v>校励</v>
      </c>
      <c r="Q55" s="5" t="str">
        <f>IF(INDEX(学年度总表!$Q$3:$Q$1025,MATCH($E55,学年度总表!$E$3:$E$1025,0))="","",INDEX(学年度总表!$Q$3:$Q$1025,MATCH($E55,学年度总表!$E$3:$E$1025,0)))</f>
        <v/>
      </c>
    </row>
    <row r="56" spans="1:17">
      <c r="A56" s="2">
        <f>IF(INDEX(学年度总表!$A$3:$A$1025,MATCH($E56,学年度总表!$E$3:$E$1025,0))="","",INDEX(学年度总表!$A$3:$A$1025,MATCH($E56,学年度总表!$E$3:$E$1025,0)))</f>
        <v>395</v>
      </c>
      <c r="B56" s="2">
        <f>IF(INDEX(学年度总表!$B$3:$B$1025,MATCH($E56,学年度总表!$E$3:$E$1025,0))="","",INDEX(学年度总表!$B$3:$B$1025,MATCH($E56,学年度总表!$E$3:$E$1025,0)))</f>
        <v>54</v>
      </c>
      <c r="C56" s="2" t="str">
        <f>IF(INDEX(学年度总表!$C$3:$C$1025,MATCH($E56,学年度总表!$E$3:$E$1025,0))="","",INDEX(学年度总表!$C$3:$C$1025,MATCH($E56,学年度总表!$E$3:$E$1025,0)))</f>
        <v>网工</v>
      </c>
      <c r="D56" s="2" t="str">
        <f>IF(INDEX(学年度总表!$D$3:$D$1025,MATCH($E56,学年度总表!$E$3:$E$1025,0))="","",INDEX(学年度总表!$D$3:$D$1025,MATCH($E56,学年度总表!$E$3:$E$1025,0)))</f>
        <v>网工16班</v>
      </c>
      <c r="E56" s="2" t="s">
        <v>852</v>
      </c>
      <c r="F56" s="2" t="str">
        <f>IF(INDEX(学年度总表!$F$3:$F$1025,MATCH($E56,学年度总表!$E$3:$E$1025,0))="","",INDEX(学年度总表!$F$3:$F$1025,MATCH($E56,学年度总表!$E$3:$E$1025,0)))</f>
        <v>冯钰涵</v>
      </c>
      <c r="G56" s="3">
        <f>IF(INDEX(学年度总表!$G$3:$G$1025,MATCH($E56,学年度总表!$E$3:$E$1025,0))="","",INDEX(学年度总表!$G$3:$G$1025,MATCH($E56,学年度总表!$E$3:$E$1025,0)))</f>
        <v>9.8000000000000007</v>
      </c>
      <c r="H56" s="3">
        <f>IF(INDEX(学年度总表!$H$3:$H$1025,MATCH($E56,学年度总表!$E$3:$E$1025,0))="","",INDEX(学年度总表!$H$3:$H$1025,MATCH($E56,学年度总表!$E$3:$E$1025,0)))</f>
        <v>58.66</v>
      </c>
      <c r="I56" s="3">
        <f>IF(INDEX(学年度总表!$I$3:$I$1025,MATCH($E56,学年度总表!$E$3:$E$1025,0))="","",INDEX(学年度总表!$I$3:$I$1025,MATCH($E56,学年度总表!$E$3:$E$1025,0)))</f>
        <v>3</v>
      </c>
      <c r="J56" s="3">
        <f>IF(INDEX(学年度总表!$J$3:$J$1025,MATCH($E56,学年度总表!$E$3:$E$1025,0))="","",INDEX(学年度总表!$J$3:$J$1025,MATCH($E56,学年度总表!$E$3:$E$1025,0)))</f>
        <v>71.459999999999994</v>
      </c>
      <c r="K56" s="3">
        <f>IF(INDEX(学年度总表!$K$3:$K$1025,MATCH($E56,学年度总表!$E$3:$E$1025,0))="","",INDEX(学年度总表!$K$3:$K$1025,MATCH($E56,学年度总表!$E$3:$E$1025,0)))</f>
        <v>7.3000000000000007</v>
      </c>
      <c r="L56" s="3">
        <f>IF(INDEX(学年度总表!$L$3:$L$1025,MATCH($E56,学年度总表!$E$3:$E$1025,0))="","",INDEX(学年度总表!$L$3:$L$1025,MATCH($E56,学年度总表!$E$3:$E$1025,0)))</f>
        <v>61.19</v>
      </c>
      <c r="M56" s="3">
        <f>IF(INDEX(学年度总表!$M$3:$M$1025,MATCH($E56,学年度总表!$E$3:$E$1025,0))="","",INDEX(学年度总表!$M$3:$M$1025,MATCH($E56,学年度总表!$E$3:$E$1025,0)))</f>
        <v>3.5</v>
      </c>
      <c r="N56" s="3">
        <f>IF(INDEX(学年度总表!$N$3:$N$1025,MATCH($E56,学年度总表!$E$3:$E$1025,0))="","",INDEX(学年度总表!$N$3:$N$1025,MATCH($E56,学年度总表!$E$3:$E$1025,0)))</f>
        <v>71.989999999999995</v>
      </c>
      <c r="O56" s="3">
        <f>IF(INDEX(学年度总表!$O$3:$O$1025,MATCH($E56,学年度总表!$E$3:$E$1025,0))="","",INDEX(学年度总表!$O$3:$O$1025,MATCH($E56,学年度总表!$E$3:$E$1025,0)))</f>
        <v>143.44999999999999</v>
      </c>
      <c r="P56" s="2" t="str">
        <f>IF(INDEX(学年度总表!$P$3:$P$1025,MATCH($E56,学年度总表!$E$3:$E$1025,0))="","",INDEX(学年度总表!$P$3:$P$1025,MATCH($E56,学年度总表!$E$3:$E$1025,0)))</f>
        <v/>
      </c>
      <c r="Q56" s="5" t="str">
        <f>IF(INDEX(学年度总表!$Q$3:$Q$1025,MATCH($E56,学年度总表!$E$3:$E$1025,0))="","",INDEX(学年度总表!$Q$3:$Q$1025,MATCH($E56,学年度总表!$E$3:$E$1025,0)))</f>
        <v/>
      </c>
    </row>
    <row r="57" spans="1:17">
      <c r="A57" s="2">
        <f>IF(INDEX(学年度总表!$A$3:$A$1025,MATCH($E57,学年度总表!$E$3:$E$1025,0))="","",INDEX(学年度总表!$A$3:$A$1025,MATCH($E57,学年度总表!$E$3:$E$1025,0)))</f>
        <v>396</v>
      </c>
      <c r="B57" s="2">
        <f>IF(INDEX(学年度总表!$B$3:$B$1025,MATCH($E57,学年度总表!$E$3:$E$1025,0))="","",INDEX(学年度总表!$B$3:$B$1025,MATCH($E57,学年度总表!$E$3:$E$1025,0)))</f>
        <v>55</v>
      </c>
      <c r="C57" s="2" t="str">
        <f>IF(INDEX(学年度总表!$C$3:$C$1025,MATCH($E57,学年度总表!$E$3:$E$1025,0))="","",INDEX(学年度总表!$C$3:$C$1025,MATCH($E57,学年度总表!$E$3:$E$1025,0)))</f>
        <v>网工</v>
      </c>
      <c r="D57" s="2" t="str">
        <f>IF(INDEX(学年度总表!$D$3:$D$1025,MATCH($E57,学年度总表!$E$3:$E$1025,0))="","",INDEX(学年度总表!$D$3:$D$1025,MATCH($E57,学年度总表!$E$3:$E$1025,0)))</f>
        <v>网工15班</v>
      </c>
      <c r="E57" s="2" t="s">
        <v>856</v>
      </c>
      <c r="F57" s="2" t="str">
        <f>IF(INDEX(学年度总表!$F$3:$F$1025,MATCH($E57,学年度总表!$E$3:$E$1025,0))="","",INDEX(学年度总表!$F$3:$F$1025,MATCH($E57,学年度总表!$E$3:$E$1025,0)))</f>
        <v>钟佳怡</v>
      </c>
      <c r="G57" s="3">
        <f>IF(INDEX(学年度总表!$G$3:$G$1025,MATCH($E57,学年度总表!$E$3:$E$1025,0))="","",INDEX(学年度总表!$G$3:$G$1025,MATCH($E57,学年度总表!$E$3:$E$1025,0)))</f>
        <v>10</v>
      </c>
      <c r="H57" s="3">
        <f>IF(INDEX(学年度总表!$H$3:$H$1025,MATCH($E57,学年度总表!$E$3:$E$1025,0))="","",INDEX(学年度总表!$H$3:$H$1025,MATCH($E57,学年度总表!$E$3:$E$1025,0)))</f>
        <v>62.23</v>
      </c>
      <c r="I57" s="3">
        <f>IF(INDEX(学年度总表!$I$3:$I$1025,MATCH($E57,学年度总表!$E$3:$E$1025,0))="","",INDEX(学年度总表!$I$3:$I$1025,MATCH($E57,学年度总表!$E$3:$E$1025,0)))</f>
        <v>3</v>
      </c>
      <c r="J57" s="3">
        <f>IF(INDEX(学年度总表!$J$3:$J$1025,MATCH($E57,学年度总表!$E$3:$E$1025,0))="","",INDEX(学年度总表!$J$3:$J$1025,MATCH($E57,学年度总表!$E$3:$E$1025,0)))</f>
        <v>75.23</v>
      </c>
      <c r="K57" s="3">
        <f>IF(INDEX(学年度总表!$K$3:$K$1025,MATCH($E57,学年度总表!$E$3:$E$1025,0))="","",INDEX(学年度总表!$K$3:$K$1025,MATCH($E57,学年度总表!$E$3:$E$1025,0)))</f>
        <v>7.5</v>
      </c>
      <c r="L57" s="3">
        <f>IF(INDEX(学年度总表!$L$3:$L$1025,MATCH($E57,学年度总表!$E$3:$E$1025,0))="","",INDEX(学年度总表!$L$3:$L$1025,MATCH($E57,学年度总表!$E$3:$E$1025,0)))</f>
        <v>57.2</v>
      </c>
      <c r="M57" s="3">
        <f>IF(INDEX(学年度总表!$M$3:$M$1025,MATCH($E57,学年度总表!$E$3:$E$1025,0))="","",INDEX(学年度总表!$M$3:$M$1025,MATCH($E57,学年度总表!$E$3:$E$1025,0)))</f>
        <v>3.5</v>
      </c>
      <c r="N57" s="3">
        <f>IF(INDEX(学年度总表!$N$3:$N$1025,MATCH($E57,学年度总表!$E$3:$E$1025,0))="","",INDEX(学年度总表!$N$3:$N$1025,MATCH($E57,学年度总表!$E$3:$E$1025,0)))</f>
        <v>68.2</v>
      </c>
      <c r="O57" s="3">
        <f>IF(INDEX(学年度总表!$O$3:$O$1025,MATCH($E57,学年度总表!$E$3:$E$1025,0))="","",INDEX(学年度总表!$O$3:$O$1025,MATCH($E57,学年度总表!$E$3:$E$1025,0)))</f>
        <v>143.43</v>
      </c>
      <c r="P57" s="2" t="str">
        <f>IF(INDEX(学年度总表!$P$3:$P$1025,MATCH($E57,学年度总表!$E$3:$E$1025,0))="","",INDEX(学年度总表!$P$3:$P$1025,MATCH($E57,学年度总表!$E$3:$E$1025,0)))</f>
        <v/>
      </c>
      <c r="Q57" s="5" t="str">
        <f>IF(INDEX(学年度总表!$Q$3:$Q$1025,MATCH($E57,学年度总表!$E$3:$E$1025,0))="","",INDEX(学年度总表!$Q$3:$Q$1025,MATCH($E57,学年度总表!$E$3:$E$1025,0)))</f>
        <v/>
      </c>
    </row>
    <row r="58" spans="1:17">
      <c r="A58" s="2">
        <f>IF(INDEX(学年度总表!$A$3:$A$1025,MATCH($E58,学年度总表!$E$3:$E$1025,0))="","",INDEX(学年度总表!$A$3:$A$1025,MATCH($E58,学年度总表!$E$3:$E$1025,0)))</f>
        <v>410</v>
      </c>
      <c r="B58" s="2">
        <f>IF(INDEX(学年度总表!$B$3:$B$1025,MATCH($E58,学年度总表!$E$3:$E$1025,0))="","",INDEX(学年度总表!$B$3:$B$1025,MATCH($E58,学年度总表!$E$3:$E$1025,0)))</f>
        <v>56</v>
      </c>
      <c r="C58" s="2" t="str">
        <f>IF(INDEX(学年度总表!$C$3:$C$1025,MATCH($E58,学年度总表!$E$3:$E$1025,0))="","",INDEX(学年度总表!$C$3:$C$1025,MATCH($E58,学年度总表!$E$3:$E$1025,0)))</f>
        <v>网工</v>
      </c>
      <c r="D58" s="2" t="str">
        <f>IF(INDEX(学年度总表!$D$3:$D$1025,MATCH($E58,学年度总表!$E$3:$E$1025,0))="","",INDEX(学年度总表!$D$3:$D$1025,MATCH($E58,学年度总表!$E$3:$E$1025,0)))</f>
        <v>网工17班</v>
      </c>
      <c r="E58" s="2" t="s">
        <v>882</v>
      </c>
      <c r="F58" s="2" t="str">
        <f>IF(INDEX(学年度总表!$F$3:$F$1025,MATCH($E58,学年度总表!$E$3:$E$1025,0))="","",INDEX(学年度总表!$F$3:$F$1025,MATCH($E58,学年度总表!$E$3:$E$1025,0)))</f>
        <v>吕佳格</v>
      </c>
      <c r="G58" s="3">
        <f>IF(INDEX(学年度总表!$G$3:$G$1025,MATCH($E58,学年度总表!$E$3:$E$1025,0))="","",INDEX(学年度总表!$G$3:$G$1025,MATCH($E58,学年度总表!$E$3:$E$1025,0)))</f>
        <v>9.8000000000000007</v>
      </c>
      <c r="H58" s="3">
        <f>IF(INDEX(学年度总表!$H$3:$H$1025,MATCH($E58,学年度总表!$E$3:$E$1025,0))="","",INDEX(学年度总表!$H$3:$H$1025,MATCH($E58,学年度总表!$E$3:$E$1025,0)))</f>
        <v>62.63</v>
      </c>
      <c r="I58" s="3">
        <f>IF(INDEX(学年度总表!$I$3:$I$1025,MATCH($E58,学年度总表!$E$3:$E$1025,0))="","",INDEX(学年度总表!$I$3:$I$1025,MATCH($E58,学年度总表!$E$3:$E$1025,0)))</f>
        <v>3</v>
      </c>
      <c r="J58" s="3">
        <f>IF(INDEX(学年度总表!$J$3:$J$1025,MATCH($E58,学年度总表!$E$3:$E$1025,0))="","",INDEX(学年度总表!$J$3:$J$1025,MATCH($E58,学年度总表!$E$3:$E$1025,0)))</f>
        <v>75.430000000000007</v>
      </c>
      <c r="K58" s="3">
        <f>IF(INDEX(学年度总表!$K$3:$K$1025,MATCH($E58,学年度总表!$E$3:$E$1025,0))="","",INDEX(学年度总表!$K$3:$K$1025,MATCH($E58,学年度总表!$E$3:$E$1025,0)))</f>
        <v>7.3000000000000007</v>
      </c>
      <c r="L58" s="3">
        <f>IF(INDEX(学年度总表!$L$3:$L$1025,MATCH($E58,学年度总表!$E$3:$E$1025,0))="","",INDEX(学年度总表!$L$3:$L$1025,MATCH($E58,学年度总表!$E$3:$E$1025,0)))</f>
        <v>56.76</v>
      </c>
      <c r="M58" s="3">
        <f>IF(INDEX(学年度总表!$M$3:$M$1025,MATCH($E58,学年度总表!$E$3:$E$1025,0))="","",INDEX(学年度总表!$M$3:$M$1025,MATCH($E58,学年度总表!$E$3:$E$1025,0)))</f>
        <v>3.5</v>
      </c>
      <c r="N58" s="3">
        <f>IF(INDEX(学年度总表!$N$3:$N$1025,MATCH($E58,学年度总表!$E$3:$E$1025,0))="","",INDEX(学年度总表!$N$3:$N$1025,MATCH($E58,学年度总表!$E$3:$E$1025,0)))</f>
        <v>67.56</v>
      </c>
      <c r="O58" s="3">
        <f>IF(INDEX(学年度总表!$O$3:$O$1025,MATCH($E58,学年度总表!$E$3:$E$1025,0))="","",INDEX(学年度总表!$O$3:$O$1025,MATCH($E58,学年度总表!$E$3:$E$1025,0)))</f>
        <v>142.99</v>
      </c>
      <c r="P58" s="2" t="str">
        <f>IF(INDEX(学年度总表!$P$3:$P$1025,MATCH($E58,学年度总表!$E$3:$E$1025,0))="","",INDEX(学年度总表!$P$3:$P$1025,MATCH($E58,学年度总表!$E$3:$E$1025,0)))</f>
        <v/>
      </c>
      <c r="Q58" s="5" t="str">
        <f>IF(INDEX(学年度总表!$Q$3:$Q$1025,MATCH($E58,学年度总表!$E$3:$E$1025,0))="","",INDEX(学年度总表!$Q$3:$Q$1025,MATCH($E58,学年度总表!$E$3:$E$1025,0)))</f>
        <v/>
      </c>
    </row>
    <row r="59" spans="1:17">
      <c r="A59" s="2">
        <f>IF(INDEX(学年度总表!$A$3:$A$1025,MATCH($E59,学年度总表!$E$3:$E$1025,0))="","",INDEX(学年度总表!$A$3:$A$1025,MATCH($E59,学年度总表!$E$3:$E$1025,0)))</f>
        <v>413</v>
      </c>
      <c r="B59" s="2">
        <f>IF(INDEX(学年度总表!$B$3:$B$1025,MATCH($E59,学年度总表!$E$3:$E$1025,0))="","",INDEX(学年度总表!$B$3:$B$1025,MATCH($E59,学年度总表!$E$3:$E$1025,0)))</f>
        <v>57</v>
      </c>
      <c r="C59" s="2" t="str">
        <f>IF(INDEX(学年度总表!$C$3:$C$1025,MATCH($E59,学年度总表!$E$3:$E$1025,0))="","",INDEX(学年度总表!$C$3:$C$1025,MATCH($E59,学年度总表!$E$3:$E$1025,0)))</f>
        <v>网工</v>
      </c>
      <c r="D59" s="2" t="str">
        <f>IF(INDEX(学年度总表!$D$3:$D$1025,MATCH($E59,学年度总表!$E$3:$E$1025,0))="","",INDEX(学年度总表!$D$3:$D$1025,MATCH($E59,学年度总表!$E$3:$E$1025,0)))</f>
        <v>网工15班</v>
      </c>
      <c r="E59" s="2" t="s">
        <v>888</v>
      </c>
      <c r="F59" s="2" t="str">
        <f>IF(INDEX(学年度总表!$F$3:$F$1025,MATCH($E59,学年度总表!$E$3:$E$1025,0))="","",INDEX(学年度总表!$F$3:$F$1025,MATCH($E59,学年度总表!$E$3:$E$1025,0)))</f>
        <v>雷馨</v>
      </c>
      <c r="G59" s="3">
        <f>IF(INDEX(学年度总表!$G$3:$G$1025,MATCH($E59,学年度总表!$E$3:$E$1025,0))="","",INDEX(学年度总表!$G$3:$G$1025,MATCH($E59,学年度总表!$E$3:$E$1025,0)))</f>
        <v>11.8</v>
      </c>
      <c r="H59" s="3">
        <f>IF(INDEX(学年度总表!$H$3:$H$1025,MATCH($E59,学年度总表!$E$3:$E$1025,0))="","",INDEX(学年度总表!$H$3:$H$1025,MATCH($E59,学年度总表!$E$3:$E$1025,0)))</f>
        <v>54.05</v>
      </c>
      <c r="I59" s="3">
        <f>IF(INDEX(学年度总表!$I$3:$I$1025,MATCH($E59,学年度总表!$E$3:$E$1025,0))="","",INDEX(学年度总表!$I$3:$I$1025,MATCH($E59,学年度总表!$E$3:$E$1025,0)))</f>
        <v>4.9000000000000004</v>
      </c>
      <c r="J59" s="3">
        <f>IF(INDEX(学年度总表!$J$3:$J$1025,MATCH($E59,学年度总表!$E$3:$E$1025,0))="","",INDEX(学年度总表!$J$3:$J$1025,MATCH($E59,学年度总表!$E$3:$E$1025,0)))</f>
        <v>70.75</v>
      </c>
      <c r="K59" s="3">
        <f>IF(INDEX(学年度总表!$K$3:$K$1025,MATCH($E59,学年度总表!$E$3:$E$1025,0))="","",INDEX(学年度总表!$K$3:$K$1025,MATCH($E59,学年度总表!$E$3:$E$1025,0)))</f>
        <v>10</v>
      </c>
      <c r="L59" s="3">
        <f>IF(INDEX(学年度总表!$L$3:$L$1025,MATCH($E59,学年度总表!$E$3:$E$1025,0))="","",INDEX(学年度总表!$L$3:$L$1025,MATCH($E59,学年度总表!$E$3:$E$1025,0)))</f>
        <v>55.85</v>
      </c>
      <c r="M59" s="3">
        <f>IF(INDEX(学年度总表!$M$3:$M$1025,MATCH($E59,学年度总表!$E$3:$E$1025,0))="","",INDEX(学年度总表!$M$3:$M$1025,MATCH($E59,学年度总表!$E$3:$E$1025,0)))</f>
        <v>6.3</v>
      </c>
      <c r="N59" s="3">
        <f>IF(INDEX(学年度总表!$N$3:$N$1025,MATCH($E59,学年度总表!$E$3:$E$1025,0))="","",INDEX(学年度总表!$N$3:$N$1025,MATCH($E59,学年度总表!$E$3:$E$1025,0)))</f>
        <v>72.150000000000006</v>
      </c>
      <c r="O59" s="3">
        <f>IF(INDEX(学年度总表!$O$3:$O$1025,MATCH($E59,学年度总表!$E$3:$E$1025,0))="","",INDEX(学年度总表!$O$3:$O$1025,MATCH($E59,学年度总表!$E$3:$E$1025,0)))</f>
        <v>142.9</v>
      </c>
      <c r="P59" s="2" t="str">
        <f>IF(INDEX(学年度总表!$P$3:$P$1025,MATCH($E59,学年度总表!$E$3:$E$1025,0))="","",INDEX(学年度总表!$P$3:$P$1025,MATCH($E59,学年度总表!$E$3:$E$1025,0)))</f>
        <v/>
      </c>
      <c r="Q59" s="5" t="str">
        <f>IF(INDEX(学年度总表!$Q$3:$Q$1025,MATCH($E59,学年度总表!$E$3:$E$1025,0))="","",INDEX(学年度总表!$Q$3:$Q$1025,MATCH($E59,学年度总表!$E$3:$E$1025,0)))</f>
        <v/>
      </c>
    </row>
    <row r="60" spans="1:17">
      <c r="A60" s="2">
        <f>IF(INDEX(学年度总表!$A$3:$A$1025,MATCH($E60,学年度总表!$E$3:$E$1025,0))="","",INDEX(学年度总表!$A$3:$A$1025,MATCH($E60,学年度总表!$E$3:$E$1025,0)))</f>
        <v>423</v>
      </c>
      <c r="B60" s="2">
        <f>IF(INDEX(学年度总表!$B$3:$B$1025,MATCH($E60,学年度总表!$E$3:$E$1025,0))="","",INDEX(学年度总表!$B$3:$B$1025,MATCH($E60,学年度总表!$E$3:$E$1025,0)))</f>
        <v>58</v>
      </c>
      <c r="C60" s="2" t="str">
        <f>IF(INDEX(学年度总表!$C$3:$C$1025,MATCH($E60,学年度总表!$E$3:$E$1025,0))="","",INDEX(学年度总表!$C$3:$C$1025,MATCH($E60,学年度总表!$E$3:$E$1025,0)))</f>
        <v>网工</v>
      </c>
      <c r="D60" s="2" t="str">
        <f>IF(INDEX(学年度总表!$D$3:$D$1025,MATCH($E60,学年度总表!$E$3:$E$1025,0))="","",INDEX(学年度总表!$D$3:$D$1025,MATCH($E60,学年度总表!$E$3:$E$1025,0)))</f>
        <v>网工15班</v>
      </c>
      <c r="E60" s="2" t="s">
        <v>908</v>
      </c>
      <c r="F60" s="2" t="str">
        <f>IF(INDEX(学年度总表!$F$3:$F$1025,MATCH($E60,学年度总表!$E$3:$E$1025,0))="","",INDEX(学年度总表!$F$3:$F$1025,MATCH($E60,学年度总表!$E$3:$E$1025,0)))</f>
        <v>姜扬</v>
      </c>
      <c r="G60" s="3">
        <f>IF(INDEX(学年度总表!$G$3:$G$1025,MATCH($E60,学年度总表!$E$3:$E$1025,0))="","",INDEX(学年度总表!$G$3:$G$1025,MATCH($E60,学年度总表!$E$3:$E$1025,0)))</f>
        <v>9.8000000000000007</v>
      </c>
      <c r="H60" s="3">
        <f>IF(INDEX(学年度总表!$H$3:$H$1025,MATCH($E60,学年度总表!$E$3:$E$1025,0))="","",INDEX(学年度总表!$H$3:$H$1025,MATCH($E60,学年度总表!$E$3:$E$1025,0)))</f>
        <v>60.74</v>
      </c>
      <c r="I60" s="3">
        <f>IF(INDEX(学年度总表!$I$3:$I$1025,MATCH($E60,学年度总表!$E$3:$E$1025,0))="","",INDEX(学年度总表!$I$3:$I$1025,MATCH($E60,学年度总表!$E$3:$E$1025,0)))</f>
        <v>4.5</v>
      </c>
      <c r="J60" s="3">
        <f>IF(INDEX(学年度总表!$J$3:$J$1025,MATCH($E60,学年度总表!$E$3:$E$1025,0))="","",INDEX(学年度总表!$J$3:$J$1025,MATCH($E60,学年度总表!$E$3:$E$1025,0)))</f>
        <v>75.040000000000006</v>
      </c>
      <c r="K60" s="3">
        <f>IF(INDEX(学年度总表!$K$3:$K$1025,MATCH($E60,学年度总表!$E$3:$E$1025,0))="","",INDEX(学年度总表!$K$3:$K$1025,MATCH($E60,学年度总表!$E$3:$E$1025,0)))</f>
        <v>7.3000000000000007</v>
      </c>
      <c r="L60" s="3">
        <f>IF(INDEX(学年度总表!$L$3:$L$1025,MATCH($E60,学年度总表!$E$3:$E$1025,0))="","",INDEX(学年度总表!$L$3:$L$1025,MATCH($E60,学年度总表!$E$3:$E$1025,0)))</f>
        <v>54.45</v>
      </c>
      <c r="M60" s="3">
        <f>IF(INDEX(学年度总表!$M$3:$M$1025,MATCH($E60,学年度总表!$E$3:$E$1025,0))="","",INDEX(学年度总表!$M$3:$M$1025,MATCH($E60,学年度总表!$E$3:$E$1025,0)))</f>
        <v>5.65</v>
      </c>
      <c r="N60" s="3">
        <f>IF(INDEX(学年度总表!$N$3:$N$1025,MATCH($E60,学年度总表!$E$3:$E$1025,0))="","",INDEX(学年度总表!$N$3:$N$1025,MATCH($E60,学年度总表!$E$3:$E$1025,0)))</f>
        <v>67.400000000000006</v>
      </c>
      <c r="O60" s="3">
        <f>IF(INDEX(学年度总表!$O$3:$O$1025,MATCH($E60,学年度总表!$E$3:$E$1025,0))="","",INDEX(学年度总表!$O$3:$O$1025,MATCH($E60,学年度总表!$E$3:$E$1025,0)))</f>
        <v>142.44</v>
      </c>
      <c r="P60" s="2" t="str">
        <f>IF(INDEX(学年度总表!$P$3:$P$1025,MATCH($E60,学年度总表!$E$3:$E$1025,0))="","",INDEX(学年度总表!$P$3:$P$1025,MATCH($E60,学年度总表!$E$3:$E$1025,0)))</f>
        <v/>
      </c>
      <c r="Q60" s="5" t="str">
        <f>IF(INDEX(学年度总表!$Q$3:$Q$1025,MATCH($E60,学年度总表!$E$3:$E$1025,0))="","",INDEX(学年度总表!$Q$3:$Q$1025,MATCH($E60,学年度总表!$E$3:$E$1025,0)))</f>
        <v/>
      </c>
    </row>
    <row r="61" spans="1:17">
      <c r="A61" s="2">
        <f>IF(INDEX(学年度总表!$A$3:$A$1025,MATCH($E61,学年度总表!$E$3:$E$1025,0))="","",INDEX(学年度总表!$A$3:$A$1025,MATCH($E61,学年度总表!$E$3:$E$1025,0)))</f>
        <v>429</v>
      </c>
      <c r="B61" s="2">
        <f>IF(INDEX(学年度总表!$B$3:$B$1025,MATCH($E61,学年度总表!$E$3:$E$1025,0))="","",INDEX(学年度总表!$B$3:$B$1025,MATCH($E61,学年度总表!$E$3:$E$1025,0)))</f>
        <v>59</v>
      </c>
      <c r="C61" s="2" t="str">
        <f>IF(INDEX(学年度总表!$C$3:$C$1025,MATCH($E61,学年度总表!$E$3:$E$1025,0))="","",INDEX(学年度总表!$C$3:$C$1025,MATCH($E61,学年度总表!$E$3:$E$1025,0)))</f>
        <v>网工</v>
      </c>
      <c r="D61" s="2" t="str">
        <f>IF(INDEX(学年度总表!$D$3:$D$1025,MATCH($E61,学年度总表!$E$3:$E$1025,0))="","",INDEX(学年度总表!$D$3:$D$1025,MATCH($E61,学年度总表!$E$3:$E$1025,0)))</f>
        <v>网工15班</v>
      </c>
      <c r="E61" s="2" t="s">
        <v>920</v>
      </c>
      <c r="F61" s="2" t="str">
        <f>IF(INDEX(学年度总表!$F$3:$F$1025,MATCH($E61,学年度总表!$E$3:$E$1025,0))="","",INDEX(学年度总表!$F$3:$F$1025,MATCH($E61,学年度总表!$E$3:$E$1025,0)))</f>
        <v>顾桐嘉</v>
      </c>
      <c r="G61" s="3">
        <f>IF(INDEX(学年度总表!$G$3:$G$1025,MATCH($E61,学年度总表!$E$3:$E$1025,0))="","",INDEX(学年度总表!$G$3:$G$1025,MATCH($E61,学年度总表!$E$3:$E$1025,0)))</f>
        <v>9.8000000000000007</v>
      </c>
      <c r="H61" s="3">
        <f>IF(INDEX(学年度总表!$H$3:$H$1025,MATCH($E61,学年度总表!$E$3:$E$1025,0))="","",INDEX(学年度总表!$H$3:$H$1025,MATCH($E61,学年度总表!$E$3:$E$1025,0)))</f>
        <v>57.3</v>
      </c>
      <c r="I61" s="3">
        <f>IF(INDEX(学年度总表!$I$3:$I$1025,MATCH($E61,学年度总表!$E$3:$E$1025,0))="","",INDEX(学年度总表!$I$3:$I$1025,MATCH($E61,学年度总表!$E$3:$E$1025,0)))</f>
        <v>4.5</v>
      </c>
      <c r="J61" s="3">
        <f>IF(INDEX(学年度总表!$J$3:$J$1025,MATCH($E61,学年度总表!$E$3:$E$1025,0))="","",INDEX(学年度总表!$J$3:$J$1025,MATCH($E61,学年度总表!$E$3:$E$1025,0)))</f>
        <v>71.599999999999994</v>
      </c>
      <c r="K61" s="3">
        <f>IF(INDEX(学年度总表!$K$3:$K$1025,MATCH($E61,学年度总表!$E$3:$E$1025,0))="","",INDEX(学年度总表!$K$3:$K$1025,MATCH($E61,学年度总表!$E$3:$E$1025,0)))</f>
        <v>7.3000000000000007</v>
      </c>
      <c r="L61" s="3">
        <f>IF(INDEX(学年度总表!$L$3:$L$1025,MATCH($E61,学年度总表!$E$3:$E$1025,0))="","",INDEX(学年度总表!$L$3:$L$1025,MATCH($E61,学年度总表!$E$3:$E$1025,0)))</f>
        <v>58.91</v>
      </c>
      <c r="M61" s="3">
        <f>IF(INDEX(学年度总表!$M$3:$M$1025,MATCH($E61,学年度总表!$E$3:$E$1025,0))="","",INDEX(学年度总表!$M$3:$M$1025,MATCH($E61,学年度总表!$E$3:$E$1025,0)))</f>
        <v>4.5</v>
      </c>
      <c r="N61" s="3">
        <f>IF(INDEX(学年度总表!$N$3:$N$1025,MATCH($E61,学年度总表!$E$3:$E$1025,0))="","",INDEX(学年度总表!$N$3:$N$1025,MATCH($E61,学年度总表!$E$3:$E$1025,0)))</f>
        <v>70.709999999999994</v>
      </c>
      <c r="O61" s="3">
        <f>IF(INDEX(学年度总表!$O$3:$O$1025,MATCH($E61,学年度总表!$E$3:$E$1025,0))="","",INDEX(学年度总表!$O$3:$O$1025,MATCH($E61,学年度总表!$E$3:$E$1025,0)))</f>
        <v>142.31</v>
      </c>
      <c r="P61" s="2" t="str">
        <f>IF(INDEX(学年度总表!$P$3:$P$1025,MATCH($E61,学年度总表!$E$3:$E$1025,0))="","",INDEX(学年度总表!$P$3:$P$1025,MATCH($E61,学年度总表!$E$3:$E$1025,0)))</f>
        <v/>
      </c>
      <c r="Q61" s="5" t="str">
        <f>IF(INDEX(学年度总表!$Q$3:$Q$1025,MATCH($E61,学年度总表!$E$3:$E$1025,0))="","",INDEX(学年度总表!$Q$3:$Q$1025,MATCH($E61,学年度总表!$E$3:$E$1025,0)))</f>
        <v/>
      </c>
    </row>
    <row r="62" spans="1:17">
      <c r="A62" s="2">
        <f>IF(INDEX(学年度总表!$A$3:$A$1025,MATCH($E62,学年度总表!$E$3:$E$1025,0))="","",INDEX(学年度总表!$A$3:$A$1025,MATCH($E62,学年度总表!$E$3:$E$1025,0)))</f>
        <v>440</v>
      </c>
      <c r="B62" s="2">
        <f>IF(INDEX(学年度总表!$B$3:$B$1025,MATCH($E62,学年度总表!$E$3:$E$1025,0))="","",INDEX(学年度总表!$B$3:$B$1025,MATCH($E62,学年度总表!$E$3:$E$1025,0)))</f>
        <v>60</v>
      </c>
      <c r="C62" s="2" t="str">
        <f>IF(INDEX(学年度总表!$C$3:$C$1025,MATCH($E62,学年度总表!$E$3:$E$1025,0))="","",INDEX(学年度总表!$C$3:$C$1025,MATCH($E62,学年度总表!$E$3:$E$1025,0)))</f>
        <v>网工</v>
      </c>
      <c r="D62" s="2" t="str">
        <f>IF(INDEX(学年度总表!$D$3:$D$1025,MATCH($E62,学年度总表!$E$3:$E$1025,0))="","",INDEX(学年度总表!$D$3:$D$1025,MATCH($E62,学年度总表!$E$3:$E$1025,0)))</f>
        <v>网工15班</v>
      </c>
      <c r="E62" s="2" t="s">
        <v>942</v>
      </c>
      <c r="F62" s="2" t="str">
        <f>IF(INDEX(学年度总表!$F$3:$F$1025,MATCH($E62,学年度总表!$E$3:$E$1025,0))="","",INDEX(学年度总表!$F$3:$F$1025,MATCH($E62,学年度总表!$E$3:$E$1025,0)))</f>
        <v>许一博</v>
      </c>
      <c r="G62" s="3">
        <f>IF(INDEX(学年度总表!$G$3:$G$1025,MATCH($E62,学年度总表!$E$3:$E$1025,0))="","",INDEX(学年度总表!$G$3:$G$1025,MATCH($E62,学年度总表!$E$3:$E$1025,0)))</f>
        <v>9.8000000000000007</v>
      </c>
      <c r="H62" s="3">
        <f>IF(INDEX(学年度总表!$H$3:$H$1025,MATCH($E62,学年度总表!$E$3:$E$1025,0))="","",INDEX(学年度总表!$H$3:$H$1025,MATCH($E62,学年度总表!$E$3:$E$1025,0)))</f>
        <v>57.04</v>
      </c>
      <c r="I62" s="3">
        <f>IF(INDEX(学年度总表!$I$3:$I$1025,MATCH($E62,学年度总表!$E$3:$E$1025,0))="","",INDEX(学年度总表!$I$3:$I$1025,MATCH($E62,学年度总表!$E$3:$E$1025,0)))</f>
        <v>4</v>
      </c>
      <c r="J62" s="3">
        <f>IF(INDEX(学年度总表!$J$3:$J$1025,MATCH($E62,学年度总表!$E$3:$E$1025,0))="","",INDEX(学年度总表!$J$3:$J$1025,MATCH($E62,学年度总表!$E$3:$E$1025,0)))</f>
        <v>70.84</v>
      </c>
      <c r="K62" s="3">
        <f>IF(INDEX(学年度总表!$K$3:$K$1025,MATCH($E62,学年度总表!$E$3:$E$1025,0))="","",INDEX(学年度总表!$K$3:$K$1025,MATCH($E62,学年度总表!$E$3:$E$1025,0)))</f>
        <v>9.8000000000000007</v>
      </c>
      <c r="L62" s="3">
        <f>IF(INDEX(学年度总表!$L$3:$L$1025,MATCH($E62,学年度总表!$E$3:$E$1025,0))="","",INDEX(学年度总表!$L$3:$L$1025,MATCH($E62,学年度总表!$E$3:$E$1025,0)))</f>
        <v>57.81</v>
      </c>
      <c r="M62" s="3">
        <f>IF(INDEX(学年度总表!$M$3:$M$1025,MATCH($E62,学年度总表!$E$3:$E$1025,0))="","",INDEX(学年度总表!$M$3:$M$1025,MATCH($E62,学年度总表!$E$3:$E$1025,0)))</f>
        <v>3.5</v>
      </c>
      <c r="N62" s="3">
        <f>IF(INDEX(学年度总表!$N$3:$N$1025,MATCH($E62,学年度总表!$E$3:$E$1025,0))="","",INDEX(学年度总表!$N$3:$N$1025,MATCH($E62,学年度总表!$E$3:$E$1025,0)))</f>
        <v>71.11</v>
      </c>
      <c r="O62" s="3">
        <f>IF(INDEX(学年度总表!$O$3:$O$1025,MATCH($E62,学年度总表!$E$3:$E$1025,0))="","",INDEX(学年度总表!$O$3:$O$1025,MATCH($E62,学年度总表!$E$3:$E$1025,0)))</f>
        <v>141.94999999999999</v>
      </c>
      <c r="P62" s="2" t="str">
        <f>IF(INDEX(学年度总表!$P$3:$P$1025,MATCH($E62,学年度总表!$E$3:$E$1025,0))="","",INDEX(学年度总表!$P$3:$P$1025,MATCH($E62,学年度总表!$E$3:$E$1025,0)))</f>
        <v/>
      </c>
      <c r="Q62" s="5" t="str">
        <f>IF(INDEX(学年度总表!$Q$3:$Q$1025,MATCH($E62,学年度总表!$E$3:$E$1025,0))="","",INDEX(学年度总表!$Q$3:$Q$1025,MATCH($E62,学年度总表!$E$3:$E$1025,0)))</f>
        <v/>
      </c>
    </row>
    <row r="63" spans="1:17">
      <c r="A63" s="2">
        <f>IF(INDEX(学年度总表!$A$3:$A$1025,MATCH($E63,学年度总表!$E$3:$E$1025,0))="","",INDEX(学年度总表!$A$3:$A$1025,MATCH($E63,学年度总表!$E$3:$E$1025,0)))</f>
        <v>451</v>
      </c>
      <c r="B63" s="2">
        <f>IF(INDEX(学年度总表!$B$3:$B$1025,MATCH($E63,学年度总表!$E$3:$E$1025,0))="","",INDEX(学年度总表!$B$3:$B$1025,MATCH($E63,学年度总表!$E$3:$E$1025,0)))</f>
        <v>61</v>
      </c>
      <c r="C63" s="2" t="str">
        <f>IF(INDEX(学年度总表!$C$3:$C$1025,MATCH($E63,学年度总表!$E$3:$E$1025,0))="","",INDEX(学年度总表!$C$3:$C$1025,MATCH($E63,学年度总表!$E$3:$E$1025,0)))</f>
        <v>网工</v>
      </c>
      <c r="D63" s="2" t="str">
        <f>IF(INDEX(学年度总表!$D$3:$D$1025,MATCH($E63,学年度总表!$E$3:$E$1025,0))="","",INDEX(学年度总表!$D$3:$D$1025,MATCH($E63,学年度总表!$E$3:$E$1025,0)))</f>
        <v>网工16班</v>
      </c>
      <c r="E63" s="2" t="s">
        <v>964</v>
      </c>
      <c r="F63" s="2" t="str">
        <f>IF(INDEX(学年度总表!$F$3:$F$1025,MATCH($E63,学年度总表!$E$3:$E$1025,0))="","",INDEX(学年度总表!$F$3:$F$1025,MATCH($E63,学年度总表!$E$3:$E$1025,0)))</f>
        <v>江亚静</v>
      </c>
      <c r="G63" s="3">
        <f>IF(INDEX(学年度总表!$G$3:$G$1025,MATCH($E63,学年度总表!$E$3:$E$1025,0))="","",INDEX(学年度总表!$G$3:$G$1025,MATCH($E63,学年度总表!$E$3:$E$1025,0)))</f>
        <v>9.8000000000000007</v>
      </c>
      <c r="H63" s="3">
        <f>IF(INDEX(学年度总表!$H$3:$H$1025,MATCH($E63,学年度总表!$E$3:$E$1025,0))="","",INDEX(学年度总表!$H$3:$H$1025,MATCH($E63,学年度总表!$E$3:$E$1025,0)))</f>
        <v>60.17</v>
      </c>
      <c r="I63" s="3">
        <f>IF(INDEX(学年度总表!$I$3:$I$1025,MATCH($E63,学年度总表!$E$3:$E$1025,0))="","",INDEX(学年度总表!$I$3:$I$1025,MATCH($E63,学年度总表!$E$3:$E$1025,0)))</f>
        <v>4</v>
      </c>
      <c r="J63" s="3">
        <f>IF(INDEX(学年度总表!$J$3:$J$1025,MATCH($E63,学年度总表!$E$3:$E$1025,0))="","",INDEX(学年度总表!$J$3:$J$1025,MATCH($E63,学年度总表!$E$3:$E$1025,0)))</f>
        <v>73.97</v>
      </c>
      <c r="K63" s="3">
        <f>IF(INDEX(学年度总表!$K$3:$K$1025,MATCH($E63,学年度总表!$E$3:$E$1025,0))="","",INDEX(学年度总表!$K$3:$K$1025,MATCH($E63,学年度总表!$E$3:$E$1025,0)))</f>
        <v>7.3000000000000007</v>
      </c>
      <c r="L63" s="3">
        <f>IF(INDEX(学年度总表!$L$3:$L$1025,MATCH($E63,学年度总表!$E$3:$E$1025,0))="","",INDEX(学年度总表!$L$3:$L$1025,MATCH($E63,学年度总表!$E$3:$E$1025,0)))</f>
        <v>55.89</v>
      </c>
      <c r="M63" s="3">
        <f>IF(INDEX(学年度总表!$M$3:$M$1025,MATCH($E63,学年度总表!$E$3:$E$1025,0))="","",INDEX(学年度总表!$M$3:$M$1025,MATCH($E63,学年度总表!$E$3:$E$1025,0)))</f>
        <v>4.5</v>
      </c>
      <c r="N63" s="3">
        <f>IF(INDEX(学年度总表!$N$3:$N$1025,MATCH($E63,学年度总表!$E$3:$E$1025,0))="","",INDEX(学年度总表!$N$3:$N$1025,MATCH($E63,学年度总表!$E$3:$E$1025,0)))</f>
        <v>67.69</v>
      </c>
      <c r="O63" s="3">
        <f>IF(INDEX(学年度总表!$O$3:$O$1025,MATCH($E63,学年度总表!$E$3:$E$1025,0))="","",INDEX(学年度总表!$O$3:$O$1025,MATCH($E63,学年度总表!$E$3:$E$1025,0)))</f>
        <v>141.66</v>
      </c>
      <c r="P63" s="2" t="str">
        <f>IF(INDEX(学年度总表!$P$3:$P$1025,MATCH($E63,学年度总表!$E$3:$E$1025,0))="","",INDEX(学年度总表!$P$3:$P$1025,MATCH($E63,学年度总表!$E$3:$E$1025,0)))</f>
        <v/>
      </c>
      <c r="Q63" s="5" t="str">
        <f>IF(INDEX(学年度总表!$Q$3:$Q$1025,MATCH($E63,学年度总表!$E$3:$E$1025,0))="","",INDEX(学年度总表!$Q$3:$Q$1025,MATCH($E63,学年度总表!$E$3:$E$1025,0)))</f>
        <v/>
      </c>
    </row>
    <row r="64" spans="1:17">
      <c r="A64" s="2">
        <f>IF(INDEX(学年度总表!$A$3:$A$1025,MATCH($E64,学年度总表!$E$3:$E$1025,0))="","",INDEX(学年度总表!$A$3:$A$1025,MATCH($E64,学年度总表!$E$3:$E$1025,0)))</f>
        <v>462</v>
      </c>
      <c r="B64" s="2">
        <f>IF(INDEX(学年度总表!$B$3:$B$1025,MATCH($E64,学年度总表!$E$3:$E$1025,0))="","",INDEX(学年度总表!$B$3:$B$1025,MATCH($E64,学年度总表!$E$3:$E$1025,0)))</f>
        <v>62</v>
      </c>
      <c r="C64" s="2" t="str">
        <f>IF(INDEX(学年度总表!$C$3:$C$1025,MATCH($E64,学年度总表!$E$3:$E$1025,0))="","",INDEX(学年度总表!$C$3:$C$1025,MATCH($E64,学年度总表!$E$3:$E$1025,0)))</f>
        <v>网工</v>
      </c>
      <c r="D64" s="2" t="str">
        <f>IF(INDEX(学年度总表!$D$3:$D$1025,MATCH($E64,学年度总表!$E$3:$E$1025,0))="","",INDEX(学年度总表!$D$3:$D$1025,MATCH($E64,学年度总表!$E$3:$E$1025,0)))</f>
        <v>网工16班</v>
      </c>
      <c r="E64" s="2" t="s">
        <v>986</v>
      </c>
      <c r="F64" s="2" t="str">
        <f>IF(INDEX(学年度总表!$F$3:$F$1025,MATCH($E64,学年度总表!$E$3:$E$1025,0))="","",INDEX(学年度总表!$F$3:$F$1025,MATCH($E64,学年度总表!$E$3:$E$1025,0)))</f>
        <v>孙永基</v>
      </c>
      <c r="G64" s="3">
        <f>IF(INDEX(学年度总表!$G$3:$G$1025,MATCH($E64,学年度总表!$E$3:$E$1025,0))="","",INDEX(学年度总表!$G$3:$G$1025,MATCH($E64,学年度总表!$E$3:$E$1025,0)))</f>
        <v>10</v>
      </c>
      <c r="H64" s="3">
        <f>IF(INDEX(学年度总表!$H$3:$H$1025,MATCH($E64,学年度总表!$E$3:$E$1025,0))="","",INDEX(学年度总表!$H$3:$H$1025,MATCH($E64,学年度总表!$E$3:$E$1025,0)))</f>
        <v>58.26</v>
      </c>
      <c r="I64" s="3">
        <f>IF(INDEX(学年度总表!$I$3:$I$1025,MATCH($E64,学年度总表!$E$3:$E$1025,0))="","",INDEX(学年度总表!$I$3:$I$1025,MATCH($E64,学年度总表!$E$3:$E$1025,0)))</f>
        <v>4.3</v>
      </c>
      <c r="J64" s="3">
        <f>IF(INDEX(学年度总表!$J$3:$J$1025,MATCH($E64,学年度总表!$E$3:$E$1025,0))="","",INDEX(学年度总表!$J$3:$J$1025,MATCH($E64,学年度总表!$E$3:$E$1025,0)))</f>
        <v>72.56</v>
      </c>
      <c r="K64" s="3">
        <f>IF(INDEX(学年度总表!$K$3:$K$1025,MATCH($E64,学年度总表!$E$3:$E$1025,0))="","",INDEX(学年度总表!$K$3:$K$1025,MATCH($E64,学年度总表!$E$3:$E$1025,0)))</f>
        <v>7.5</v>
      </c>
      <c r="L64" s="3">
        <f>IF(INDEX(学年度总表!$L$3:$L$1025,MATCH($E64,学年度总表!$E$3:$E$1025,0))="","",INDEX(学年度总表!$L$3:$L$1025,MATCH($E64,学年度总表!$E$3:$E$1025,0)))</f>
        <v>57.09</v>
      </c>
      <c r="M64" s="3">
        <f>IF(INDEX(学年度总表!$M$3:$M$1025,MATCH($E64,学年度总表!$E$3:$E$1025,0))="","",INDEX(学年度总表!$M$3:$M$1025,MATCH($E64,学年度总表!$E$3:$E$1025,0)))</f>
        <v>4.0999999999999996</v>
      </c>
      <c r="N64" s="3">
        <f>IF(INDEX(学年度总表!$N$3:$N$1025,MATCH($E64,学年度总表!$E$3:$E$1025,0))="","",INDEX(学年度总表!$N$3:$N$1025,MATCH($E64,学年度总表!$E$3:$E$1025,0)))</f>
        <v>68.69</v>
      </c>
      <c r="O64" s="3">
        <f>IF(INDEX(学年度总表!$O$3:$O$1025,MATCH($E64,学年度总表!$E$3:$E$1025,0))="","",INDEX(学年度总表!$O$3:$O$1025,MATCH($E64,学年度总表!$E$3:$E$1025,0)))</f>
        <v>141.25</v>
      </c>
      <c r="P64" s="2" t="str">
        <f>IF(INDEX(学年度总表!$P$3:$P$1025,MATCH($E64,学年度总表!$E$3:$E$1025,0))="","",INDEX(学年度总表!$P$3:$P$1025,MATCH($E64,学年度总表!$E$3:$E$1025,0)))</f>
        <v/>
      </c>
      <c r="Q64" s="5" t="str">
        <f>IF(INDEX(学年度总表!$Q$3:$Q$1025,MATCH($E64,学年度总表!$E$3:$E$1025,0))="","",INDEX(学年度总表!$Q$3:$Q$1025,MATCH($E64,学年度总表!$E$3:$E$1025,0)))</f>
        <v/>
      </c>
    </row>
    <row r="65" spans="1:17">
      <c r="A65" s="2">
        <f>IF(INDEX(学年度总表!$A$3:$A$1025,MATCH($E65,学年度总表!$E$3:$E$1025,0))="","",INDEX(学年度总表!$A$3:$A$1025,MATCH($E65,学年度总表!$E$3:$E$1025,0)))</f>
        <v>466</v>
      </c>
      <c r="B65" s="2">
        <f>IF(INDEX(学年度总表!$B$3:$B$1025,MATCH($E65,学年度总表!$E$3:$E$1025,0))="","",INDEX(学年度总表!$B$3:$B$1025,MATCH($E65,学年度总表!$E$3:$E$1025,0)))</f>
        <v>63</v>
      </c>
      <c r="C65" s="2" t="str">
        <f>IF(INDEX(学年度总表!$C$3:$C$1025,MATCH($E65,学年度总表!$E$3:$E$1025,0))="","",INDEX(学年度总表!$C$3:$C$1025,MATCH($E65,学年度总表!$E$3:$E$1025,0)))</f>
        <v>网工</v>
      </c>
      <c r="D65" s="2" t="str">
        <f>IF(INDEX(学年度总表!$D$3:$D$1025,MATCH($E65,学年度总表!$E$3:$E$1025,0))="","",INDEX(学年度总表!$D$3:$D$1025,MATCH($E65,学年度总表!$E$3:$E$1025,0)))</f>
        <v>网工18班</v>
      </c>
      <c r="E65" s="2" t="s">
        <v>994</v>
      </c>
      <c r="F65" s="2" t="str">
        <f>IF(INDEX(学年度总表!$F$3:$F$1025,MATCH($E65,学年度总表!$E$3:$E$1025,0))="","",INDEX(学年度总表!$F$3:$F$1025,MATCH($E65,学年度总表!$E$3:$E$1025,0)))</f>
        <v>倪世骏</v>
      </c>
      <c r="G65" s="3">
        <f>IF(INDEX(学年度总表!$G$3:$G$1025,MATCH($E65,学年度总表!$E$3:$E$1025,0))="","",INDEX(学年度总表!$G$3:$G$1025,MATCH($E65,学年度总表!$E$3:$E$1025,0)))</f>
        <v>12.5</v>
      </c>
      <c r="H65" s="3">
        <f>IF(INDEX(学年度总表!$H$3:$H$1025,MATCH($E65,学年度总表!$E$3:$E$1025,0))="","",INDEX(学年度总表!$H$3:$H$1025,MATCH($E65,学年度总表!$E$3:$E$1025,0)))</f>
        <v>51.28</v>
      </c>
      <c r="I65" s="3">
        <f>IF(INDEX(学年度总表!$I$3:$I$1025,MATCH($E65,学年度总表!$E$3:$E$1025,0))="","",INDEX(学年度总表!$I$3:$I$1025,MATCH($E65,学年度总表!$E$3:$E$1025,0)))</f>
        <v>7.5</v>
      </c>
      <c r="J65" s="3">
        <f>IF(INDEX(学年度总表!$J$3:$J$1025,MATCH($E65,学年度总表!$E$3:$E$1025,0))="","",INDEX(学年度总表!$J$3:$J$1025,MATCH($E65,学年度总表!$E$3:$E$1025,0)))</f>
        <v>71.28</v>
      </c>
      <c r="K65" s="3">
        <f>IF(INDEX(学年度总表!$K$3:$K$1025,MATCH($E65,学年度总表!$E$3:$E$1025,0))="","",INDEX(学年度总表!$K$3:$K$1025,MATCH($E65,学年度总表!$E$3:$E$1025,0)))</f>
        <v>13.5</v>
      </c>
      <c r="L65" s="3">
        <f>IF(INDEX(学年度总表!$L$3:$L$1025,MATCH($E65,学年度总表!$E$3:$E$1025,0))="","",INDEX(学年度总表!$L$3:$L$1025,MATCH($E65,学年度总表!$E$3:$E$1025,0)))</f>
        <v>49.98</v>
      </c>
      <c r="M65" s="3">
        <f>IF(INDEX(学年度总表!$M$3:$M$1025,MATCH($E65,学年度总表!$E$3:$E$1025,0))="","",INDEX(学年度总表!$M$3:$M$1025,MATCH($E65,学年度总表!$E$3:$E$1025,0)))</f>
        <v>6.35</v>
      </c>
      <c r="N65" s="3">
        <f>IF(INDEX(学年度总表!$N$3:$N$1025,MATCH($E65,学年度总表!$E$3:$E$1025,0))="","",INDEX(学年度总表!$N$3:$N$1025,MATCH($E65,学年度总表!$E$3:$E$1025,0)))</f>
        <v>69.83</v>
      </c>
      <c r="O65" s="3">
        <f>IF(INDEX(学年度总表!$O$3:$O$1025,MATCH($E65,学年度总表!$E$3:$E$1025,0))="","",INDEX(学年度总表!$O$3:$O$1025,MATCH($E65,学年度总表!$E$3:$E$1025,0)))</f>
        <v>141.11000000000001</v>
      </c>
      <c r="P65" s="2" t="str">
        <f>IF(INDEX(学年度总表!$P$3:$P$1025,MATCH($E65,学年度总表!$E$3:$E$1025,0))="","",INDEX(学年度总表!$P$3:$P$1025,MATCH($E65,学年度总表!$E$3:$E$1025,0)))</f>
        <v/>
      </c>
      <c r="Q65" s="5" t="str">
        <f>IF(INDEX(学年度总表!$Q$3:$Q$1025,MATCH($E65,学年度总表!$E$3:$E$1025,0))="","",INDEX(学年度总表!$Q$3:$Q$1025,MATCH($E65,学年度总表!$E$3:$E$1025,0)))</f>
        <v/>
      </c>
    </row>
    <row r="66" spans="1:17">
      <c r="A66" s="2">
        <f>IF(INDEX(学年度总表!$A$3:$A$1025,MATCH($E66,学年度总表!$E$3:$E$1025,0))="","",INDEX(学年度总表!$A$3:$A$1025,MATCH($E66,学年度总表!$E$3:$E$1025,0)))</f>
        <v>477</v>
      </c>
      <c r="B66" s="2">
        <f>IF(INDEX(学年度总表!$B$3:$B$1025,MATCH($E66,学年度总表!$E$3:$E$1025,0))="","",INDEX(学年度总表!$B$3:$B$1025,MATCH($E66,学年度总表!$E$3:$E$1025,0)))</f>
        <v>64</v>
      </c>
      <c r="C66" s="2" t="str">
        <f>IF(INDEX(学年度总表!$C$3:$C$1025,MATCH($E66,学年度总表!$E$3:$E$1025,0))="","",INDEX(学年度总表!$C$3:$C$1025,MATCH($E66,学年度总表!$E$3:$E$1025,0)))</f>
        <v>网工</v>
      </c>
      <c r="D66" s="2" t="str">
        <f>IF(INDEX(学年度总表!$D$3:$D$1025,MATCH($E66,学年度总表!$E$3:$E$1025,0))="","",INDEX(学年度总表!$D$3:$D$1025,MATCH($E66,学年度总表!$E$3:$E$1025,0)))</f>
        <v>网工17班</v>
      </c>
      <c r="E66" s="2" t="s">
        <v>1016</v>
      </c>
      <c r="F66" s="2" t="str">
        <f>IF(INDEX(学年度总表!$F$3:$F$1025,MATCH($E66,学年度总表!$E$3:$E$1025,0))="","",INDEX(学年度总表!$F$3:$F$1025,MATCH($E66,学年度总表!$E$3:$E$1025,0)))</f>
        <v>陈俊宇</v>
      </c>
      <c r="G66" s="3">
        <f>IF(INDEX(学年度总表!$G$3:$G$1025,MATCH($E66,学年度总表!$E$3:$E$1025,0))="","",INDEX(学年度总表!$G$3:$G$1025,MATCH($E66,学年度总表!$E$3:$E$1025,0)))</f>
        <v>11.8</v>
      </c>
      <c r="H66" s="3">
        <f>IF(INDEX(学年度总表!$H$3:$H$1025,MATCH($E66,学年度总表!$E$3:$E$1025,0))="","",INDEX(学年度总表!$H$3:$H$1025,MATCH($E66,学年度总表!$E$3:$E$1025,0)))</f>
        <v>56.2</v>
      </c>
      <c r="I66" s="3">
        <f>IF(INDEX(学年度总表!$I$3:$I$1025,MATCH($E66,学年度总表!$E$3:$E$1025,0))="","",INDEX(学年度总表!$I$3:$I$1025,MATCH($E66,学年度总表!$E$3:$E$1025,0)))</f>
        <v>3.2</v>
      </c>
      <c r="J66" s="3">
        <f>IF(INDEX(学年度总表!$J$3:$J$1025,MATCH($E66,学年度总表!$E$3:$E$1025,0))="","",INDEX(学年度总表!$J$3:$J$1025,MATCH($E66,学年度总表!$E$3:$E$1025,0)))</f>
        <v>71.2</v>
      </c>
      <c r="K66" s="3">
        <f>IF(INDEX(学年度总表!$K$3:$K$1025,MATCH($E66,学年度总表!$E$3:$E$1025,0))="","",INDEX(学年度总表!$K$3:$K$1025,MATCH($E66,学年度总表!$E$3:$E$1025,0)))</f>
        <v>9.3000000000000007</v>
      </c>
      <c r="L66" s="3">
        <f>IF(INDEX(学年度总表!$L$3:$L$1025,MATCH($E66,学年度总表!$E$3:$E$1025,0))="","",INDEX(学年度总表!$L$3:$L$1025,MATCH($E66,学年度总表!$E$3:$E$1025,0)))</f>
        <v>56.75</v>
      </c>
      <c r="M66" s="3">
        <f>IF(INDEX(学年度总表!$M$3:$M$1025,MATCH($E66,学年度总表!$E$3:$E$1025,0))="","",INDEX(学年度总表!$M$3:$M$1025,MATCH($E66,学年度总表!$E$3:$E$1025,0)))</f>
        <v>3.5</v>
      </c>
      <c r="N66" s="3">
        <f>IF(INDEX(学年度总表!$N$3:$N$1025,MATCH($E66,学年度总表!$E$3:$E$1025,0))="","",INDEX(学年度总表!$N$3:$N$1025,MATCH($E66,学年度总表!$E$3:$E$1025,0)))</f>
        <v>69.55</v>
      </c>
      <c r="O66" s="3">
        <f>IF(INDEX(学年度总表!$O$3:$O$1025,MATCH($E66,学年度总表!$E$3:$E$1025,0))="","",INDEX(学年度总表!$O$3:$O$1025,MATCH($E66,学年度总表!$E$3:$E$1025,0)))</f>
        <v>140.75</v>
      </c>
      <c r="P66" s="2" t="str">
        <f>IF(INDEX(学年度总表!$P$3:$P$1025,MATCH($E66,学年度总表!$E$3:$E$1025,0))="","",INDEX(学年度总表!$P$3:$P$1025,MATCH($E66,学年度总表!$E$3:$E$1025,0)))</f>
        <v/>
      </c>
      <c r="Q66" s="5" t="str">
        <f>IF(INDEX(学年度总表!$Q$3:$Q$1025,MATCH($E66,学年度总表!$E$3:$E$1025,0))="","",INDEX(学年度总表!$Q$3:$Q$1025,MATCH($E66,学年度总表!$E$3:$E$1025,0)))</f>
        <v/>
      </c>
    </row>
    <row r="67" spans="1:17">
      <c r="A67" s="2">
        <f>IF(INDEX(学年度总表!$A$3:$A$1025,MATCH($E67,学年度总表!$E$3:$E$1025,0))="","",INDEX(学年度总表!$A$3:$A$1025,MATCH($E67,学年度总表!$E$3:$E$1025,0)))</f>
        <v>499</v>
      </c>
      <c r="B67" s="2">
        <f>IF(INDEX(学年度总表!$B$3:$B$1025,MATCH($E67,学年度总表!$E$3:$E$1025,0))="","",INDEX(学年度总表!$B$3:$B$1025,MATCH($E67,学年度总表!$E$3:$E$1025,0)))</f>
        <v>65</v>
      </c>
      <c r="C67" s="2" t="str">
        <f>IF(INDEX(学年度总表!$C$3:$C$1025,MATCH($E67,学年度总表!$E$3:$E$1025,0))="","",INDEX(学年度总表!$C$3:$C$1025,MATCH($E67,学年度总表!$E$3:$E$1025,0)))</f>
        <v>网工</v>
      </c>
      <c r="D67" s="2" t="str">
        <f>IF(INDEX(学年度总表!$D$3:$D$1025,MATCH($E67,学年度总表!$E$3:$E$1025,0))="","",INDEX(学年度总表!$D$3:$D$1025,MATCH($E67,学年度总表!$E$3:$E$1025,0)))</f>
        <v>网工15班</v>
      </c>
      <c r="E67" s="2" t="s">
        <v>1060</v>
      </c>
      <c r="F67" s="2" t="str">
        <f>IF(INDEX(学年度总表!$F$3:$F$1025,MATCH($E67,学年度总表!$E$3:$E$1025,0))="","",INDEX(学年度总表!$F$3:$F$1025,MATCH($E67,学年度总表!$E$3:$E$1025,0)))</f>
        <v>陶泳竹</v>
      </c>
      <c r="G67" s="3">
        <f>IF(INDEX(学年度总表!$G$3:$G$1025,MATCH($E67,学年度总表!$E$3:$E$1025,0))="","",INDEX(学年度总表!$G$3:$G$1025,MATCH($E67,学年度总表!$E$3:$E$1025,0)))</f>
        <v>9.8000000000000007</v>
      </c>
      <c r="H67" s="3">
        <f>IF(INDEX(学年度总表!$H$3:$H$1025,MATCH($E67,学年度总表!$E$3:$E$1025,0))="","",INDEX(学年度总表!$H$3:$H$1025,MATCH($E67,学年度总表!$E$3:$E$1025,0)))</f>
        <v>57.77</v>
      </c>
      <c r="I67" s="3">
        <f>IF(INDEX(学年度总表!$I$3:$I$1025,MATCH($E67,学年度总表!$E$3:$E$1025,0))="","",INDEX(学年度总表!$I$3:$I$1025,MATCH($E67,学年度总表!$E$3:$E$1025,0)))</f>
        <v>3.6</v>
      </c>
      <c r="J67" s="3">
        <f>IF(INDEX(学年度总表!$J$3:$J$1025,MATCH($E67,学年度总表!$E$3:$E$1025,0))="","",INDEX(学年度总表!$J$3:$J$1025,MATCH($E67,学年度总表!$E$3:$E$1025,0)))</f>
        <v>71.17</v>
      </c>
      <c r="K67" s="3">
        <f>IF(INDEX(学年度总表!$K$3:$K$1025,MATCH($E67,学年度总表!$E$3:$E$1025,0))="","",INDEX(学年度总表!$K$3:$K$1025,MATCH($E67,学年度总表!$E$3:$E$1025,0)))</f>
        <v>7.3000000000000007</v>
      </c>
      <c r="L67" s="3">
        <f>IF(INDEX(学年度总表!$L$3:$L$1025,MATCH($E67,学年度总表!$E$3:$E$1025,0))="","",INDEX(学年度总表!$L$3:$L$1025,MATCH($E67,学年度总表!$E$3:$E$1025,0)))</f>
        <v>57.39</v>
      </c>
      <c r="M67" s="3">
        <f>IF(INDEX(学年度总表!$M$3:$M$1025,MATCH($E67,学年度总表!$E$3:$E$1025,0))="","",INDEX(学年度总表!$M$3:$M$1025,MATCH($E67,学年度总表!$E$3:$E$1025,0)))</f>
        <v>4.0999999999999996</v>
      </c>
      <c r="N67" s="3">
        <f>IF(INDEX(学年度总表!$N$3:$N$1025,MATCH($E67,学年度总表!$E$3:$E$1025,0))="","",INDEX(学年度总表!$N$3:$N$1025,MATCH($E67,学年度总表!$E$3:$E$1025,0)))</f>
        <v>68.790000000000006</v>
      </c>
      <c r="O67" s="3">
        <f>IF(INDEX(学年度总表!$O$3:$O$1025,MATCH($E67,学年度总表!$E$3:$E$1025,0))="","",INDEX(学年度总表!$O$3:$O$1025,MATCH($E67,学年度总表!$E$3:$E$1025,0)))</f>
        <v>139.96</v>
      </c>
      <c r="P67" s="2" t="str">
        <f>IF(INDEX(学年度总表!$P$3:$P$1025,MATCH($E67,学年度总表!$E$3:$E$1025,0))="","",INDEX(学年度总表!$P$3:$P$1025,MATCH($E67,学年度总表!$E$3:$E$1025,0)))</f>
        <v/>
      </c>
      <c r="Q67" s="5" t="str">
        <f>IF(INDEX(学年度总表!$Q$3:$Q$1025,MATCH($E67,学年度总表!$E$3:$E$1025,0))="","",INDEX(学年度总表!$Q$3:$Q$1025,MATCH($E67,学年度总表!$E$3:$E$1025,0)))</f>
        <v/>
      </c>
    </row>
    <row r="68" spans="1:17">
      <c r="A68" s="2">
        <f>IF(INDEX(学年度总表!$A$3:$A$1025,MATCH($E68,学年度总表!$E$3:$E$1025,0))="","",INDEX(学年度总表!$A$3:$A$1025,MATCH($E68,学年度总表!$E$3:$E$1025,0)))</f>
        <v>500</v>
      </c>
      <c r="B68" s="2">
        <f>IF(INDEX(学年度总表!$B$3:$B$1025,MATCH($E68,学年度总表!$E$3:$E$1025,0))="","",INDEX(学年度总表!$B$3:$B$1025,MATCH($E68,学年度总表!$E$3:$E$1025,0)))</f>
        <v>66</v>
      </c>
      <c r="C68" s="2" t="str">
        <f>IF(INDEX(学年度总表!$C$3:$C$1025,MATCH($E68,学年度总表!$E$3:$E$1025,0))="","",INDEX(学年度总表!$C$3:$C$1025,MATCH($E68,学年度总表!$E$3:$E$1025,0)))</f>
        <v>网工</v>
      </c>
      <c r="D68" s="2" t="str">
        <f>IF(INDEX(学年度总表!$D$3:$D$1025,MATCH($E68,学年度总表!$E$3:$E$1025,0))="","",INDEX(学年度总表!$D$3:$D$1025,MATCH($E68,学年度总表!$E$3:$E$1025,0)))</f>
        <v>网工17班</v>
      </c>
      <c r="E68" s="2" t="s">
        <v>1062</v>
      </c>
      <c r="F68" s="2" t="str">
        <f>IF(INDEX(学年度总表!$F$3:$F$1025,MATCH($E68,学年度总表!$E$3:$E$1025,0))="","",INDEX(学年度总表!$F$3:$F$1025,MATCH($E68,学年度总表!$E$3:$E$1025,0)))</f>
        <v>崔子卿</v>
      </c>
      <c r="G68" s="3">
        <f>IF(INDEX(学年度总表!$G$3:$G$1025,MATCH($E68,学年度总表!$E$3:$E$1025,0))="","",INDEX(学年度总表!$G$3:$G$1025,MATCH($E68,学年度总表!$E$3:$E$1025,0)))</f>
        <v>9.8000000000000007</v>
      </c>
      <c r="H68" s="3">
        <f>IF(INDEX(学年度总表!$H$3:$H$1025,MATCH($E68,学年度总表!$E$3:$E$1025,0))="","",INDEX(学年度总表!$H$3:$H$1025,MATCH($E68,学年度总表!$E$3:$E$1025,0)))</f>
        <v>56.99</v>
      </c>
      <c r="I68" s="3">
        <f>IF(INDEX(学年度总表!$I$3:$I$1025,MATCH($E68,学年度总表!$E$3:$E$1025,0))="","",INDEX(学年度总表!$I$3:$I$1025,MATCH($E68,学年度总表!$E$3:$E$1025,0)))</f>
        <v>4.2</v>
      </c>
      <c r="J68" s="3">
        <f>IF(INDEX(学年度总表!$J$3:$J$1025,MATCH($E68,学年度总表!$E$3:$E$1025,0))="","",INDEX(学年度总表!$J$3:$J$1025,MATCH($E68,学年度总表!$E$3:$E$1025,0)))</f>
        <v>70.989999999999995</v>
      </c>
      <c r="K68" s="3">
        <f>IF(INDEX(学年度总表!$K$3:$K$1025,MATCH($E68,学年度总表!$E$3:$E$1025,0))="","",INDEX(学年度总表!$K$3:$K$1025,MATCH($E68,学年度总表!$E$3:$E$1025,0)))</f>
        <v>7.3000000000000007</v>
      </c>
      <c r="L68" s="3">
        <f>IF(INDEX(学年度总表!$L$3:$L$1025,MATCH($E68,学年度总表!$E$3:$E$1025,0))="","",INDEX(学年度总表!$L$3:$L$1025,MATCH($E68,学年度总表!$E$3:$E$1025,0)))</f>
        <v>57.94</v>
      </c>
      <c r="M68" s="3">
        <f>IF(INDEX(学年度总表!$M$3:$M$1025,MATCH($E68,学年度总表!$E$3:$E$1025,0))="","",INDEX(学年度总表!$M$3:$M$1025,MATCH($E68,学年度总表!$E$3:$E$1025,0)))</f>
        <v>3.7</v>
      </c>
      <c r="N68" s="3">
        <f>IF(INDEX(学年度总表!$N$3:$N$1025,MATCH($E68,学年度总表!$E$3:$E$1025,0))="","",INDEX(学年度总表!$N$3:$N$1025,MATCH($E68,学年度总表!$E$3:$E$1025,0)))</f>
        <v>68.94</v>
      </c>
      <c r="O68" s="3">
        <f>IF(INDEX(学年度总表!$O$3:$O$1025,MATCH($E68,学年度总表!$E$3:$E$1025,0))="","",INDEX(学年度总表!$O$3:$O$1025,MATCH($E68,学年度总表!$E$3:$E$1025,0)))</f>
        <v>139.93</v>
      </c>
      <c r="P68" s="2" t="str">
        <f>IF(INDEX(学年度总表!$P$3:$P$1025,MATCH($E68,学年度总表!$E$3:$E$1025,0))="","",INDEX(学年度总表!$P$3:$P$1025,MATCH($E68,学年度总表!$E$3:$E$1025,0)))</f>
        <v/>
      </c>
      <c r="Q68" s="5" t="str">
        <f>IF(INDEX(学年度总表!$Q$3:$Q$1025,MATCH($E68,学年度总表!$E$3:$E$1025,0))="","",INDEX(学年度总表!$Q$3:$Q$1025,MATCH($E68,学年度总表!$E$3:$E$1025,0)))</f>
        <v/>
      </c>
    </row>
    <row r="69" spans="1:17">
      <c r="A69" s="2">
        <f>IF(INDEX(学年度总表!$A$3:$A$1025,MATCH($E69,学年度总表!$E$3:$E$1025,0))="","",INDEX(学年度总表!$A$3:$A$1025,MATCH($E69,学年度总表!$E$3:$E$1025,0)))</f>
        <v>501</v>
      </c>
      <c r="B69" s="2">
        <f>IF(INDEX(学年度总表!$B$3:$B$1025,MATCH($E69,学年度总表!$E$3:$E$1025,0))="","",INDEX(学年度总表!$B$3:$B$1025,MATCH($E69,学年度总表!$E$3:$E$1025,0)))</f>
        <v>67</v>
      </c>
      <c r="C69" s="2" t="str">
        <f>IF(INDEX(学年度总表!$C$3:$C$1025,MATCH($E69,学年度总表!$E$3:$E$1025,0))="","",INDEX(学年度总表!$C$3:$C$1025,MATCH($E69,学年度总表!$E$3:$E$1025,0)))</f>
        <v>网工</v>
      </c>
      <c r="D69" s="2" t="str">
        <f>IF(INDEX(学年度总表!$D$3:$D$1025,MATCH($E69,学年度总表!$E$3:$E$1025,0))="","",INDEX(学年度总表!$D$3:$D$1025,MATCH($E69,学年度总表!$E$3:$E$1025,0)))</f>
        <v>网工15班</v>
      </c>
      <c r="E69" s="2" t="s">
        <v>1064</v>
      </c>
      <c r="F69" s="2" t="str">
        <f>IF(INDEX(学年度总表!$F$3:$F$1025,MATCH($E69,学年度总表!$E$3:$E$1025,0))="","",INDEX(学年度总表!$F$3:$F$1025,MATCH($E69,学年度总表!$E$3:$E$1025,0)))</f>
        <v>宋万城</v>
      </c>
      <c r="G69" s="3">
        <f>IF(INDEX(学年度总表!$G$3:$G$1025,MATCH($E69,学年度总表!$E$3:$E$1025,0))="","",INDEX(学年度总表!$G$3:$G$1025,MATCH($E69,学年度总表!$E$3:$E$1025,0)))</f>
        <v>9.8000000000000007</v>
      </c>
      <c r="H69" s="3">
        <f>IF(INDEX(学年度总表!$H$3:$H$1025,MATCH($E69,学年度总表!$E$3:$E$1025,0))="","",INDEX(学年度总表!$H$3:$H$1025,MATCH($E69,学年度总表!$E$3:$E$1025,0)))</f>
        <v>59.23</v>
      </c>
      <c r="I69" s="3">
        <f>IF(INDEX(学年度总表!$I$3:$I$1025,MATCH($E69,学年度总表!$E$3:$E$1025,0))="","",INDEX(学年度总表!$I$3:$I$1025,MATCH($E69,学年度总表!$E$3:$E$1025,0)))</f>
        <v>5</v>
      </c>
      <c r="J69" s="3">
        <f>IF(INDEX(学年度总表!$J$3:$J$1025,MATCH($E69,学年度总表!$E$3:$E$1025,0))="","",INDEX(学年度总表!$J$3:$J$1025,MATCH($E69,学年度总表!$E$3:$E$1025,0)))</f>
        <v>74.03</v>
      </c>
      <c r="K69" s="3">
        <f>IF(INDEX(学年度总表!$K$3:$K$1025,MATCH($E69,学年度总表!$E$3:$E$1025,0))="","",INDEX(学年度总表!$K$3:$K$1025,MATCH($E69,学年度总表!$E$3:$E$1025,0)))</f>
        <v>9.8000000000000007</v>
      </c>
      <c r="L69" s="3">
        <f>IF(INDEX(学年度总表!$L$3:$L$1025,MATCH($E69,学年度总表!$E$3:$E$1025,0))="","",INDEX(学年度总表!$L$3:$L$1025,MATCH($E69,学年度总表!$E$3:$E$1025,0)))</f>
        <v>50.77</v>
      </c>
      <c r="M69" s="3">
        <f>IF(INDEX(学年度总表!$M$3:$M$1025,MATCH($E69,学年度总表!$E$3:$E$1025,0))="","",INDEX(学年度总表!$M$3:$M$1025,MATCH($E69,学年度总表!$E$3:$E$1025,0)))</f>
        <v>5.3</v>
      </c>
      <c r="N69" s="3">
        <f>IF(INDEX(学年度总表!$N$3:$N$1025,MATCH($E69,学年度总表!$E$3:$E$1025,0))="","",INDEX(学年度总表!$N$3:$N$1025,MATCH($E69,学年度总表!$E$3:$E$1025,0)))</f>
        <v>65.87</v>
      </c>
      <c r="O69" s="3">
        <f>IF(INDEX(学年度总表!$O$3:$O$1025,MATCH($E69,学年度总表!$E$3:$E$1025,0))="","",INDEX(学年度总表!$O$3:$O$1025,MATCH($E69,学年度总表!$E$3:$E$1025,0)))</f>
        <v>139.9</v>
      </c>
      <c r="P69" s="2" t="str">
        <f>IF(INDEX(学年度总表!$P$3:$P$1025,MATCH($E69,学年度总表!$E$3:$E$1025,0))="","",INDEX(学年度总表!$P$3:$P$1025,MATCH($E69,学年度总表!$E$3:$E$1025,0)))</f>
        <v/>
      </c>
      <c r="Q69" s="5" t="str">
        <f>IF(INDEX(学年度总表!$Q$3:$Q$1025,MATCH($E69,学年度总表!$E$3:$E$1025,0))="","",INDEX(学年度总表!$Q$3:$Q$1025,MATCH($E69,学年度总表!$E$3:$E$1025,0)))</f>
        <v/>
      </c>
    </row>
    <row r="70" spans="1:17">
      <c r="A70" s="2">
        <f>IF(INDEX(学年度总表!$A$3:$A$1025,MATCH($E70,学年度总表!$E$3:$E$1025,0))="","",INDEX(学年度总表!$A$3:$A$1025,MATCH($E70,学年度总表!$E$3:$E$1025,0)))</f>
        <v>521</v>
      </c>
      <c r="B70" s="2">
        <f>IF(INDEX(学年度总表!$B$3:$B$1025,MATCH($E70,学年度总表!$E$3:$E$1025,0))="","",INDEX(学年度总表!$B$3:$B$1025,MATCH($E70,学年度总表!$E$3:$E$1025,0)))</f>
        <v>68</v>
      </c>
      <c r="C70" s="2" t="str">
        <f>IF(INDEX(学年度总表!$C$3:$C$1025,MATCH($E70,学年度总表!$E$3:$E$1025,0))="","",INDEX(学年度总表!$C$3:$C$1025,MATCH($E70,学年度总表!$E$3:$E$1025,0)))</f>
        <v>网工</v>
      </c>
      <c r="D70" s="2" t="str">
        <f>IF(INDEX(学年度总表!$D$3:$D$1025,MATCH($E70,学年度总表!$E$3:$E$1025,0))="","",INDEX(学年度总表!$D$3:$D$1025,MATCH($E70,学年度总表!$E$3:$E$1025,0)))</f>
        <v>网工16班</v>
      </c>
      <c r="E70" s="2" t="s">
        <v>1104</v>
      </c>
      <c r="F70" s="2" t="str">
        <f>IF(INDEX(学年度总表!$F$3:$F$1025,MATCH($E70,学年度总表!$E$3:$E$1025,0))="","",INDEX(学年度总表!$F$3:$F$1025,MATCH($E70,学年度总表!$E$3:$E$1025,0)))</f>
        <v>丁一格</v>
      </c>
      <c r="G70" s="3">
        <f>IF(INDEX(学年度总表!$G$3:$G$1025,MATCH($E70,学年度总表!$E$3:$E$1025,0))="","",INDEX(学年度总表!$G$3:$G$1025,MATCH($E70,学年度总表!$E$3:$E$1025,0)))</f>
        <v>9.8000000000000007</v>
      </c>
      <c r="H70" s="3">
        <f>IF(INDEX(学年度总表!$H$3:$H$1025,MATCH($E70,学年度总表!$E$3:$E$1025,0))="","",INDEX(学年度总表!$H$3:$H$1025,MATCH($E70,学年度总表!$E$3:$E$1025,0)))</f>
        <v>57.11</v>
      </c>
      <c r="I70" s="3">
        <f>IF(INDEX(学年度总表!$I$3:$I$1025,MATCH($E70,学年度总表!$E$3:$E$1025,0))="","",INDEX(学年度总表!$I$3:$I$1025,MATCH($E70,学年度总表!$E$3:$E$1025,0)))</f>
        <v>3</v>
      </c>
      <c r="J70" s="3">
        <f>IF(INDEX(学年度总表!$J$3:$J$1025,MATCH($E70,学年度总表!$E$3:$E$1025,0))="","",INDEX(学年度总表!$J$3:$J$1025,MATCH($E70,学年度总表!$E$3:$E$1025,0)))</f>
        <v>69.91</v>
      </c>
      <c r="K70" s="3">
        <f>IF(INDEX(学年度总表!$K$3:$K$1025,MATCH($E70,学年度总表!$E$3:$E$1025,0))="","",INDEX(学年度总表!$K$3:$K$1025,MATCH($E70,学年度总表!$E$3:$E$1025,0)))</f>
        <v>7.3000000000000007</v>
      </c>
      <c r="L70" s="3">
        <f>IF(INDEX(学年度总表!$L$3:$L$1025,MATCH($E70,学年度总表!$E$3:$E$1025,0))="","",INDEX(学年度总表!$L$3:$L$1025,MATCH($E70,学年度总表!$E$3:$E$1025,0)))</f>
        <v>57.61</v>
      </c>
      <c r="M70" s="3">
        <f>IF(INDEX(学年度总表!$M$3:$M$1025,MATCH($E70,学年度总表!$E$3:$E$1025,0))="","",INDEX(学年度总表!$M$3:$M$1025,MATCH($E70,学年度总表!$E$3:$E$1025,0)))</f>
        <v>4.2</v>
      </c>
      <c r="N70" s="3">
        <f>IF(INDEX(学年度总表!$N$3:$N$1025,MATCH($E70,学年度总表!$E$3:$E$1025,0))="","",INDEX(学年度总表!$N$3:$N$1025,MATCH($E70,学年度总表!$E$3:$E$1025,0)))</f>
        <v>69.11</v>
      </c>
      <c r="O70" s="3">
        <f>IF(INDEX(学年度总表!$O$3:$O$1025,MATCH($E70,学年度总表!$E$3:$E$1025,0))="","",INDEX(学年度总表!$O$3:$O$1025,MATCH($E70,学年度总表!$E$3:$E$1025,0)))</f>
        <v>139.02000000000001</v>
      </c>
      <c r="P70" s="2" t="str">
        <f>IF(INDEX(学年度总表!$P$3:$P$1025,MATCH($E70,学年度总表!$E$3:$E$1025,0))="","",INDEX(学年度总表!$P$3:$P$1025,MATCH($E70,学年度总表!$E$3:$E$1025,0)))</f>
        <v/>
      </c>
      <c r="Q70" s="5" t="str">
        <f>IF(INDEX(学年度总表!$Q$3:$Q$1025,MATCH($E70,学年度总表!$E$3:$E$1025,0))="","",INDEX(学年度总表!$Q$3:$Q$1025,MATCH($E70,学年度总表!$E$3:$E$1025,0)))</f>
        <v/>
      </c>
    </row>
    <row r="71" spans="1:17">
      <c r="A71" s="2">
        <f>IF(INDEX(学年度总表!$A$3:$A$1025,MATCH($E71,学年度总表!$E$3:$E$1025,0))="","",INDEX(学年度总表!$A$3:$A$1025,MATCH($E71,学年度总表!$E$3:$E$1025,0)))</f>
        <v>521</v>
      </c>
      <c r="B71" s="2">
        <f>IF(INDEX(学年度总表!$B$3:$B$1025,MATCH($E71,学年度总表!$E$3:$E$1025,0))="","",INDEX(学年度总表!$B$3:$B$1025,MATCH($E71,学年度总表!$E$3:$E$1025,0)))</f>
        <v>68</v>
      </c>
      <c r="C71" s="2" t="str">
        <f>IF(INDEX(学年度总表!$C$3:$C$1025,MATCH($E71,学年度总表!$E$3:$E$1025,0))="","",INDEX(学年度总表!$C$3:$C$1025,MATCH($E71,学年度总表!$E$3:$E$1025,0)))</f>
        <v>网工</v>
      </c>
      <c r="D71" s="2" t="str">
        <f>IF(INDEX(学年度总表!$D$3:$D$1025,MATCH($E71,学年度总表!$E$3:$E$1025,0))="","",INDEX(学年度总表!$D$3:$D$1025,MATCH($E71,学年度总表!$E$3:$E$1025,0)))</f>
        <v>网工18班</v>
      </c>
      <c r="E71" s="2" t="s">
        <v>1106</v>
      </c>
      <c r="F71" s="2" t="str">
        <f>IF(INDEX(学年度总表!$F$3:$F$1025,MATCH($E71,学年度总表!$E$3:$E$1025,0))="","",INDEX(学年度总表!$F$3:$F$1025,MATCH($E71,学年度总表!$E$3:$E$1025,0)))</f>
        <v>陈金源</v>
      </c>
      <c r="G71" s="3">
        <f>IF(INDEX(学年度总表!$G$3:$G$1025,MATCH($E71,学年度总表!$E$3:$E$1025,0))="","",INDEX(学年度总表!$G$3:$G$1025,MATCH($E71,学年度总表!$E$3:$E$1025,0)))</f>
        <v>9.8000000000000007</v>
      </c>
      <c r="H71" s="3">
        <f>IF(INDEX(学年度总表!$H$3:$H$1025,MATCH($E71,学年度总表!$E$3:$E$1025,0))="","",INDEX(学年度总表!$H$3:$H$1025,MATCH($E71,学年度总表!$E$3:$E$1025,0)))</f>
        <v>59.79</v>
      </c>
      <c r="I71" s="3">
        <f>IF(INDEX(学年度总表!$I$3:$I$1025,MATCH($E71,学年度总表!$E$3:$E$1025,0))="","",INDEX(学年度总表!$I$3:$I$1025,MATCH($E71,学年度总表!$E$3:$E$1025,0)))</f>
        <v>4</v>
      </c>
      <c r="J71" s="3">
        <f>IF(INDEX(学年度总表!$J$3:$J$1025,MATCH($E71,学年度总表!$E$3:$E$1025,0))="","",INDEX(学年度总表!$J$3:$J$1025,MATCH($E71,学年度总表!$E$3:$E$1025,0)))</f>
        <v>73.59</v>
      </c>
      <c r="K71" s="3">
        <f>IF(INDEX(学年度总表!$K$3:$K$1025,MATCH($E71,学年度总表!$E$3:$E$1025,0))="","",INDEX(学年度总表!$K$3:$K$1025,MATCH($E71,学年度总表!$E$3:$E$1025,0)))</f>
        <v>7.3000000000000007</v>
      </c>
      <c r="L71" s="3">
        <f>IF(INDEX(学年度总表!$L$3:$L$1025,MATCH($E71,学年度总表!$E$3:$E$1025,0))="","",INDEX(学年度总表!$L$3:$L$1025,MATCH($E71,学年度总表!$E$3:$E$1025,0)))</f>
        <v>54.13</v>
      </c>
      <c r="M71" s="3">
        <f>IF(INDEX(学年度总表!$M$3:$M$1025,MATCH($E71,学年度总表!$E$3:$E$1025,0))="","",INDEX(学年度总表!$M$3:$M$1025,MATCH($E71,学年度总表!$E$3:$E$1025,0)))</f>
        <v>4</v>
      </c>
      <c r="N71" s="3">
        <f>IF(INDEX(学年度总表!$N$3:$N$1025,MATCH($E71,学年度总表!$E$3:$E$1025,0))="","",INDEX(学年度总表!$N$3:$N$1025,MATCH($E71,学年度总表!$E$3:$E$1025,0)))</f>
        <v>65.430000000000007</v>
      </c>
      <c r="O71" s="3">
        <f>IF(INDEX(学年度总表!$O$3:$O$1025,MATCH($E71,学年度总表!$E$3:$E$1025,0))="","",INDEX(学年度总表!$O$3:$O$1025,MATCH($E71,学年度总表!$E$3:$E$1025,0)))</f>
        <v>139.02000000000001</v>
      </c>
      <c r="P71" s="2" t="str">
        <f>IF(INDEX(学年度总表!$P$3:$P$1025,MATCH($E71,学年度总表!$E$3:$E$1025,0))="","",INDEX(学年度总表!$P$3:$P$1025,MATCH($E71,学年度总表!$E$3:$E$1025,0)))</f>
        <v/>
      </c>
      <c r="Q71" s="5" t="str">
        <f>IF(INDEX(学年度总表!$Q$3:$Q$1025,MATCH($E71,学年度总表!$E$3:$E$1025,0))="","",INDEX(学年度总表!$Q$3:$Q$1025,MATCH($E71,学年度总表!$E$3:$E$1025,0)))</f>
        <v/>
      </c>
    </row>
    <row r="72" spans="1:17">
      <c r="A72" s="2">
        <f>IF(INDEX(学年度总表!$A$3:$A$1025,MATCH($E72,学年度总表!$E$3:$E$1025,0))="","",INDEX(学年度总表!$A$3:$A$1025,MATCH($E72,学年度总表!$E$3:$E$1025,0)))</f>
        <v>527</v>
      </c>
      <c r="B72" s="2">
        <f>IF(INDEX(学年度总表!$B$3:$B$1025,MATCH($E72,学年度总表!$E$3:$E$1025,0))="","",INDEX(学年度总表!$B$3:$B$1025,MATCH($E72,学年度总表!$E$3:$E$1025,0)))</f>
        <v>70</v>
      </c>
      <c r="C72" s="2" t="str">
        <f>IF(INDEX(学年度总表!$C$3:$C$1025,MATCH($E72,学年度总表!$E$3:$E$1025,0))="","",INDEX(学年度总表!$C$3:$C$1025,MATCH($E72,学年度总表!$E$3:$E$1025,0)))</f>
        <v>网工</v>
      </c>
      <c r="D72" s="2" t="str">
        <f>IF(INDEX(学年度总表!$D$3:$D$1025,MATCH($E72,学年度总表!$E$3:$E$1025,0))="","",INDEX(学年度总表!$D$3:$D$1025,MATCH($E72,学年度总表!$E$3:$E$1025,0)))</f>
        <v>网工17班</v>
      </c>
      <c r="E72" s="2" t="s">
        <v>1116</v>
      </c>
      <c r="F72" s="2" t="str">
        <f>IF(INDEX(学年度总表!$F$3:$F$1025,MATCH($E72,学年度总表!$E$3:$E$1025,0))="","",INDEX(学年度总表!$F$3:$F$1025,MATCH($E72,学年度总表!$E$3:$E$1025,0)))</f>
        <v>刘伟</v>
      </c>
      <c r="G72" s="3">
        <f>IF(INDEX(学年度总表!$G$3:$G$1025,MATCH($E72,学年度总表!$E$3:$E$1025,0))="","",INDEX(学年度总表!$G$3:$G$1025,MATCH($E72,学年度总表!$E$3:$E$1025,0)))</f>
        <v>9.8000000000000007</v>
      </c>
      <c r="H72" s="3">
        <f>IF(INDEX(学年度总表!$H$3:$H$1025,MATCH($E72,学年度总表!$E$3:$E$1025,0))="","",INDEX(学年度总表!$H$3:$H$1025,MATCH($E72,学年度总表!$E$3:$E$1025,0)))</f>
        <v>57.61</v>
      </c>
      <c r="I72" s="3">
        <f>IF(INDEX(学年度总表!$I$3:$I$1025,MATCH($E72,学年度总表!$E$3:$E$1025,0))="","",INDEX(学年度总表!$I$3:$I$1025,MATCH($E72,学年度总表!$E$3:$E$1025,0)))</f>
        <v>3</v>
      </c>
      <c r="J72" s="3">
        <f>IF(INDEX(学年度总表!$J$3:$J$1025,MATCH($E72,学年度总表!$E$3:$E$1025,0))="","",INDEX(学年度总表!$J$3:$J$1025,MATCH($E72,学年度总表!$E$3:$E$1025,0)))</f>
        <v>70.41</v>
      </c>
      <c r="K72" s="3">
        <f>IF(INDEX(学年度总表!$K$3:$K$1025,MATCH($E72,学年度总表!$E$3:$E$1025,0))="","",INDEX(学年度总表!$K$3:$K$1025,MATCH($E72,学年度总表!$E$3:$E$1025,0)))</f>
        <v>7.3000000000000007</v>
      </c>
      <c r="L72" s="3">
        <f>IF(INDEX(学年度总表!$L$3:$L$1025,MATCH($E72,学年度总表!$E$3:$E$1025,0))="","",INDEX(学年度总表!$L$3:$L$1025,MATCH($E72,学年度总表!$E$3:$E$1025,0)))</f>
        <v>57.68</v>
      </c>
      <c r="M72" s="3">
        <f>IF(INDEX(学年度总表!$M$3:$M$1025,MATCH($E72,学年度总表!$E$3:$E$1025,0))="","",INDEX(学年度总表!$M$3:$M$1025,MATCH($E72,学年度总表!$E$3:$E$1025,0)))</f>
        <v>3.5</v>
      </c>
      <c r="N72" s="3">
        <f>IF(INDEX(学年度总表!$N$3:$N$1025,MATCH($E72,学年度总表!$E$3:$E$1025,0))="","",INDEX(学年度总表!$N$3:$N$1025,MATCH($E72,学年度总表!$E$3:$E$1025,0)))</f>
        <v>68.48</v>
      </c>
      <c r="O72" s="3">
        <f>IF(INDEX(学年度总表!$O$3:$O$1025,MATCH($E72,学年度总表!$E$3:$E$1025,0))="","",INDEX(学年度总表!$O$3:$O$1025,MATCH($E72,学年度总表!$E$3:$E$1025,0)))</f>
        <v>138.88999999999999</v>
      </c>
      <c r="P72" s="2" t="str">
        <f>IF(INDEX(学年度总表!$P$3:$P$1025,MATCH($E72,学年度总表!$E$3:$E$1025,0))="","",INDEX(学年度总表!$P$3:$P$1025,MATCH($E72,学年度总表!$E$3:$E$1025,0)))</f>
        <v/>
      </c>
      <c r="Q72" s="5" t="str">
        <f>IF(INDEX(学年度总表!$Q$3:$Q$1025,MATCH($E72,学年度总表!$E$3:$E$1025,0))="","",INDEX(学年度总表!$Q$3:$Q$1025,MATCH($E72,学年度总表!$E$3:$E$1025,0)))</f>
        <v/>
      </c>
    </row>
    <row r="73" spans="1:17">
      <c r="A73" s="2">
        <f>IF(INDEX(学年度总表!$A$3:$A$1025,MATCH($E73,学年度总表!$E$3:$E$1025,0))="","",INDEX(学年度总表!$A$3:$A$1025,MATCH($E73,学年度总表!$E$3:$E$1025,0)))</f>
        <v>532</v>
      </c>
      <c r="B73" s="2">
        <f>IF(INDEX(学年度总表!$B$3:$B$1025,MATCH($E73,学年度总表!$E$3:$E$1025,0))="","",INDEX(学年度总表!$B$3:$B$1025,MATCH($E73,学年度总表!$E$3:$E$1025,0)))</f>
        <v>71</v>
      </c>
      <c r="C73" s="2" t="str">
        <f>IF(INDEX(学年度总表!$C$3:$C$1025,MATCH($E73,学年度总表!$E$3:$E$1025,0))="","",INDEX(学年度总表!$C$3:$C$1025,MATCH($E73,学年度总表!$E$3:$E$1025,0)))</f>
        <v>网工</v>
      </c>
      <c r="D73" s="2" t="str">
        <f>IF(INDEX(学年度总表!$D$3:$D$1025,MATCH($E73,学年度总表!$E$3:$E$1025,0))="","",INDEX(学年度总表!$D$3:$D$1025,MATCH($E73,学年度总表!$E$3:$E$1025,0)))</f>
        <v>网工18班</v>
      </c>
      <c r="E73" s="2" t="s">
        <v>1126</v>
      </c>
      <c r="F73" s="2" t="str">
        <f>IF(INDEX(学年度总表!$F$3:$F$1025,MATCH($E73,学年度总表!$E$3:$E$1025,0))="","",INDEX(学年度总表!$F$3:$F$1025,MATCH($E73,学年度总表!$E$3:$E$1025,0)))</f>
        <v>顾昊洋</v>
      </c>
      <c r="G73" s="3">
        <f>IF(INDEX(学年度总表!$G$3:$G$1025,MATCH($E73,学年度总表!$E$3:$E$1025,0))="","",INDEX(学年度总表!$G$3:$G$1025,MATCH($E73,学年度总表!$E$3:$E$1025,0)))</f>
        <v>11.3</v>
      </c>
      <c r="H73" s="3">
        <f>IF(INDEX(学年度总表!$H$3:$H$1025,MATCH($E73,学年度总表!$E$3:$E$1025,0))="","",INDEX(学年度总表!$H$3:$H$1025,MATCH($E73,学年度总表!$E$3:$E$1025,0)))</f>
        <v>53.55</v>
      </c>
      <c r="I73" s="3">
        <f>IF(INDEX(学年度总表!$I$3:$I$1025,MATCH($E73,学年度总表!$E$3:$E$1025,0))="","",INDEX(学年度总表!$I$3:$I$1025,MATCH($E73,学年度总表!$E$3:$E$1025,0)))</f>
        <v>4.05</v>
      </c>
      <c r="J73" s="3">
        <f>IF(INDEX(学年度总表!$J$3:$J$1025,MATCH($E73,学年度总表!$E$3:$E$1025,0))="","",INDEX(学年度总表!$J$3:$J$1025,MATCH($E73,学年度总表!$E$3:$E$1025,0)))</f>
        <v>68.900000000000006</v>
      </c>
      <c r="K73" s="3">
        <f>IF(INDEX(学年度总表!$K$3:$K$1025,MATCH($E73,学年度总表!$E$3:$E$1025,0))="","",INDEX(学年度总表!$K$3:$K$1025,MATCH($E73,学年度总表!$E$3:$E$1025,0)))</f>
        <v>10</v>
      </c>
      <c r="L73" s="3">
        <f>IF(INDEX(学年度总表!$L$3:$L$1025,MATCH($E73,学年度总表!$E$3:$E$1025,0))="","",INDEX(学年度总表!$L$3:$L$1025,MATCH($E73,学年度总表!$E$3:$E$1025,0)))</f>
        <v>54.02</v>
      </c>
      <c r="M73" s="3">
        <f>IF(INDEX(学年度总表!$M$3:$M$1025,MATCH($E73,学年度总表!$E$3:$E$1025,0))="","",INDEX(学年度总表!$M$3:$M$1025,MATCH($E73,学年度总表!$E$3:$E$1025,0)))</f>
        <v>5.8</v>
      </c>
      <c r="N73" s="3">
        <f>IF(INDEX(学年度总表!$N$3:$N$1025,MATCH($E73,学年度总表!$E$3:$E$1025,0))="","",INDEX(学年度总表!$N$3:$N$1025,MATCH($E73,学年度总表!$E$3:$E$1025,0)))</f>
        <v>69.819999999999993</v>
      </c>
      <c r="O73" s="3">
        <f>IF(INDEX(学年度总表!$O$3:$O$1025,MATCH($E73,学年度总表!$E$3:$E$1025,0))="","",INDEX(学年度总表!$O$3:$O$1025,MATCH($E73,学年度总表!$E$3:$E$1025,0)))</f>
        <v>138.72</v>
      </c>
      <c r="P73" s="2" t="str">
        <f>IF(INDEX(学年度总表!$P$3:$P$1025,MATCH($E73,学年度总表!$E$3:$E$1025,0))="","",INDEX(学年度总表!$P$3:$P$1025,MATCH($E73,学年度总表!$E$3:$E$1025,0)))</f>
        <v/>
      </c>
      <c r="Q73" s="5" t="str">
        <f>IF(INDEX(学年度总表!$Q$3:$Q$1025,MATCH($E73,学年度总表!$E$3:$E$1025,0))="","",INDEX(学年度总表!$Q$3:$Q$1025,MATCH($E73,学年度总表!$E$3:$E$1025,0)))</f>
        <v/>
      </c>
    </row>
    <row r="74" spans="1:17">
      <c r="A74" s="2">
        <f>IF(INDEX(学年度总表!$A$3:$A$1025,MATCH($E74,学年度总表!$E$3:$E$1025,0))="","",INDEX(学年度总表!$A$3:$A$1025,MATCH($E74,学年度总表!$E$3:$E$1025,0)))</f>
        <v>540</v>
      </c>
      <c r="B74" s="2">
        <f>IF(INDEX(学年度总表!$B$3:$B$1025,MATCH($E74,学年度总表!$E$3:$E$1025,0))="","",INDEX(学年度总表!$B$3:$B$1025,MATCH($E74,学年度总表!$E$3:$E$1025,0)))</f>
        <v>72</v>
      </c>
      <c r="C74" s="2" t="str">
        <f>IF(INDEX(学年度总表!$C$3:$C$1025,MATCH($E74,学年度总表!$E$3:$E$1025,0))="","",INDEX(学年度总表!$C$3:$C$1025,MATCH($E74,学年度总表!$E$3:$E$1025,0)))</f>
        <v>网工</v>
      </c>
      <c r="D74" s="2" t="str">
        <f>IF(INDEX(学年度总表!$D$3:$D$1025,MATCH($E74,学年度总表!$E$3:$E$1025,0))="","",INDEX(学年度总表!$D$3:$D$1025,MATCH($E74,学年度总表!$E$3:$E$1025,0)))</f>
        <v>网工16班</v>
      </c>
      <c r="E74" s="2" t="s">
        <v>1142</v>
      </c>
      <c r="F74" s="2" t="str">
        <f>IF(INDEX(学年度总表!$F$3:$F$1025,MATCH($E74,学年度总表!$E$3:$E$1025,0))="","",INDEX(学年度总表!$F$3:$F$1025,MATCH($E74,学年度总表!$E$3:$E$1025,0)))</f>
        <v>李佳琪</v>
      </c>
      <c r="G74" s="3">
        <f>IF(INDEX(学年度总表!$G$3:$G$1025,MATCH($E74,学年度总表!$E$3:$E$1025,0))="","",INDEX(学年度总表!$G$3:$G$1025,MATCH($E74,学年度总表!$E$3:$E$1025,0)))</f>
        <v>9.8000000000000007</v>
      </c>
      <c r="H74" s="3">
        <f>IF(INDEX(学年度总表!$H$3:$H$1025,MATCH($E74,学年度总表!$E$3:$E$1025,0))="","",INDEX(学年度总表!$H$3:$H$1025,MATCH($E74,学年度总表!$E$3:$E$1025,0)))</f>
        <v>52.65</v>
      </c>
      <c r="I74" s="3">
        <f>IF(INDEX(学年度总表!$I$3:$I$1025,MATCH($E74,学年度总表!$E$3:$E$1025,0))="","",INDEX(学年度总表!$I$3:$I$1025,MATCH($E74,学年度总表!$E$3:$E$1025,0)))</f>
        <v>4</v>
      </c>
      <c r="J74" s="3">
        <f>IF(INDEX(学年度总表!$J$3:$J$1025,MATCH($E74,学年度总表!$E$3:$E$1025,0))="","",INDEX(学年度总表!$J$3:$J$1025,MATCH($E74,学年度总表!$E$3:$E$1025,0)))</f>
        <v>66.45</v>
      </c>
      <c r="K74" s="3">
        <f>IF(INDEX(学年度总表!$K$3:$K$1025,MATCH($E74,学年度总表!$E$3:$E$1025,0))="","",INDEX(学年度总表!$K$3:$K$1025,MATCH($E74,学年度总表!$E$3:$E$1025,0)))</f>
        <v>7.3000000000000007</v>
      </c>
      <c r="L74" s="3">
        <f>IF(INDEX(学年度总表!$L$3:$L$1025,MATCH($E74,学年度总表!$E$3:$E$1025,0))="","",INDEX(学年度总表!$L$3:$L$1025,MATCH($E74,学年度总表!$E$3:$E$1025,0)))</f>
        <v>60.57</v>
      </c>
      <c r="M74" s="3">
        <f>IF(INDEX(学年度总表!$M$3:$M$1025,MATCH($E74,学年度总表!$E$3:$E$1025,0))="","",INDEX(学年度总表!$M$3:$M$1025,MATCH($E74,学年度总表!$E$3:$E$1025,0)))</f>
        <v>4.0999999999999996</v>
      </c>
      <c r="N74" s="3">
        <f>IF(INDEX(学年度总表!$N$3:$N$1025,MATCH($E74,学年度总表!$E$3:$E$1025,0))="","",INDEX(学年度总表!$N$3:$N$1025,MATCH($E74,学年度总表!$E$3:$E$1025,0)))</f>
        <v>71.97</v>
      </c>
      <c r="O74" s="3">
        <f>IF(INDEX(学年度总表!$O$3:$O$1025,MATCH($E74,学年度总表!$E$3:$E$1025,0))="","",INDEX(学年度总表!$O$3:$O$1025,MATCH($E74,学年度总表!$E$3:$E$1025,0)))</f>
        <v>138.41999999999999</v>
      </c>
      <c r="P74" s="2" t="str">
        <f>IF(INDEX(学年度总表!$P$3:$P$1025,MATCH($E74,学年度总表!$E$3:$E$1025,0))="","",INDEX(学年度总表!$P$3:$P$1025,MATCH($E74,学年度总表!$E$3:$E$1025,0)))</f>
        <v/>
      </c>
      <c r="Q74" s="5" t="str">
        <f>IF(INDEX(学年度总表!$Q$3:$Q$1025,MATCH($E74,学年度总表!$E$3:$E$1025,0))="","",INDEX(学年度总表!$Q$3:$Q$1025,MATCH($E74,学年度总表!$E$3:$E$1025,0)))</f>
        <v/>
      </c>
    </row>
    <row r="75" spans="1:17">
      <c r="A75" s="2">
        <f>IF(INDEX(学年度总表!$A$3:$A$1025,MATCH($E75,学年度总表!$E$3:$E$1025,0))="","",INDEX(学年度总表!$A$3:$A$1025,MATCH($E75,学年度总表!$E$3:$E$1025,0)))</f>
        <v>545</v>
      </c>
      <c r="B75" s="2">
        <f>IF(INDEX(学年度总表!$B$3:$B$1025,MATCH($E75,学年度总表!$E$3:$E$1025,0))="","",INDEX(学年度总表!$B$3:$B$1025,MATCH($E75,学年度总表!$E$3:$E$1025,0)))</f>
        <v>73</v>
      </c>
      <c r="C75" s="2" t="str">
        <f>IF(INDEX(学年度总表!$C$3:$C$1025,MATCH($E75,学年度总表!$E$3:$E$1025,0))="","",INDEX(学年度总表!$C$3:$C$1025,MATCH($E75,学年度总表!$E$3:$E$1025,0)))</f>
        <v>网工</v>
      </c>
      <c r="D75" s="2" t="str">
        <f>IF(INDEX(学年度总表!$D$3:$D$1025,MATCH($E75,学年度总表!$E$3:$E$1025,0))="","",INDEX(学年度总表!$D$3:$D$1025,MATCH($E75,学年度总表!$E$3:$E$1025,0)))</f>
        <v>网工15班</v>
      </c>
      <c r="E75" s="2" t="s">
        <v>1152</v>
      </c>
      <c r="F75" s="2" t="str">
        <f>IF(INDEX(学年度总表!$F$3:$F$1025,MATCH($E75,学年度总表!$E$3:$E$1025,0))="","",INDEX(学年度总表!$F$3:$F$1025,MATCH($E75,学年度总表!$E$3:$E$1025,0)))</f>
        <v>王艺霏</v>
      </c>
      <c r="G75" s="3">
        <f>IF(INDEX(学年度总表!$G$3:$G$1025,MATCH($E75,学年度总表!$E$3:$E$1025,0))="","",INDEX(学年度总表!$G$3:$G$1025,MATCH($E75,学年度总表!$E$3:$E$1025,0)))</f>
        <v>9.8000000000000007</v>
      </c>
      <c r="H75" s="3">
        <f>IF(INDEX(学年度总表!$H$3:$H$1025,MATCH($E75,学年度总表!$E$3:$E$1025,0))="","",INDEX(学年度总表!$H$3:$H$1025,MATCH($E75,学年度总表!$E$3:$E$1025,0)))</f>
        <v>58.99</v>
      </c>
      <c r="I75" s="3">
        <f>IF(INDEX(学年度总表!$I$3:$I$1025,MATCH($E75,学年度总表!$E$3:$E$1025,0))="","",INDEX(学年度总表!$I$3:$I$1025,MATCH($E75,学年度总表!$E$3:$E$1025,0)))</f>
        <v>3</v>
      </c>
      <c r="J75" s="3">
        <f>IF(INDEX(学年度总表!$J$3:$J$1025,MATCH($E75,学年度总表!$E$3:$E$1025,0))="","",INDEX(学年度总表!$J$3:$J$1025,MATCH($E75,学年度总表!$E$3:$E$1025,0)))</f>
        <v>71.790000000000006</v>
      </c>
      <c r="K75" s="3">
        <f>IF(INDEX(学年度总表!$K$3:$K$1025,MATCH($E75,学年度总表!$E$3:$E$1025,0))="","",INDEX(学年度总表!$K$3:$K$1025,MATCH($E75,学年度总表!$E$3:$E$1025,0)))</f>
        <v>7.3000000000000007</v>
      </c>
      <c r="L75" s="3">
        <f>IF(INDEX(学年度总表!$L$3:$L$1025,MATCH($E75,学年度总表!$E$3:$E$1025,0))="","",INDEX(学年度总表!$L$3:$L$1025,MATCH($E75,学年度总表!$E$3:$E$1025,0)))</f>
        <v>55.23</v>
      </c>
      <c r="M75" s="3">
        <f>IF(INDEX(学年度总表!$M$3:$M$1025,MATCH($E75,学年度总表!$E$3:$E$1025,0))="","",INDEX(学年度总表!$M$3:$M$1025,MATCH($E75,学年度总表!$E$3:$E$1025,0)))</f>
        <v>3.7</v>
      </c>
      <c r="N75" s="3">
        <f>IF(INDEX(学年度总表!$N$3:$N$1025,MATCH($E75,学年度总表!$E$3:$E$1025,0))="","",INDEX(学年度总表!$N$3:$N$1025,MATCH($E75,学年度总表!$E$3:$E$1025,0)))</f>
        <v>66.23</v>
      </c>
      <c r="O75" s="3">
        <f>IF(INDEX(学年度总表!$O$3:$O$1025,MATCH($E75,学年度总表!$E$3:$E$1025,0))="","",INDEX(学年度总表!$O$3:$O$1025,MATCH($E75,学年度总表!$E$3:$E$1025,0)))</f>
        <v>138.02000000000001</v>
      </c>
      <c r="P75" s="2" t="str">
        <f>IF(INDEX(学年度总表!$P$3:$P$1025,MATCH($E75,学年度总表!$E$3:$E$1025,0))="","",INDEX(学年度总表!$P$3:$P$1025,MATCH($E75,学年度总表!$E$3:$E$1025,0)))</f>
        <v/>
      </c>
      <c r="Q75" s="5" t="str">
        <f>IF(INDEX(学年度总表!$Q$3:$Q$1025,MATCH($E75,学年度总表!$E$3:$E$1025,0))="","",INDEX(学年度总表!$Q$3:$Q$1025,MATCH($E75,学年度总表!$E$3:$E$1025,0)))</f>
        <v/>
      </c>
    </row>
    <row r="76" spans="1:17">
      <c r="A76" s="2">
        <f>IF(INDEX(学年度总表!$A$3:$A$1025,MATCH($E76,学年度总表!$E$3:$E$1025,0))="","",INDEX(学年度总表!$A$3:$A$1025,MATCH($E76,学年度总表!$E$3:$E$1025,0)))</f>
        <v>546</v>
      </c>
      <c r="B76" s="2">
        <f>IF(INDEX(学年度总表!$B$3:$B$1025,MATCH($E76,学年度总表!$E$3:$E$1025,0))="","",INDEX(学年度总表!$B$3:$B$1025,MATCH($E76,学年度总表!$E$3:$E$1025,0)))</f>
        <v>74</v>
      </c>
      <c r="C76" s="2" t="str">
        <f>IF(INDEX(学年度总表!$C$3:$C$1025,MATCH($E76,学年度总表!$E$3:$E$1025,0))="","",INDEX(学年度总表!$C$3:$C$1025,MATCH($E76,学年度总表!$E$3:$E$1025,0)))</f>
        <v>网工</v>
      </c>
      <c r="D76" s="2" t="str">
        <f>IF(INDEX(学年度总表!$D$3:$D$1025,MATCH($E76,学年度总表!$E$3:$E$1025,0))="","",INDEX(学年度总表!$D$3:$D$1025,MATCH($E76,学年度总表!$E$3:$E$1025,0)))</f>
        <v>网工17班</v>
      </c>
      <c r="E76" s="2" t="s">
        <v>1154</v>
      </c>
      <c r="F76" s="2" t="str">
        <f>IF(INDEX(学年度总表!$F$3:$F$1025,MATCH($E76,学年度总表!$E$3:$E$1025,0))="","",INDEX(学年度总表!$F$3:$F$1025,MATCH($E76,学年度总表!$E$3:$E$1025,0)))</f>
        <v>冯建铭</v>
      </c>
      <c r="G76" s="3">
        <f>IF(INDEX(学年度总表!$G$3:$G$1025,MATCH($E76,学年度总表!$E$3:$E$1025,0))="","",INDEX(学年度总表!$G$3:$G$1025,MATCH($E76,学年度总表!$E$3:$E$1025,0)))</f>
        <v>9.8000000000000007</v>
      </c>
      <c r="H76" s="3">
        <f>IF(INDEX(学年度总表!$H$3:$H$1025,MATCH($E76,学年度总表!$E$3:$E$1025,0))="","",INDEX(学年度总表!$H$3:$H$1025,MATCH($E76,学年度总表!$E$3:$E$1025,0)))</f>
        <v>56.45</v>
      </c>
      <c r="I76" s="3">
        <f>IF(INDEX(学年度总表!$I$3:$I$1025,MATCH($E76,学年度总表!$E$3:$E$1025,0))="","",INDEX(学年度总表!$I$3:$I$1025,MATCH($E76,学年度总表!$E$3:$E$1025,0)))</f>
        <v>3</v>
      </c>
      <c r="J76" s="3">
        <f>IF(INDEX(学年度总表!$J$3:$J$1025,MATCH($E76,学年度总表!$E$3:$E$1025,0))="","",INDEX(学年度总表!$J$3:$J$1025,MATCH($E76,学年度总表!$E$3:$E$1025,0)))</f>
        <v>69.25</v>
      </c>
      <c r="K76" s="3">
        <f>IF(INDEX(学年度总表!$K$3:$K$1025,MATCH($E76,学年度总表!$E$3:$E$1025,0))="","",INDEX(学年度总表!$K$3:$K$1025,MATCH($E76,学年度总表!$E$3:$E$1025,0)))</f>
        <v>7.3000000000000007</v>
      </c>
      <c r="L76" s="3">
        <f>IF(INDEX(学年度总表!$L$3:$L$1025,MATCH($E76,学年度总表!$E$3:$E$1025,0))="","",INDEX(学年度总表!$L$3:$L$1025,MATCH($E76,学年度总表!$E$3:$E$1025,0)))</f>
        <v>57.91</v>
      </c>
      <c r="M76" s="3">
        <f>IF(INDEX(学年度总表!$M$3:$M$1025,MATCH($E76,学年度总表!$E$3:$E$1025,0))="","",INDEX(学年度总表!$M$3:$M$1025,MATCH($E76,学年度总表!$E$3:$E$1025,0)))</f>
        <v>3.5</v>
      </c>
      <c r="N76" s="3">
        <f>IF(INDEX(学年度总表!$N$3:$N$1025,MATCH($E76,学年度总表!$E$3:$E$1025,0))="","",INDEX(学年度总表!$N$3:$N$1025,MATCH($E76,学年度总表!$E$3:$E$1025,0)))</f>
        <v>68.709999999999994</v>
      </c>
      <c r="O76" s="3">
        <f>IF(INDEX(学年度总表!$O$3:$O$1025,MATCH($E76,学年度总表!$E$3:$E$1025,0))="","",INDEX(学年度总表!$O$3:$O$1025,MATCH($E76,学年度总表!$E$3:$E$1025,0)))</f>
        <v>137.96</v>
      </c>
      <c r="P76" s="2" t="str">
        <f>IF(INDEX(学年度总表!$P$3:$P$1025,MATCH($E76,学年度总表!$E$3:$E$1025,0))="","",INDEX(学年度总表!$P$3:$P$1025,MATCH($E76,学年度总表!$E$3:$E$1025,0)))</f>
        <v/>
      </c>
      <c r="Q76" s="5" t="str">
        <f>IF(INDEX(学年度总表!$Q$3:$Q$1025,MATCH($E76,学年度总表!$E$3:$E$1025,0))="","",INDEX(学年度总表!$Q$3:$Q$1025,MATCH($E76,学年度总表!$E$3:$E$1025,0)))</f>
        <v/>
      </c>
    </row>
    <row r="77" spans="1:17">
      <c r="A77" s="2">
        <f>IF(INDEX(学年度总表!$A$3:$A$1025,MATCH($E77,学年度总表!$E$3:$E$1025,0))="","",INDEX(学年度总表!$A$3:$A$1025,MATCH($E77,学年度总表!$E$3:$E$1025,0)))</f>
        <v>551</v>
      </c>
      <c r="B77" s="2">
        <f>IF(INDEX(学年度总表!$B$3:$B$1025,MATCH($E77,学年度总表!$E$3:$E$1025,0))="","",INDEX(学年度总表!$B$3:$B$1025,MATCH($E77,学年度总表!$E$3:$E$1025,0)))</f>
        <v>75</v>
      </c>
      <c r="C77" s="2" t="str">
        <f>IF(INDEX(学年度总表!$C$3:$C$1025,MATCH($E77,学年度总表!$E$3:$E$1025,0))="","",INDEX(学年度总表!$C$3:$C$1025,MATCH($E77,学年度总表!$E$3:$E$1025,0)))</f>
        <v>网工</v>
      </c>
      <c r="D77" s="2" t="str">
        <f>IF(INDEX(学年度总表!$D$3:$D$1025,MATCH($E77,学年度总表!$E$3:$E$1025,0))="","",INDEX(学年度总表!$D$3:$D$1025,MATCH($E77,学年度总表!$E$3:$E$1025,0)))</f>
        <v>网工16班</v>
      </c>
      <c r="E77" s="2" t="s">
        <v>1164</v>
      </c>
      <c r="F77" s="2" t="str">
        <f>IF(INDEX(学年度总表!$F$3:$F$1025,MATCH($E77,学年度总表!$E$3:$E$1025,0))="","",INDEX(学年度总表!$F$3:$F$1025,MATCH($E77,学年度总表!$E$3:$E$1025,0)))</f>
        <v>孙远珊</v>
      </c>
      <c r="G77" s="3">
        <f>IF(INDEX(学年度总表!$G$3:$G$1025,MATCH($E77,学年度总表!$E$3:$E$1025,0))="","",INDEX(学年度总表!$G$3:$G$1025,MATCH($E77,学年度总表!$E$3:$E$1025,0)))</f>
        <v>9.8000000000000007</v>
      </c>
      <c r="H77" s="3">
        <f>IF(INDEX(学年度总表!$H$3:$H$1025,MATCH($E77,学年度总表!$E$3:$E$1025,0))="","",INDEX(学年度总表!$H$3:$H$1025,MATCH($E77,学年度总表!$E$3:$E$1025,0)))</f>
        <v>53.07</v>
      </c>
      <c r="I77" s="3">
        <f>IF(INDEX(学年度总表!$I$3:$I$1025,MATCH($E77,学年度总表!$E$3:$E$1025,0))="","",INDEX(学年度总表!$I$3:$I$1025,MATCH($E77,学年度总表!$E$3:$E$1025,0)))</f>
        <v>4.2</v>
      </c>
      <c r="J77" s="3">
        <f>IF(INDEX(学年度总表!$J$3:$J$1025,MATCH($E77,学年度总表!$E$3:$E$1025,0))="","",INDEX(学年度总表!$J$3:$J$1025,MATCH($E77,学年度总表!$E$3:$E$1025,0)))</f>
        <v>67.069999999999993</v>
      </c>
      <c r="K77" s="3">
        <f>IF(INDEX(学年度总表!$K$3:$K$1025,MATCH($E77,学年度总表!$E$3:$E$1025,0))="","",INDEX(学年度总表!$K$3:$K$1025,MATCH($E77,学年度总表!$E$3:$E$1025,0)))</f>
        <v>7.3000000000000007</v>
      </c>
      <c r="L77" s="3">
        <f>IF(INDEX(学年度总表!$L$3:$L$1025,MATCH($E77,学年度总表!$E$3:$E$1025,0))="","",INDEX(学年度总表!$L$3:$L$1025,MATCH($E77,学年度总表!$E$3:$E$1025,0)))</f>
        <v>58.71</v>
      </c>
      <c r="M77" s="3">
        <f>IF(INDEX(学年度总表!$M$3:$M$1025,MATCH($E77,学年度总表!$E$3:$E$1025,0))="","",INDEX(学年度总表!$M$3:$M$1025,MATCH($E77,学年度总表!$E$3:$E$1025,0)))</f>
        <v>4.7</v>
      </c>
      <c r="N77" s="3">
        <f>IF(INDEX(学年度总表!$N$3:$N$1025,MATCH($E77,学年度总表!$E$3:$E$1025,0))="","",INDEX(学年度总表!$N$3:$N$1025,MATCH($E77,学年度总表!$E$3:$E$1025,0)))</f>
        <v>70.709999999999994</v>
      </c>
      <c r="O77" s="3">
        <f>IF(INDEX(学年度总表!$O$3:$O$1025,MATCH($E77,学年度总表!$E$3:$E$1025,0))="","",INDEX(学年度总表!$O$3:$O$1025,MATCH($E77,学年度总表!$E$3:$E$1025,0)))</f>
        <v>137.78</v>
      </c>
      <c r="P77" s="2" t="str">
        <f>IF(INDEX(学年度总表!$P$3:$P$1025,MATCH($E77,学年度总表!$E$3:$E$1025,0))="","",INDEX(学年度总表!$P$3:$P$1025,MATCH($E77,学年度总表!$E$3:$E$1025,0)))</f>
        <v/>
      </c>
      <c r="Q77" s="5" t="str">
        <f>IF(INDEX(学年度总表!$Q$3:$Q$1025,MATCH($E77,学年度总表!$E$3:$E$1025,0))="","",INDEX(学年度总表!$Q$3:$Q$1025,MATCH($E77,学年度总表!$E$3:$E$1025,0)))</f>
        <v/>
      </c>
    </row>
    <row r="78" spans="1:17">
      <c r="A78" s="2">
        <f>IF(INDEX(学年度总表!$A$3:$A$1025,MATCH($E78,学年度总表!$E$3:$E$1025,0))="","",INDEX(学年度总表!$A$3:$A$1025,MATCH($E78,学年度总表!$E$3:$E$1025,0)))</f>
        <v>557</v>
      </c>
      <c r="B78" s="2">
        <f>IF(INDEX(学年度总表!$B$3:$B$1025,MATCH($E78,学年度总表!$E$3:$E$1025,0))="","",INDEX(学年度总表!$B$3:$B$1025,MATCH($E78,学年度总表!$E$3:$E$1025,0)))</f>
        <v>76</v>
      </c>
      <c r="C78" s="2" t="str">
        <f>IF(INDEX(学年度总表!$C$3:$C$1025,MATCH($E78,学年度总表!$E$3:$E$1025,0))="","",INDEX(学年度总表!$C$3:$C$1025,MATCH($E78,学年度总表!$E$3:$E$1025,0)))</f>
        <v>网工</v>
      </c>
      <c r="D78" s="2" t="str">
        <f>IF(INDEX(学年度总表!$D$3:$D$1025,MATCH($E78,学年度总表!$E$3:$E$1025,0))="","",INDEX(学年度总表!$D$3:$D$1025,MATCH($E78,学年度总表!$E$3:$E$1025,0)))</f>
        <v>网工16班</v>
      </c>
      <c r="E78" s="2" t="s">
        <v>1176</v>
      </c>
      <c r="F78" s="2" t="str">
        <f>IF(INDEX(学年度总表!$F$3:$F$1025,MATCH($E78,学年度总表!$E$3:$E$1025,0))="","",INDEX(学年度总表!$F$3:$F$1025,MATCH($E78,学年度总表!$E$3:$E$1025,0)))</f>
        <v>陈骏华</v>
      </c>
      <c r="G78" s="3">
        <f>IF(INDEX(学年度总表!$G$3:$G$1025,MATCH($E78,学年度总表!$E$3:$E$1025,0))="","",INDEX(学年度总表!$G$3:$G$1025,MATCH($E78,学年度总表!$E$3:$E$1025,0)))</f>
        <v>9.8000000000000007</v>
      </c>
      <c r="H78" s="3">
        <f>IF(INDEX(学年度总表!$H$3:$H$1025,MATCH($E78,学年度总表!$E$3:$E$1025,0))="","",INDEX(学年度总表!$H$3:$H$1025,MATCH($E78,学年度总表!$E$3:$E$1025,0)))</f>
        <v>57.61</v>
      </c>
      <c r="I78" s="3">
        <f>IF(INDEX(学年度总表!$I$3:$I$1025,MATCH($E78,学年度总表!$E$3:$E$1025,0))="","",INDEX(学年度总表!$I$3:$I$1025,MATCH($E78,学年度总表!$E$3:$E$1025,0)))</f>
        <v>3</v>
      </c>
      <c r="J78" s="3">
        <f>IF(INDEX(学年度总表!$J$3:$J$1025,MATCH($E78,学年度总表!$E$3:$E$1025,0))="","",INDEX(学年度总表!$J$3:$J$1025,MATCH($E78,学年度总表!$E$3:$E$1025,0)))</f>
        <v>70.41</v>
      </c>
      <c r="K78" s="3">
        <f>IF(INDEX(学年度总表!$K$3:$K$1025,MATCH($E78,学年度总表!$E$3:$E$1025,0))="","",INDEX(学年度总表!$K$3:$K$1025,MATCH($E78,学年度总表!$E$3:$E$1025,0)))</f>
        <v>7.3000000000000007</v>
      </c>
      <c r="L78" s="3">
        <f>IF(INDEX(学年度总表!$L$3:$L$1025,MATCH($E78,学年度总表!$E$3:$E$1025,0))="","",INDEX(学年度总表!$L$3:$L$1025,MATCH($E78,学年度总表!$E$3:$E$1025,0)))</f>
        <v>56.14</v>
      </c>
      <c r="M78" s="3">
        <f>IF(INDEX(学年度总表!$M$3:$M$1025,MATCH($E78,学年度总表!$E$3:$E$1025,0))="","",INDEX(学年度总表!$M$3:$M$1025,MATCH($E78,学年度总表!$E$3:$E$1025,0)))</f>
        <v>3.7</v>
      </c>
      <c r="N78" s="3">
        <f>IF(INDEX(学年度总表!$N$3:$N$1025,MATCH($E78,学年度总表!$E$3:$E$1025,0))="","",INDEX(学年度总表!$N$3:$N$1025,MATCH($E78,学年度总表!$E$3:$E$1025,0)))</f>
        <v>67.14</v>
      </c>
      <c r="O78" s="3">
        <f>IF(INDEX(学年度总表!$O$3:$O$1025,MATCH($E78,学年度总表!$E$3:$E$1025,0))="","",INDEX(学年度总表!$O$3:$O$1025,MATCH($E78,学年度总表!$E$3:$E$1025,0)))</f>
        <v>137.55000000000001</v>
      </c>
      <c r="P78" s="4" t="str">
        <f>IF(INDEX(学年度总表!$P$3:$P$1025,MATCH($E78,学年度总表!$E$3:$E$1025,0))="","",INDEX(学年度总表!$P$3:$P$1025,MATCH($E78,学年度总表!$E$3:$E$1025,0)))</f>
        <v>校励</v>
      </c>
      <c r="Q78" s="5" t="str">
        <f>IF(INDEX(学年度总表!$Q$3:$Q$1025,MATCH($E78,学年度总表!$E$3:$E$1025,0))="","",INDEX(学年度总表!$Q$3:$Q$1025,MATCH($E78,学年度总表!$E$3:$E$1025,0)))</f>
        <v/>
      </c>
    </row>
    <row r="79" spans="1:17">
      <c r="A79" s="2">
        <f>IF(INDEX(学年度总表!$A$3:$A$1025,MATCH($E79,学年度总表!$E$3:$E$1025,0))="","",INDEX(学年度总表!$A$3:$A$1025,MATCH($E79,学年度总表!$E$3:$E$1025,0)))</f>
        <v>571</v>
      </c>
      <c r="B79" s="2">
        <f>IF(INDEX(学年度总表!$B$3:$B$1025,MATCH($E79,学年度总表!$E$3:$E$1025,0))="","",INDEX(学年度总表!$B$3:$B$1025,MATCH($E79,学年度总表!$E$3:$E$1025,0)))</f>
        <v>77</v>
      </c>
      <c r="C79" s="2" t="str">
        <f>IF(INDEX(学年度总表!$C$3:$C$1025,MATCH($E79,学年度总表!$E$3:$E$1025,0))="","",INDEX(学年度总表!$C$3:$C$1025,MATCH($E79,学年度总表!$E$3:$E$1025,0)))</f>
        <v>网工</v>
      </c>
      <c r="D79" s="2" t="str">
        <f>IF(INDEX(学年度总表!$D$3:$D$1025,MATCH($E79,学年度总表!$E$3:$E$1025,0))="","",INDEX(学年度总表!$D$3:$D$1025,MATCH($E79,学年度总表!$E$3:$E$1025,0)))</f>
        <v>网工16班</v>
      </c>
      <c r="E79" s="2" t="s">
        <v>1203</v>
      </c>
      <c r="F79" s="2" t="str">
        <f>IF(INDEX(学年度总表!$F$3:$F$1025,MATCH($E79,学年度总表!$E$3:$E$1025,0))="","",INDEX(学年度总表!$F$3:$F$1025,MATCH($E79,学年度总表!$E$3:$E$1025,0)))</f>
        <v>刘哲鸣</v>
      </c>
      <c r="G79" s="3">
        <f>IF(INDEX(学年度总表!$G$3:$G$1025,MATCH($E79,学年度总表!$E$3:$E$1025,0))="","",INDEX(学年度总表!$G$3:$G$1025,MATCH($E79,学年度总表!$E$3:$E$1025,0)))</f>
        <v>9.8000000000000007</v>
      </c>
      <c r="H79" s="3">
        <f>IF(INDEX(学年度总表!$H$3:$H$1025,MATCH($E79,学年度总表!$E$3:$E$1025,0))="","",INDEX(学年度总表!$H$3:$H$1025,MATCH($E79,学年度总表!$E$3:$E$1025,0)))</f>
        <v>55.28</v>
      </c>
      <c r="I79" s="3">
        <f>IF(INDEX(学年度总表!$I$3:$I$1025,MATCH($E79,学年度总表!$E$3:$E$1025,0))="","",INDEX(学年度总表!$I$3:$I$1025,MATCH($E79,学年度总表!$E$3:$E$1025,0)))</f>
        <v>3</v>
      </c>
      <c r="J79" s="3">
        <f>IF(INDEX(学年度总表!$J$3:$J$1025,MATCH($E79,学年度总表!$E$3:$E$1025,0))="","",INDEX(学年度总表!$J$3:$J$1025,MATCH($E79,学年度总表!$E$3:$E$1025,0)))</f>
        <v>68.08</v>
      </c>
      <c r="K79" s="3">
        <f>IF(INDEX(学年度总表!$K$3:$K$1025,MATCH($E79,学年度总表!$E$3:$E$1025,0))="","",INDEX(学年度总表!$K$3:$K$1025,MATCH($E79,学年度总表!$E$3:$E$1025,0)))</f>
        <v>7.3000000000000007</v>
      </c>
      <c r="L79" s="3">
        <f>IF(INDEX(学年度总表!$L$3:$L$1025,MATCH($E79,学年度总表!$E$3:$E$1025,0))="","",INDEX(学年度总表!$L$3:$L$1025,MATCH($E79,学年度总表!$E$3:$E$1025,0)))</f>
        <v>57.78</v>
      </c>
      <c r="M79" s="3">
        <f>IF(INDEX(学年度总表!$M$3:$M$1025,MATCH($E79,学年度总表!$E$3:$E$1025,0))="","",INDEX(学年度总表!$M$3:$M$1025,MATCH($E79,学年度总表!$E$3:$E$1025,0)))</f>
        <v>3.7</v>
      </c>
      <c r="N79" s="3">
        <f>IF(INDEX(学年度总表!$N$3:$N$1025,MATCH($E79,学年度总表!$E$3:$E$1025,0))="","",INDEX(学年度总表!$N$3:$N$1025,MATCH($E79,学年度总表!$E$3:$E$1025,0)))</f>
        <v>68.78</v>
      </c>
      <c r="O79" s="3">
        <f>IF(INDEX(学年度总表!$O$3:$O$1025,MATCH($E79,学年度总表!$E$3:$E$1025,0))="","",INDEX(学年度总表!$O$3:$O$1025,MATCH($E79,学年度总表!$E$3:$E$1025,0)))</f>
        <v>136.86000000000001</v>
      </c>
      <c r="P79" s="2" t="str">
        <f>IF(INDEX(学年度总表!$P$3:$P$1025,MATCH($E79,学年度总表!$E$3:$E$1025,0))="","",INDEX(学年度总表!$P$3:$P$1025,MATCH($E79,学年度总表!$E$3:$E$1025,0)))</f>
        <v/>
      </c>
      <c r="Q79" s="5" t="str">
        <f>IF(INDEX(学年度总表!$Q$3:$Q$1025,MATCH($E79,学年度总表!$E$3:$E$1025,0))="","",INDEX(学年度总表!$Q$3:$Q$1025,MATCH($E79,学年度总表!$E$3:$E$1025,0)))</f>
        <v/>
      </c>
    </row>
    <row r="80" spans="1:17">
      <c r="A80" s="2">
        <f>IF(INDEX(学年度总表!$A$3:$A$1025,MATCH($E80,学年度总表!$E$3:$E$1025,0))="","",INDEX(学年度总表!$A$3:$A$1025,MATCH($E80,学年度总表!$E$3:$E$1025,0)))</f>
        <v>574</v>
      </c>
      <c r="B80" s="2">
        <f>IF(INDEX(学年度总表!$B$3:$B$1025,MATCH($E80,学年度总表!$E$3:$E$1025,0))="","",INDEX(学年度总表!$B$3:$B$1025,MATCH($E80,学年度总表!$E$3:$E$1025,0)))</f>
        <v>78</v>
      </c>
      <c r="C80" s="2" t="str">
        <f>IF(INDEX(学年度总表!$C$3:$C$1025,MATCH($E80,学年度总表!$E$3:$E$1025,0))="","",INDEX(学年度总表!$C$3:$C$1025,MATCH($E80,学年度总表!$E$3:$E$1025,0)))</f>
        <v>网工</v>
      </c>
      <c r="D80" s="2" t="str">
        <f>IF(INDEX(学年度总表!$D$3:$D$1025,MATCH($E80,学年度总表!$E$3:$E$1025,0))="","",INDEX(学年度总表!$D$3:$D$1025,MATCH($E80,学年度总表!$E$3:$E$1025,0)))</f>
        <v>网工18班</v>
      </c>
      <c r="E80" s="2" t="s">
        <v>1209</v>
      </c>
      <c r="F80" s="2" t="str">
        <f>IF(INDEX(学年度总表!$F$3:$F$1025,MATCH($E80,学年度总表!$E$3:$E$1025,0))="","",INDEX(学年度总表!$F$3:$F$1025,MATCH($E80,学年度总表!$E$3:$E$1025,0)))</f>
        <v>李昱廷</v>
      </c>
      <c r="G80" s="3">
        <f>IF(INDEX(学年度总表!$G$3:$G$1025,MATCH($E80,学年度总表!$E$3:$E$1025,0))="","",INDEX(学年度总表!$G$3:$G$1025,MATCH($E80,学年度总表!$E$3:$E$1025,0)))</f>
        <v>9.8000000000000007</v>
      </c>
      <c r="H80" s="3">
        <f>IF(INDEX(学年度总表!$H$3:$H$1025,MATCH($E80,学年度总表!$E$3:$E$1025,0))="","",INDEX(学年度总表!$H$3:$H$1025,MATCH($E80,学年度总表!$E$3:$E$1025,0)))</f>
        <v>59.09</v>
      </c>
      <c r="I80" s="3">
        <f>IF(INDEX(学年度总表!$I$3:$I$1025,MATCH($E80,学年度总表!$E$3:$E$1025,0))="","",INDEX(学年度总表!$I$3:$I$1025,MATCH($E80,学年度总表!$E$3:$E$1025,0)))</f>
        <v>4.9000000000000004</v>
      </c>
      <c r="J80" s="3">
        <f>IF(INDEX(学年度总表!$J$3:$J$1025,MATCH($E80,学年度总表!$E$3:$E$1025,0))="","",INDEX(学年度总表!$J$3:$J$1025,MATCH($E80,学年度总表!$E$3:$E$1025,0)))</f>
        <v>73.790000000000006</v>
      </c>
      <c r="K80" s="3">
        <f>IF(INDEX(学年度总表!$K$3:$K$1025,MATCH($E80,学年度总表!$E$3:$E$1025,0))="","",INDEX(学年度总表!$K$3:$K$1025,MATCH($E80,学年度总表!$E$3:$E$1025,0)))</f>
        <v>7.3000000000000007</v>
      </c>
      <c r="L80" s="3">
        <f>IF(INDEX(学年度总表!$L$3:$L$1025,MATCH($E80,学年度总表!$E$3:$E$1025,0))="","",INDEX(学年度总表!$L$3:$L$1025,MATCH($E80,学年度总表!$E$3:$E$1025,0)))</f>
        <v>50.8</v>
      </c>
      <c r="M80" s="3">
        <f>IF(INDEX(学年度总表!$M$3:$M$1025,MATCH($E80,学年度总表!$E$3:$E$1025,0))="","",INDEX(学年度总表!$M$3:$M$1025,MATCH($E80,学年度总表!$E$3:$E$1025,0)))</f>
        <v>4.8499999999999996</v>
      </c>
      <c r="N80" s="3">
        <f>IF(INDEX(学年度总表!$N$3:$N$1025,MATCH($E80,学年度总表!$E$3:$E$1025,0))="","",INDEX(学年度总表!$N$3:$N$1025,MATCH($E80,学年度总表!$E$3:$E$1025,0)))</f>
        <v>62.95</v>
      </c>
      <c r="O80" s="3">
        <f>IF(INDEX(学年度总表!$O$3:$O$1025,MATCH($E80,学年度总表!$E$3:$E$1025,0))="","",INDEX(学年度总表!$O$3:$O$1025,MATCH($E80,学年度总表!$E$3:$E$1025,0)))</f>
        <v>136.74</v>
      </c>
      <c r="P80" s="2" t="str">
        <f>IF(INDEX(学年度总表!$P$3:$P$1025,MATCH($E80,学年度总表!$E$3:$E$1025,0))="","",INDEX(学年度总表!$P$3:$P$1025,MATCH($E80,学年度总表!$E$3:$E$1025,0)))</f>
        <v/>
      </c>
      <c r="Q80" s="5" t="str">
        <f>IF(INDEX(学年度总表!$Q$3:$Q$1025,MATCH($E80,学年度总表!$E$3:$E$1025,0))="","",INDEX(学年度总表!$Q$3:$Q$1025,MATCH($E80,学年度总表!$E$3:$E$1025,0)))</f>
        <v/>
      </c>
    </row>
    <row r="81" spans="1:17">
      <c r="A81" s="2">
        <f>IF(INDEX(学年度总表!$A$3:$A$1025,MATCH($E81,学年度总表!$E$3:$E$1025,0))="","",INDEX(学年度总表!$A$3:$A$1025,MATCH($E81,学年度总表!$E$3:$E$1025,0)))</f>
        <v>578</v>
      </c>
      <c r="B81" s="2">
        <f>IF(INDEX(学年度总表!$B$3:$B$1025,MATCH($E81,学年度总表!$E$3:$E$1025,0))="","",INDEX(学年度总表!$B$3:$B$1025,MATCH($E81,学年度总表!$E$3:$E$1025,0)))</f>
        <v>79</v>
      </c>
      <c r="C81" s="2" t="str">
        <f>IF(INDEX(学年度总表!$C$3:$C$1025,MATCH($E81,学年度总表!$E$3:$E$1025,0))="","",INDEX(学年度总表!$C$3:$C$1025,MATCH($E81,学年度总表!$E$3:$E$1025,0)))</f>
        <v>网工</v>
      </c>
      <c r="D81" s="2" t="str">
        <f>IF(INDEX(学年度总表!$D$3:$D$1025,MATCH($E81,学年度总表!$E$3:$E$1025,0))="","",INDEX(学年度总表!$D$3:$D$1025,MATCH($E81,学年度总表!$E$3:$E$1025,0)))</f>
        <v>网工18班</v>
      </c>
      <c r="E81" s="2" t="s">
        <v>1217</v>
      </c>
      <c r="F81" s="2" t="str">
        <f>IF(INDEX(学年度总表!$F$3:$F$1025,MATCH($E81,学年度总表!$E$3:$E$1025,0))="","",INDEX(学年度总表!$F$3:$F$1025,MATCH($E81,学年度总表!$E$3:$E$1025,0)))</f>
        <v>高天锦程</v>
      </c>
      <c r="G81" s="3">
        <f>IF(INDEX(学年度总表!$G$3:$G$1025,MATCH($E81,学年度总表!$E$3:$E$1025,0))="","",INDEX(学年度总表!$G$3:$G$1025,MATCH($E81,学年度总表!$E$3:$E$1025,0)))</f>
        <v>10.4</v>
      </c>
      <c r="H81" s="3">
        <f>IF(INDEX(学年度总表!$H$3:$H$1025,MATCH($E81,学年度总表!$E$3:$E$1025,0))="","",INDEX(学年度总表!$H$3:$H$1025,MATCH($E81,学年度总表!$E$3:$E$1025,0)))</f>
        <v>55.88</v>
      </c>
      <c r="I81" s="3">
        <f>IF(INDEX(学年度总表!$I$3:$I$1025,MATCH($E81,学年度总表!$E$3:$E$1025,0))="","",INDEX(学年度总表!$I$3:$I$1025,MATCH($E81,学年度总表!$E$3:$E$1025,0)))</f>
        <v>5.05</v>
      </c>
      <c r="J81" s="3">
        <f>IF(INDEX(学年度总表!$J$3:$J$1025,MATCH($E81,学年度总表!$E$3:$E$1025,0))="","",INDEX(学年度总表!$J$3:$J$1025,MATCH($E81,学年度总表!$E$3:$E$1025,0)))</f>
        <v>71.33</v>
      </c>
      <c r="K81" s="3">
        <f>IF(INDEX(学年度总表!$K$3:$K$1025,MATCH($E81,学年度总表!$E$3:$E$1025,0))="","",INDEX(学年度总表!$K$3:$K$1025,MATCH($E81,学年度总表!$E$3:$E$1025,0)))</f>
        <v>7.3000000000000007</v>
      </c>
      <c r="L81" s="3">
        <f>IF(INDEX(学年度总表!$L$3:$L$1025,MATCH($E81,学年度总表!$E$3:$E$1025,0))="","",INDEX(学年度总表!$L$3:$L$1025,MATCH($E81,学年度总表!$E$3:$E$1025,0)))</f>
        <v>52.26</v>
      </c>
      <c r="M81" s="3">
        <f>IF(INDEX(学年度总表!$M$3:$M$1025,MATCH($E81,学年度总表!$E$3:$E$1025,0))="","",INDEX(学年度总表!$M$3:$M$1025,MATCH($E81,学年度总表!$E$3:$E$1025,0)))</f>
        <v>5.5</v>
      </c>
      <c r="N81" s="3">
        <f>IF(INDEX(学年度总表!$N$3:$N$1025,MATCH($E81,学年度总表!$E$3:$E$1025,0))="","",INDEX(学年度总表!$N$3:$N$1025,MATCH($E81,学年度总表!$E$3:$E$1025,0)))</f>
        <v>65.06</v>
      </c>
      <c r="O81" s="3">
        <f>IF(INDEX(学年度总表!$O$3:$O$1025,MATCH($E81,学年度总表!$E$3:$E$1025,0))="","",INDEX(学年度总表!$O$3:$O$1025,MATCH($E81,学年度总表!$E$3:$E$1025,0)))</f>
        <v>136.38999999999999</v>
      </c>
      <c r="P81" s="2" t="str">
        <f>IF(INDEX(学年度总表!$P$3:$P$1025,MATCH($E81,学年度总表!$E$3:$E$1025,0))="","",INDEX(学年度总表!$P$3:$P$1025,MATCH($E81,学年度总表!$E$3:$E$1025,0)))</f>
        <v/>
      </c>
      <c r="Q81" s="5" t="str">
        <f>IF(INDEX(学年度总表!$Q$3:$Q$1025,MATCH($E81,学年度总表!$E$3:$E$1025,0))="","",INDEX(学年度总表!$Q$3:$Q$1025,MATCH($E81,学年度总表!$E$3:$E$1025,0)))</f>
        <v/>
      </c>
    </row>
    <row r="82" spans="1:17">
      <c r="A82" s="2">
        <f>IF(INDEX(学年度总表!$A$3:$A$1025,MATCH($E82,学年度总表!$E$3:$E$1025,0))="","",INDEX(学年度总表!$A$3:$A$1025,MATCH($E82,学年度总表!$E$3:$E$1025,0)))</f>
        <v>585</v>
      </c>
      <c r="B82" s="2">
        <f>IF(INDEX(学年度总表!$B$3:$B$1025,MATCH($E82,学年度总表!$E$3:$E$1025,0))="","",INDEX(学年度总表!$B$3:$B$1025,MATCH($E82,学年度总表!$E$3:$E$1025,0)))</f>
        <v>80</v>
      </c>
      <c r="C82" s="2" t="str">
        <f>IF(INDEX(学年度总表!$C$3:$C$1025,MATCH($E82,学年度总表!$E$3:$E$1025,0))="","",INDEX(学年度总表!$C$3:$C$1025,MATCH($E82,学年度总表!$E$3:$E$1025,0)))</f>
        <v>网工</v>
      </c>
      <c r="D82" s="2" t="str">
        <f>IF(INDEX(学年度总表!$D$3:$D$1025,MATCH($E82,学年度总表!$E$3:$E$1025,0))="","",INDEX(学年度总表!$D$3:$D$1025,MATCH($E82,学年度总表!$E$3:$E$1025,0)))</f>
        <v>网工16班</v>
      </c>
      <c r="E82" s="2" t="s">
        <v>1231</v>
      </c>
      <c r="F82" s="2" t="str">
        <f>IF(INDEX(学年度总表!$F$3:$F$1025,MATCH($E82,学年度总表!$E$3:$E$1025,0))="","",INDEX(学年度总表!$F$3:$F$1025,MATCH($E82,学年度总表!$E$3:$E$1025,0)))</f>
        <v>程家翔</v>
      </c>
      <c r="G82" s="3">
        <f>IF(INDEX(学年度总表!$G$3:$G$1025,MATCH($E82,学年度总表!$E$3:$E$1025,0))="","",INDEX(学年度总表!$G$3:$G$1025,MATCH($E82,学年度总表!$E$3:$E$1025,0)))</f>
        <v>10</v>
      </c>
      <c r="H82" s="3">
        <f>IF(INDEX(学年度总表!$H$3:$H$1025,MATCH($E82,学年度总表!$E$3:$E$1025,0))="","",INDEX(学年度总表!$H$3:$H$1025,MATCH($E82,学年度总表!$E$3:$E$1025,0)))</f>
        <v>51.52</v>
      </c>
      <c r="I82" s="3">
        <f>IF(INDEX(学年度总表!$I$3:$I$1025,MATCH($E82,学年度总表!$E$3:$E$1025,0))="","",INDEX(学年度总表!$I$3:$I$1025,MATCH($E82,学年度总表!$E$3:$E$1025,0)))</f>
        <v>5.5</v>
      </c>
      <c r="J82" s="3">
        <f>IF(INDEX(学年度总表!$J$3:$J$1025,MATCH($E82,学年度总表!$E$3:$E$1025,0))="","",INDEX(学年度总表!$J$3:$J$1025,MATCH($E82,学年度总表!$E$3:$E$1025,0)))</f>
        <v>67.02</v>
      </c>
      <c r="K82" s="3">
        <f>IF(INDEX(学年度总表!$K$3:$K$1025,MATCH($E82,学年度总表!$E$3:$E$1025,0))="","",INDEX(学年度总表!$K$3:$K$1025,MATCH($E82,学年度总表!$E$3:$E$1025,0)))</f>
        <v>7.5</v>
      </c>
      <c r="L82" s="3">
        <f>IF(INDEX(学年度总表!$L$3:$L$1025,MATCH($E82,学年度总表!$E$3:$E$1025,0))="","",INDEX(学年度总表!$L$3:$L$1025,MATCH($E82,学年度总表!$E$3:$E$1025,0)))</f>
        <v>55.82</v>
      </c>
      <c r="M82" s="3">
        <f>IF(INDEX(学年度总表!$M$3:$M$1025,MATCH($E82,学年度总表!$E$3:$E$1025,0))="","",INDEX(学年度总表!$M$3:$M$1025,MATCH($E82,学年度总表!$E$3:$E$1025,0)))</f>
        <v>5.8</v>
      </c>
      <c r="N82" s="3">
        <f>IF(INDEX(学年度总表!$N$3:$N$1025,MATCH($E82,学年度总表!$E$3:$E$1025,0))="","",INDEX(学年度总表!$N$3:$N$1025,MATCH($E82,学年度总表!$E$3:$E$1025,0)))</f>
        <v>69.12</v>
      </c>
      <c r="O82" s="3">
        <f>IF(INDEX(学年度总表!$O$3:$O$1025,MATCH($E82,学年度总表!$E$3:$E$1025,0))="","",INDEX(学年度总表!$O$3:$O$1025,MATCH($E82,学年度总表!$E$3:$E$1025,0)))</f>
        <v>136.13999999999999</v>
      </c>
      <c r="P82" s="2" t="str">
        <f>IF(INDEX(学年度总表!$P$3:$P$1025,MATCH($E82,学年度总表!$E$3:$E$1025,0))="","",INDEX(学年度总表!$P$3:$P$1025,MATCH($E82,学年度总表!$E$3:$E$1025,0)))</f>
        <v/>
      </c>
      <c r="Q82" s="5" t="str">
        <f>IF(INDEX(学年度总表!$Q$3:$Q$1025,MATCH($E82,学年度总表!$E$3:$E$1025,0))="","",INDEX(学年度总表!$Q$3:$Q$1025,MATCH($E82,学年度总表!$E$3:$E$1025,0)))</f>
        <v/>
      </c>
    </row>
    <row r="83" spans="1:17">
      <c r="A83" s="2">
        <f>IF(INDEX(学年度总表!$A$3:$A$1025,MATCH($E83,学年度总表!$E$3:$E$1025,0))="","",INDEX(学年度总表!$A$3:$A$1025,MATCH($E83,学年度总表!$E$3:$E$1025,0)))</f>
        <v>587</v>
      </c>
      <c r="B83" s="2">
        <f>IF(INDEX(学年度总表!$B$3:$B$1025,MATCH($E83,学年度总表!$E$3:$E$1025,0))="","",INDEX(学年度总表!$B$3:$B$1025,MATCH($E83,学年度总表!$E$3:$E$1025,0)))</f>
        <v>81</v>
      </c>
      <c r="C83" s="2" t="str">
        <f>IF(INDEX(学年度总表!$C$3:$C$1025,MATCH($E83,学年度总表!$E$3:$E$1025,0))="","",INDEX(学年度总表!$C$3:$C$1025,MATCH($E83,学年度总表!$E$3:$E$1025,0)))</f>
        <v>网工</v>
      </c>
      <c r="D83" s="2" t="str">
        <f>IF(INDEX(学年度总表!$D$3:$D$1025,MATCH($E83,学年度总表!$E$3:$E$1025,0))="","",INDEX(学年度总表!$D$3:$D$1025,MATCH($E83,学年度总表!$E$3:$E$1025,0)))</f>
        <v>网工18班</v>
      </c>
      <c r="E83" s="2" t="s">
        <v>1235</v>
      </c>
      <c r="F83" s="2" t="str">
        <f>IF(INDEX(学年度总表!$F$3:$F$1025,MATCH($E83,学年度总表!$E$3:$E$1025,0))="","",INDEX(学年度总表!$F$3:$F$1025,MATCH($E83,学年度总表!$E$3:$E$1025,0)))</f>
        <v>王雨萌</v>
      </c>
      <c r="G83" s="3">
        <f>IF(INDEX(学年度总表!$G$3:$G$1025,MATCH($E83,学年度总表!$E$3:$E$1025,0))="","",INDEX(学年度总表!$G$3:$G$1025,MATCH($E83,学年度总表!$E$3:$E$1025,0)))</f>
        <v>10</v>
      </c>
      <c r="H83" s="3">
        <f>IF(INDEX(学年度总表!$H$3:$H$1025,MATCH($E83,学年度总表!$E$3:$E$1025,0))="","",INDEX(学年度总表!$H$3:$H$1025,MATCH($E83,学年度总表!$E$3:$E$1025,0)))</f>
        <v>57.78</v>
      </c>
      <c r="I83" s="3">
        <f>IF(INDEX(学年度总表!$I$3:$I$1025,MATCH($E83,学年度总表!$E$3:$E$1025,0))="","",INDEX(学年度总表!$I$3:$I$1025,MATCH($E83,学年度总表!$E$3:$E$1025,0)))</f>
        <v>3.7</v>
      </c>
      <c r="J83" s="3">
        <f>IF(INDEX(学年度总表!$J$3:$J$1025,MATCH($E83,学年度总表!$E$3:$E$1025,0))="","",INDEX(学年度总表!$J$3:$J$1025,MATCH($E83,学年度总表!$E$3:$E$1025,0)))</f>
        <v>71.48</v>
      </c>
      <c r="K83" s="3">
        <f>IF(INDEX(学年度总表!$K$3:$K$1025,MATCH($E83,学年度总表!$E$3:$E$1025,0))="","",INDEX(学年度总表!$K$3:$K$1025,MATCH($E83,学年度总表!$E$3:$E$1025,0)))</f>
        <v>7.5</v>
      </c>
      <c r="L83" s="3">
        <f>IF(INDEX(学年度总表!$L$3:$L$1025,MATCH($E83,学年度总表!$E$3:$E$1025,0))="","",INDEX(学年度总表!$L$3:$L$1025,MATCH($E83,学年度总表!$E$3:$E$1025,0)))</f>
        <v>52.86</v>
      </c>
      <c r="M83" s="3">
        <f>IF(INDEX(学年度总表!$M$3:$M$1025,MATCH($E83,学年度总表!$E$3:$E$1025,0))="","",INDEX(学年度总表!$M$3:$M$1025,MATCH($E83,学年度总表!$E$3:$E$1025,0)))</f>
        <v>4.2</v>
      </c>
      <c r="N83" s="3">
        <f>IF(INDEX(学年度总表!$N$3:$N$1025,MATCH($E83,学年度总表!$E$3:$E$1025,0))="","",INDEX(学年度总表!$N$3:$N$1025,MATCH($E83,学年度总表!$E$3:$E$1025,0)))</f>
        <v>64.56</v>
      </c>
      <c r="O83" s="3">
        <f>IF(INDEX(学年度总表!$O$3:$O$1025,MATCH($E83,学年度总表!$E$3:$E$1025,0))="","",INDEX(学年度总表!$O$3:$O$1025,MATCH($E83,学年度总表!$E$3:$E$1025,0)))</f>
        <v>136.04</v>
      </c>
      <c r="P83" s="4" t="str">
        <f>IF(INDEX(学年度总表!$P$3:$P$1025,MATCH($E83,学年度总表!$E$3:$E$1025,0))="","",INDEX(学年度总表!$P$3:$P$1025,MATCH($E83,学年度总表!$E$3:$E$1025,0)))</f>
        <v>校励</v>
      </c>
      <c r="Q83" s="5" t="str">
        <f>IF(INDEX(学年度总表!$Q$3:$Q$1025,MATCH($E83,学年度总表!$E$3:$E$1025,0))="","",INDEX(学年度总表!$Q$3:$Q$1025,MATCH($E83,学年度总表!$E$3:$E$1025,0)))</f>
        <v/>
      </c>
    </row>
    <row r="84" spans="1:17">
      <c r="A84" s="2">
        <f>IF(INDEX(学年度总表!$A$3:$A$1025,MATCH($E84,学年度总表!$E$3:$E$1025,0))="","",INDEX(学年度总表!$A$3:$A$1025,MATCH($E84,学年度总表!$E$3:$E$1025,0)))</f>
        <v>591</v>
      </c>
      <c r="B84" s="2">
        <f>IF(INDEX(学年度总表!$B$3:$B$1025,MATCH($E84,学年度总表!$E$3:$E$1025,0))="","",INDEX(学年度总表!$B$3:$B$1025,MATCH($E84,学年度总表!$E$3:$E$1025,0)))</f>
        <v>82</v>
      </c>
      <c r="C84" s="2" t="str">
        <f>IF(INDEX(学年度总表!$C$3:$C$1025,MATCH($E84,学年度总表!$E$3:$E$1025,0))="","",INDEX(学年度总表!$C$3:$C$1025,MATCH($E84,学年度总表!$E$3:$E$1025,0)))</f>
        <v>网工</v>
      </c>
      <c r="D84" s="2" t="str">
        <f>IF(INDEX(学年度总表!$D$3:$D$1025,MATCH($E84,学年度总表!$E$3:$E$1025,0))="","",INDEX(学年度总表!$D$3:$D$1025,MATCH($E84,学年度总表!$E$3:$E$1025,0)))</f>
        <v>网工17班</v>
      </c>
      <c r="E84" s="2" t="s">
        <v>1243</v>
      </c>
      <c r="F84" s="2" t="str">
        <f>IF(INDEX(学年度总表!$F$3:$F$1025,MATCH($E84,学年度总表!$E$3:$E$1025,0))="","",INDEX(学年度总表!$F$3:$F$1025,MATCH($E84,学年度总表!$E$3:$E$1025,0)))</f>
        <v>张菀桐</v>
      </c>
      <c r="G84" s="3">
        <f>IF(INDEX(学年度总表!$G$3:$G$1025,MATCH($E84,学年度总表!$E$3:$E$1025,0))="","",INDEX(学年度总表!$G$3:$G$1025,MATCH($E84,学年度总表!$E$3:$E$1025,0)))</f>
        <v>9.8000000000000007</v>
      </c>
      <c r="H84" s="3">
        <f>IF(INDEX(学年度总表!$H$3:$H$1025,MATCH($E84,学年度总表!$E$3:$E$1025,0))="","",INDEX(学年度总表!$H$3:$H$1025,MATCH($E84,学年度总表!$E$3:$E$1025,0)))</f>
        <v>55.88</v>
      </c>
      <c r="I84" s="3">
        <f>IF(INDEX(学年度总表!$I$3:$I$1025,MATCH($E84,学年度总表!$E$3:$E$1025,0))="","",INDEX(学年度总表!$I$3:$I$1025,MATCH($E84,学年度总表!$E$3:$E$1025,0)))</f>
        <v>4</v>
      </c>
      <c r="J84" s="3">
        <f>IF(INDEX(学年度总表!$J$3:$J$1025,MATCH($E84,学年度总表!$E$3:$E$1025,0))="","",INDEX(学年度总表!$J$3:$J$1025,MATCH($E84,学年度总表!$E$3:$E$1025,0)))</f>
        <v>69.680000000000007</v>
      </c>
      <c r="K84" s="3">
        <f>IF(INDEX(学年度总表!$K$3:$K$1025,MATCH($E84,学年度总表!$E$3:$E$1025,0))="","",INDEX(学年度总表!$K$3:$K$1025,MATCH($E84,学年度总表!$E$3:$E$1025,0)))</f>
        <v>7.3000000000000007</v>
      </c>
      <c r="L84" s="3">
        <f>IF(INDEX(学年度总表!$L$3:$L$1025,MATCH($E84,学年度总表!$E$3:$E$1025,0))="","",INDEX(学年度总表!$L$3:$L$1025,MATCH($E84,学年度总表!$E$3:$E$1025,0)))</f>
        <v>55.5</v>
      </c>
      <c r="M84" s="3">
        <f>IF(INDEX(学年度总表!$M$3:$M$1025,MATCH($E84,学年度总表!$E$3:$E$1025,0))="","",INDEX(学年度总表!$M$3:$M$1025,MATCH($E84,学年度总表!$E$3:$E$1025,0)))</f>
        <v>3.5</v>
      </c>
      <c r="N84" s="3">
        <f>IF(INDEX(学年度总表!$N$3:$N$1025,MATCH($E84,学年度总表!$E$3:$E$1025,0))="","",INDEX(学年度总表!$N$3:$N$1025,MATCH($E84,学年度总表!$E$3:$E$1025,0)))</f>
        <v>66.3</v>
      </c>
      <c r="O84" s="3">
        <f>IF(INDEX(学年度总表!$O$3:$O$1025,MATCH($E84,学年度总表!$E$3:$E$1025,0))="","",INDEX(学年度总表!$O$3:$O$1025,MATCH($E84,学年度总表!$E$3:$E$1025,0)))</f>
        <v>135.97999999999999</v>
      </c>
      <c r="P84" s="4" t="str">
        <f>IF(INDEX(学年度总表!$P$3:$P$1025,MATCH($E84,学年度总表!$E$3:$E$1025,0))="","",INDEX(学年度总表!$P$3:$P$1025,MATCH($E84,学年度总表!$E$3:$E$1025,0)))</f>
        <v>校励</v>
      </c>
      <c r="Q84" s="5" t="str">
        <f>IF(INDEX(学年度总表!$Q$3:$Q$1025,MATCH($E84,学年度总表!$E$3:$E$1025,0))="","",INDEX(学年度总表!$Q$3:$Q$1025,MATCH($E84,学年度总表!$E$3:$E$1025,0)))</f>
        <v/>
      </c>
    </row>
    <row r="85" spans="1:17">
      <c r="A85" s="2">
        <f>IF(INDEX(学年度总表!$A$3:$A$1025,MATCH($E85,学年度总表!$E$3:$E$1025,0))="","",INDEX(学年度总表!$A$3:$A$1025,MATCH($E85,学年度总表!$E$3:$E$1025,0)))</f>
        <v>592</v>
      </c>
      <c r="B85" s="2">
        <f>IF(INDEX(学年度总表!$B$3:$B$1025,MATCH($E85,学年度总表!$E$3:$E$1025,0))="","",INDEX(学年度总表!$B$3:$B$1025,MATCH($E85,学年度总表!$E$3:$E$1025,0)))</f>
        <v>83</v>
      </c>
      <c r="C85" s="2" t="str">
        <f>IF(INDEX(学年度总表!$C$3:$C$1025,MATCH($E85,学年度总表!$E$3:$E$1025,0))="","",INDEX(学年度总表!$C$3:$C$1025,MATCH($E85,学年度总表!$E$3:$E$1025,0)))</f>
        <v>网工</v>
      </c>
      <c r="D85" s="2" t="str">
        <f>IF(INDEX(学年度总表!$D$3:$D$1025,MATCH($E85,学年度总表!$E$3:$E$1025,0))="","",INDEX(学年度总表!$D$3:$D$1025,MATCH($E85,学年度总表!$E$3:$E$1025,0)))</f>
        <v>网工18班</v>
      </c>
      <c r="E85" s="2" t="s">
        <v>1247</v>
      </c>
      <c r="F85" s="2" t="str">
        <f>IF(INDEX(学年度总表!$F$3:$F$1025,MATCH($E85,学年度总表!$E$3:$E$1025,0))="","",INDEX(学年度总表!$F$3:$F$1025,MATCH($E85,学年度总表!$E$3:$E$1025,0)))</f>
        <v>杨雨菲</v>
      </c>
      <c r="G85" s="3">
        <f>IF(INDEX(学年度总表!$G$3:$G$1025,MATCH($E85,学年度总表!$E$3:$E$1025,0))="","",INDEX(学年度总表!$G$3:$G$1025,MATCH($E85,学年度总表!$E$3:$E$1025,0)))</f>
        <v>10</v>
      </c>
      <c r="H85" s="3">
        <f>IF(INDEX(学年度总表!$H$3:$H$1025,MATCH($E85,学年度总表!$E$3:$E$1025,0))="","",INDEX(学年度总表!$H$3:$H$1025,MATCH($E85,学年度总表!$E$3:$E$1025,0)))</f>
        <v>55.65</v>
      </c>
      <c r="I85" s="3">
        <f>IF(INDEX(学年度总表!$I$3:$I$1025,MATCH($E85,学年度总表!$E$3:$E$1025,0))="","",INDEX(学年度总表!$I$3:$I$1025,MATCH($E85,学年度总表!$E$3:$E$1025,0)))</f>
        <v>3.7</v>
      </c>
      <c r="J85" s="3">
        <f>IF(INDEX(学年度总表!$J$3:$J$1025,MATCH($E85,学年度总表!$E$3:$E$1025,0))="","",INDEX(学年度总表!$J$3:$J$1025,MATCH($E85,学年度总表!$E$3:$E$1025,0)))</f>
        <v>69.349999999999994</v>
      </c>
      <c r="K85" s="3">
        <f>IF(INDEX(学年度总表!$K$3:$K$1025,MATCH($E85,学年度总表!$E$3:$E$1025,0))="","",INDEX(学年度总表!$K$3:$K$1025,MATCH($E85,学年度总表!$E$3:$E$1025,0)))</f>
        <v>10</v>
      </c>
      <c r="L85" s="3">
        <f>IF(INDEX(学年度总表!$L$3:$L$1025,MATCH($E85,学年度总表!$E$3:$E$1025,0))="","",INDEX(学年度总表!$L$3:$L$1025,MATCH($E85,学年度总表!$E$3:$E$1025,0)))</f>
        <v>49.86</v>
      </c>
      <c r="M85" s="3">
        <f>IF(INDEX(学年度总表!$M$3:$M$1025,MATCH($E85,学年度总表!$E$3:$E$1025,0))="","",INDEX(学年度总表!$M$3:$M$1025,MATCH($E85,学年度总表!$E$3:$E$1025,0)))</f>
        <v>6.7</v>
      </c>
      <c r="N85" s="3">
        <f>IF(INDEX(学年度总表!$N$3:$N$1025,MATCH($E85,学年度总表!$E$3:$E$1025,0))="","",INDEX(学年度总表!$N$3:$N$1025,MATCH($E85,学年度总表!$E$3:$E$1025,0)))</f>
        <v>66.56</v>
      </c>
      <c r="O85" s="3">
        <f>IF(INDEX(学年度总表!$O$3:$O$1025,MATCH($E85,学年度总表!$E$3:$E$1025,0))="","",INDEX(学年度总表!$O$3:$O$1025,MATCH($E85,学年度总表!$E$3:$E$1025,0)))</f>
        <v>135.91</v>
      </c>
      <c r="P85" s="2" t="str">
        <f>IF(INDEX(学年度总表!$P$3:$P$1025,MATCH($E85,学年度总表!$E$3:$E$1025,0))="","",INDEX(学年度总表!$P$3:$P$1025,MATCH($E85,学年度总表!$E$3:$E$1025,0)))</f>
        <v/>
      </c>
      <c r="Q85" s="5" t="str">
        <f>IF(INDEX(学年度总表!$Q$3:$Q$1025,MATCH($E85,学年度总表!$E$3:$E$1025,0))="","",INDEX(学年度总表!$Q$3:$Q$1025,MATCH($E85,学年度总表!$E$3:$E$1025,0)))</f>
        <v/>
      </c>
    </row>
    <row r="86" spans="1:17">
      <c r="A86" s="2">
        <f>IF(INDEX(学年度总表!$A$3:$A$1025,MATCH($E86,学年度总表!$E$3:$E$1025,0))="","",INDEX(学年度总表!$A$3:$A$1025,MATCH($E86,学年度总表!$E$3:$E$1025,0)))</f>
        <v>606</v>
      </c>
      <c r="B86" s="2">
        <f>IF(INDEX(学年度总表!$B$3:$B$1025,MATCH($E86,学年度总表!$E$3:$E$1025,0))="","",INDEX(学年度总表!$B$3:$B$1025,MATCH($E86,学年度总表!$E$3:$E$1025,0)))</f>
        <v>84</v>
      </c>
      <c r="C86" s="2" t="str">
        <f>IF(INDEX(学年度总表!$C$3:$C$1025,MATCH($E86,学年度总表!$E$3:$E$1025,0))="","",INDEX(学年度总表!$C$3:$C$1025,MATCH($E86,学年度总表!$E$3:$E$1025,0)))</f>
        <v>网工</v>
      </c>
      <c r="D86" s="2" t="str">
        <f>IF(INDEX(学年度总表!$D$3:$D$1025,MATCH($E86,学年度总表!$E$3:$E$1025,0))="","",INDEX(学年度总表!$D$3:$D$1025,MATCH($E86,学年度总表!$E$3:$E$1025,0)))</f>
        <v>网工15班</v>
      </c>
      <c r="E86" s="2" t="s">
        <v>1273</v>
      </c>
      <c r="F86" s="2" t="str">
        <f>IF(INDEX(学年度总表!$F$3:$F$1025,MATCH($E86,学年度总表!$E$3:$E$1025,0))="","",INDEX(学年度总表!$F$3:$F$1025,MATCH($E86,学年度总表!$E$3:$E$1025,0)))</f>
        <v>何婧莹</v>
      </c>
      <c r="G86" s="3">
        <f>IF(INDEX(学年度总表!$G$3:$G$1025,MATCH($E86,学年度总表!$E$3:$E$1025,0))="","",INDEX(学年度总表!$G$3:$G$1025,MATCH($E86,学年度总表!$E$3:$E$1025,0)))</f>
        <v>10</v>
      </c>
      <c r="H86" s="3">
        <f>IF(INDEX(学年度总表!$H$3:$H$1025,MATCH($E86,学年度总表!$E$3:$E$1025,0))="","",INDEX(学年度总表!$H$3:$H$1025,MATCH($E86,学年度总表!$E$3:$E$1025,0)))</f>
        <v>59.07</v>
      </c>
      <c r="I86" s="3">
        <f>IF(INDEX(学年度总表!$I$3:$I$1025,MATCH($E86,学年度总表!$E$3:$E$1025,0))="","",INDEX(学年度总表!$I$3:$I$1025,MATCH($E86,学年度总表!$E$3:$E$1025,0)))</f>
        <v>3</v>
      </c>
      <c r="J86" s="3">
        <f>IF(INDEX(学年度总表!$J$3:$J$1025,MATCH($E86,学年度总表!$E$3:$E$1025,0))="","",INDEX(学年度总表!$J$3:$J$1025,MATCH($E86,学年度总表!$E$3:$E$1025,0)))</f>
        <v>72.069999999999993</v>
      </c>
      <c r="K86" s="3">
        <f>IF(INDEX(学年度总表!$K$3:$K$1025,MATCH($E86,学年度总表!$E$3:$E$1025,0))="","",INDEX(学年度总表!$K$3:$K$1025,MATCH($E86,学年度总表!$E$3:$E$1025,0)))</f>
        <v>7.5</v>
      </c>
      <c r="L86" s="3">
        <f>IF(INDEX(学年度总表!$L$3:$L$1025,MATCH($E86,学年度总表!$E$3:$E$1025,0))="","",INDEX(学年度总表!$L$3:$L$1025,MATCH($E86,学年度总表!$E$3:$E$1025,0)))</f>
        <v>51.58</v>
      </c>
      <c r="M86" s="3">
        <f>IF(INDEX(学年度总表!$M$3:$M$1025,MATCH($E86,学年度总表!$E$3:$E$1025,0))="","",INDEX(学年度总表!$M$3:$M$1025,MATCH($E86,学年度总表!$E$3:$E$1025,0)))</f>
        <v>4</v>
      </c>
      <c r="N86" s="3">
        <f>IF(INDEX(学年度总表!$N$3:$N$1025,MATCH($E86,学年度总表!$E$3:$E$1025,0))="","",INDEX(学年度总表!$N$3:$N$1025,MATCH($E86,学年度总表!$E$3:$E$1025,0)))</f>
        <v>63.08</v>
      </c>
      <c r="O86" s="3">
        <f>IF(INDEX(学年度总表!$O$3:$O$1025,MATCH($E86,学年度总表!$E$3:$E$1025,0))="","",INDEX(学年度总表!$O$3:$O$1025,MATCH($E86,学年度总表!$E$3:$E$1025,0)))</f>
        <v>135.15</v>
      </c>
      <c r="P86" s="2" t="str">
        <f>IF(INDEX(学年度总表!$P$3:$P$1025,MATCH($E86,学年度总表!$E$3:$E$1025,0))="","",INDEX(学年度总表!$P$3:$P$1025,MATCH($E86,学年度总表!$E$3:$E$1025,0)))</f>
        <v/>
      </c>
      <c r="Q86" s="5" t="str">
        <f>IF(INDEX(学年度总表!$Q$3:$Q$1025,MATCH($E86,学年度总表!$E$3:$E$1025,0))="","",INDEX(学年度总表!$Q$3:$Q$1025,MATCH($E86,学年度总表!$E$3:$E$1025,0)))</f>
        <v/>
      </c>
    </row>
    <row r="87" spans="1:17">
      <c r="A87" s="2">
        <f>IF(INDEX(学年度总表!$A$3:$A$1025,MATCH($E87,学年度总表!$E$3:$E$1025,0))="","",INDEX(学年度总表!$A$3:$A$1025,MATCH($E87,学年度总表!$E$3:$E$1025,0)))</f>
        <v>610</v>
      </c>
      <c r="B87" s="2">
        <f>IF(INDEX(学年度总表!$B$3:$B$1025,MATCH($E87,学年度总表!$E$3:$E$1025,0))="","",INDEX(学年度总表!$B$3:$B$1025,MATCH($E87,学年度总表!$E$3:$E$1025,0)))</f>
        <v>85</v>
      </c>
      <c r="C87" s="2" t="str">
        <f>IF(INDEX(学年度总表!$C$3:$C$1025,MATCH($E87,学年度总表!$E$3:$E$1025,0))="","",INDEX(学年度总表!$C$3:$C$1025,MATCH($E87,学年度总表!$E$3:$E$1025,0)))</f>
        <v>网工</v>
      </c>
      <c r="D87" s="2" t="str">
        <f>IF(INDEX(学年度总表!$D$3:$D$1025,MATCH($E87,学年度总表!$E$3:$E$1025,0))="","",INDEX(学年度总表!$D$3:$D$1025,MATCH($E87,学年度总表!$E$3:$E$1025,0)))</f>
        <v>网工16班</v>
      </c>
      <c r="E87" s="2" t="s">
        <v>1281</v>
      </c>
      <c r="F87" s="2" t="str">
        <f>IF(INDEX(学年度总表!$F$3:$F$1025,MATCH($E87,学年度总表!$E$3:$E$1025,0))="","",INDEX(学年度总表!$F$3:$F$1025,MATCH($E87,学年度总表!$E$3:$E$1025,0)))</f>
        <v>王夕予</v>
      </c>
      <c r="G87" s="3">
        <f>IF(INDEX(学年度总表!$G$3:$G$1025,MATCH($E87,学年度总表!$E$3:$E$1025,0))="","",INDEX(学年度总表!$G$3:$G$1025,MATCH($E87,学年度总表!$E$3:$E$1025,0)))</f>
        <v>9.8000000000000007</v>
      </c>
      <c r="H87" s="3">
        <f>IF(INDEX(学年度总表!$H$3:$H$1025,MATCH($E87,学年度总表!$E$3:$E$1025,0))="","",INDEX(学年度总表!$H$3:$H$1025,MATCH($E87,学年度总表!$E$3:$E$1025,0)))</f>
        <v>56.9</v>
      </c>
      <c r="I87" s="3">
        <f>IF(INDEX(学年度总表!$I$3:$I$1025,MATCH($E87,学年度总表!$E$3:$E$1025,0))="","",INDEX(学年度总表!$I$3:$I$1025,MATCH($E87,学年度总表!$E$3:$E$1025,0)))</f>
        <v>3</v>
      </c>
      <c r="J87" s="3">
        <f>IF(INDEX(学年度总表!$J$3:$J$1025,MATCH($E87,学年度总表!$E$3:$E$1025,0))="","",INDEX(学年度总表!$J$3:$J$1025,MATCH($E87,学年度总表!$E$3:$E$1025,0)))</f>
        <v>69.7</v>
      </c>
      <c r="K87" s="3">
        <f>IF(INDEX(学年度总表!$K$3:$K$1025,MATCH($E87,学年度总表!$E$3:$E$1025,0))="","",INDEX(学年度总表!$K$3:$K$1025,MATCH($E87,学年度总表!$E$3:$E$1025,0)))</f>
        <v>7.3000000000000007</v>
      </c>
      <c r="L87" s="3">
        <f>IF(INDEX(学年度总表!$L$3:$L$1025,MATCH($E87,学年度总表!$E$3:$E$1025,0))="","",INDEX(学年度总表!$L$3:$L$1025,MATCH($E87,学年度总表!$E$3:$E$1025,0)))</f>
        <v>54.27</v>
      </c>
      <c r="M87" s="3">
        <f>IF(INDEX(学年度总表!$M$3:$M$1025,MATCH($E87,学年度总表!$E$3:$E$1025,0))="","",INDEX(学年度总表!$M$3:$M$1025,MATCH($E87,学年度总表!$E$3:$E$1025,0)))</f>
        <v>3.5</v>
      </c>
      <c r="N87" s="3">
        <f>IF(INDEX(学年度总表!$N$3:$N$1025,MATCH($E87,学年度总表!$E$3:$E$1025,0))="","",INDEX(学年度总表!$N$3:$N$1025,MATCH($E87,学年度总表!$E$3:$E$1025,0)))</f>
        <v>65.069999999999993</v>
      </c>
      <c r="O87" s="3">
        <f>IF(INDEX(学年度总表!$O$3:$O$1025,MATCH($E87,学年度总表!$E$3:$E$1025,0))="","",INDEX(学年度总表!$O$3:$O$1025,MATCH($E87,学年度总表!$E$3:$E$1025,0)))</f>
        <v>134.77000000000001</v>
      </c>
      <c r="P87" s="2" t="str">
        <f>IF(INDEX(学年度总表!$P$3:$P$1025,MATCH($E87,学年度总表!$E$3:$E$1025,0))="","",INDEX(学年度总表!$P$3:$P$1025,MATCH($E87,学年度总表!$E$3:$E$1025,0)))</f>
        <v/>
      </c>
      <c r="Q87" s="5" t="str">
        <f>IF(INDEX(学年度总表!$Q$3:$Q$1025,MATCH($E87,学年度总表!$E$3:$E$1025,0))="","",INDEX(学年度总表!$Q$3:$Q$1025,MATCH($E87,学年度总表!$E$3:$E$1025,0)))</f>
        <v/>
      </c>
    </row>
    <row r="88" spans="1:17">
      <c r="A88" s="2">
        <f>IF(INDEX(学年度总表!$A$3:$A$1025,MATCH($E88,学年度总表!$E$3:$E$1025,0))="","",INDEX(学年度总表!$A$3:$A$1025,MATCH($E88,学年度总表!$E$3:$E$1025,0)))</f>
        <v>613</v>
      </c>
      <c r="B88" s="2">
        <f>IF(INDEX(学年度总表!$B$3:$B$1025,MATCH($E88,学年度总表!$E$3:$E$1025,0))="","",INDEX(学年度总表!$B$3:$B$1025,MATCH($E88,学年度总表!$E$3:$E$1025,0)))</f>
        <v>86</v>
      </c>
      <c r="C88" s="2" t="str">
        <f>IF(INDEX(学年度总表!$C$3:$C$1025,MATCH($E88,学年度总表!$E$3:$E$1025,0))="","",INDEX(学年度总表!$C$3:$C$1025,MATCH($E88,学年度总表!$E$3:$E$1025,0)))</f>
        <v>网工</v>
      </c>
      <c r="D88" s="2" t="str">
        <f>IF(INDEX(学年度总表!$D$3:$D$1025,MATCH($E88,学年度总表!$E$3:$E$1025,0))="","",INDEX(学年度总表!$D$3:$D$1025,MATCH($E88,学年度总表!$E$3:$E$1025,0)))</f>
        <v>网工18班</v>
      </c>
      <c r="E88" s="2" t="s">
        <v>1289</v>
      </c>
      <c r="F88" s="2" t="str">
        <f>IF(INDEX(学年度总表!$F$3:$F$1025,MATCH($E88,学年度总表!$E$3:$E$1025,0))="","",INDEX(学年度总表!$F$3:$F$1025,MATCH($E88,学年度总表!$E$3:$E$1025,0)))</f>
        <v>卓禹仲</v>
      </c>
      <c r="G88" s="3">
        <f>IF(INDEX(学年度总表!$G$3:$G$1025,MATCH($E88,学年度总表!$E$3:$E$1025,0))="","",INDEX(学年度总表!$G$3:$G$1025,MATCH($E88,学年度总表!$E$3:$E$1025,0)))</f>
        <v>9.8000000000000007</v>
      </c>
      <c r="H88" s="3">
        <f>IF(INDEX(学年度总表!$H$3:$H$1025,MATCH($E88,学年度总表!$E$3:$E$1025,0))="","",INDEX(学年度总表!$H$3:$H$1025,MATCH($E88,学年度总表!$E$3:$E$1025,0)))</f>
        <v>55.59</v>
      </c>
      <c r="I88" s="3">
        <f>IF(INDEX(学年度总表!$I$3:$I$1025,MATCH($E88,学年度总表!$E$3:$E$1025,0))="","",INDEX(学年度总表!$I$3:$I$1025,MATCH($E88,学年度总表!$E$3:$E$1025,0)))</f>
        <v>3.95</v>
      </c>
      <c r="J88" s="3">
        <f>IF(INDEX(学年度总表!$J$3:$J$1025,MATCH($E88,学年度总表!$E$3:$E$1025,0))="","",INDEX(学年度总表!$J$3:$J$1025,MATCH($E88,学年度总表!$E$3:$E$1025,0)))</f>
        <v>69.34</v>
      </c>
      <c r="K88" s="3">
        <f>IF(INDEX(学年度总表!$K$3:$K$1025,MATCH($E88,学年度总表!$E$3:$E$1025,0))="","",INDEX(学年度总表!$K$3:$K$1025,MATCH($E88,学年度总表!$E$3:$E$1025,0)))</f>
        <v>7.3000000000000007</v>
      </c>
      <c r="L88" s="3">
        <f>IF(INDEX(学年度总表!$L$3:$L$1025,MATCH($E88,学年度总表!$E$3:$E$1025,0))="","",INDEX(学年度总表!$L$3:$L$1025,MATCH($E88,学年度总表!$E$3:$E$1025,0)))</f>
        <v>53.38</v>
      </c>
      <c r="M88" s="3">
        <f>IF(INDEX(学年度总表!$M$3:$M$1025,MATCH($E88,学年度总表!$E$3:$E$1025,0))="","",INDEX(学年度总表!$M$3:$M$1025,MATCH($E88,学年度总表!$E$3:$E$1025,0)))</f>
        <v>4.5999999999999996</v>
      </c>
      <c r="N88" s="3">
        <f>IF(INDEX(学年度总表!$N$3:$N$1025,MATCH($E88,学年度总表!$E$3:$E$1025,0))="","",INDEX(学年度总表!$N$3:$N$1025,MATCH($E88,学年度总表!$E$3:$E$1025,0)))</f>
        <v>65.28</v>
      </c>
      <c r="O88" s="3">
        <f>IF(INDEX(学年度总表!$O$3:$O$1025,MATCH($E88,学年度总表!$E$3:$E$1025,0))="","",INDEX(学年度总表!$O$3:$O$1025,MATCH($E88,学年度总表!$E$3:$E$1025,0)))</f>
        <v>134.62</v>
      </c>
      <c r="P88" s="2" t="str">
        <f>IF(INDEX(学年度总表!$P$3:$P$1025,MATCH($E88,学年度总表!$E$3:$E$1025,0))="","",INDEX(学年度总表!$P$3:$P$1025,MATCH($E88,学年度总表!$E$3:$E$1025,0)))</f>
        <v/>
      </c>
      <c r="Q88" s="5" t="str">
        <f>IF(INDEX(学年度总表!$Q$3:$Q$1025,MATCH($E88,学年度总表!$E$3:$E$1025,0))="","",INDEX(学年度总表!$Q$3:$Q$1025,MATCH($E88,学年度总表!$E$3:$E$1025,0)))</f>
        <v/>
      </c>
    </row>
    <row r="89" spans="1:17">
      <c r="A89" s="2">
        <f>IF(INDEX(学年度总表!$A$3:$A$1025,MATCH($E89,学年度总表!$E$3:$E$1025,0))="","",INDEX(学年度总表!$A$3:$A$1025,MATCH($E89,学年度总表!$E$3:$E$1025,0)))</f>
        <v>629</v>
      </c>
      <c r="B89" s="2">
        <f>IF(INDEX(学年度总表!$B$3:$B$1025,MATCH($E89,学年度总表!$E$3:$E$1025,0))="","",INDEX(学年度总表!$B$3:$B$1025,MATCH($E89,学年度总表!$E$3:$E$1025,0)))</f>
        <v>87</v>
      </c>
      <c r="C89" s="2" t="str">
        <f>IF(INDEX(学年度总表!$C$3:$C$1025,MATCH($E89,学年度总表!$E$3:$E$1025,0))="","",INDEX(学年度总表!$C$3:$C$1025,MATCH($E89,学年度总表!$E$3:$E$1025,0)))</f>
        <v>网工</v>
      </c>
      <c r="D89" s="2" t="str">
        <f>IF(INDEX(学年度总表!$D$3:$D$1025,MATCH($E89,学年度总表!$E$3:$E$1025,0))="","",INDEX(学年度总表!$D$3:$D$1025,MATCH($E89,学年度总表!$E$3:$E$1025,0)))</f>
        <v>网工18班</v>
      </c>
      <c r="E89" s="2" t="s">
        <v>1319</v>
      </c>
      <c r="F89" s="2" t="str">
        <f>IF(INDEX(学年度总表!$F$3:$F$1025,MATCH($E89,学年度总表!$E$3:$E$1025,0))="","",INDEX(学年度总表!$F$3:$F$1025,MATCH($E89,学年度总表!$E$3:$E$1025,0)))</f>
        <v>马雨彤</v>
      </c>
      <c r="G89" s="3">
        <f>IF(INDEX(学年度总表!$G$3:$G$1025,MATCH($E89,学年度总表!$E$3:$E$1025,0))="","",INDEX(学年度总表!$G$3:$G$1025,MATCH($E89,学年度总表!$E$3:$E$1025,0)))</f>
        <v>9.8000000000000007</v>
      </c>
      <c r="H89" s="3">
        <f>IF(INDEX(学年度总表!$H$3:$H$1025,MATCH($E89,学年度总表!$E$3:$E$1025,0))="","",INDEX(学年度总表!$H$3:$H$1025,MATCH($E89,学年度总表!$E$3:$E$1025,0)))</f>
        <v>58.45</v>
      </c>
      <c r="I89" s="3">
        <f>IF(INDEX(学年度总表!$I$3:$I$1025,MATCH($E89,学年度总表!$E$3:$E$1025,0))="","",INDEX(学年度总表!$I$3:$I$1025,MATCH($E89,学年度总表!$E$3:$E$1025,0)))</f>
        <v>4</v>
      </c>
      <c r="J89" s="3">
        <f>IF(INDEX(学年度总表!$J$3:$J$1025,MATCH($E89,学年度总表!$E$3:$E$1025,0))="","",INDEX(学年度总表!$J$3:$J$1025,MATCH($E89,学年度总表!$E$3:$E$1025,0)))</f>
        <v>72.25</v>
      </c>
      <c r="K89" s="3">
        <f>IF(INDEX(学年度总表!$K$3:$K$1025,MATCH($E89,学年度总表!$E$3:$E$1025,0))="","",INDEX(学年度总表!$K$3:$K$1025,MATCH($E89,学年度总表!$E$3:$E$1025,0)))</f>
        <v>7.3000000000000007</v>
      </c>
      <c r="L89" s="3">
        <f>IF(INDEX(学年度总表!$L$3:$L$1025,MATCH($E89,学年度总表!$E$3:$E$1025,0))="","",INDEX(学年度总表!$L$3:$L$1025,MATCH($E89,学年度总表!$E$3:$E$1025,0)))</f>
        <v>49.77</v>
      </c>
      <c r="M89" s="3">
        <f>IF(INDEX(学年度总表!$M$3:$M$1025,MATCH($E89,学年度总表!$E$3:$E$1025,0))="","",INDEX(学年度总表!$M$3:$M$1025,MATCH($E89,学年度总表!$E$3:$E$1025,0)))</f>
        <v>4.7</v>
      </c>
      <c r="N89" s="3">
        <f>IF(INDEX(学年度总表!$N$3:$N$1025,MATCH($E89,学年度总表!$E$3:$E$1025,0))="","",INDEX(学年度总表!$N$3:$N$1025,MATCH($E89,学年度总表!$E$3:$E$1025,0)))</f>
        <v>61.77</v>
      </c>
      <c r="O89" s="3">
        <f>IF(INDEX(学年度总表!$O$3:$O$1025,MATCH($E89,学年度总表!$E$3:$E$1025,0))="","",INDEX(学年度总表!$O$3:$O$1025,MATCH($E89,学年度总表!$E$3:$E$1025,0)))</f>
        <v>134.02000000000001</v>
      </c>
      <c r="P89" s="2" t="str">
        <f>IF(INDEX(学年度总表!$P$3:$P$1025,MATCH($E89,学年度总表!$E$3:$E$1025,0))="","",INDEX(学年度总表!$P$3:$P$1025,MATCH($E89,学年度总表!$E$3:$E$1025,0)))</f>
        <v/>
      </c>
      <c r="Q89" s="5" t="str">
        <f>IF(INDEX(学年度总表!$Q$3:$Q$1025,MATCH($E89,学年度总表!$E$3:$E$1025,0))="","",INDEX(学年度总表!$Q$3:$Q$1025,MATCH($E89,学年度总表!$E$3:$E$1025,0)))</f>
        <v/>
      </c>
    </row>
    <row r="90" spans="1:17">
      <c r="A90" s="2">
        <f>IF(INDEX(学年度总表!$A$3:$A$1025,MATCH($E90,学年度总表!$E$3:$E$1025,0))="","",INDEX(学年度总表!$A$3:$A$1025,MATCH($E90,学年度总表!$E$3:$E$1025,0)))</f>
        <v>631</v>
      </c>
      <c r="B90" s="2">
        <f>IF(INDEX(学年度总表!$B$3:$B$1025,MATCH($E90,学年度总表!$E$3:$E$1025,0))="","",INDEX(学年度总表!$B$3:$B$1025,MATCH($E90,学年度总表!$E$3:$E$1025,0)))</f>
        <v>88</v>
      </c>
      <c r="C90" s="2" t="str">
        <f>IF(INDEX(学年度总表!$C$3:$C$1025,MATCH($E90,学年度总表!$E$3:$E$1025,0))="","",INDEX(学年度总表!$C$3:$C$1025,MATCH($E90,学年度总表!$E$3:$E$1025,0)))</f>
        <v>网工</v>
      </c>
      <c r="D90" s="2" t="str">
        <f>IF(INDEX(学年度总表!$D$3:$D$1025,MATCH($E90,学年度总表!$E$3:$E$1025,0))="","",INDEX(学年度总表!$D$3:$D$1025,MATCH($E90,学年度总表!$E$3:$E$1025,0)))</f>
        <v>网工15班</v>
      </c>
      <c r="E90" s="2" t="s">
        <v>1323</v>
      </c>
      <c r="F90" s="2" t="str">
        <f>IF(INDEX(学年度总表!$F$3:$F$1025,MATCH($E90,学年度总表!$E$3:$E$1025,0))="","",INDEX(学年度总表!$F$3:$F$1025,MATCH($E90,学年度总表!$E$3:$E$1025,0)))</f>
        <v>王建睿</v>
      </c>
      <c r="G90" s="3">
        <f>IF(INDEX(学年度总表!$G$3:$G$1025,MATCH($E90,学年度总表!$E$3:$E$1025,0))="","",INDEX(学年度总表!$G$3:$G$1025,MATCH($E90,学年度总表!$E$3:$E$1025,0)))</f>
        <v>9.8000000000000007</v>
      </c>
      <c r="H90" s="3">
        <f>IF(INDEX(学年度总表!$H$3:$H$1025,MATCH($E90,学年度总表!$E$3:$E$1025,0))="","",INDEX(学年度总表!$H$3:$H$1025,MATCH($E90,学年度总表!$E$3:$E$1025,0)))</f>
        <v>53.97</v>
      </c>
      <c r="I90" s="3">
        <f>IF(INDEX(学年度总表!$I$3:$I$1025,MATCH($E90,学年度总表!$E$3:$E$1025,0))="","",INDEX(学年度总表!$I$3:$I$1025,MATCH($E90,学年度总表!$E$3:$E$1025,0)))</f>
        <v>3</v>
      </c>
      <c r="J90" s="3">
        <f>IF(INDEX(学年度总表!$J$3:$J$1025,MATCH($E90,学年度总表!$E$3:$E$1025,0))="","",INDEX(学年度总表!$J$3:$J$1025,MATCH($E90,学年度总表!$E$3:$E$1025,0)))</f>
        <v>66.77</v>
      </c>
      <c r="K90" s="3">
        <f>IF(INDEX(学年度总表!$K$3:$K$1025,MATCH($E90,学年度总表!$E$3:$E$1025,0))="","",INDEX(学年度总表!$K$3:$K$1025,MATCH($E90,学年度总表!$E$3:$E$1025,0)))</f>
        <v>7.3000000000000007</v>
      </c>
      <c r="L90" s="3">
        <f>IF(INDEX(学年度总表!$L$3:$L$1025,MATCH($E90,学年度总表!$E$3:$E$1025,0))="","",INDEX(学年度总表!$L$3:$L$1025,MATCH($E90,学年度总表!$E$3:$E$1025,0)))</f>
        <v>55.73</v>
      </c>
      <c r="M90" s="3">
        <f>IF(INDEX(学年度总表!$M$3:$M$1025,MATCH($E90,学年度总表!$E$3:$E$1025,0))="","",INDEX(学年度总表!$M$3:$M$1025,MATCH($E90,学年度总表!$E$3:$E$1025,0)))</f>
        <v>4.2</v>
      </c>
      <c r="N90" s="3">
        <f>IF(INDEX(学年度总表!$N$3:$N$1025,MATCH($E90,学年度总表!$E$3:$E$1025,0))="","",INDEX(学年度总表!$N$3:$N$1025,MATCH($E90,学年度总表!$E$3:$E$1025,0)))</f>
        <v>67.23</v>
      </c>
      <c r="O90" s="3">
        <f>IF(INDEX(学年度总表!$O$3:$O$1025,MATCH($E90,学年度总表!$E$3:$E$1025,0))="","",INDEX(学年度总表!$O$3:$O$1025,MATCH($E90,学年度总表!$E$3:$E$1025,0)))</f>
        <v>134</v>
      </c>
      <c r="P90" s="2" t="str">
        <f>IF(INDEX(学年度总表!$P$3:$P$1025,MATCH($E90,学年度总表!$E$3:$E$1025,0))="","",INDEX(学年度总表!$P$3:$P$1025,MATCH($E90,学年度总表!$E$3:$E$1025,0)))</f>
        <v/>
      </c>
      <c r="Q90" s="5" t="str">
        <f>IF(INDEX(学年度总表!$Q$3:$Q$1025,MATCH($E90,学年度总表!$E$3:$E$1025,0))="","",INDEX(学年度总表!$Q$3:$Q$1025,MATCH($E90,学年度总表!$E$3:$E$1025,0)))</f>
        <v/>
      </c>
    </row>
    <row r="91" spans="1:17">
      <c r="A91" s="2">
        <f>IF(INDEX(学年度总表!$A$3:$A$1025,MATCH($E91,学年度总表!$E$3:$E$1025,0))="","",INDEX(学年度总表!$A$3:$A$1025,MATCH($E91,学年度总表!$E$3:$E$1025,0)))</f>
        <v>633</v>
      </c>
      <c r="B91" s="2">
        <f>IF(INDEX(学年度总表!$B$3:$B$1025,MATCH($E91,学年度总表!$E$3:$E$1025,0))="","",INDEX(学年度总表!$B$3:$B$1025,MATCH($E91,学年度总表!$E$3:$E$1025,0)))</f>
        <v>89</v>
      </c>
      <c r="C91" s="2" t="str">
        <f>IF(INDEX(学年度总表!$C$3:$C$1025,MATCH($E91,学年度总表!$E$3:$E$1025,0))="","",INDEX(学年度总表!$C$3:$C$1025,MATCH($E91,学年度总表!$E$3:$E$1025,0)))</f>
        <v>网工</v>
      </c>
      <c r="D91" s="2" t="str">
        <f>IF(INDEX(学年度总表!$D$3:$D$1025,MATCH($E91,学年度总表!$E$3:$E$1025,0))="","",INDEX(学年度总表!$D$3:$D$1025,MATCH($E91,学年度总表!$E$3:$E$1025,0)))</f>
        <v>网工17班</v>
      </c>
      <c r="E91" s="2" t="s">
        <v>1329</v>
      </c>
      <c r="F91" s="2" t="str">
        <f>IF(INDEX(学年度总表!$F$3:$F$1025,MATCH($E91,学年度总表!$E$3:$E$1025,0))="","",INDEX(学年度总表!$F$3:$F$1025,MATCH($E91,学年度总表!$E$3:$E$1025,0)))</f>
        <v>潘瑛豪</v>
      </c>
      <c r="G91" s="3">
        <f>IF(INDEX(学年度总表!$G$3:$G$1025,MATCH($E91,学年度总表!$E$3:$E$1025,0))="","",INDEX(学年度总表!$G$3:$G$1025,MATCH($E91,学年度总表!$E$3:$E$1025,0)))</f>
        <v>10</v>
      </c>
      <c r="H91" s="3">
        <f>IF(INDEX(学年度总表!$H$3:$H$1025,MATCH($E91,学年度总表!$E$3:$E$1025,0))="","",INDEX(学年度总表!$H$3:$H$1025,MATCH($E91,学年度总表!$E$3:$E$1025,0)))</f>
        <v>51.69</v>
      </c>
      <c r="I91" s="3">
        <f>IF(INDEX(学年度总表!$I$3:$I$1025,MATCH($E91,学年度总表!$E$3:$E$1025,0))="","",INDEX(学年度总表!$I$3:$I$1025,MATCH($E91,学年度总表!$E$3:$E$1025,0)))</f>
        <v>4</v>
      </c>
      <c r="J91" s="3">
        <f>IF(INDEX(学年度总表!$J$3:$J$1025,MATCH($E91,学年度总表!$E$3:$E$1025,0))="","",INDEX(学年度总表!$J$3:$J$1025,MATCH($E91,学年度总表!$E$3:$E$1025,0)))</f>
        <v>65.69</v>
      </c>
      <c r="K91" s="3">
        <f>IF(INDEX(学年度总表!$K$3:$K$1025,MATCH($E91,学年度总表!$E$3:$E$1025,0))="","",INDEX(学年度总表!$K$3:$K$1025,MATCH($E91,学年度总表!$E$3:$E$1025,0)))</f>
        <v>7.5</v>
      </c>
      <c r="L91" s="3">
        <f>IF(INDEX(学年度总表!$L$3:$L$1025,MATCH($E91,学年度总表!$E$3:$E$1025,0))="","",INDEX(学年度总表!$L$3:$L$1025,MATCH($E91,学年度总表!$E$3:$E$1025,0)))</f>
        <v>56.09</v>
      </c>
      <c r="M91" s="3">
        <f>IF(INDEX(学年度总表!$M$3:$M$1025,MATCH($E91,学年度总表!$E$3:$E$1025,0))="","",INDEX(学年度总表!$M$3:$M$1025,MATCH($E91,学年度总表!$E$3:$E$1025,0)))</f>
        <v>4.7</v>
      </c>
      <c r="N91" s="3">
        <f>IF(INDEX(学年度总表!$N$3:$N$1025,MATCH($E91,学年度总表!$E$3:$E$1025,0))="","",INDEX(学年度总表!$N$3:$N$1025,MATCH($E91,学年度总表!$E$3:$E$1025,0)))</f>
        <v>68.290000000000006</v>
      </c>
      <c r="O91" s="3">
        <f>IF(INDEX(学年度总表!$O$3:$O$1025,MATCH($E91,学年度总表!$E$3:$E$1025,0))="","",INDEX(学年度总表!$O$3:$O$1025,MATCH($E91,学年度总表!$E$3:$E$1025,0)))</f>
        <v>133.97999999999999</v>
      </c>
      <c r="P91" s="2" t="str">
        <f>IF(INDEX(学年度总表!$P$3:$P$1025,MATCH($E91,学年度总表!$E$3:$E$1025,0))="","",INDEX(学年度总表!$P$3:$P$1025,MATCH($E91,学年度总表!$E$3:$E$1025,0)))</f>
        <v/>
      </c>
      <c r="Q91" s="5" t="str">
        <f>IF(INDEX(学年度总表!$Q$3:$Q$1025,MATCH($E91,学年度总表!$E$3:$E$1025,0))="","",INDEX(学年度总表!$Q$3:$Q$1025,MATCH($E91,学年度总表!$E$3:$E$1025,0)))</f>
        <v/>
      </c>
    </row>
    <row r="92" spans="1:17">
      <c r="A92" s="2">
        <f>IF(INDEX(学年度总表!$A$3:$A$1025,MATCH($E92,学年度总表!$E$3:$E$1025,0))="","",INDEX(学年度总表!$A$3:$A$1025,MATCH($E92,学年度总表!$E$3:$E$1025,0)))</f>
        <v>649</v>
      </c>
      <c r="B92" s="2">
        <f>IF(INDEX(学年度总表!$B$3:$B$1025,MATCH($E92,学年度总表!$E$3:$E$1025,0))="","",INDEX(学年度总表!$B$3:$B$1025,MATCH($E92,学年度总表!$E$3:$E$1025,0)))</f>
        <v>90</v>
      </c>
      <c r="C92" s="2" t="str">
        <f>IF(INDEX(学年度总表!$C$3:$C$1025,MATCH($E92,学年度总表!$E$3:$E$1025,0))="","",INDEX(学年度总表!$C$3:$C$1025,MATCH($E92,学年度总表!$E$3:$E$1025,0)))</f>
        <v>网工</v>
      </c>
      <c r="D92" s="2" t="str">
        <f>IF(INDEX(学年度总表!$D$3:$D$1025,MATCH($E92,学年度总表!$E$3:$E$1025,0))="","",INDEX(学年度总表!$D$3:$D$1025,MATCH($E92,学年度总表!$E$3:$E$1025,0)))</f>
        <v>网工15班</v>
      </c>
      <c r="E92" s="2" t="s">
        <v>1359</v>
      </c>
      <c r="F92" s="2" t="str">
        <f>IF(INDEX(学年度总表!$F$3:$F$1025,MATCH($E92,学年度总表!$E$3:$E$1025,0))="","",INDEX(学年度总表!$F$3:$F$1025,MATCH($E92,学年度总表!$E$3:$E$1025,0)))</f>
        <v>王杰</v>
      </c>
      <c r="G92" s="3">
        <f>IF(INDEX(学年度总表!$G$3:$G$1025,MATCH($E92,学年度总表!$E$3:$E$1025,0))="","",INDEX(学年度总表!$G$3:$G$1025,MATCH($E92,学年度总表!$E$3:$E$1025,0)))</f>
        <v>9.8000000000000007</v>
      </c>
      <c r="H92" s="3">
        <f>IF(INDEX(学年度总表!$H$3:$H$1025,MATCH($E92,学年度总表!$E$3:$E$1025,0))="","",INDEX(学年度总表!$H$3:$H$1025,MATCH($E92,学年度总表!$E$3:$E$1025,0)))</f>
        <v>50.53</v>
      </c>
      <c r="I92" s="3">
        <f>IF(INDEX(学年度总表!$I$3:$I$1025,MATCH($E92,学年度总表!$E$3:$E$1025,0))="","",INDEX(学年度总表!$I$3:$I$1025,MATCH($E92,学年度总表!$E$3:$E$1025,0)))</f>
        <v>3</v>
      </c>
      <c r="J92" s="3">
        <f>IF(INDEX(学年度总表!$J$3:$J$1025,MATCH($E92,学年度总表!$E$3:$E$1025,0))="","",INDEX(学年度总表!$J$3:$J$1025,MATCH($E92,学年度总表!$E$3:$E$1025,0)))</f>
        <v>63.33</v>
      </c>
      <c r="K92" s="3">
        <f>IF(INDEX(学年度总表!$K$3:$K$1025,MATCH($E92,学年度总表!$E$3:$E$1025,0))="","",INDEX(学年度总表!$K$3:$K$1025,MATCH($E92,学年度总表!$E$3:$E$1025,0)))</f>
        <v>7.3000000000000007</v>
      </c>
      <c r="L92" s="3">
        <f>IF(INDEX(学年度总表!$L$3:$L$1025,MATCH($E92,学年度总表!$E$3:$E$1025,0))="","",INDEX(学年度总表!$L$3:$L$1025,MATCH($E92,学年度总表!$E$3:$E$1025,0)))</f>
        <v>59.06</v>
      </c>
      <c r="M92" s="3">
        <f>IF(INDEX(学年度总表!$M$3:$M$1025,MATCH($E92,学年度总表!$E$3:$E$1025,0))="","",INDEX(学年度总表!$M$3:$M$1025,MATCH($E92,学年度总表!$E$3:$E$1025,0)))</f>
        <v>3.5</v>
      </c>
      <c r="N92" s="3">
        <f>IF(INDEX(学年度总表!$N$3:$N$1025,MATCH($E92,学年度总表!$E$3:$E$1025,0))="","",INDEX(学年度总表!$N$3:$N$1025,MATCH($E92,学年度总表!$E$3:$E$1025,0)))</f>
        <v>69.86</v>
      </c>
      <c r="O92" s="3">
        <f>IF(INDEX(学年度总表!$O$3:$O$1025,MATCH($E92,学年度总表!$E$3:$E$1025,0))="","",INDEX(学年度总表!$O$3:$O$1025,MATCH($E92,学年度总表!$E$3:$E$1025,0)))</f>
        <v>133.19</v>
      </c>
      <c r="P92" s="2" t="str">
        <f>IF(INDEX(学年度总表!$P$3:$P$1025,MATCH($E92,学年度总表!$E$3:$E$1025,0))="","",INDEX(学年度总表!$P$3:$P$1025,MATCH($E92,学年度总表!$E$3:$E$1025,0)))</f>
        <v/>
      </c>
      <c r="Q92" s="5" t="str">
        <f>IF(INDEX(学年度总表!$Q$3:$Q$1025,MATCH($E92,学年度总表!$E$3:$E$1025,0))="","",INDEX(学年度总表!$Q$3:$Q$1025,MATCH($E92,学年度总表!$E$3:$E$1025,0)))</f>
        <v/>
      </c>
    </row>
    <row r="93" spans="1:17">
      <c r="A93" s="2">
        <f>IF(INDEX(学年度总表!$A$3:$A$1025,MATCH($E93,学年度总表!$E$3:$E$1025,0))="","",INDEX(学年度总表!$A$3:$A$1025,MATCH($E93,学年度总表!$E$3:$E$1025,0)))</f>
        <v>650</v>
      </c>
      <c r="B93" s="2">
        <f>IF(INDEX(学年度总表!$B$3:$B$1025,MATCH($E93,学年度总表!$E$3:$E$1025,0))="","",INDEX(学年度总表!$B$3:$B$1025,MATCH($E93,学年度总表!$E$3:$E$1025,0)))</f>
        <v>91</v>
      </c>
      <c r="C93" s="2" t="str">
        <f>IF(INDEX(学年度总表!$C$3:$C$1025,MATCH($E93,学年度总表!$E$3:$E$1025,0))="","",INDEX(学年度总表!$C$3:$C$1025,MATCH($E93,学年度总表!$E$3:$E$1025,0)))</f>
        <v>网工</v>
      </c>
      <c r="D93" s="2" t="str">
        <f>IF(INDEX(学年度总表!$D$3:$D$1025,MATCH($E93,学年度总表!$E$3:$E$1025,0))="","",INDEX(学年度总表!$D$3:$D$1025,MATCH($E93,学年度总表!$E$3:$E$1025,0)))</f>
        <v>网工18班</v>
      </c>
      <c r="E93" s="2" t="s">
        <v>1361</v>
      </c>
      <c r="F93" s="2" t="str">
        <f>IF(INDEX(学年度总表!$F$3:$F$1025,MATCH($E93,学年度总表!$E$3:$E$1025,0))="","",INDEX(学年度总表!$F$3:$F$1025,MATCH($E93,学年度总表!$E$3:$E$1025,0)))</f>
        <v>崔语凡</v>
      </c>
      <c r="G93" s="3">
        <f>IF(INDEX(学年度总表!$G$3:$G$1025,MATCH($E93,学年度总表!$E$3:$E$1025,0))="","",INDEX(学年度总表!$G$3:$G$1025,MATCH($E93,学年度总表!$E$3:$E$1025,0)))</f>
        <v>9.8000000000000007</v>
      </c>
      <c r="H93" s="3">
        <f>IF(INDEX(学年度总表!$H$3:$H$1025,MATCH($E93,学年度总表!$E$3:$E$1025,0))="","",INDEX(学年度总表!$H$3:$H$1025,MATCH($E93,学年度总表!$E$3:$E$1025,0)))</f>
        <v>57.23</v>
      </c>
      <c r="I93" s="3">
        <f>IF(INDEX(学年度总表!$I$3:$I$1025,MATCH($E93,学年度总表!$E$3:$E$1025,0))="","",INDEX(学年度总表!$I$3:$I$1025,MATCH($E93,学年度总表!$E$3:$E$1025,0)))</f>
        <v>3</v>
      </c>
      <c r="J93" s="3">
        <f>IF(INDEX(学年度总表!$J$3:$J$1025,MATCH($E93,学年度总表!$E$3:$E$1025,0))="","",INDEX(学年度总表!$J$3:$J$1025,MATCH($E93,学年度总表!$E$3:$E$1025,0)))</f>
        <v>70.03</v>
      </c>
      <c r="K93" s="3">
        <f>IF(INDEX(学年度总表!$K$3:$K$1025,MATCH($E93,学年度总表!$E$3:$E$1025,0))="","",INDEX(学年度总表!$K$3:$K$1025,MATCH($E93,学年度总表!$E$3:$E$1025,0)))</f>
        <v>9.8000000000000007</v>
      </c>
      <c r="L93" s="3">
        <f>IF(INDEX(学年度总表!$L$3:$L$1025,MATCH($E93,学年度总表!$E$3:$E$1025,0))="","",INDEX(学年度总表!$L$3:$L$1025,MATCH($E93,学年度总表!$E$3:$E$1025,0)))</f>
        <v>49.15</v>
      </c>
      <c r="M93" s="3">
        <f>IF(INDEX(学年度总表!$M$3:$M$1025,MATCH($E93,学年度总表!$E$3:$E$1025,0))="","",INDEX(学年度总表!$M$3:$M$1025,MATCH($E93,学年度总表!$E$3:$E$1025,0)))</f>
        <v>4.2</v>
      </c>
      <c r="N93" s="3">
        <f>IF(INDEX(学年度总表!$N$3:$N$1025,MATCH($E93,学年度总表!$E$3:$E$1025,0))="","",INDEX(学年度总表!$N$3:$N$1025,MATCH($E93,学年度总表!$E$3:$E$1025,0)))</f>
        <v>63.15</v>
      </c>
      <c r="O93" s="3">
        <f>IF(INDEX(学年度总表!$O$3:$O$1025,MATCH($E93,学年度总表!$E$3:$E$1025,0))="","",INDEX(学年度总表!$O$3:$O$1025,MATCH($E93,学年度总表!$E$3:$E$1025,0)))</f>
        <v>133.18</v>
      </c>
      <c r="P93" s="2" t="str">
        <f>IF(INDEX(学年度总表!$P$3:$P$1025,MATCH($E93,学年度总表!$E$3:$E$1025,0))="","",INDEX(学年度总表!$P$3:$P$1025,MATCH($E93,学年度总表!$E$3:$E$1025,0)))</f>
        <v/>
      </c>
      <c r="Q93" s="5" t="str">
        <f>IF(INDEX(学年度总表!$Q$3:$Q$1025,MATCH($E93,学年度总表!$E$3:$E$1025,0))="","",INDEX(学年度总表!$Q$3:$Q$1025,MATCH($E93,学年度总表!$E$3:$E$1025,0)))</f>
        <v/>
      </c>
    </row>
    <row r="94" spans="1:17">
      <c r="A94" s="2">
        <f>IF(INDEX(学年度总表!$A$3:$A$1025,MATCH($E94,学年度总表!$E$3:$E$1025,0))="","",INDEX(学年度总表!$A$3:$A$1025,MATCH($E94,学年度总表!$E$3:$E$1025,0)))</f>
        <v>669</v>
      </c>
      <c r="B94" s="2">
        <f>IF(INDEX(学年度总表!$B$3:$B$1025,MATCH($E94,学年度总表!$E$3:$E$1025,0))="","",INDEX(学年度总表!$B$3:$B$1025,MATCH($E94,学年度总表!$E$3:$E$1025,0)))</f>
        <v>92</v>
      </c>
      <c r="C94" s="2" t="str">
        <f>IF(INDEX(学年度总表!$C$3:$C$1025,MATCH($E94,学年度总表!$E$3:$E$1025,0))="","",INDEX(学年度总表!$C$3:$C$1025,MATCH($E94,学年度总表!$E$3:$E$1025,0)))</f>
        <v>网工</v>
      </c>
      <c r="D94" s="2" t="str">
        <f>IF(INDEX(学年度总表!$D$3:$D$1025,MATCH($E94,学年度总表!$E$3:$E$1025,0))="","",INDEX(学年度总表!$D$3:$D$1025,MATCH($E94,学年度总表!$E$3:$E$1025,0)))</f>
        <v>网工17班</v>
      </c>
      <c r="E94" s="2" t="s">
        <v>1399</v>
      </c>
      <c r="F94" s="2" t="str">
        <f>IF(INDEX(学年度总表!$F$3:$F$1025,MATCH($E94,学年度总表!$E$3:$E$1025,0))="","",INDEX(学年度总表!$F$3:$F$1025,MATCH($E94,学年度总表!$E$3:$E$1025,0)))</f>
        <v>吴佳桐</v>
      </c>
      <c r="G94" s="3">
        <f>IF(INDEX(学年度总表!$G$3:$G$1025,MATCH($E94,学年度总表!$E$3:$E$1025,0))="","",INDEX(学年度总表!$G$3:$G$1025,MATCH($E94,学年度总表!$E$3:$E$1025,0)))</f>
        <v>9.8000000000000007</v>
      </c>
      <c r="H94" s="3">
        <f>IF(INDEX(学年度总表!$H$3:$H$1025,MATCH($E94,学年度总表!$E$3:$E$1025,0))="","",INDEX(学年度总表!$H$3:$H$1025,MATCH($E94,学年度总表!$E$3:$E$1025,0)))</f>
        <v>55.69</v>
      </c>
      <c r="I94" s="3">
        <f>IF(INDEX(学年度总表!$I$3:$I$1025,MATCH($E94,学年度总表!$E$3:$E$1025,0))="","",INDEX(学年度总表!$I$3:$I$1025,MATCH($E94,学年度总表!$E$3:$E$1025,0)))</f>
        <v>4.7</v>
      </c>
      <c r="J94" s="3">
        <f>IF(INDEX(学年度总表!$J$3:$J$1025,MATCH($E94,学年度总表!$E$3:$E$1025,0))="","",INDEX(学年度总表!$J$3:$J$1025,MATCH($E94,学年度总表!$E$3:$E$1025,0)))</f>
        <v>70.19</v>
      </c>
      <c r="K94" s="3">
        <f>IF(INDEX(学年度总表!$K$3:$K$1025,MATCH($E94,学年度总表!$E$3:$E$1025,0))="","",INDEX(学年度总表!$K$3:$K$1025,MATCH($E94,学年度总表!$E$3:$E$1025,0)))</f>
        <v>7.3000000000000007</v>
      </c>
      <c r="L94" s="3">
        <f>IF(INDEX(学年度总表!$L$3:$L$1025,MATCH($E94,学年度总表!$E$3:$E$1025,0))="","",INDEX(学年度总表!$L$3:$L$1025,MATCH($E94,学年度总表!$E$3:$E$1025,0)))</f>
        <v>49.28</v>
      </c>
      <c r="M94" s="3">
        <f>IF(INDEX(学年度总表!$M$3:$M$1025,MATCH($E94,学年度总表!$E$3:$E$1025,0))="","",INDEX(学年度总表!$M$3:$M$1025,MATCH($E94,学年度总表!$E$3:$E$1025,0)))</f>
        <v>5.2</v>
      </c>
      <c r="N94" s="3">
        <f>IF(INDEX(学年度总表!$N$3:$N$1025,MATCH($E94,学年度总表!$E$3:$E$1025,0))="","",INDEX(学年度总表!$N$3:$N$1025,MATCH($E94,学年度总表!$E$3:$E$1025,0)))</f>
        <v>61.78</v>
      </c>
      <c r="O94" s="3">
        <f>IF(INDEX(学年度总表!$O$3:$O$1025,MATCH($E94,学年度总表!$E$3:$E$1025,0))="","",INDEX(学年度总表!$O$3:$O$1025,MATCH($E94,学年度总表!$E$3:$E$1025,0)))</f>
        <v>131.97</v>
      </c>
      <c r="P94" s="2" t="str">
        <f>IF(INDEX(学年度总表!$P$3:$P$1025,MATCH($E94,学年度总表!$E$3:$E$1025,0))="","",INDEX(学年度总表!$P$3:$P$1025,MATCH($E94,学年度总表!$E$3:$E$1025,0)))</f>
        <v/>
      </c>
      <c r="Q94" s="5" t="str">
        <f>IF(INDEX(学年度总表!$Q$3:$Q$1025,MATCH($E94,学年度总表!$E$3:$E$1025,0))="","",INDEX(学年度总表!$Q$3:$Q$1025,MATCH($E94,学年度总表!$E$3:$E$1025,0)))</f>
        <v/>
      </c>
    </row>
    <row r="95" spans="1:17">
      <c r="A95" s="2">
        <f>IF(INDEX(学年度总表!$A$3:$A$1025,MATCH($E95,学年度总表!$E$3:$E$1025,0))="","",INDEX(学年度总表!$A$3:$A$1025,MATCH($E95,学年度总表!$E$3:$E$1025,0)))</f>
        <v>669</v>
      </c>
      <c r="B95" s="2">
        <f>IF(INDEX(学年度总表!$B$3:$B$1025,MATCH($E95,学年度总表!$E$3:$E$1025,0))="","",INDEX(学年度总表!$B$3:$B$1025,MATCH($E95,学年度总表!$E$3:$E$1025,0)))</f>
        <v>92</v>
      </c>
      <c r="C95" s="2" t="str">
        <f>IF(INDEX(学年度总表!$C$3:$C$1025,MATCH($E95,学年度总表!$E$3:$E$1025,0))="","",INDEX(学年度总表!$C$3:$C$1025,MATCH($E95,学年度总表!$E$3:$E$1025,0)))</f>
        <v>网工</v>
      </c>
      <c r="D95" s="2" t="str">
        <f>IF(INDEX(学年度总表!$D$3:$D$1025,MATCH($E95,学年度总表!$E$3:$E$1025,0))="","",INDEX(学年度总表!$D$3:$D$1025,MATCH($E95,学年度总表!$E$3:$E$1025,0)))</f>
        <v>网工18班</v>
      </c>
      <c r="E95" s="2" t="s">
        <v>1401</v>
      </c>
      <c r="F95" s="2" t="str">
        <f>IF(INDEX(学年度总表!$F$3:$F$1025,MATCH($E95,学年度总表!$E$3:$E$1025,0))="","",INDEX(学年度总表!$F$3:$F$1025,MATCH($E95,学年度总表!$E$3:$E$1025,0)))</f>
        <v>孙圣洁</v>
      </c>
      <c r="G95" s="3">
        <f>IF(INDEX(学年度总表!$G$3:$G$1025,MATCH($E95,学年度总表!$E$3:$E$1025,0))="","",INDEX(学年度总表!$G$3:$G$1025,MATCH($E95,学年度总表!$E$3:$E$1025,0)))</f>
        <v>9.8000000000000007</v>
      </c>
      <c r="H95" s="3">
        <f>IF(INDEX(学年度总表!$H$3:$H$1025,MATCH($E95,学年度总表!$E$3:$E$1025,0))="","",INDEX(学年度总表!$H$3:$H$1025,MATCH($E95,学年度总表!$E$3:$E$1025,0)))</f>
        <v>55.83</v>
      </c>
      <c r="I95" s="3">
        <f>IF(INDEX(学年度总表!$I$3:$I$1025,MATCH($E95,学年度总表!$E$3:$E$1025,0))="","",INDEX(学年度总表!$I$3:$I$1025,MATCH($E95,学年度总表!$E$3:$E$1025,0)))</f>
        <v>5.5</v>
      </c>
      <c r="J95" s="3">
        <f>IF(INDEX(学年度总表!$J$3:$J$1025,MATCH($E95,学年度总表!$E$3:$E$1025,0))="","",INDEX(学年度总表!$J$3:$J$1025,MATCH($E95,学年度总表!$E$3:$E$1025,0)))</f>
        <v>71.13</v>
      </c>
      <c r="K95" s="3">
        <f>IF(INDEX(学年度总表!$K$3:$K$1025,MATCH($E95,学年度总表!$E$3:$E$1025,0))="","",INDEX(学年度总表!$K$3:$K$1025,MATCH($E95,学年度总表!$E$3:$E$1025,0)))</f>
        <v>9.8000000000000007</v>
      </c>
      <c r="L95" s="3">
        <f>IF(INDEX(学年度总表!$L$3:$L$1025,MATCH($E95,学年度总表!$E$3:$E$1025,0))="","",INDEX(学年度总表!$L$3:$L$1025,MATCH($E95,学年度总表!$E$3:$E$1025,0)))</f>
        <v>46.24</v>
      </c>
      <c r="M95" s="3">
        <f>IF(INDEX(学年度总表!$M$3:$M$1025,MATCH($E95,学年度总表!$E$3:$E$1025,0))="","",INDEX(学年度总表!$M$3:$M$1025,MATCH($E95,学年度总表!$E$3:$E$1025,0)))</f>
        <v>4.8</v>
      </c>
      <c r="N95" s="3">
        <f>IF(INDEX(学年度总表!$N$3:$N$1025,MATCH($E95,学年度总表!$E$3:$E$1025,0))="","",INDEX(学年度总表!$N$3:$N$1025,MATCH($E95,学年度总表!$E$3:$E$1025,0)))</f>
        <v>60.84</v>
      </c>
      <c r="O95" s="3">
        <f>IF(INDEX(学年度总表!$O$3:$O$1025,MATCH($E95,学年度总表!$E$3:$E$1025,0))="","",INDEX(学年度总表!$O$3:$O$1025,MATCH($E95,学年度总表!$E$3:$E$1025,0)))</f>
        <v>131.97</v>
      </c>
      <c r="P95" s="2" t="str">
        <f>IF(INDEX(学年度总表!$P$3:$P$1025,MATCH($E95,学年度总表!$E$3:$E$1025,0))="","",INDEX(学年度总表!$P$3:$P$1025,MATCH($E95,学年度总表!$E$3:$E$1025,0)))</f>
        <v/>
      </c>
      <c r="Q95" s="5" t="str">
        <f>IF(INDEX(学年度总表!$Q$3:$Q$1025,MATCH($E95,学年度总表!$E$3:$E$1025,0))="","",INDEX(学年度总表!$Q$3:$Q$1025,MATCH($E95,学年度总表!$E$3:$E$1025,0)))</f>
        <v/>
      </c>
    </row>
    <row r="96" spans="1:17">
      <c r="A96" s="2">
        <f>IF(INDEX(学年度总表!$A$3:$A$1025,MATCH($E96,学年度总表!$E$3:$E$1025,0))="","",INDEX(学年度总表!$A$3:$A$1025,MATCH($E96,学年度总表!$E$3:$E$1025,0)))</f>
        <v>673</v>
      </c>
      <c r="B96" s="2">
        <f>IF(INDEX(学年度总表!$B$3:$B$1025,MATCH($E96,学年度总表!$E$3:$E$1025,0))="","",INDEX(学年度总表!$B$3:$B$1025,MATCH($E96,学年度总表!$E$3:$E$1025,0)))</f>
        <v>94</v>
      </c>
      <c r="C96" s="2" t="str">
        <f>IF(INDEX(学年度总表!$C$3:$C$1025,MATCH($E96,学年度总表!$E$3:$E$1025,0))="","",INDEX(学年度总表!$C$3:$C$1025,MATCH($E96,学年度总表!$E$3:$E$1025,0)))</f>
        <v>网工</v>
      </c>
      <c r="D96" s="2" t="str">
        <f>IF(INDEX(学年度总表!$D$3:$D$1025,MATCH($E96,学年度总表!$E$3:$E$1025,0))="","",INDEX(学年度总表!$D$3:$D$1025,MATCH($E96,学年度总表!$E$3:$E$1025,0)))</f>
        <v>网工18班</v>
      </c>
      <c r="E96" s="2" t="s">
        <v>1407</v>
      </c>
      <c r="F96" s="2" t="str">
        <f>IF(INDEX(学年度总表!$F$3:$F$1025,MATCH($E96,学年度总表!$E$3:$E$1025,0))="","",INDEX(学年度总表!$F$3:$F$1025,MATCH($E96,学年度总表!$E$3:$E$1025,0)))</f>
        <v>张蓝月</v>
      </c>
      <c r="G96" s="3">
        <f>IF(INDEX(学年度总表!$G$3:$G$1025,MATCH($E96,学年度总表!$E$3:$E$1025,0))="","",INDEX(学年度总表!$G$3:$G$1025,MATCH($E96,学年度总表!$E$3:$E$1025,0)))</f>
        <v>9.8000000000000007</v>
      </c>
      <c r="H96" s="3">
        <f>IF(INDEX(学年度总表!$H$3:$H$1025,MATCH($E96,学年度总表!$E$3:$E$1025,0))="","",INDEX(学年度总表!$H$3:$H$1025,MATCH($E96,学年度总表!$E$3:$E$1025,0)))</f>
        <v>54.64</v>
      </c>
      <c r="I96" s="3">
        <f>IF(INDEX(学年度总表!$I$3:$I$1025,MATCH($E96,学年度总表!$E$3:$E$1025,0))="","",INDEX(学年度总表!$I$3:$I$1025,MATCH($E96,学年度总表!$E$3:$E$1025,0)))</f>
        <v>3</v>
      </c>
      <c r="J96" s="3">
        <f>IF(INDEX(学年度总表!$J$3:$J$1025,MATCH($E96,学年度总表!$E$3:$E$1025,0))="","",INDEX(学年度总表!$J$3:$J$1025,MATCH($E96,学年度总表!$E$3:$E$1025,0)))</f>
        <v>67.44</v>
      </c>
      <c r="K96" s="3">
        <f>IF(INDEX(学年度总表!$K$3:$K$1025,MATCH($E96,学年度总表!$E$3:$E$1025,0))="","",INDEX(学年度总表!$K$3:$K$1025,MATCH($E96,学年度总表!$E$3:$E$1025,0)))</f>
        <v>7.3000000000000007</v>
      </c>
      <c r="L96" s="3">
        <f>IF(INDEX(学年度总表!$L$3:$L$1025,MATCH($E96,学年度总表!$E$3:$E$1025,0))="","",INDEX(学年度总表!$L$3:$L$1025,MATCH($E96,学年度总表!$E$3:$E$1025,0)))</f>
        <v>53.28</v>
      </c>
      <c r="M96" s="3">
        <f>IF(INDEX(学年度总表!$M$3:$M$1025,MATCH($E96,学年度总表!$E$3:$E$1025,0))="","",INDEX(学年度总表!$M$3:$M$1025,MATCH($E96,学年度总表!$E$3:$E$1025,0)))</f>
        <v>3.7</v>
      </c>
      <c r="N96" s="3">
        <f>IF(INDEX(学年度总表!$N$3:$N$1025,MATCH($E96,学年度总表!$E$3:$E$1025,0))="","",INDEX(学年度总表!$N$3:$N$1025,MATCH($E96,学年度总表!$E$3:$E$1025,0)))</f>
        <v>64.28</v>
      </c>
      <c r="O96" s="3">
        <f>IF(INDEX(学年度总表!$O$3:$O$1025,MATCH($E96,学年度总表!$E$3:$E$1025,0))="","",INDEX(学年度总表!$O$3:$O$1025,MATCH($E96,学年度总表!$E$3:$E$1025,0)))</f>
        <v>131.72</v>
      </c>
      <c r="P96" s="2" t="str">
        <f>IF(INDEX(学年度总表!$P$3:$P$1025,MATCH($E96,学年度总表!$E$3:$E$1025,0))="","",INDEX(学年度总表!$P$3:$P$1025,MATCH($E96,学年度总表!$E$3:$E$1025,0)))</f>
        <v/>
      </c>
      <c r="Q96" s="5" t="str">
        <f>IF(INDEX(学年度总表!$Q$3:$Q$1025,MATCH($E96,学年度总表!$E$3:$E$1025,0))="","",INDEX(学年度总表!$Q$3:$Q$1025,MATCH($E96,学年度总表!$E$3:$E$1025,0)))</f>
        <v/>
      </c>
    </row>
    <row r="97" spans="1:17">
      <c r="A97" s="2">
        <f>IF(INDEX(学年度总表!$A$3:$A$1025,MATCH($E97,学年度总表!$E$3:$E$1025,0))="","",INDEX(学年度总表!$A$3:$A$1025,MATCH($E97,学年度总表!$E$3:$E$1025,0)))</f>
        <v>681</v>
      </c>
      <c r="B97" s="2">
        <f>IF(INDEX(学年度总表!$B$3:$B$1025,MATCH($E97,学年度总表!$E$3:$E$1025,0))="","",INDEX(学年度总表!$B$3:$B$1025,MATCH($E97,学年度总表!$E$3:$E$1025,0)))</f>
        <v>95</v>
      </c>
      <c r="C97" s="2" t="str">
        <f>IF(INDEX(学年度总表!$C$3:$C$1025,MATCH($E97,学年度总表!$E$3:$E$1025,0))="","",INDEX(学年度总表!$C$3:$C$1025,MATCH($E97,学年度总表!$E$3:$E$1025,0)))</f>
        <v>网工</v>
      </c>
      <c r="D97" s="2" t="str">
        <f>IF(INDEX(学年度总表!$D$3:$D$1025,MATCH($E97,学年度总表!$E$3:$E$1025,0))="","",INDEX(学年度总表!$D$3:$D$1025,MATCH($E97,学年度总表!$E$3:$E$1025,0)))</f>
        <v>网工17班</v>
      </c>
      <c r="E97" s="2" t="s">
        <v>1423</v>
      </c>
      <c r="F97" s="2" t="str">
        <f>IF(INDEX(学年度总表!$F$3:$F$1025,MATCH($E97,学年度总表!$E$3:$E$1025,0))="","",INDEX(学年度总表!$F$3:$F$1025,MATCH($E97,学年度总表!$E$3:$E$1025,0)))</f>
        <v>庞慧昕</v>
      </c>
      <c r="G97" s="3">
        <f>IF(INDEX(学年度总表!$G$3:$G$1025,MATCH($E97,学年度总表!$E$3:$E$1025,0))="","",INDEX(学年度总表!$G$3:$G$1025,MATCH($E97,学年度总表!$E$3:$E$1025,0)))</f>
        <v>9.8000000000000007</v>
      </c>
      <c r="H97" s="3">
        <f>IF(INDEX(学年度总表!$H$3:$H$1025,MATCH($E97,学年度总表!$E$3:$E$1025,0))="","",INDEX(学年度总表!$H$3:$H$1025,MATCH($E97,学年度总表!$E$3:$E$1025,0)))</f>
        <v>56.15</v>
      </c>
      <c r="I97" s="3">
        <f>IF(INDEX(学年度总表!$I$3:$I$1025,MATCH($E97,学年度总表!$E$3:$E$1025,0))="","",INDEX(学年度总表!$I$3:$I$1025,MATCH($E97,学年度总表!$E$3:$E$1025,0)))</f>
        <v>4</v>
      </c>
      <c r="J97" s="3">
        <f>IF(INDEX(学年度总表!$J$3:$J$1025,MATCH($E97,学年度总表!$E$3:$E$1025,0))="","",INDEX(学年度总表!$J$3:$J$1025,MATCH($E97,学年度总表!$E$3:$E$1025,0)))</f>
        <v>69.95</v>
      </c>
      <c r="K97" s="3">
        <f>IF(INDEX(学年度总表!$K$3:$K$1025,MATCH($E97,学年度总表!$E$3:$E$1025,0))="","",INDEX(学年度总表!$K$3:$K$1025,MATCH($E97,学年度总表!$E$3:$E$1025,0)))</f>
        <v>7.3000000000000007</v>
      </c>
      <c r="L97" s="3">
        <f>IF(INDEX(学年度总表!$L$3:$L$1025,MATCH($E97,学年度总表!$E$3:$E$1025,0))="","",INDEX(学年度总表!$L$3:$L$1025,MATCH($E97,学年度总表!$E$3:$E$1025,0)))</f>
        <v>50.43</v>
      </c>
      <c r="M97" s="3">
        <f>IF(INDEX(学年度总表!$M$3:$M$1025,MATCH($E97,学年度总表!$E$3:$E$1025,0))="","",INDEX(学年度总表!$M$3:$M$1025,MATCH($E97,学年度总表!$E$3:$E$1025,0)))</f>
        <v>3.5</v>
      </c>
      <c r="N97" s="3">
        <f>IF(INDEX(学年度总表!$N$3:$N$1025,MATCH($E97,学年度总表!$E$3:$E$1025,0))="","",INDEX(学年度总表!$N$3:$N$1025,MATCH($E97,学年度总表!$E$3:$E$1025,0)))</f>
        <v>61.23</v>
      </c>
      <c r="O97" s="3">
        <f>IF(INDEX(学年度总表!$O$3:$O$1025,MATCH($E97,学年度总表!$E$3:$E$1025,0))="","",INDEX(学年度总表!$O$3:$O$1025,MATCH($E97,学年度总表!$E$3:$E$1025,0)))</f>
        <v>131.18</v>
      </c>
      <c r="P97" s="2" t="str">
        <f>IF(INDEX(学年度总表!$P$3:$P$1025,MATCH($E97,学年度总表!$E$3:$E$1025,0))="","",INDEX(学年度总表!$P$3:$P$1025,MATCH($E97,学年度总表!$E$3:$E$1025,0)))</f>
        <v/>
      </c>
      <c r="Q97" s="5" t="str">
        <f>IF(INDEX(学年度总表!$Q$3:$Q$1025,MATCH($E97,学年度总表!$E$3:$E$1025,0))="","",INDEX(学年度总表!$Q$3:$Q$1025,MATCH($E97,学年度总表!$E$3:$E$1025,0)))</f>
        <v/>
      </c>
    </row>
    <row r="98" spans="1:17">
      <c r="A98" s="2">
        <f>IF(INDEX(学年度总表!$A$3:$A$1025,MATCH($E98,学年度总表!$E$3:$E$1025,0))="","",INDEX(学年度总表!$A$3:$A$1025,MATCH($E98,学年度总表!$E$3:$E$1025,0)))</f>
        <v>684</v>
      </c>
      <c r="B98" s="2">
        <f>IF(INDEX(学年度总表!$B$3:$B$1025,MATCH($E98,学年度总表!$E$3:$E$1025,0))="","",INDEX(学年度总表!$B$3:$B$1025,MATCH($E98,学年度总表!$E$3:$E$1025,0)))</f>
        <v>96</v>
      </c>
      <c r="C98" s="2" t="str">
        <f>IF(INDEX(学年度总表!$C$3:$C$1025,MATCH($E98,学年度总表!$E$3:$E$1025,0))="","",INDEX(学年度总表!$C$3:$C$1025,MATCH($E98,学年度总表!$E$3:$E$1025,0)))</f>
        <v>网工</v>
      </c>
      <c r="D98" s="2" t="str">
        <f>IF(INDEX(学年度总表!$D$3:$D$1025,MATCH($E98,学年度总表!$E$3:$E$1025,0))="","",INDEX(学年度总表!$D$3:$D$1025,MATCH($E98,学年度总表!$E$3:$E$1025,0)))</f>
        <v>网工17班</v>
      </c>
      <c r="E98" s="2" t="s">
        <v>1429</v>
      </c>
      <c r="F98" s="2" t="str">
        <f>IF(INDEX(学年度总表!$F$3:$F$1025,MATCH($E98,学年度总表!$E$3:$E$1025,0))="","",INDEX(学年度总表!$F$3:$F$1025,MATCH($E98,学年度总表!$E$3:$E$1025,0)))</f>
        <v>马兴平</v>
      </c>
      <c r="G98" s="3">
        <f>IF(INDEX(学年度总表!$G$3:$G$1025,MATCH($E98,学年度总表!$E$3:$E$1025,0))="","",INDEX(学年度总表!$G$3:$G$1025,MATCH($E98,学年度总表!$E$3:$E$1025,0)))</f>
        <v>10</v>
      </c>
      <c r="H98" s="3">
        <f>IF(INDEX(学年度总表!$H$3:$H$1025,MATCH($E98,学年度总表!$E$3:$E$1025,0))="","",INDEX(学年度总表!$H$3:$H$1025,MATCH($E98,学年度总表!$E$3:$E$1025,0)))</f>
        <v>50.54</v>
      </c>
      <c r="I98" s="3">
        <f>IF(INDEX(学年度总表!$I$3:$I$1025,MATCH($E98,学年度总表!$E$3:$E$1025,0))="","",INDEX(学年度总表!$I$3:$I$1025,MATCH($E98,学年度总表!$E$3:$E$1025,0)))</f>
        <v>3</v>
      </c>
      <c r="J98" s="3">
        <f>IF(INDEX(学年度总表!$J$3:$J$1025,MATCH($E98,学年度总表!$E$3:$E$1025,0))="","",INDEX(学年度总表!$J$3:$J$1025,MATCH($E98,学年度总表!$E$3:$E$1025,0)))</f>
        <v>63.54</v>
      </c>
      <c r="K98" s="3">
        <f>IF(INDEX(学年度总表!$K$3:$K$1025,MATCH($E98,学年度总表!$E$3:$E$1025,0))="","",INDEX(学年度总表!$K$3:$K$1025,MATCH($E98,学年度总表!$E$3:$E$1025,0)))</f>
        <v>7.5</v>
      </c>
      <c r="L98" s="3">
        <f>IF(INDEX(学年度总表!$L$3:$L$1025,MATCH($E98,学年度总表!$E$3:$E$1025,0))="","",INDEX(学年度总表!$L$3:$L$1025,MATCH($E98,学年度总表!$E$3:$E$1025,0)))</f>
        <v>55.39</v>
      </c>
      <c r="M98" s="3">
        <f>IF(INDEX(学年度总表!$M$3:$M$1025,MATCH($E98,学年度总表!$E$3:$E$1025,0))="","",INDEX(学年度总表!$M$3:$M$1025,MATCH($E98,学年度总表!$E$3:$E$1025,0)))</f>
        <v>4.7</v>
      </c>
      <c r="N98" s="3">
        <f>IF(INDEX(学年度总表!$N$3:$N$1025,MATCH($E98,学年度总表!$E$3:$E$1025,0))="","",INDEX(学年度总表!$N$3:$N$1025,MATCH($E98,学年度总表!$E$3:$E$1025,0)))</f>
        <v>67.59</v>
      </c>
      <c r="O98" s="3">
        <f>IF(INDEX(学年度总表!$O$3:$O$1025,MATCH($E98,学年度总表!$E$3:$E$1025,0))="","",INDEX(学年度总表!$O$3:$O$1025,MATCH($E98,学年度总表!$E$3:$E$1025,0)))</f>
        <v>131.13</v>
      </c>
      <c r="P98" s="2" t="str">
        <f>IF(INDEX(学年度总表!$P$3:$P$1025,MATCH($E98,学年度总表!$E$3:$E$1025,0))="","",INDEX(学年度总表!$P$3:$P$1025,MATCH($E98,学年度总表!$E$3:$E$1025,0)))</f>
        <v/>
      </c>
      <c r="Q98" s="5" t="str">
        <f>IF(INDEX(学年度总表!$Q$3:$Q$1025,MATCH($E98,学年度总表!$E$3:$E$1025,0))="","",INDEX(学年度总表!$Q$3:$Q$1025,MATCH($E98,学年度总表!$E$3:$E$1025,0)))</f>
        <v/>
      </c>
    </row>
    <row r="99" spans="1:17">
      <c r="A99" s="2">
        <f>IF(INDEX(学年度总表!$A$3:$A$1025,MATCH($E99,学年度总表!$E$3:$E$1025,0))="","",INDEX(学年度总表!$A$3:$A$1025,MATCH($E99,学年度总表!$E$3:$E$1025,0)))</f>
        <v>701</v>
      </c>
      <c r="B99" s="2">
        <f>IF(INDEX(学年度总表!$B$3:$B$1025,MATCH($E99,学年度总表!$E$3:$E$1025,0))="","",INDEX(学年度总表!$B$3:$B$1025,MATCH($E99,学年度总表!$E$3:$E$1025,0)))</f>
        <v>97</v>
      </c>
      <c r="C99" s="2" t="str">
        <f>IF(INDEX(学年度总表!$C$3:$C$1025,MATCH($E99,学年度总表!$E$3:$E$1025,0))="","",INDEX(学年度总表!$C$3:$C$1025,MATCH($E99,学年度总表!$E$3:$E$1025,0)))</f>
        <v>网工</v>
      </c>
      <c r="D99" s="2" t="str">
        <f>IF(INDEX(学年度总表!$D$3:$D$1025,MATCH($E99,学年度总表!$E$3:$E$1025,0))="","",INDEX(学年度总表!$D$3:$D$1025,MATCH($E99,学年度总表!$E$3:$E$1025,0)))</f>
        <v>网工16班</v>
      </c>
      <c r="E99" s="2" t="s">
        <v>1463</v>
      </c>
      <c r="F99" s="2" t="str">
        <f>IF(INDEX(学年度总表!$F$3:$F$1025,MATCH($E99,学年度总表!$E$3:$E$1025,0))="","",INDEX(学年度总表!$F$3:$F$1025,MATCH($E99,学年度总表!$E$3:$E$1025,0)))</f>
        <v>骆浩男</v>
      </c>
      <c r="G99" s="3">
        <f>IF(INDEX(学年度总表!$G$3:$G$1025,MATCH($E99,学年度总表!$E$3:$E$1025,0))="","",INDEX(学年度总表!$G$3:$G$1025,MATCH($E99,学年度总表!$E$3:$E$1025,0)))</f>
        <v>9.8000000000000007</v>
      </c>
      <c r="H99" s="3">
        <f>IF(INDEX(学年度总表!$H$3:$H$1025,MATCH($E99,学年度总表!$E$3:$E$1025,0))="","",INDEX(学年度总表!$H$3:$H$1025,MATCH($E99,学年度总表!$E$3:$E$1025,0)))</f>
        <v>58.72</v>
      </c>
      <c r="I99" s="3">
        <f>IF(INDEX(学年度总表!$I$3:$I$1025,MATCH($E99,学年度总表!$E$3:$E$1025,0))="","",INDEX(学年度总表!$I$3:$I$1025,MATCH($E99,学年度总表!$E$3:$E$1025,0)))</f>
        <v>3</v>
      </c>
      <c r="J99" s="3">
        <f>IF(INDEX(学年度总表!$J$3:$J$1025,MATCH($E99,学年度总表!$E$3:$E$1025,0))="","",INDEX(学年度总表!$J$3:$J$1025,MATCH($E99,学年度总表!$E$3:$E$1025,0)))</f>
        <v>71.52</v>
      </c>
      <c r="K99" s="3">
        <f>IF(INDEX(学年度总表!$K$3:$K$1025,MATCH($E99,学年度总表!$E$3:$E$1025,0))="","",INDEX(学年度总表!$K$3:$K$1025,MATCH($E99,学年度总表!$E$3:$E$1025,0)))</f>
        <v>7.3000000000000007</v>
      </c>
      <c r="L99" s="3">
        <f>IF(INDEX(学年度总表!$L$3:$L$1025,MATCH($E99,学年度总表!$E$3:$E$1025,0))="","",INDEX(学年度总表!$L$3:$L$1025,MATCH($E99,学年度总表!$E$3:$E$1025,0)))</f>
        <v>47.69</v>
      </c>
      <c r="M99" s="3">
        <f>IF(INDEX(学年度总表!$M$3:$M$1025,MATCH($E99,学年度总表!$E$3:$E$1025,0))="","",INDEX(学年度总表!$M$3:$M$1025,MATCH($E99,学年度总表!$E$3:$E$1025,0)))</f>
        <v>3.5</v>
      </c>
      <c r="N99" s="3">
        <f>IF(INDEX(学年度总表!$N$3:$N$1025,MATCH($E99,学年度总表!$E$3:$E$1025,0))="","",INDEX(学年度总表!$N$3:$N$1025,MATCH($E99,学年度总表!$E$3:$E$1025,0)))</f>
        <v>58.49</v>
      </c>
      <c r="O99" s="3">
        <f>IF(INDEX(学年度总表!$O$3:$O$1025,MATCH($E99,学年度总表!$E$3:$E$1025,0))="","",INDEX(学年度总表!$O$3:$O$1025,MATCH($E99,学年度总表!$E$3:$E$1025,0)))</f>
        <v>130.01</v>
      </c>
      <c r="P99" s="2" t="str">
        <f>IF(INDEX(学年度总表!$P$3:$P$1025,MATCH($E99,学年度总表!$E$3:$E$1025,0))="","",INDEX(学年度总表!$P$3:$P$1025,MATCH($E99,学年度总表!$E$3:$E$1025,0)))</f>
        <v/>
      </c>
      <c r="Q99" s="5" t="str">
        <f>IF(INDEX(学年度总表!$Q$3:$Q$1025,MATCH($E99,学年度总表!$E$3:$E$1025,0))="","",INDEX(学年度总表!$Q$3:$Q$1025,MATCH($E99,学年度总表!$E$3:$E$1025,0)))</f>
        <v/>
      </c>
    </row>
    <row r="100" spans="1:17">
      <c r="A100" s="2">
        <f>IF(INDEX(学年度总表!$A$3:$A$1025,MATCH($E100,学年度总表!$E$3:$E$1025,0))="","",INDEX(学年度总表!$A$3:$A$1025,MATCH($E100,学年度总表!$E$3:$E$1025,0)))</f>
        <v>705</v>
      </c>
      <c r="B100" s="2">
        <f>IF(INDEX(学年度总表!$B$3:$B$1025,MATCH($E100,学年度总表!$E$3:$E$1025,0))="","",INDEX(学年度总表!$B$3:$B$1025,MATCH($E100,学年度总表!$E$3:$E$1025,0)))</f>
        <v>98</v>
      </c>
      <c r="C100" s="2" t="str">
        <f>IF(INDEX(学年度总表!$C$3:$C$1025,MATCH($E100,学年度总表!$E$3:$E$1025,0))="","",INDEX(学年度总表!$C$3:$C$1025,MATCH($E100,学年度总表!$E$3:$E$1025,0)))</f>
        <v>网工</v>
      </c>
      <c r="D100" s="2" t="str">
        <f>IF(INDEX(学年度总表!$D$3:$D$1025,MATCH($E100,学年度总表!$E$3:$E$1025,0))="","",INDEX(学年度总表!$D$3:$D$1025,MATCH($E100,学年度总表!$E$3:$E$1025,0)))</f>
        <v>网工16班</v>
      </c>
      <c r="E100" s="2" t="s">
        <v>1471</v>
      </c>
      <c r="F100" s="2" t="str">
        <f>IF(INDEX(学年度总表!$F$3:$F$1025,MATCH($E100,学年度总表!$E$3:$E$1025,0))="","",INDEX(学年度总表!$F$3:$F$1025,MATCH($E100,学年度总表!$E$3:$E$1025,0)))</f>
        <v>沈沛颀</v>
      </c>
      <c r="G100" s="3">
        <f>IF(INDEX(学年度总表!$G$3:$G$1025,MATCH($E100,学年度总表!$E$3:$E$1025,0))="","",INDEX(学年度总表!$G$3:$G$1025,MATCH($E100,学年度总表!$E$3:$E$1025,0)))</f>
        <v>11</v>
      </c>
      <c r="H100" s="3">
        <f>IF(INDEX(学年度总表!$H$3:$H$1025,MATCH($E100,学年度总表!$E$3:$E$1025,0))="","",INDEX(学年度总表!$H$3:$H$1025,MATCH($E100,学年度总表!$E$3:$E$1025,0)))</f>
        <v>51.88</v>
      </c>
      <c r="I100" s="3">
        <f>IF(INDEX(学年度总表!$I$3:$I$1025,MATCH($E100,学年度总表!$E$3:$E$1025,0))="","",INDEX(学年度总表!$I$3:$I$1025,MATCH($E100,学年度总表!$E$3:$E$1025,0)))</f>
        <v>3.95</v>
      </c>
      <c r="J100" s="3">
        <f>IF(INDEX(学年度总表!$J$3:$J$1025,MATCH($E100,学年度总表!$E$3:$E$1025,0))="","",INDEX(学年度总表!$J$3:$J$1025,MATCH($E100,学年度总表!$E$3:$E$1025,0)))</f>
        <v>66.83</v>
      </c>
      <c r="K100" s="3">
        <f>IF(INDEX(学年度总表!$K$3:$K$1025,MATCH($E100,学年度总表!$E$3:$E$1025,0))="","",INDEX(学年度总表!$K$3:$K$1025,MATCH($E100,学年度总表!$E$3:$E$1025,0)))</f>
        <v>7.5</v>
      </c>
      <c r="L100" s="3">
        <f>IF(INDEX(学年度总表!$L$3:$L$1025,MATCH($E100,学年度总表!$E$3:$E$1025,0))="","",INDEX(学年度总表!$L$3:$L$1025,MATCH($E100,学年度总表!$E$3:$E$1025,0)))</f>
        <v>52.56</v>
      </c>
      <c r="M100" s="3">
        <f>IF(INDEX(学年度总表!$M$3:$M$1025,MATCH($E100,学年度总表!$E$3:$E$1025,0))="","",INDEX(学年度总表!$M$3:$M$1025,MATCH($E100,学年度总表!$E$3:$E$1025,0)))</f>
        <v>3</v>
      </c>
      <c r="N100" s="3">
        <f>IF(INDEX(学年度总表!$N$3:$N$1025,MATCH($E100,学年度总表!$E$3:$E$1025,0))="","",INDEX(学年度总表!$N$3:$N$1025,MATCH($E100,学年度总表!$E$3:$E$1025,0)))</f>
        <v>63.06</v>
      </c>
      <c r="O100" s="3">
        <f>IF(INDEX(学年度总表!$O$3:$O$1025,MATCH($E100,学年度总表!$E$3:$E$1025,0))="","",INDEX(学年度总表!$O$3:$O$1025,MATCH($E100,学年度总表!$E$3:$E$1025,0)))</f>
        <v>129.88999999999999</v>
      </c>
      <c r="P100" s="2" t="str">
        <f>IF(INDEX(学年度总表!$P$3:$P$1025,MATCH($E100,学年度总表!$E$3:$E$1025,0))="","",INDEX(学年度总表!$P$3:$P$1025,MATCH($E100,学年度总表!$E$3:$E$1025,0)))</f>
        <v/>
      </c>
      <c r="Q100" s="5" t="str">
        <f>IF(INDEX(学年度总表!$Q$3:$Q$1025,MATCH($E100,学年度总表!$E$3:$E$1025,0))="","",INDEX(学年度总表!$Q$3:$Q$1025,MATCH($E100,学年度总表!$E$3:$E$1025,0)))</f>
        <v/>
      </c>
    </row>
    <row r="101" spans="1:17">
      <c r="A101" s="2">
        <f>IF(INDEX(学年度总表!$A$3:$A$1025,MATCH($E101,学年度总表!$E$3:$E$1025,0))="","",INDEX(学年度总表!$A$3:$A$1025,MATCH($E101,学年度总表!$E$3:$E$1025,0)))</f>
        <v>713</v>
      </c>
      <c r="B101" s="2">
        <f>IF(INDEX(学年度总表!$B$3:$B$1025,MATCH($E101,学年度总表!$E$3:$E$1025,0))="","",INDEX(学年度总表!$B$3:$B$1025,MATCH($E101,学年度总表!$E$3:$E$1025,0)))</f>
        <v>99</v>
      </c>
      <c r="C101" s="2" t="str">
        <f>IF(INDEX(学年度总表!$C$3:$C$1025,MATCH($E101,学年度总表!$E$3:$E$1025,0))="","",INDEX(学年度总表!$C$3:$C$1025,MATCH($E101,学年度总表!$E$3:$E$1025,0)))</f>
        <v>网工</v>
      </c>
      <c r="D101" s="2" t="str">
        <f>IF(INDEX(学年度总表!$D$3:$D$1025,MATCH($E101,学年度总表!$E$3:$E$1025,0))="","",INDEX(学年度总表!$D$3:$D$1025,MATCH($E101,学年度总表!$E$3:$E$1025,0)))</f>
        <v>网工18班</v>
      </c>
      <c r="E101" s="2" t="s">
        <v>1487</v>
      </c>
      <c r="F101" s="2" t="str">
        <f>IF(INDEX(学年度总表!$F$3:$F$1025,MATCH($E101,学年度总表!$E$3:$E$1025,0))="","",INDEX(学年度总表!$F$3:$F$1025,MATCH($E101,学年度总表!$E$3:$E$1025,0)))</f>
        <v>肖弼元</v>
      </c>
      <c r="G101" s="3">
        <f>IF(INDEX(学年度总表!$G$3:$G$1025,MATCH($E101,学年度总表!$E$3:$E$1025,0))="","",INDEX(学年度总表!$G$3:$G$1025,MATCH($E101,学年度总表!$E$3:$E$1025,0)))</f>
        <v>9.8000000000000007</v>
      </c>
      <c r="H101" s="3">
        <f>IF(INDEX(学年度总表!$H$3:$H$1025,MATCH($E101,学年度总表!$E$3:$E$1025,0))="","",INDEX(学年度总表!$H$3:$H$1025,MATCH($E101,学年度总表!$E$3:$E$1025,0)))</f>
        <v>56.03</v>
      </c>
      <c r="I101" s="3">
        <f>IF(INDEX(学年度总表!$I$3:$I$1025,MATCH($E101,学年度总表!$E$3:$E$1025,0))="","",INDEX(学年度总表!$I$3:$I$1025,MATCH($E101,学年度总表!$E$3:$E$1025,0)))</f>
        <v>3</v>
      </c>
      <c r="J101" s="3">
        <f>IF(INDEX(学年度总表!$J$3:$J$1025,MATCH($E101,学年度总表!$E$3:$E$1025,0))="","",INDEX(学年度总表!$J$3:$J$1025,MATCH($E101,学年度总表!$E$3:$E$1025,0)))</f>
        <v>68.83</v>
      </c>
      <c r="K101" s="3">
        <f>IF(INDEX(学年度总表!$K$3:$K$1025,MATCH($E101,学年度总表!$E$3:$E$1025,0))="","",INDEX(学年度总表!$K$3:$K$1025,MATCH($E101,学年度总表!$E$3:$E$1025,0)))</f>
        <v>7.3000000000000007</v>
      </c>
      <c r="L101" s="3">
        <f>IF(INDEX(学年度总表!$L$3:$L$1025,MATCH($E101,学年度总表!$E$3:$E$1025,0))="","",INDEX(学年度总表!$L$3:$L$1025,MATCH($E101,学年度总表!$E$3:$E$1025,0)))</f>
        <v>49.99</v>
      </c>
      <c r="M101" s="3">
        <f>IF(INDEX(学年度总表!$M$3:$M$1025,MATCH($E101,学年度总表!$E$3:$E$1025,0))="","",INDEX(学年度总表!$M$3:$M$1025,MATCH($E101,学年度总表!$E$3:$E$1025,0)))</f>
        <v>3.5</v>
      </c>
      <c r="N101" s="3">
        <f>IF(INDEX(学年度总表!$N$3:$N$1025,MATCH($E101,学年度总表!$E$3:$E$1025,0))="","",INDEX(学年度总表!$N$3:$N$1025,MATCH($E101,学年度总表!$E$3:$E$1025,0)))</f>
        <v>60.79</v>
      </c>
      <c r="O101" s="3">
        <f>IF(INDEX(学年度总表!$O$3:$O$1025,MATCH($E101,学年度总表!$E$3:$E$1025,0))="","",INDEX(学年度总表!$O$3:$O$1025,MATCH($E101,学年度总表!$E$3:$E$1025,0)))</f>
        <v>129.62</v>
      </c>
      <c r="P101" s="2" t="str">
        <f>IF(INDEX(学年度总表!$P$3:$P$1025,MATCH($E101,学年度总表!$E$3:$E$1025,0))="","",INDEX(学年度总表!$P$3:$P$1025,MATCH($E101,学年度总表!$E$3:$E$1025,0)))</f>
        <v/>
      </c>
      <c r="Q101" s="5" t="str">
        <f>IF(INDEX(学年度总表!$Q$3:$Q$1025,MATCH($E101,学年度总表!$E$3:$E$1025,0))="","",INDEX(学年度总表!$Q$3:$Q$1025,MATCH($E101,学年度总表!$E$3:$E$1025,0)))</f>
        <v/>
      </c>
    </row>
    <row r="102" spans="1:17">
      <c r="A102" s="2">
        <f>IF(INDEX(学年度总表!$A$3:$A$1025,MATCH($E102,学年度总表!$E$3:$E$1025,0))="","",INDEX(学年度总表!$A$3:$A$1025,MATCH($E102,学年度总表!$E$3:$E$1025,0)))</f>
        <v>722</v>
      </c>
      <c r="B102" s="2">
        <f>IF(INDEX(学年度总表!$B$3:$B$1025,MATCH($E102,学年度总表!$E$3:$E$1025,0))="","",INDEX(学年度总表!$B$3:$B$1025,MATCH($E102,学年度总表!$E$3:$E$1025,0)))</f>
        <v>100</v>
      </c>
      <c r="C102" s="2" t="str">
        <f>IF(INDEX(学年度总表!$C$3:$C$1025,MATCH($E102,学年度总表!$E$3:$E$1025,0))="","",INDEX(学年度总表!$C$3:$C$1025,MATCH($E102,学年度总表!$E$3:$E$1025,0)))</f>
        <v>网工</v>
      </c>
      <c r="D102" s="2" t="str">
        <f>IF(INDEX(学年度总表!$D$3:$D$1025,MATCH($E102,学年度总表!$E$3:$E$1025,0))="","",INDEX(学年度总表!$D$3:$D$1025,MATCH($E102,学年度总表!$E$3:$E$1025,0)))</f>
        <v>网工16班</v>
      </c>
      <c r="E102" s="2" t="s">
        <v>1505</v>
      </c>
      <c r="F102" s="2" t="str">
        <f>IF(INDEX(学年度总表!$F$3:$F$1025,MATCH($E102,学年度总表!$E$3:$E$1025,0))="","",INDEX(学年度总表!$F$3:$F$1025,MATCH($E102,学年度总表!$E$3:$E$1025,0)))</f>
        <v>许瑛麟</v>
      </c>
      <c r="G102" s="3">
        <f>IF(INDEX(学年度总表!$G$3:$G$1025,MATCH($E102,学年度总表!$E$3:$E$1025,0))="","",INDEX(学年度总表!$G$3:$G$1025,MATCH($E102,学年度总表!$E$3:$E$1025,0)))</f>
        <v>9.8000000000000007</v>
      </c>
      <c r="H102" s="3">
        <f>IF(INDEX(学年度总表!$H$3:$H$1025,MATCH($E102,学年度总表!$E$3:$E$1025,0))="","",INDEX(学年度总表!$H$3:$H$1025,MATCH($E102,学年度总表!$E$3:$E$1025,0)))</f>
        <v>52.01</v>
      </c>
      <c r="I102" s="3">
        <f>IF(INDEX(学年度总表!$I$3:$I$1025,MATCH($E102,学年度总表!$E$3:$E$1025,0))="","",INDEX(学年度总表!$I$3:$I$1025,MATCH($E102,学年度总表!$E$3:$E$1025,0)))</f>
        <v>4.8</v>
      </c>
      <c r="J102" s="3">
        <f>IF(INDEX(学年度总表!$J$3:$J$1025,MATCH($E102,学年度总表!$E$3:$E$1025,0))="","",INDEX(学年度总表!$J$3:$J$1025,MATCH($E102,学年度总表!$E$3:$E$1025,0)))</f>
        <v>66.61</v>
      </c>
      <c r="K102" s="3">
        <f>IF(INDEX(学年度总表!$K$3:$K$1025,MATCH($E102,学年度总表!$E$3:$E$1025,0))="","",INDEX(学年度总表!$K$3:$K$1025,MATCH($E102,学年度总表!$E$3:$E$1025,0)))</f>
        <v>7.3000000000000007</v>
      </c>
      <c r="L102" s="3">
        <f>IF(INDEX(学年度总表!$L$3:$L$1025,MATCH($E102,学年度总表!$E$3:$E$1025,0))="","",INDEX(学年度总表!$L$3:$L$1025,MATCH($E102,学年度总表!$E$3:$E$1025,0)))</f>
        <v>51.3</v>
      </c>
      <c r="M102" s="3">
        <f>IF(INDEX(学年度总表!$M$3:$M$1025,MATCH($E102,学年度总表!$E$3:$E$1025,0))="","",INDEX(学年度总表!$M$3:$M$1025,MATCH($E102,学年度总表!$E$3:$E$1025,0)))</f>
        <v>4.0999999999999996</v>
      </c>
      <c r="N102" s="3">
        <f>IF(INDEX(学年度总表!$N$3:$N$1025,MATCH($E102,学年度总表!$E$3:$E$1025,0))="","",INDEX(学年度总表!$N$3:$N$1025,MATCH($E102,学年度总表!$E$3:$E$1025,0)))</f>
        <v>62.7</v>
      </c>
      <c r="O102" s="3">
        <f>IF(INDEX(学年度总表!$O$3:$O$1025,MATCH($E102,学年度总表!$E$3:$E$1025,0))="","",INDEX(学年度总表!$O$3:$O$1025,MATCH($E102,学年度总表!$E$3:$E$1025,0)))</f>
        <v>129.31</v>
      </c>
      <c r="P102" s="2" t="str">
        <f>IF(INDEX(学年度总表!$P$3:$P$1025,MATCH($E102,学年度总表!$E$3:$E$1025,0))="","",INDEX(学年度总表!$P$3:$P$1025,MATCH($E102,学年度总表!$E$3:$E$1025,0)))</f>
        <v/>
      </c>
      <c r="Q102" s="5" t="str">
        <f>IF(INDEX(学年度总表!$Q$3:$Q$1025,MATCH($E102,学年度总表!$E$3:$E$1025,0))="","",INDEX(学年度总表!$Q$3:$Q$1025,MATCH($E102,学年度总表!$E$3:$E$1025,0)))</f>
        <v/>
      </c>
    </row>
    <row r="103" spans="1:17">
      <c r="A103" s="2">
        <f>IF(INDEX(学年度总表!$A$3:$A$1025,MATCH($E103,学年度总表!$E$3:$E$1025,0))="","",INDEX(学年度总表!$A$3:$A$1025,MATCH($E103,学年度总表!$E$3:$E$1025,0)))</f>
        <v>728</v>
      </c>
      <c r="B103" s="2">
        <f>IF(INDEX(学年度总表!$B$3:$B$1025,MATCH($E103,学年度总表!$E$3:$E$1025,0))="","",INDEX(学年度总表!$B$3:$B$1025,MATCH($E103,学年度总表!$E$3:$E$1025,0)))</f>
        <v>101</v>
      </c>
      <c r="C103" s="2" t="str">
        <f>IF(INDEX(学年度总表!$C$3:$C$1025,MATCH($E103,学年度总表!$E$3:$E$1025,0))="","",INDEX(学年度总表!$C$3:$C$1025,MATCH($E103,学年度总表!$E$3:$E$1025,0)))</f>
        <v>网工</v>
      </c>
      <c r="D103" s="2" t="str">
        <f>IF(INDEX(学年度总表!$D$3:$D$1025,MATCH($E103,学年度总表!$E$3:$E$1025,0))="","",INDEX(学年度总表!$D$3:$D$1025,MATCH($E103,学年度总表!$E$3:$E$1025,0)))</f>
        <v>网工18班</v>
      </c>
      <c r="E103" s="2" t="s">
        <v>1517</v>
      </c>
      <c r="F103" s="2" t="str">
        <f>IF(INDEX(学年度总表!$F$3:$F$1025,MATCH($E103,学年度总表!$E$3:$E$1025,0))="","",INDEX(学年度总表!$F$3:$F$1025,MATCH($E103,学年度总表!$E$3:$E$1025,0)))</f>
        <v>董佳鑫</v>
      </c>
      <c r="G103" s="3">
        <f>IF(INDEX(学年度总表!$G$3:$G$1025,MATCH($E103,学年度总表!$E$3:$E$1025,0))="","",INDEX(学年度总表!$G$3:$G$1025,MATCH($E103,学年度总表!$E$3:$E$1025,0)))</f>
        <v>9.8000000000000007</v>
      </c>
      <c r="H103" s="3">
        <f>IF(INDEX(学年度总表!$H$3:$H$1025,MATCH($E103,学年度总表!$E$3:$E$1025,0))="","",INDEX(学年度总表!$H$3:$H$1025,MATCH($E103,学年度总表!$E$3:$E$1025,0)))</f>
        <v>53.73</v>
      </c>
      <c r="I103" s="3">
        <f>IF(INDEX(学年度总表!$I$3:$I$1025,MATCH($E103,学年度总表!$E$3:$E$1025,0))="","",INDEX(学年度总表!$I$3:$I$1025,MATCH($E103,学年度总表!$E$3:$E$1025,0)))</f>
        <v>5.9</v>
      </c>
      <c r="J103" s="3">
        <f>IF(INDEX(学年度总表!$J$3:$J$1025,MATCH($E103,学年度总表!$E$3:$E$1025,0))="","",INDEX(学年度总表!$J$3:$J$1025,MATCH($E103,学年度总表!$E$3:$E$1025,0)))</f>
        <v>69.430000000000007</v>
      </c>
      <c r="K103" s="3">
        <f>IF(INDEX(学年度总表!$K$3:$K$1025,MATCH($E103,学年度总表!$E$3:$E$1025,0))="","",INDEX(学年度总表!$K$3:$K$1025,MATCH($E103,学年度总表!$E$3:$E$1025,0)))</f>
        <v>7.3000000000000007</v>
      </c>
      <c r="L103" s="3">
        <f>IF(INDEX(学年度总表!$L$3:$L$1025,MATCH($E103,学年度总表!$E$3:$E$1025,0))="","",INDEX(学年度总表!$L$3:$L$1025,MATCH($E103,学年度总表!$E$3:$E$1025,0)))</f>
        <v>44.16</v>
      </c>
      <c r="M103" s="3">
        <f>IF(INDEX(学年度总表!$M$3:$M$1025,MATCH($E103,学年度总表!$E$3:$E$1025,0))="","",INDEX(学年度总表!$M$3:$M$1025,MATCH($E103,学年度总表!$E$3:$E$1025,0)))</f>
        <v>8</v>
      </c>
      <c r="N103" s="3">
        <f>IF(INDEX(学年度总表!$N$3:$N$1025,MATCH($E103,学年度总表!$E$3:$E$1025,0))="","",INDEX(学年度总表!$N$3:$N$1025,MATCH($E103,学年度总表!$E$3:$E$1025,0)))</f>
        <v>59.46</v>
      </c>
      <c r="O103" s="3">
        <f>IF(INDEX(学年度总表!$O$3:$O$1025,MATCH($E103,学年度总表!$E$3:$E$1025,0))="","",INDEX(学年度总表!$O$3:$O$1025,MATCH($E103,学年度总表!$E$3:$E$1025,0)))</f>
        <v>128.88999999999999</v>
      </c>
      <c r="P103" s="2" t="str">
        <f>IF(INDEX(学年度总表!$P$3:$P$1025,MATCH($E103,学年度总表!$E$3:$E$1025,0))="","",INDEX(学年度总表!$P$3:$P$1025,MATCH($E103,学年度总表!$E$3:$E$1025,0)))</f>
        <v/>
      </c>
      <c r="Q103" s="5" t="str">
        <f>IF(INDEX(学年度总表!$Q$3:$Q$1025,MATCH($E103,学年度总表!$E$3:$E$1025,0))="","",INDEX(学年度总表!$Q$3:$Q$1025,MATCH($E103,学年度总表!$E$3:$E$1025,0)))</f>
        <v/>
      </c>
    </row>
    <row r="104" spans="1:17">
      <c r="A104" s="2">
        <f>IF(INDEX(学年度总表!$A$3:$A$1025,MATCH($E104,学年度总表!$E$3:$E$1025,0))="","",INDEX(学年度总表!$A$3:$A$1025,MATCH($E104,学年度总表!$E$3:$E$1025,0)))</f>
        <v>732</v>
      </c>
      <c r="B104" s="2">
        <f>IF(INDEX(学年度总表!$B$3:$B$1025,MATCH($E104,学年度总表!$E$3:$E$1025,0))="","",INDEX(学年度总表!$B$3:$B$1025,MATCH($E104,学年度总表!$E$3:$E$1025,0)))</f>
        <v>102</v>
      </c>
      <c r="C104" s="2" t="str">
        <f>IF(INDEX(学年度总表!$C$3:$C$1025,MATCH($E104,学年度总表!$E$3:$E$1025,0))="","",INDEX(学年度总表!$C$3:$C$1025,MATCH($E104,学年度总表!$E$3:$E$1025,0)))</f>
        <v>网工</v>
      </c>
      <c r="D104" s="2" t="str">
        <f>IF(INDEX(学年度总表!$D$3:$D$1025,MATCH($E104,学年度总表!$E$3:$E$1025,0))="","",INDEX(学年度总表!$D$3:$D$1025,MATCH($E104,学年度总表!$E$3:$E$1025,0)))</f>
        <v>网工17班</v>
      </c>
      <c r="E104" s="2" t="s">
        <v>1525</v>
      </c>
      <c r="F104" s="2" t="str">
        <f>IF(INDEX(学年度总表!$F$3:$F$1025,MATCH($E104,学年度总表!$E$3:$E$1025,0))="","",INDEX(学年度总表!$F$3:$F$1025,MATCH($E104,学年度总表!$E$3:$E$1025,0)))</f>
        <v>于士涵</v>
      </c>
      <c r="G104" s="3">
        <f>IF(INDEX(学年度总表!$G$3:$G$1025,MATCH($E104,学年度总表!$E$3:$E$1025,0))="","",INDEX(学年度总表!$G$3:$G$1025,MATCH($E104,学年度总表!$E$3:$E$1025,0)))</f>
        <v>11</v>
      </c>
      <c r="H104" s="3">
        <f>IF(INDEX(学年度总表!$H$3:$H$1025,MATCH($E104,学年度总表!$E$3:$E$1025,0))="","",INDEX(学年度总表!$H$3:$H$1025,MATCH($E104,学年度总表!$E$3:$E$1025,0)))</f>
        <v>52.12</v>
      </c>
      <c r="I104" s="3">
        <f>IF(INDEX(学年度总表!$I$3:$I$1025,MATCH($E104,学年度总表!$E$3:$E$1025,0))="","",INDEX(学年度总表!$I$3:$I$1025,MATCH($E104,学年度总表!$E$3:$E$1025,0)))</f>
        <v>3</v>
      </c>
      <c r="J104" s="3">
        <f>IF(INDEX(学年度总表!$J$3:$J$1025,MATCH($E104,学年度总表!$E$3:$E$1025,0))="","",INDEX(学年度总表!$J$3:$J$1025,MATCH($E104,学年度总表!$E$3:$E$1025,0)))</f>
        <v>66.12</v>
      </c>
      <c r="K104" s="3">
        <f>IF(INDEX(学年度总表!$K$3:$K$1025,MATCH($E104,学年度总表!$E$3:$E$1025,0))="","",INDEX(学年度总表!$K$3:$K$1025,MATCH($E104,学年度总表!$E$3:$E$1025,0)))</f>
        <v>10</v>
      </c>
      <c r="L104" s="3">
        <f>IF(INDEX(学年度总表!$L$3:$L$1025,MATCH($E104,学年度总表!$E$3:$E$1025,0))="","",INDEX(学年度总表!$L$3:$L$1025,MATCH($E104,学年度总表!$E$3:$E$1025,0)))</f>
        <v>49.08</v>
      </c>
      <c r="M104" s="3">
        <f>IF(INDEX(学年度总表!$M$3:$M$1025,MATCH($E104,学年度总表!$E$3:$E$1025,0))="","",INDEX(学年度总表!$M$3:$M$1025,MATCH($E104,学年度总表!$E$3:$E$1025,0)))</f>
        <v>3.5</v>
      </c>
      <c r="N104" s="3">
        <f>IF(INDEX(学年度总表!$N$3:$N$1025,MATCH($E104,学年度总表!$E$3:$E$1025,0))="","",INDEX(学年度总表!$N$3:$N$1025,MATCH($E104,学年度总表!$E$3:$E$1025,0)))</f>
        <v>62.58</v>
      </c>
      <c r="O104" s="3">
        <f>IF(INDEX(学年度总表!$O$3:$O$1025,MATCH($E104,学年度总表!$E$3:$E$1025,0))="","",INDEX(学年度总表!$O$3:$O$1025,MATCH($E104,学年度总表!$E$3:$E$1025,0)))</f>
        <v>128.69999999999999</v>
      </c>
      <c r="P104" s="2" t="str">
        <f>IF(INDEX(学年度总表!$P$3:$P$1025,MATCH($E104,学年度总表!$E$3:$E$1025,0))="","",INDEX(学年度总表!$P$3:$P$1025,MATCH($E104,学年度总表!$E$3:$E$1025,0)))</f>
        <v/>
      </c>
      <c r="Q104" s="5" t="str">
        <f>IF(INDEX(学年度总表!$Q$3:$Q$1025,MATCH($E104,学年度总表!$E$3:$E$1025,0))="","",INDEX(学年度总表!$Q$3:$Q$1025,MATCH($E104,学年度总表!$E$3:$E$1025,0)))</f>
        <v/>
      </c>
    </row>
    <row r="105" spans="1:17">
      <c r="A105" s="2">
        <f>IF(INDEX(学年度总表!$A$3:$A$1025,MATCH($E105,学年度总表!$E$3:$E$1025,0))="","",INDEX(学年度总表!$A$3:$A$1025,MATCH($E105,学年度总表!$E$3:$E$1025,0)))</f>
        <v>736</v>
      </c>
      <c r="B105" s="2">
        <f>IF(INDEX(学年度总表!$B$3:$B$1025,MATCH($E105,学年度总表!$E$3:$E$1025,0))="","",INDEX(学年度总表!$B$3:$B$1025,MATCH($E105,学年度总表!$E$3:$E$1025,0)))</f>
        <v>103</v>
      </c>
      <c r="C105" s="2" t="str">
        <f>IF(INDEX(学年度总表!$C$3:$C$1025,MATCH($E105,学年度总表!$E$3:$E$1025,0))="","",INDEX(学年度总表!$C$3:$C$1025,MATCH($E105,学年度总表!$E$3:$E$1025,0)))</f>
        <v>网工</v>
      </c>
      <c r="D105" s="2" t="str">
        <f>IF(INDEX(学年度总表!$D$3:$D$1025,MATCH($E105,学年度总表!$E$3:$E$1025,0))="","",INDEX(学年度总表!$D$3:$D$1025,MATCH($E105,学年度总表!$E$3:$E$1025,0)))</f>
        <v>网工18班</v>
      </c>
      <c r="E105" s="2" t="s">
        <v>1533</v>
      </c>
      <c r="F105" s="2" t="str">
        <f>IF(INDEX(学年度总表!$F$3:$F$1025,MATCH($E105,学年度总表!$E$3:$E$1025,0))="","",INDEX(学年度总表!$F$3:$F$1025,MATCH($E105,学年度总表!$E$3:$E$1025,0)))</f>
        <v>梁城玮</v>
      </c>
      <c r="G105" s="3">
        <f>IF(INDEX(学年度总表!$G$3:$G$1025,MATCH($E105,学年度总表!$E$3:$E$1025,0))="","",INDEX(学年度总表!$G$3:$G$1025,MATCH($E105,学年度总表!$E$3:$E$1025,0)))</f>
        <v>9.8000000000000007</v>
      </c>
      <c r="H105" s="3">
        <f>IF(INDEX(学年度总表!$H$3:$H$1025,MATCH($E105,学年度总表!$E$3:$E$1025,0))="","",INDEX(学年度总表!$H$3:$H$1025,MATCH($E105,学年度总表!$E$3:$E$1025,0)))</f>
        <v>54.05</v>
      </c>
      <c r="I105" s="3">
        <f>IF(INDEX(学年度总表!$I$3:$I$1025,MATCH($E105,学年度总表!$E$3:$E$1025,0))="","",INDEX(学年度总表!$I$3:$I$1025,MATCH($E105,学年度总表!$E$3:$E$1025,0)))</f>
        <v>3.9</v>
      </c>
      <c r="J105" s="3">
        <f>IF(INDEX(学年度总表!$J$3:$J$1025,MATCH($E105,学年度总表!$E$3:$E$1025,0))="","",INDEX(学年度总表!$J$3:$J$1025,MATCH($E105,学年度总表!$E$3:$E$1025,0)))</f>
        <v>67.75</v>
      </c>
      <c r="K105" s="3">
        <f>IF(INDEX(学年度总表!$K$3:$K$1025,MATCH($E105,学年度总表!$E$3:$E$1025,0))="","",INDEX(学年度总表!$K$3:$K$1025,MATCH($E105,学年度总表!$E$3:$E$1025,0)))</f>
        <v>9.8000000000000007</v>
      </c>
      <c r="L105" s="3">
        <f>IF(INDEX(学年度总表!$L$3:$L$1025,MATCH($E105,学年度总表!$E$3:$E$1025,0))="","",INDEX(学年度总表!$L$3:$L$1025,MATCH($E105,学年度总表!$E$3:$E$1025,0)))</f>
        <v>47.03</v>
      </c>
      <c r="M105" s="3">
        <f>IF(INDEX(学年度总表!$M$3:$M$1025,MATCH($E105,学年度总表!$E$3:$E$1025,0))="","",INDEX(学年度总表!$M$3:$M$1025,MATCH($E105,学年度总表!$E$3:$E$1025,0)))</f>
        <v>4</v>
      </c>
      <c r="N105" s="3">
        <f>IF(INDEX(学年度总表!$N$3:$N$1025,MATCH($E105,学年度总表!$E$3:$E$1025,0))="","",INDEX(学年度总表!$N$3:$N$1025,MATCH($E105,学年度总表!$E$3:$E$1025,0)))</f>
        <v>60.83</v>
      </c>
      <c r="O105" s="3">
        <f>IF(INDEX(学年度总表!$O$3:$O$1025,MATCH($E105,学年度总表!$E$3:$E$1025,0))="","",INDEX(学年度总表!$O$3:$O$1025,MATCH($E105,学年度总表!$E$3:$E$1025,0)))</f>
        <v>128.58000000000001</v>
      </c>
      <c r="P105" s="2" t="str">
        <f>IF(INDEX(学年度总表!$P$3:$P$1025,MATCH($E105,学年度总表!$E$3:$E$1025,0))="","",INDEX(学年度总表!$P$3:$P$1025,MATCH($E105,学年度总表!$E$3:$E$1025,0)))</f>
        <v/>
      </c>
      <c r="Q105" s="5" t="str">
        <f>IF(INDEX(学年度总表!$Q$3:$Q$1025,MATCH($E105,学年度总表!$E$3:$E$1025,0))="","",INDEX(学年度总表!$Q$3:$Q$1025,MATCH($E105,学年度总表!$E$3:$E$1025,0)))</f>
        <v/>
      </c>
    </row>
    <row r="106" spans="1:17">
      <c r="A106" s="2">
        <f>IF(INDEX(学年度总表!$A$3:$A$1025,MATCH($E106,学年度总表!$E$3:$E$1025,0))="","",INDEX(学年度总表!$A$3:$A$1025,MATCH($E106,学年度总表!$E$3:$E$1025,0)))</f>
        <v>741</v>
      </c>
      <c r="B106" s="2">
        <f>IF(INDEX(学年度总表!$B$3:$B$1025,MATCH($E106,学年度总表!$E$3:$E$1025,0))="","",INDEX(学年度总表!$B$3:$B$1025,MATCH($E106,学年度总表!$E$3:$E$1025,0)))</f>
        <v>104</v>
      </c>
      <c r="C106" s="2" t="str">
        <f>IF(INDEX(学年度总表!$C$3:$C$1025,MATCH($E106,学年度总表!$E$3:$E$1025,0))="","",INDEX(学年度总表!$C$3:$C$1025,MATCH($E106,学年度总表!$E$3:$E$1025,0)))</f>
        <v>网工</v>
      </c>
      <c r="D106" s="2" t="str">
        <f>IF(INDEX(学年度总表!$D$3:$D$1025,MATCH($E106,学年度总表!$E$3:$E$1025,0))="","",INDEX(学年度总表!$D$3:$D$1025,MATCH($E106,学年度总表!$E$3:$E$1025,0)))</f>
        <v>网工15班</v>
      </c>
      <c r="E106" s="2" t="s">
        <v>1543</v>
      </c>
      <c r="F106" s="2" t="str">
        <f>IF(INDEX(学年度总表!$F$3:$F$1025,MATCH($E106,学年度总表!$E$3:$E$1025,0))="","",INDEX(学年度总表!$F$3:$F$1025,MATCH($E106,学年度总表!$E$3:$E$1025,0)))</f>
        <v>李雨杭</v>
      </c>
      <c r="G106" s="3">
        <f>IF(INDEX(学年度总表!$G$3:$G$1025,MATCH($E106,学年度总表!$E$3:$E$1025,0))="","",INDEX(学年度总表!$G$3:$G$1025,MATCH($E106,学年度总表!$E$3:$E$1025,0)))</f>
        <v>9.8000000000000007</v>
      </c>
      <c r="H106" s="3">
        <f>IF(INDEX(学年度总表!$H$3:$H$1025,MATCH($E106,学年度总表!$E$3:$E$1025,0))="","",INDEX(学年度总表!$H$3:$H$1025,MATCH($E106,学年度总表!$E$3:$E$1025,0)))</f>
        <v>51.52</v>
      </c>
      <c r="I106" s="3">
        <f>IF(INDEX(学年度总表!$I$3:$I$1025,MATCH($E106,学年度总表!$E$3:$E$1025,0))="","",INDEX(学年度总表!$I$3:$I$1025,MATCH($E106,学年度总表!$E$3:$E$1025,0)))</f>
        <v>3</v>
      </c>
      <c r="J106" s="3">
        <f>IF(INDEX(学年度总表!$J$3:$J$1025,MATCH($E106,学年度总表!$E$3:$E$1025,0))="","",INDEX(学年度总表!$J$3:$J$1025,MATCH($E106,学年度总表!$E$3:$E$1025,0)))</f>
        <v>64.319999999999993</v>
      </c>
      <c r="K106" s="3">
        <f>IF(INDEX(学年度总表!$K$3:$K$1025,MATCH($E106,学年度总表!$E$3:$E$1025,0))="","",INDEX(学年度总表!$K$3:$K$1025,MATCH($E106,学年度总表!$E$3:$E$1025,0)))</f>
        <v>7.3000000000000007</v>
      </c>
      <c r="L106" s="3">
        <f>IF(INDEX(学年度总表!$L$3:$L$1025,MATCH($E106,学年度总表!$E$3:$E$1025,0))="","",INDEX(学年度总表!$L$3:$L$1025,MATCH($E106,学年度总表!$E$3:$E$1025,0)))</f>
        <v>53.31</v>
      </c>
      <c r="M106" s="3">
        <f>IF(INDEX(学年度总表!$M$3:$M$1025,MATCH($E106,学年度总表!$E$3:$E$1025,0))="","",INDEX(学年度总表!$M$3:$M$1025,MATCH($E106,学年度总表!$E$3:$E$1025,0)))</f>
        <v>3.5</v>
      </c>
      <c r="N106" s="3">
        <f>IF(INDEX(学年度总表!$N$3:$N$1025,MATCH($E106,学年度总表!$E$3:$E$1025,0))="","",INDEX(学年度总表!$N$3:$N$1025,MATCH($E106,学年度总表!$E$3:$E$1025,0)))</f>
        <v>64.11</v>
      </c>
      <c r="O106" s="3">
        <f>IF(INDEX(学年度总表!$O$3:$O$1025,MATCH($E106,学年度总表!$E$3:$E$1025,0))="","",INDEX(学年度总表!$O$3:$O$1025,MATCH($E106,学年度总表!$E$3:$E$1025,0)))</f>
        <v>128.43</v>
      </c>
      <c r="P106" s="2" t="str">
        <f>IF(INDEX(学年度总表!$P$3:$P$1025,MATCH($E106,学年度总表!$E$3:$E$1025,0))="","",INDEX(学年度总表!$P$3:$P$1025,MATCH($E106,学年度总表!$E$3:$E$1025,0)))</f>
        <v/>
      </c>
      <c r="Q106" s="5" t="str">
        <f>IF(INDEX(学年度总表!$Q$3:$Q$1025,MATCH($E106,学年度总表!$E$3:$E$1025,0))="","",INDEX(学年度总表!$Q$3:$Q$1025,MATCH($E106,学年度总表!$E$3:$E$1025,0)))</f>
        <v/>
      </c>
    </row>
    <row r="107" spans="1:17">
      <c r="A107" s="2">
        <f>IF(INDEX(学年度总表!$A$3:$A$1025,MATCH($E107,学年度总表!$E$3:$E$1025,0))="","",INDEX(学年度总表!$A$3:$A$1025,MATCH($E107,学年度总表!$E$3:$E$1025,0)))</f>
        <v>773</v>
      </c>
      <c r="B107" s="2">
        <f>IF(INDEX(学年度总表!$B$3:$B$1025,MATCH($E107,学年度总表!$E$3:$E$1025,0))="","",INDEX(学年度总表!$B$3:$B$1025,MATCH($E107,学年度总表!$E$3:$E$1025,0)))</f>
        <v>105</v>
      </c>
      <c r="C107" s="2" t="str">
        <f>IF(INDEX(学年度总表!$C$3:$C$1025,MATCH($E107,学年度总表!$E$3:$E$1025,0))="","",INDEX(学年度总表!$C$3:$C$1025,MATCH($E107,学年度总表!$E$3:$E$1025,0)))</f>
        <v>网工</v>
      </c>
      <c r="D107" s="2" t="str">
        <f>IF(INDEX(学年度总表!$D$3:$D$1025,MATCH($E107,学年度总表!$E$3:$E$1025,0))="","",INDEX(学年度总表!$D$3:$D$1025,MATCH($E107,学年度总表!$E$3:$E$1025,0)))</f>
        <v>网工17班</v>
      </c>
      <c r="E107" s="2" t="s">
        <v>1607</v>
      </c>
      <c r="F107" s="2" t="str">
        <f>IF(INDEX(学年度总表!$F$3:$F$1025,MATCH($E107,学年度总表!$E$3:$E$1025,0))="","",INDEX(学年度总表!$F$3:$F$1025,MATCH($E107,学年度总表!$E$3:$E$1025,0)))</f>
        <v>姚菡娉</v>
      </c>
      <c r="G107" s="3">
        <f>IF(INDEX(学年度总表!$G$3:$G$1025,MATCH($E107,学年度总表!$E$3:$E$1025,0))="","",INDEX(学年度总表!$G$3:$G$1025,MATCH($E107,学年度总表!$E$3:$E$1025,0)))</f>
        <v>9.6</v>
      </c>
      <c r="H107" s="3">
        <f>IF(INDEX(学年度总表!$H$3:$H$1025,MATCH($E107,学年度总表!$E$3:$E$1025,0))="","",INDEX(学年度总表!$H$3:$H$1025,MATCH($E107,学年度总表!$E$3:$E$1025,0)))</f>
        <v>47.6</v>
      </c>
      <c r="I107" s="3">
        <f>IF(INDEX(学年度总表!$I$3:$I$1025,MATCH($E107,学年度总表!$E$3:$E$1025,0))="","",INDEX(学年度总表!$I$3:$I$1025,MATCH($E107,学年度总表!$E$3:$E$1025,0)))</f>
        <v>3</v>
      </c>
      <c r="J107" s="3">
        <f>IF(INDEX(学年度总表!$J$3:$J$1025,MATCH($E107,学年度总表!$E$3:$E$1025,0))="","",INDEX(学年度总表!$J$3:$J$1025,MATCH($E107,学年度总表!$E$3:$E$1025,0)))</f>
        <v>60.2</v>
      </c>
      <c r="K107" s="3">
        <f>IF(INDEX(学年度总表!$K$3:$K$1025,MATCH($E107,学年度总表!$E$3:$E$1025,0))="","",INDEX(学年度总表!$K$3:$K$1025,MATCH($E107,学年度总表!$E$3:$E$1025,0)))</f>
        <v>7.5</v>
      </c>
      <c r="L107" s="3">
        <f>IF(INDEX(学年度总表!$L$3:$L$1025,MATCH($E107,学年度总表!$E$3:$E$1025,0))="","",INDEX(学年度总表!$L$3:$L$1025,MATCH($E107,学年度总表!$E$3:$E$1025,0)))</f>
        <v>54.56</v>
      </c>
      <c r="M107" s="3">
        <f>IF(INDEX(学年度总表!$M$3:$M$1025,MATCH($E107,学年度总表!$E$3:$E$1025,0))="","",INDEX(学年度总表!$M$3:$M$1025,MATCH($E107,学年度总表!$E$3:$E$1025,0)))</f>
        <v>3.5</v>
      </c>
      <c r="N107" s="3">
        <f>IF(INDEX(学年度总表!$N$3:$N$1025,MATCH($E107,学年度总表!$E$3:$E$1025,0))="","",INDEX(学年度总表!$N$3:$N$1025,MATCH($E107,学年度总表!$E$3:$E$1025,0)))</f>
        <v>65.56</v>
      </c>
      <c r="O107" s="3">
        <f>IF(INDEX(学年度总表!$O$3:$O$1025,MATCH($E107,学年度总表!$E$3:$E$1025,0))="","",INDEX(学年度总表!$O$3:$O$1025,MATCH($E107,学年度总表!$E$3:$E$1025,0)))</f>
        <v>125.76</v>
      </c>
      <c r="P107" s="2" t="str">
        <f>IF(INDEX(学年度总表!$P$3:$P$1025,MATCH($E107,学年度总表!$E$3:$E$1025,0))="","",INDEX(学年度总表!$P$3:$P$1025,MATCH($E107,学年度总表!$E$3:$E$1025,0)))</f>
        <v/>
      </c>
      <c r="Q107" s="5" t="str">
        <f>IF(INDEX(学年度总表!$Q$3:$Q$1025,MATCH($E107,学年度总表!$E$3:$E$1025,0))="","",INDEX(学年度总表!$Q$3:$Q$1025,MATCH($E107,学年度总表!$E$3:$E$1025,0)))</f>
        <v/>
      </c>
    </row>
    <row r="108" spans="1:17">
      <c r="A108" s="2">
        <f>IF(INDEX(学年度总表!$A$3:$A$1025,MATCH($E108,学年度总表!$E$3:$E$1025,0))="","",INDEX(学年度总表!$A$3:$A$1025,MATCH($E108,学年度总表!$E$3:$E$1025,0)))</f>
        <v>777</v>
      </c>
      <c r="B108" s="2">
        <f>IF(INDEX(学年度总表!$B$3:$B$1025,MATCH($E108,学年度总表!$E$3:$E$1025,0))="","",INDEX(学年度总表!$B$3:$B$1025,MATCH($E108,学年度总表!$E$3:$E$1025,0)))</f>
        <v>106</v>
      </c>
      <c r="C108" s="2" t="str">
        <f>IF(INDEX(学年度总表!$C$3:$C$1025,MATCH($E108,学年度总表!$E$3:$E$1025,0))="","",INDEX(学年度总表!$C$3:$C$1025,MATCH($E108,学年度总表!$E$3:$E$1025,0)))</f>
        <v>网工</v>
      </c>
      <c r="D108" s="2" t="str">
        <f>IF(INDEX(学年度总表!$D$3:$D$1025,MATCH($E108,学年度总表!$E$3:$E$1025,0))="","",INDEX(学年度总表!$D$3:$D$1025,MATCH($E108,学年度总表!$E$3:$E$1025,0)))</f>
        <v>网工16班</v>
      </c>
      <c r="E108" s="2" t="s">
        <v>1615</v>
      </c>
      <c r="F108" s="2" t="str">
        <f>IF(INDEX(学年度总表!$F$3:$F$1025,MATCH($E108,学年度总表!$E$3:$E$1025,0))="","",INDEX(学年度总表!$F$3:$F$1025,MATCH($E108,学年度总表!$E$3:$E$1025,0)))</f>
        <v>陈思安</v>
      </c>
      <c r="G108" s="3">
        <f>IF(INDEX(学年度总表!$G$3:$G$1025,MATCH($E108,学年度总表!$E$3:$E$1025,0))="","",INDEX(学年度总表!$G$3:$G$1025,MATCH($E108,学年度总表!$E$3:$E$1025,0)))</f>
        <v>9.8000000000000007</v>
      </c>
      <c r="H108" s="3">
        <f>IF(INDEX(学年度总表!$H$3:$H$1025,MATCH($E108,学年度总表!$E$3:$E$1025,0))="","",INDEX(学年度总表!$H$3:$H$1025,MATCH($E108,学年度总表!$E$3:$E$1025,0)))</f>
        <v>49.55</v>
      </c>
      <c r="I108" s="3">
        <f>IF(INDEX(学年度总表!$I$3:$I$1025,MATCH($E108,学年度总表!$E$3:$E$1025,0))="","",INDEX(学年度总表!$I$3:$I$1025,MATCH($E108,学年度总表!$E$3:$E$1025,0)))</f>
        <v>3</v>
      </c>
      <c r="J108" s="3">
        <f>IF(INDEX(学年度总表!$J$3:$J$1025,MATCH($E108,学年度总表!$E$3:$E$1025,0))="","",INDEX(学年度总表!$J$3:$J$1025,MATCH($E108,学年度总表!$E$3:$E$1025,0)))</f>
        <v>62.35</v>
      </c>
      <c r="K108" s="3">
        <f>IF(INDEX(学年度总表!$K$3:$K$1025,MATCH($E108,学年度总表!$E$3:$E$1025,0))="","",INDEX(学年度总表!$K$3:$K$1025,MATCH($E108,学年度总表!$E$3:$E$1025,0)))</f>
        <v>7.3000000000000007</v>
      </c>
      <c r="L108" s="3">
        <f>IF(INDEX(学年度总表!$L$3:$L$1025,MATCH($E108,学年度总表!$E$3:$E$1025,0))="","",INDEX(学年度总表!$L$3:$L$1025,MATCH($E108,学年度总表!$E$3:$E$1025,0)))</f>
        <v>52.25</v>
      </c>
      <c r="M108" s="3">
        <f>IF(INDEX(学年度总表!$M$3:$M$1025,MATCH($E108,学年度总表!$E$3:$E$1025,0))="","",INDEX(学年度总表!$M$3:$M$1025,MATCH($E108,学年度总表!$E$3:$E$1025,0)))</f>
        <v>3.5</v>
      </c>
      <c r="N108" s="3">
        <f>IF(INDEX(学年度总表!$N$3:$N$1025,MATCH($E108,学年度总表!$E$3:$E$1025,0))="","",INDEX(学年度总表!$N$3:$N$1025,MATCH($E108,学年度总表!$E$3:$E$1025,0)))</f>
        <v>63.05</v>
      </c>
      <c r="O108" s="3">
        <f>IF(INDEX(学年度总表!$O$3:$O$1025,MATCH($E108,学年度总表!$E$3:$E$1025,0))="","",INDEX(学年度总表!$O$3:$O$1025,MATCH($E108,学年度总表!$E$3:$E$1025,0)))</f>
        <v>125.4</v>
      </c>
      <c r="P108" s="2" t="str">
        <f>IF(INDEX(学年度总表!$P$3:$P$1025,MATCH($E108,学年度总表!$E$3:$E$1025,0))="","",INDEX(学年度总表!$P$3:$P$1025,MATCH($E108,学年度总表!$E$3:$E$1025,0)))</f>
        <v/>
      </c>
      <c r="Q108" s="5" t="str">
        <f>IF(INDEX(学年度总表!$Q$3:$Q$1025,MATCH($E108,学年度总表!$E$3:$E$1025,0))="","",INDEX(学年度总表!$Q$3:$Q$1025,MATCH($E108,学年度总表!$E$3:$E$1025,0)))</f>
        <v/>
      </c>
    </row>
    <row r="109" spans="1:17">
      <c r="A109" s="2">
        <f>IF(INDEX(学年度总表!$A$3:$A$1025,MATCH($E109,学年度总表!$E$3:$E$1025,0))="","",INDEX(学年度总表!$A$3:$A$1025,MATCH($E109,学年度总表!$E$3:$E$1025,0)))</f>
        <v>781</v>
      </c>
      <c r="B109" s="2">
        <f>IF(INDEX(学年度总表!$B$3:$B$1025,MATCH($E109,学年度总表!$E$3:$E$1025,0))="","",INDEX(学年度总表!$B$3:$B$1025,MATCH($E109,学年度总表!$E$3:$E$1025,0)))</f>
        <v>107</v>
      </c>
      <c r="C109" s="2" t="str">
        <f>IF(INDEX(学年度总表!$C$3:$C$1025,MATCH($E109,学年度总表!$E$3:$E$1025,0))="","",INDEX(学年度总表!$C$3:$C$1025,MATCH($E109,学年度总表!$E$3:$E$1025,0)))</f>
        <v>网工</v>
      </c>
      <c r="D109" s="2" t="str">
        <f>IF(INDEX(学年度总表!$D$3:$D$1025,MATCH($E109,学年度总表!$E$3:$E$1025,0))="","",INDEX(学年度总表!$D$3:$D$1025,MATCH($E109,学年度总表!$E$3:$E$1025,0)))</f>
        <v>网工15班</v>
      </c>
      <c r="E109" s="2" t="s">
        <v>1623</v>
      </c>
      <c r="F109" s="2" t="str">
        <f>IF(INDEX(学年度总表!$F$3:$F$1025,MATCH($E109,学年度总表!$E$3:$E$1025,0))="","",INDEX(学年度总表!$F$3:$F$1025,MATCH($E109,学年度总表!$E$3:$E$1025,0)))</f>
        <v>刘旭泽</v>
      </c>
      <c r="G109" s="3">
        <f>IF(INDEX(学年度总表!$G$3:$G$1025,MATCH($E109,学年度总表!$E$3:$E$1025,0))="","",INDEX(学年度总表!$G$3:$G$1025,MATCH($E109,学年度总表!$E$3:$E$1025,0)))</f>
        <v>10</v>
      </c>
      <c r="H109" s="3">
        <f>IF(INDEX(学年度总表!$H$3:$H$1025,MATCH($E109,学年度总表!$E$3:$E$1025,0))="","",INDEX(学年度总表!$H$3:$H$1025,MATCH($E109,学年度总表!$E$3:$E$1025,0)))</f>
        <v>45.84</v>
      </c>
      <c r="I109" s="3">
        <f>IF(INDEX(学年度总表!$I$3:$I$1025,MATCH($E109,学年度总表!$E$3:$E$1025,0))="","",INDEX(学年度总表!$I$3:$I$1025,MATCH($E109,学年度总表!$E$3:$E$1025,0)))</f>
        <v>6.4</v>
      </c>
      <c r="J109" s="3">
        <f>IF(INDEX(学年度总表!$J$3:$J$1025,MATCH($E109,学年度总表!$E$3:$E$1025,0))="","",INDEX(学年度总表!$J$3:$J$1025,MATCH($E109,学年度总表!$E$3:$E$1025,0)))</f>
        <v>62.24</v>
      </c>
      <c r="K109" s="3">
        <f>IF(INDEX(学年度总表!$K$3:$K$1025,MATCH($E109,学年度总表!$E$3:$E$1025,0))="","",INDEX(学年度总表!$K$3:$K$1025,MATCH($E109,学年度总表!$E$3:$E$1025,0)))</f>
        <v>7.5</v>
      </c>
      <c r="L109" s="3">
        <f>IF(INDEX(学年度总表!$L$3:$L$1025,MATCH($E109,学年度总表!$E$3:$E$1025,0))="","",INDEX(学年度总表!$L$3:$L$1025,MATCH($E109,学年度总表!$E$3:$E$1025,0)))</f>
        <v>51.52</v>
      </c>
      <c r="M109" s="3">
        <f>IF(INDEX(学年度总表!$M$3:$M$1025,MATCH($E109,学年度总表!$E$3:$E$1025,0))="","",INDEX(学年度总表!$M$3:$M$1025,MATCH($E109,学年度总表!$E$3:$E$1025,0)))</f>
        <v>4</v>
      </c>
      <c r="N109" s="3">
        <f>IF(INDEX(学年度总表!$N$3:$N$1025,MATCH($E109,学年度总表!$E$3:$E$1025,0))="","",INDEX(学年度总表!$N$3:$N$1025,MATCH($E109,学年度总表!$E$3:$E$1025,0)))</f>
        <v>63.02</v>
      </c>
      <c r="O109" s="3">
        <f>IF(INDEX(学年度总表!$O$3:$O$1025,MATCH($E109,学年度总表!$E$3:$E$1025,0))="","",INDEX(学年度总表!$O$3:$O$1025,MATCH($E109,学年度总表!$E$3:$E$1025,0)))</f>
        <v>125.26</v>
      </c>
      <c r="P109" s="2" t="str">
        <f>IF(INDEX(学年度总表!$P$3:$P$1025,MATCH($E109,学年度总表!$E$3:$E$1025,0))="","",INDEX(学年度总表!$P$3:$P$1025,MATCH($E109,学年度总表!$E$3:$E$1025,0)))</f>
        <v/>
      </c>
      <c r="Q109" s="5" t="str">
        <f>IF(INDEX(学年度总表!$Q$3:$Q$1025,MATCH($E109,学年度总表!$E$3:$E$1025,0))="","",INDEX(学年度总表!$Q$3:$Q$1025,MATCH($E109,学年度总表!$E$3:$E$1025,0)))</f>
        <v/>
      </c>
    </row>
    <row r="110" spans="1:17">
      <c r="A110" s="2">
        <f>IF(INDEX(学年度总表!$A$3:$A$1025,MATCH($E110,学年度总表!$E$3:$E$1025,0))="","",INDEX(学年度总表!$A$3:$A$1025,MATCH($E110,学年度总表!$E$3:$E$1025,0)))</f>
        <v>783</v>
      </c>
      <c r="B110" s="2">
        <f>IF(INDEX(学年度总表!$B$3:$B$1025,MATCH($E110,学年度总表!$E$3:$E$1025,0))="","",INDEX(学年度总表!$B$3:$B$1025,MATCH($E110,学年度总表!$E$3:$E$1025,0)))</f>
        <v>108</v>
      </c>
      <c r="C110" s="2" t="str">
        <f>IF(INDEX(学年度总表!$C$3:$C$1025,MATCH($E110,学年度总表!$E$3:$E$1025,0))="","",INDEX(学年度总表!$C$3:$C$1025,MATCH($E110,学年度总表!$E$3:$E$1025,0)))</f>
        <v>网工</v>
      </c>
      <c r="D110" s="2" t="str">
        <f>IF(INDEX(学年度总表!$D$3:$D$1025,MATCH($E110,学年度总表!$E$3:$E$1025,0))="","",INDEX(学年度总表!$D$3:$D$1025,MATCH($E110,学年度总表!$E$3:$E$1025,0)))</f>
        <v>网工18班</v>
      </c>
      <c r="E110" s="2" t="s">
        <v>1627</v>
      </c>
      <c r="F110" s="2" t="str">
        <f>IF(INDEX(学年度总表!$F$3:$F$1025,MATCH($E110,学年度总表!$E$3:$E$1025,0))="","",INDEX(学年度总表!$F$3:$F$1025,MATCH($E110,学年度总表!$E$3:$E$1025,0)))</f>
        <v>李翰林</v>
      </c>
      <c r="G110" s="3">
        <f>IF(INDEX(学年度总表!$G$3:$G$1025,MATCH($E110,学年度总表!$E$3:$E$1025,0))="","",INDEX(学年度总表!$G$3:$G$1025,MATCH($E110,学年度总表!$E$3:$E$1025,0)))</f>
        <v>9.8000000000000007</v>
      </c>
      <c r="H110" s="3">
        <f>IF(INDEX(学年度总表!$H$3:$H$1025,MATCH($E110,学年度总表!$E$3:$E$1025,0))="","",INDEX(学年度总表!$H$3:$H$1025,MATCH($E110,学年度总表!$E$3:$E$1025,0)))</f>
        <v>55.64</v>
      </c>
      <c r="I110" s="3">
        <f>IF(INDEX(学年度总表!$I$3:$I$1025,MATCH($E110,学年度总表!$E$3:$E$1025,0))="","",INDEX(学年度总表!$I$3:$I$1025,MATCH($E110,学年度总表!$E$3:$E$1025,0)))</f>
        <v>3.9</v>
      </c>
      <c r="J110" s="3">
        <f>IF(INDEX(学年度总表!$J$3:$J$1025,MATCH($E110,学年度总表!$E$3:$E$1025,0))="","",INDEX(学年度总表!$J$3:$J$1025,MATCH($E110,学年度总表!$E$3:$E$1025,0)))</f>
        <v>69.34</v>
      </c>
      <c r="K110" s="3">
        <f>IF(INDEX(学年度总表!$K$3:$K$1025,MATCH($E110,学年度总表!$E$3:$E$1025,0))="","",INDEX(学年度总表!$K$3:$K$1025,MATCH($E110,学年度总表!$E$3:$E$1025,0)))</f>
        <v>7.3000000000000007</v>
      </c>
      <c r="L110" s="3">
        <f>IF(INDEX(学年度总表!$L$3:$L$1025,MATCH($E110,学年度总表!$E$3:$E$1025,0))="","",INDEX(学年度总表!$L$3:$L$1025,MATCH($E110,学年度总表!$E$3:$E$1025,0)))</f>
        <v>44.21</v>
      </c>
      <c r="M110" s="3">
        <f>IF(INDEX(学年度总表!$M$3:$M$1025,MATCH($E110,学年度总表!$E$3:$E$1025,0))="","",INDEX(学年度总表!$M$3:$M$1025,MATCH($E110,学年度总表!$E$3:$E$1025,0)))</f>
        <v>4.4000000000000004</v>
      </c>
      <c r="N110" s="3">
        <f>IF(INDEX(学年度总表!$N$3:$N$1025,MATCH($E110,学年度总表!$E$3:$E$1025,0))="","",INDEX(学年度总表!$N$3:$N$1025,MATCH($E110,学年度总表!$E$3:$E$1025,0)))</f>
        <v>55.91</v>
      </c>
      <c r="O110" s="3">
        <f>IF(INDEX(学年度总表!$O$3:$O$1025,MATCH($E110,学年度总表!$E$3:$E$1025,0))="","",INDEX(学年度总表!$O$3:$O$1025,MATCH($E110,学年度总表!$E$3:$E$1025,0)))</f>
        <v>125.25</v>
      </c>
      <c r="P110" s="2" t="str">
        <f>IF(INDEX(学年度总表!$P$3:$P$1025,MATCH($E110,学年度总表!$E$3:$E$1025,0))="","",INDEX(学年度总表!$P$3:$P$1025,MATCH($E110,学年度总表!$E$3:$E$1025,0)))</f>
        <v/>
      </c>
      <c r="Q110" s="5" t="str">
        <f>IF(INDEX(学年度总表!$Q$3:$Q$1025,MATCH($E110,学年度总表!$E$3:$E$1025,0))="","",INDEX(学年度总表!$Q$3:$Q$1025,MATCH($E110,学年度总表!$E$3:$E$1025,0)))</f>
        <v/>
      </c>
    </row>
    <row r="111" spans="1:17">
      <c r="A111" s="2">
        <f>IF(INDEX(学年度总表!$A$3:$A$1025,MATCH($E111,学年度总表!$E$3:$E$1025,0))="","",INDEX(学年度总表!$A$3:$A$1025,MATCH($E111,学年度总表!$E$3:$E$1025,0)))</f>
        <v>792</v>
      </c>
      <c r="B111" s="2">
        <f>IF(INDEX(学年度总表!$B$3:$B$1025,MATCH($E111,学年度总表!$E$3:$E$1025,0))="","",INDEX(学年度总表!$B$3:$B$1025,MATCH($E111,学年度总表!$E$3:$E$1025,0)))</f>
        <v>109</v>
      </c>
      <c r="C111" s="2" t="str">
        <f>IF(INDEX(学年度总表!$C$3:$C$1025,MATCH($E111,学年度总表!$E$3:$E$1025,0))="","",INDEX(学年度总表!$C$3:$C$1025,MATCH($E111,学年度总表!$E$3:$E$1025,0)))</f>
        <v>网工</v>
      </c>
      <c r="D111" s="2" t="str">
        <f>IF(INDEX(学年度总表!$D$3:$D$1025,MATCH($E111,学年度总表!$E$3:$E$1025,0))="","",INDEX(学年度总表!$D$3:$D$1025,MATCH($E111,学年度总表!$E$3:$E$1025,0)))</f>
        <v>网工16班</v>
      </c>
      <c r="E111" s="2" t="s">
        <v>1645</v>
      </c>
      <c r="F111" s="2" t="str">
        <f>IF(INDEX(学年度总表!$F$3:$F$1025,MATCH($E111,学年度总表!$E$3:$E$1025,0))="","",INDEX(学年度总表!$F$3:$F$1025,MATCH($E111,学年度总表!$E$3:$E$1025,0)))</f>
        <v>关博予</v>
      </c>
      <c r="G111" s="3">
        <f>IF(INDEX(学年度总表!$G$3:$G$1025,MATCH($E111,学年度总表!$E$3:$E$1025,0))="","",INDEX(学年度总表!$G$3:$G$1025,MATCH($E111,学年度总表!$E$3:$E$1025,0)))</f>
        <v>9.8000000000000007</v>
      </c>
      <c r="H111" s="3">
        <f>IF(INDEX(学年度总表!$H$3:$H$1025,MATCH($E111,学年度总表!$E$3:$E$1025,0))="","",INDEX(学年度总表!$H$3:$H$1025,MATCH($E111,学年度总表!$E$3:$E$1025,0)))</f>
        <v>52.56</v>
      </c>
      <c r="I111" s="3">
        <f>IF(INDEX(学年度总表!$I$3:$I$1025,MATCH($E111,学年度总表!$E$3:$E$1025,0))="","",INDEX(学年度总表!$I$3:$I$1025,MATCH($E111,学年度总表!$E$3:$E$1025,0)))</f>
        <v>3</v>
      </c>
      <c r="J111" s="3">
        <f>IF(INDEX(学年度总表!$J$3:$J$1025,MATCH($E111,学年度总表!$E$3:$E$1025,0))="","",INDEX(学年度总表!$J$3:$J$1025,MATCH($E111,学年度总表!$E$3:$E$1025,0)))</f>
        <v>65.36</v>
      </c>
      <c r="K111" s="3">
        <f>IF(INDEX(学年度总表!$K$3:$K$1025,MATCH($E111,学年度总表!$E$3:$E$1025,0))="","",INDEX(学年度总表!$K$3:$K$1025,MATCH($E111,学年度总表!$E$3:$E$1025,0)))</f>
        <v>7.3000000000000007</v>
      </c>
      <c r="L111" s="3">
        <f>IF(INDEX(学年度总表!$L$3:$L$1025,MATCH($E111,学年度总表!$E$3:$E$1025,0))="","",INDEX(学年度总表!$L$3:$L$1025,MATCH($E111,学年度总表!$E$3:$E$1025,0)))</f>
        <v>48.18</v>
      </c>
      <c r="M111" s="3">
        <f>IF(INDEX(学年度总表!$M$3:$M$1025,MATCH($E111,学年度总表!$E$3:$E$1025,0))="","",INDEX(学年度总表!$M$3:$M$1025,MATCH($E111,学年度总表!$E$3:$E$1025,0)))</f>
        <v>3.7</v>
      </c>
      <c r="N111" s="3">
        <f>IF(INDEX(学年度总表!$N$3:$N$1025,MATCH($E111,学年度总表!$E$3:$E$1025,0))="","",INDEX(学年度总表!$N$3:$N$1025,MATCH($E111,学年度总表!$E$3:$E$1025,0)))</f>
        <v>59.18</v>
      </c>
      <c r="O111" s="3">
        <f>IF(INDEX(学年度总表!$O$3:$O$1025,MATCH($E111,学年度总表!$E$3:$E$1025,0))="","",INDEX(学年度总表!$O$3:$O$1025,MATCH($E111,学年度总表!$E$3:$E$1025,0)))</f>
        <v>124.54</v>
      </c>
      <c r="P111" s="2" t="str">
        <f>IF(INDEX(学年度总表!$P$3:$P$1025,MATCH($E111,学年度总表!$E$3:$E$1025,0))="","",INDEX(学年度总表!$P$3:$P$1025,MATCH($E111,学年度总表!$E$3:$E$1025,0)))</f>
        <v/>
      </c>
      <c r="Q111" s="5" t="str">
        <f>IF(INDEX(学年度总表!$Q$3:$Q$1025,MATCH($E111,学年度总表!$E$3:$E$1025,0))="","",INDEX(学年度总表!$Q$3:$Q$1025,MATCH($E111,学年度总表!$E$3:$E$1025,0)))</f>
        <v/>
      </c>
    </row>
    <row r="112" spans="1:17">
      <c r="A112" s="2">
        <f>IF(INDEX(学年度总表!$A$3:$A$1025,MATCH($E112,学年度总表!$E$3:$E$1025,0))="","",INDEX(学年度总表!$A$3:$A$1025,MATCH($E112,学年度总表!$E$3:$E$1025,0)))</f>
        <v>803</v>
      </c>
      <c r="B112" s="2">
        <f>IF(INDEX(学年度总表!$B$3:$B$1025,MATCH($E112,学年度总表!$E$3:$E$1025,0))="","",INDEX(学年度总表!$B$3:$B$1025,MATCH($E112,学年度总表!$E$3:$E$1025,0)))</f>
        <v>110</v>
      </c>
      <c r="C112" s="2" t="str">
        <f>IF(INDEX(学年度总表!$C$3:$C$1025,MATCH($E112,学年度总表!$E$3:$E$1025,0))="","",INDEX(学年度总表!$C$3:$C$1025,MATCH($E112,学年度总表!$E$3:$E$1025,0)))</f>
        <v>网工</v>
      </c>
      <c r="D112" s="2" t="str">
        <f>IF(INDEX(学年度总表!$D$3:$D$1025,MATCH($E112,学年度总表!$E$3:$E$1025,0))="","",INDEX(学年度总表!$D$3:$D$1025,MATCH($E112,学年度总表!$E$3:$E$1025,0)))</f>
        <v>网工16班</v>
      </c>
      <c r="E112" s="2" t="s">
        <v>1667</v>
      </c>
      <c r="F112" s="2" t="str">
        <f>IF(INDEX(学年度总表!$F$3:$F$1025,MATCH($E112,学年度总表!$E$3:$E$1025,0))="","",INDEX(学年度总表!$F$3:$F$1025,MATCH($E112,学年度总表!$E$3:$E$1025,0)))</f>
        <v>贾智凯</v>
      </c>
      <c r="G112" s="3">
        <f>IF(INDEX(学年度总表!$G$3:$G$1025,MATCH($E112,学年度总表!$E$3:$E$1025,0))="","",INDEX(学年度总表!$G$3:$G$1025,MATCH($E112,学年度总表!$E$3:$E$1025,0)))</f>
        <v>9.8000000000000007</v>
      </c>
      <c r="H112" s="3">
        <f>IF(INDEX(学年度总表!$H$3:$H$1025,MATCH($E112,学年度总表!$E$3:$E$1025,0))="","",INDEX(学年度总表!$H$3:$H$1025,MATCH($E112,学年度总表!$E$3:$E$1025,0)))</f>
        <v>49.43</v>
      </c>
      <c r="I112" s="3">
        <f>IF(INDEX(学年度总表!$I$3:$I$1025,MATCH($E112,学年度总表!$E$3:$E$1025,0))="","",INDEX(学年度总表!$I$3:$I$1025,MATCH($E112,学年度总表!$E$3:$E$1025,0)))</f>
        <v>3</v>
      </c>
      <c r="J112" s="3">
        <f>IF(INDEX(学年度总表!$J$3:$J$1025,MATCH($E112,学年度总表!$E$3:$E$1025,0))="","",INDEX(学年度总表!$J$3:$J$1025,MATCH($E112,学年度总表!$E$3:$E$1025,0)))</f>
        <v>62.23</v>
      </c>
      <c r="K112" s="3">
        <f>IF(INDEX(学年度总表!$K$3:$K$1025,MATCH($E112,学年度总表!$E$3:$E$1025,0))="","",INDEX(学年度总表!$K$3:$K$1025,MATCH($E112,学年度总表!$E$3:$E$1025,0)))</f>
        <v>7.3000000000000007</v>
      </c>
      <c r="L112" s="3">
        <f>IF(INDEX(学年度总表!$L$3:$L$1025,MATCH($E112,学年度总表!$E$3:$E$1025,0))="","",INDEX(学年度总表!$L$3:$L$1025,MATCH($E112,学年度总表!$E$3:$E$1025,0)))</f>
        <v>51.09</v>
      </c>
      <c r="M112" s="3">
        <f>IF(INDEX(学年度总表!$M$3:$M$1025,MATCH($E112,学年度总表!$E$3:$E$1025,0))="","",INDEX(学年度总表!$M$3:$M$1025,MATCH($E112,学年度总表!$E$3:$E$1025,0)))</f>
        <v>3.5</v>
      </c>
      <c r="N112" s="3">
        <f>IF(INDEX(学年度总表!$N$3:$N$1025,MATCH($E112,学年度总表!$E$3:$E$1025,0))="","",INDEX(学年度总表!$N$3:$N$1025,MATCH($E112,学年度总表!$E$3:$E$1025,0)))</f>
        <v>61.89</v>
      </c>
      <c r="O112" s="3">
        <f>IF(INDEX(学年度总表!$O$3:$O$1025,MATCH($E112,学年度总表!$E$3:$E$1025,0))="","",INDEX(学年度总表!$O$3:$O$1025,MATCH($E112,学年度总表!$E$3:$E$1025,0)))</f>
        <v>124.12</v>
      </c>
      <c r="P112" s="2" t="str">
        <f>IF(INDEX(学年度总表!$P$3:$P$1025,MATCH($E112,学年度总表!$E$3:$E$1025,0))="","",INDEX(学年度总表!$P$3:$P$1025,MATCH($E112,学年度总表!$E$3:$E$1025,0)))</f>
        <v/>
      </c>
      <c r="Q112" s="5" t="str">
        <f>IF(INDEX(学年度总表!$Q$3:$Q$1025,MATCH($E112,学年度总表!$E$3:$E$1025,0))="","",INDEX(学年度总表!$Q$3:$Q$1025,MATCH($E112,学年度总表!$E$3:$E$1025,0)))</f>
        <v/>
      </c>
    </row>
    <row r="113" spans="1:17">
      <c r="A113" s="2">
        <f>IF(INDEX(学年度总表!$A$3:$A$1025,MATCH($E113,学年度总表!$E$3:$E$1025,0))="","",INDEX(学年度总表!$A$3:$A$1025,MATCH($E113,学年度总表!$E$3:$E$1025,0)))</f>
        <v>805</v>
      </c>
      <c r="B113" s="2">
        <f>IF(INDEX(学年度总表!$B$3:$B$1025,MATCH($E113,学年度总表!$E$3:$E$1025,0))="","",INDEX(学年度总表!$B$3:$B$1025,MATCH($E113,学年度总表!$E$3:$E$1025,0)))</f>
        <v>111</v>
      </c>
      <c r="C113" s="2" t="str">
        <f>IF(INDEX(学年度总表!$C$3:$C$1025,MATCH($E113,学年度总表!$E$3:$E$1025,0))="","",INDEX(学年度总表!$C$3:$C$1025,MATCH($E113,学年度总表!$E$3:$E$1025,0)))</f>
        <v>网工</v>
      </c>
      <c r="D113" s="2" t="str">
        <f>IF(INDEX(学年度总表!$D$3:$D$1025,MATCH($E113,学年度总表!$E$3:$E$1025,0))="","",INDEX(学年度总表!$D$3:$D$1025,MATCH($E113,学年度总表!$E$3:$E$1025,0)))</f>
        <v>网工17班</v>
      </c>
      <c r="E113" s="2" t="s">
        <v>1671</v>
      </c>
      <c r="F113" s="2" t="str">
        <f>IF(INDEX(学年度总表!$F$3:$F$1025,MATCH($E113,学年度总表!$E$3:$E$1025,0))="","",INDEX(学年度总表!$F$3:$F$1025,MATCH($E113,学年度总表!$E$3:$E$1025,0)))</f>
        <v>李明阳</v>
      </c>
      <c r="G113" s="3">
        <f>IF(INDEX(学年度总表!$G$3:$G$1025,MATCH($E113,学年度总表!$E$3:$E$1025,0))="","",INDEX(学年度总表!$G$3:$G$1025,MATCH($E113,学年度总表!$E$3:$E$1025,0)))</f>
        <v>9.4</v>
      </c>
      <c r="H113" s="3">
        <f>IF(INDEX(学年度总表!$H$3:$H$1025,MATCH($E113,学年度总表!$E$3:$E$1025,0))="","",INDEX(学年度总表!$H$3:$H$1025,MATCH($E113,学年度总表!$E$3:$E$1025,0)))</f>
        <v>51.34</v>
      </c>
      <c r="I113" s="3">
        <f>IF(INDEX(学年度总表!$I$3:$I$1025,MATCH($E113,学年度总表!$E$3:$E$1025,0))="","",INDEX(学年度总表!$I$3:$I$1025,MATCH($E113,学年度总表!$E$3:$E$1025,0)))</f>
        <v>3</v>
      </c>
      <c r="J113" s="3">
        <f>IF(INDEX(学年度总表!$J$3:$J$1025,MATCH($E113,学年度总表!$E$3:$E$1025,0))="","",INDEX(学年度总表!$J$3:$J$1025,MATCH($E113,学年度总表!$E$3:$E$1025,0)))</f>
        <v>63.74</v>
      </c>
      <c r="K113" s="3">
        <f>IF(INDEX(学年度总表!$K$3:$K$1025,MATCH($E113,学年度总表!$E$3:$E$1025,0))="","",INDEX(学年度总表!$K$3:$K$1025,MATCH($E113,学年度总表!$E$3:$E$1025,0)))</f>
        <v>7.3000000000000007</v>
      </c>
      <c r="L113" s="3">
        <f>IF(INDEX(学年度总表!$L$3:$L$1025,MATCH($E113,学年度总表!$E$3:$E$1025,0))="","",INDEX(学年度总表!$L$3:$L$1025,MATCH($E113,学年度总表!$E$3:$E$1025,0)))</f>
        <v>49.4</v>
      </c>
      <c r="M113" s="3">
        <f>IF(INDEX(学年度总表!$M$3:$M$1025,MATCH($E113,学年度总表!$E$3:$E$1025,0))="","",INDEX(学年度总表!$M$3:$M$1025,MATCH($E113,学年度总表!$E$3:$E$1025,0)))</f>
        <v>3.5</v>
      </c>
      <c r="N113" s="3">
        <f>IF(INDEX(学年度总表!$N$3:$N$1025,MATCH($E113,学年度总表!$E$3:$E$1025,0))="","",INDEX(学年度总表!$N$3:$N$1025,MATCH($E113,学年度总表!$E$3:$E$1025,0)))</f>
        <v>60.2</v>
      </c>
      <c r="O113" s="3">
        <f>IF(INDEX(学年度总表!$O$3:$O$1025,MATCH($E113,学年度总表!$E$3:$E$1025,0))="","",INDEX(学年度总表!$O$3:$O$1025,MATCH($E113,学年度总表!$E$3:$E$1025,0)))</f>
        <v>123.94</v>
      </c>
      <c r="P113" s="2" t="str">
        <f>IF(INDEX(学年度总表!$P$3:$P$1025,MATCH($E113,学年度总表!$E$3:$E$1025,0))="","",INDEX(学年度总表!$P$3:$P$1025,MATCH($E113,学年度总表!$E$3:$E$1025,0)))</f>
        <v/>
      </c>
      <c r="Q113" s="5" t="str">
        <f>IF(INDEX(学年度总表!$Q$3:$Q$1025,MATCH($E113,学年度总表!$E$3:$E$1025,0))="","",INDEX(学年度总表!$Q$3:$Q$1025,MATCH($E113,学年度总表!$E$3:$E$1025,0)))</f>
        <v/>
      </c>
    </row>
    <row r="114" spans="1:17">
      <c r="A114" s="2">
        <f>IF(INDEX(学年度总表!$A$3:$A$1025,MATCH($E114,学年度总表!$E$3:$E$1025,0))="","",INDEX(学年度总表!$A$3:$A$1025,MATCH($E114,学年度总表!$E$3:$E$1025,0)))</f>
        <v>814</v>
      </c>
      <c r="B114" s="2">
        <f>IF(INDEX(学年度总表!$B$3:$B$1025,MATCH($E114,学年度总表!$E$3:$E$1025,0))="","",INDEX(学年度总表!$B$3:$B$1025,MATCH($E114,学年度总表!$E$3:$E$1025,0)))</f>
        <v>112</v>
      </c>
      <c r="C114" s="2" t="str">
        <f>IF(INDEX(学年度总表!$C$3:$C$1025,MATCH($E114,学年度总表!$E$3:$E$1025,0))="","",INDEX(学年度总表!$C$3:$C$1025,MATCH($E114,学年度总表!$E$3:$E$1025,0)))</f>
        <v>网工</v>
      </c>
      <c r="D114" s="2" t="str">
        <f>IF(INDEX(学年度总表!$D$3:$D$1025,MATCH($E114,学年度总表!$E$3:$E$1025,0))="","",INDEX(学年度总表!$D$3:$D$1025,MATCH($E114,学年度总表!$E$3:$E$1025,0)))</f>
        <v>网工17班</v>
      </c>
      <c r="E114" s="2" t="s">
        <v>1689</v>
      </c>
      <c r="F114" s="2" t="str">
        <f>IF(INDEX(学年度总表!$F$3:$F$1025,MATCH($E114,学年度总表!$E$3:$E$1025,0))="","",INDEX(学年度总表!$F$3:$F$1025,MATCH($E114,学年度总表!$E$3:$E$1025,0)))</f>
        <v>祝洪硕</v>
      </c>
      <c r="G114" s="3">
        <f>IF(INDEX(学年度总表!$G$3:$G$1025,MATCH($E114,学年度总表!$E$3:$E$1025,0))="","",INDEX(学年度总表!$G$3:$G$1025,MATCH($E114,学年度总表!$E$3:$E$1025,0)))</f>
        <v>9.8000000000000007</v>
      </c>
      <c r="H114" s="3">
        <f>IF(INDEX(学年度总表!$H$3:$H$1025,MATCH($E114,学年度总表!$E$3:$E$1025,0))="","",INDEX(学年度总表!$H$3:$H$1025,MATCH($E114,学年度总表!$E$3:$E$1025,0)))</f>
        <v>47.8</v>
      </c>
      <c r="I114" s="3">
        <f>IF(INDEX(学年度总表!$I$3:$I$1025,MATCH($E114,学年度总表!$E$3:$E$1025,0))="","",INDEX(学年度总表!$I$3:$I$1025,MATCH($E114,学年度总表!$E$3:$E$1025,0)))</f>
        <v>3</v>
      </c>
      <c r="J114" s="3">
        <f>IF(INDEX(学年度总表!$J$3:$J$1025,MATCH($E114,学年度总表!$E$3:$E$1025,0))="","",INDEX(学年度总表!$J$3:$J$1025,MATCH($E114,学年度总表!$E$3:$E$1025,0)))</f>
        <v>60.6</v>
      </c>
      <c r="K114" s="3">
        <f>IF(INDEX(学年度总表!$K$3:$K$1025,MATCH($E114,学年度总表!$E$3:$E$1025,0))="","",INDEX(学年度总表!$K$3:$K$1025,MATCH($E114,学年度总表!$E$3:$E$1025,0)))</f>
        <v>7.3000000000000007</v>
      </c>
      <c r="L114" s="3">
        <f>IF(INDEX(学年度总表!$L$3:$L$1025,MATCH($E114,学年度总表!$E$3:$E$1025,0))="","",INDEX(学年度总表!$L$3:$L$1025,MATCH($E114,学年度总表!$E$3:$E$1025,0)))</f>
        <v>51.84</v>
      </c>
      <c r="M114" s="3">
        <f>IF(INDEX(学年度总表!$M$3:$M$1025,MATCH($E114,学年度总表!$E$3:$E$1025,0))="","",INDEX(学年度总表!$M$3:$M$1025,MATCH($E114,学年度总表!$E$3:$E$1025,0)))</f>
        <v>3.5</v>
      </c>
      <c r="N114" s="3">
        <f>IF(INDEX(学年度总表!$N$3:$N$1025,MATCH($E114,学年度总表!$E$3:$E$1025,0))="","",INDEX(学年度总表!$N$3:$N$1025,MATCH($E114,学年度总表!$E$3:$E$1025,0)))</f>
        <v>62.64</v>
      </c>
      <c r="O114" s="3">
        <f>IF(INDEX(学年度总表!$O$3:$O$1025,MATCH($E114,学年度总表!$E$3:$E$1025,0))="","",INDEX(学年度总表!$O$3:$O$1025,MATCH($E114,学年度总表!$E$3:$E$1025,0)))</f>
        <v>123.24</v>
      </c>
      <c r="P114" s="2" t="str">
        <f>IF(INDEX(学年度总表!$P$3:$P$1025,MATCH($E114,学年度总表!$E$3:$E$1025,0))="","",INDEX(学年度总表!$P$3:$P$1025,MATCH($E114,学年度总表!$E$3:$E$1025,0)))</f>
        <v/>
      </c>
      <c r="Q114" s="5" t="str">
        <f>IF(INDEX(学年度总表!$Q$3:$Q$1025,MATCH($E114,学年度总表!$E$3:$E$1025,0))="","",INDEX(学年度总表!$Q$3:$Q$1025,MATCH($E114,学年度总表!$E$3:$E$1025,0)))</f>
        <v/>
      </c>
    </row>
    <row r="115" spans="1:17">
      <c r="A115" s="2">
        <f>IF(INDEX(学年度总表!$A$3:$A$1025,MATCH($E115,学年度总表!$E$3:$E$1025,0))="","",INDEX(学年度总表!$A$3:$A$1025,MATCH($E115,学年度总表!$E$3:$E$1025,0)))</f>
        <v>818</v>
      </c>
      <c r="B115" s="2">
        <f>IF(INDEX(学年度总表!$B$3:$B$1025,MATCH($E115,学年度总表!$E$3:$E$1025,0))="","",INDEX(学年度总表!$B$3:$B$1025,MATCH($E115,学年度总表!$E$3:$E$1025,0)))</f>
        <v>113</v>
      </c>
      <c r="C115" s="2" t="str">
        <f>IF(INDEX(学年度总表!$C$3:$C$1025,MATCH($E115,学年度总表!$E$3:$E$1025,0))="","",INDEX(学年度总表!$C$3:$C$1025,MATCH($E115,学年度总表!$E$3:$E$1025,0)))</f>
        <v>网工</v>
      </c>
      <c r="D115" s="2" t="str">
        <f>IF(INDEX(学年度总表!$D$3:$D$1025,MATCH($E115,学年度总表!$E$3:$E$1025,0))="","",INDEX(学年度总表!$D$3:$D$1025,MATCH($E115,学年度总表!$E$3:$E$1025,0)))</f>
        <v>网工16班</v>
      </c>
      <c r="E115" s="2" t="s">
        <v>1697</v>
      </c>
      <c r="F115" s="2" t="str">
        <f>IF(INDEX(学年度总表!$F$3:$F$1025,MATCH($E115,学年度总表!$E$3:$E$1025,0))="","",INDEX(学年度总表!$F$3:$F$1025,MATCH($E115,学年度总表!$E$3:$E$1025,0)))</f>
        <v>梁沐夏</v>
      </c>
      <c r="G115" s="3">
        <f>IF(INDEX(学年度总表!$G$3:$G$1025,MATCH($E115,学年度总表!$E$3:$E$1025,0))="","",INDEX(学年度总表!$G$3:$G$1025,MATCH($E115,学年度总表!$E$3:$E$1025,0)))</f>
        <v>9.8000000000000007</v>
      </c>
      <c r="H115" s="3">
        <f>IF(INDEX(学年度总表!$H$3:$H$1025,MATCH($E115,学年度总表!$E$3:$E$1025,0))="","",INDEX(学年度总表!$H$3:$H$1025,MATCH($E115,学年度总表!$E$3:$E$1025,0)))</f>
        <v>54.65</v>
      </c>
      <c r="I115" s="3">
        <f>IF(INDEX(学年度总表!$I$3:$I$1025,MATCH($E115,学年度总表!$E$3:$E$1025,0))="","",INDEX(学年度总表!$I$3:$I$1025,MATCH($E115,学年度总表!$E$3:$E$1025,0)))</f>
        <v>3</v>
      </c>
      <c r="J115" s="3">
        <f>IF(INDEX(学年度总表!$J$3:$J$1025,MATCH($E115,学年度总表!$E$3:$E$1025,0))="","",INDEX(学年度总表!$J$3:$J$1025,MATCH($E115,学年度总表!$E$3:$E$1025,0)))</f>
        <v>67.45</v>
      </c>
      <c r="K115" s="3">
        <f>IF(INDEX(学年度总表!$K$3:$K$1025,MATCH($E115,学年度总表!$E$3:$E$1025,0))="","",INDEX(学年度总表!$K$3:$K$1025,MATCH($E115,学年度总表!$E$3:$E$1025,0)))</f>
        <v>7.3000000000000007</v>
      </c>
      <c r="L115" s="3">
        <f>IF(INDEX(学年度总表!$L$3:$L$1025,MATCH($E115,学年度总表!$E$3:$E$1025,0))="","",INDEX(学年度总表!$L$3:$L$1025,MATCH($E115,学年度总表!$E$3:$E$1025,0)))</f>
        <v>44.5</v>
      </c>
      <c r="M115" s="3">
        <f>IF(INDEX(学年度总表!$M$3:$M$1025,MATCH($E115,学年度总表!$E$3:$E$1025,0))="","",INDEX(学年度总表!$M$3:$M$1025,MATCH($E115,学年度总表!$E$3:$E$1025,0)))</f>
        <v>3.7</v>
      </c>
      <c r="N115" s="3">
        <f>IF(INDEX(学年度总表!$N$3:$N$1025,MATCH($E115,学年度总表!$E$3:$E$1025,0))="","",INDEX(学年度总表!$N$3:$N$1025,MATCH($E115,学年度总表!$E$3:$E$1025,0)))</f>
        <v>55.5</v>
      </c>
      <c r="O115" s="3">
        <f>IF(INDEX(学年度总表!$O$3:$O$1025,MATCH($E115,学年度总表!$E$3:$E$1025,0))="","",INDEX(学年度总表!$O$3:$O$1025,MATCH($E115,学年度总表!$E$3:$E$1025,0)))</f>
        <v>122.95</v>
      </c>
      <c r="P115" s="2" t="str">
        <f>IF(INDEX(学年度总表!$P$3:$P$1025,MATCH($E115,学年度总表!$E$3:$E$1025,0))="","",INDEX(学年度总表!$P$3:$P$1025,MATCH($E115,学年度总表!$E$3:$E$1025,0)))</f>
        <v/>
      </c>
      <c r="Q115" s="5" t="str">
        <f>IF(INDEX(学年度总表!$Q$3:$Q$1025,MATCH($E115,学年度总表!$E$3:$E$1025,0))="","",INDEX(学年度总表!$Q$3:$Q$1025,MATCH($E115,学年度总表!$E$3:$E$1025,0)))</f>
        <v/>
      </c>
    </row>
    <row r="116" spans="1:17">
      <c r="A116" s="2">
        <f>IF(INDEX(学年度总表!$A$3:$A$1025,MATCH($E116,学年度总表!$E$3:$E$1025,0))="","",INDEX(学年度总表!$A$3:$A$1025,MATCH($E116,学年度总表!$E$3:$E$1025,0)))</f>
        <v>829</v>
      </c>
      <c r="B116" s="2">
        <f>IF(INDEX(学年度总表!$B$3:$B$1025,MATCH($E116,学年度总表!$E$3:$E$1025,0))="","",INDEX(学年度总表!$B$3:$B$1025,MATCH($E116,学年度总表!$E$3:$E$1025,0)))</f>
        <v>114</v>
      </c>
      <c r="C116" s="2" t="str">
        <f>IF(INDEX(学年度总表!$C$3:$C$1025,MATCH($E116,学年度总表!$E$3:$E$1025,0))="","",INDEX(学年度总表!$C$3:$C$1025,MATCH($E116,学年度总表!$E$3:$E$1025,0)))</f>
        <v>网工</v>
      </c>
      <c r="D116" s="2" t="str">
        <f>IF(INDEX(学年度总表!$D$3:$D$1025,MATCH($E116,学年度总表!$E$3:$E$1025,0))="","",INDEX(学年度总表!$D$3:$D$1025,MATCH($E116,学年度总表!$E$3:$E$1025,0)))</f>
        <v>网工17班</v>
      </c>
      <c r="E116" s="2" t="s">
        <v>1719</v>
      </c>
      <c r="F116" s="2" t="str">
        <f>IF(INDEX(学年度总表!$F$3:$F$1025,MATCH($E116,学年度总表!$E$3:$E$1025,0))="","",INDEX(学年度总表!$F$3:$F$1025,MATCH($E116,学年度总表!$E$3:$E$1025,0)))</f>
        <v>迟瑞格</v>
      </c>
      <c r="G116" s="3">
        <f>IF(INDEX(学年度总表!$G$3:$G$1025,MATCH($E116,学年度总表!$E$3:$E$1025,0))="","",INDEX(学年度总表!$G$3:$G$1025,MATCH($E116,学年度总表!$E$3:$E$1025,0)))</f>
        <v>9.6</v>
      </c>
      <c r="H116" s="3">
        <f>IF(INDEX(学年度总表!$H$3:$H$1025,MATCH($E116,学年度总表!$E$3:$E$1025,0))="","",INDEX(学年度总表!$H$3:$H$1025,MATCH($E116,学年度总表!$E$3:$E$1025,0)))</f>
        <v>48.41</v>
      </c>
      <c r="I116" s="3">
        <f>IF(INDEX(学年度总表!$I$3:$I$1025,MATCH($E116,学年度总表!$E$3:$E$1025,0))="","",INDEX(学年度总表!$I$3:$I$1025,MATCH($E116,学年度总表!$E$3:$E$1025,0)))</f>
        <v>3</v>
      </c>
      <c r="J116" s="3">
        <f>IF(INDEX(学年度总表!$J$3:$J$1025,MATCH($E116,学年度总表!$E$3:$E$1025,0))="","",INDEX(学年度总表!$J$3:$J$1025,MATCH($E116,学年度总表!$E$3:$E$1025,0)))</f>
        <v>61.01</v>
      </c>
      <c r="K116" s="3">
        <f>IF(INDEX(学年度总表!$K$3:$K$1025,MATCH($E116,学年度总表!$E$3:$E$1025,0))="","",INDEX(学年度总表!$K$3:$K$1025,MATCH($E116,学年度总表!$E$3:$E$1025,0)))</f>
        <v>7.5</v>
      </c>
      <c r="L116" s="3">
        <f>IF(INDEX(学年度总表!$L$3:$L$1025,MATCH($E116,学年度总表!$E$3:$E$1025,0))="","",INDEX(学年度总表!$L$3:$L$1025,MATCH($E116,学年度总表!$E$3:$E$1025,0)))</f>
        <v>50.26</v>
      </c>
      <c r="M116" s="3">
        <f>IF(INDEX(学年度总表!$M$3:$M$1025,MATCH($E116,学年度总表!$E$3:$E$1025,0))="","",INDEX(学年度总表!$M$3:$M$1025,MATCH($E116,学年度总表!$E$3:$E$1025,0)))</f>
        <v>3.5</v>
      </c>
      <c r="N116" s="3">
        <f>IF(INDEX(学年度总表!$N$3:$N$1025,MATCH($E116,学年度总表!$E$3:$E$1025,0))="","",INDEX(学年度总表!$N$3:$N$1025,MATCH($E116,学年度总表!$E$3:$E$1025,0)))</f>
        <v>61.26</v>
      </c>
      <c r="O116" s="3">
        <f>IF(INDEX(学年度总表!$O$3:$O$1025,MATCH($E116,学年度总表!$E$3:$E$1025,0))="","",INDEX(学年度总表!$O$3:$O$1025,MATCH($E116,学年度总表!$E$3:$E$1025,0)))</f>
        <v>122.27</v>
      </c>
      <c r="P116" s="2" t="str">
        <f>IF(INDEX(学年度总表!$P$3:$P$1025,MATCH($E116,学年度总表!$E$3:$E$1025,0))="","",INDEX(学年度总表!$P$3:$P$1025,MATCH($E116,学年度总表!$E$3:$E$1025,0)))</f>
        <v/>
      </c>
      <c r="Q116" s="5" t="str">
        <f>IF(INDEX(学年度总表!$Q$3:$Q$1025,MATCH($E116,学年度总表!$E$3:$E$1025,0))="","",INDEX(学年度总表!$Q$3:$Q$1025,MATCH($E116,学年度总表!$E$3:$E$1025,0)))</f>
        <v/>
      </c>
    </row>
    <row r="117" spans="1:17">
      <c r="A117" s="2">
        <f>IF(INDEX(学年度总表!$A$3:$A$1025,MATCH($E117,学年度总表!$E$3:$E$1025,0))="","",INDEX(学年度总表!$A$3:$A$1025,MATCH($E117,学年度总表!$E$3:$E$1025,0)))</f>
        <v>833</v>
      </c>
      <c r="B117" s="2">
        <f>IF(INDEX(学年度总表!$B$3:$B$1025,MATCH($E117,学年度总表!$E$3:$E$1025,0))="","",INDEX(学年度总表!$B$3:$B$1025,MATCH($E117,学年度总表!$E$3:$E$1025,0)))</f>
        <v>115</v>
      </c>
      <c r="C117" s="2" t="str">
        <f>IF(INDEX(学年度总表!$C$3:$C$1025,MATCH($E117,学年度总表!$E$3:$E$1025,0))="","",INDEX(学年度总表!$C$3:$C$1025,MATCH($E117,学年度总表!$E$3:$E$1025,0)))</f>
        <v>网工</v>
      </c>
      <c r="D117" s="2" t="str">
        <f>IF(INDEX(学年度总表!$D$3:$D$1025,MATCH($E117,学年度总表!$E$3:$E$1025,0))="","",INDEX(学年度总表!$D$3:$D$1025,MATCH($E117,学年度总表!$E$3:$E$1025,0)))</f>
        <v>网工15班</v>
      </c>
      <c r="E117" s="2" t="s">
        <v>1727</v>
      </c>
      <c r="F117" s="2" t="str">
        <f>IF(INDEX(学年度总表!$F$3:$F$1025,MATCH($E117,学年度总表!$E$3:$E$1025,0))="","",INDEX(学年度总表!$F$3:$F$1025,MATCH($E117,学年度总表!$E$3:$E$1025,0)))</f>
        <v>栾翔杰</v>
      </c>
      <c r="G117" s="3">
        <f>IF(INDEX(学年度总表!$G$3:$G$1025,MATCH($E117,学年度总表!$E$3:$E$1025,0))="","",INDEX(学年度总表!$G$3:$G$1025,MATCH($E117,学年度总表!$E$3:$E$1025,0)))</f>
        <v>9.8000000000000007</v>
      </c>
      <c r="H117" s="3">
        <f>IF(INDEX(学年度总表!$H$3:$H$1025,MATCH($E117,学年度总表!$E$3:$E$1025,0))="","",INDEX(学年度总表!$H$3:$H$1025,MATCH($E117,学年度总表!$E$3:$E$1025,0)))</f>
        <v>50.54</v>
      </c>
      <c r="I117" s="3">
        <f>IF(INDEX(学年度总表!$I$3:$I$1025,MATCH($E117,学年度总表!$E$3:$E$1025,0))="","",INDEX(学年度总表!$I$3:$I$1025,MATCH($E117,学年度总表!$E$3:$E$1025,0)))</f>
        <v>3</v>
      </c>
      <c r="J117" s="3">
        <f>IF(INDEX(学年度总表!$J$3:$J$1025,MATCH($E117,学年度总表!$E$3:$E$1025,0))="","",INDEX(学年度总表!$J$3:$J$1025,MATCH($E117,学年度总表!$E$3:$E$1025,0)))</f>
        <v>63.34</v>
      </c>
      <c r="K117" s="3">
        <f>IF(INDEX(学年度总表!$K$3:$K$1025,MATCH($E117,学年度总表!$E$3:$E$1025,0))="","",INDEX(学年度总表!$K$3:$K$1025,MATCH($E117,学年度总表!$E$3:$E$1025,0)))</f>
        <v>7.3000000000000007</v>
      </c>
      <c r="L117" s="3">
        <f>IF(INDEX(学年度总表!$L$3:$L$1025,MATCH($E117,学年度总表!$E$3:$E$1025,0))="","",INDEX(学年度总表!$L$3:$L$1025,MATCH($E117,学年度总表!$E$3:$E$1025,0)))</f>
        <v>47.84</v>
      </c>
      <c r="M117" s="3">
        <f>IF(INDEX(学年度总表!$M$3:$M$1025,MATCH($E117,学年度总表!$E$3:$E$1025,0))="","",INDEX(学年度总表!$M$3:$M$1025,MATCH($E117,学年度总表!$E$3:$E$1025,0)))</f>
        <v>3.5</v>
      </c>
      <c r="N117" s="3">
        <f>IF(INDEX(学年度总表!$N$3:$N$1025,MATCH($E117,学年度总表!$E$3:$E$1025,0))="","",INDEX(学年度总表!$N$3:$N$1025,MATCH($E117,学年度总表!$E$3:$E$1025,0)))</f>
        <v>58.64</v>
      </c>
      <c r="O117" s="3">
        <f>IF(INDEX(学年度总表!$O$3:$O$1025,MATCH($E117,学年度总表!$E$3:$E$1025,0))="","",INDEX(学年度总表!$O$3:$O$1025,MATCH($E117,学年度总表!$E$3:$E$1025,0)))</f>
        <v>121.98</v>
      </c>
      <c r="P117" s="2" t="str">
        <f>IF(INDEX(学年度总表!$P$3:$P$1025,MATCH($E117,学年度总表!$E$3:$E$1025,0))="","",INDEX(学年度总表!$P$3:$P$1025,MATCH($E117,学年度总表!$E$3:$E$1025,0)))</f>
        <v/>
      </c>
      <c r="Q117" s="5" t="str">
        <f>IF(INDEX(学年度总表!$Q$3:$Q$1025,MATCH($E117,学年度总表!$E$3:$E$1025,0))="","",INDEX(学年度总表!$Q$3:$Q$1025,MATCH($E117,学年度总表!$E$3:$E$1025,0)))</f>
        <v/>
      </c>
    </row>
    <row r="118" spans="1:17">
      <c r="A118" s="2">
        <f>IF(INDEX(学年度总表!$A$3:$A$1025,MATCH($E118,学年度总表!$E$3:$E$1025,0))="","",INDEX(学年度总表!$A$3:$A$1025,MATCH($E118,学年度总表!$E$3:$E$1025,0)))</f>
        <v>836</v>
      </c>
      <c r="B118" s="2">
        <f>IF(INDEX(学年度总表!$B$3:$B$1025,MATCH($E118,学年度总表!$E$3:$E$1025,0))="","",INDEX(学年度总表!$B$3:$B$1025,MATCH($E118,学年度总表!$E$3:$E$1025,0)))</f>
        <v>116</v>
      </c>
      <c r="C118" s="2" t="str">
        <f>IF(INDEX(学年度总表!$C$3:$C$1025,MATCH($E118,学年度总表!$E$3:$E$1025,0))="","",INDEX(学年度总表!$C$3:$C$1025,MATCH($E118,学年度总表!$E$3:$E$1025,0)))</f>
        <v>网工</v>
      </c>
      <c r="D118" s="2" t="str">
        <f>IF(INDEX(学年度总表!$D$3:$D$1025,MATCH($E118,学年度总表!$E$3:$E$1025,0))="","",INDEX(学年度总表!$D$3:$D$1025,MATCH($E118,学年度总表!$E$3:$E$1025,0)))</f>
        <v>网工16班</v>
      </c>
      <c r="E118" s="2" t="s">
        <v>1733</v>
      </c>
      <c r="F118" s="2" t="str">
        <f>IF(INDEX(学年度总表!$F$3:$F$1025,MATCH($E118,学年度总表!$E$3:$E$1025,0))="","",INDEX(学年度总表!$F$3:$F$1025,MATCH($E118,学年度总表!$E$3:$E$1025,0)))</f>
        <v>郑佳昊</v>
      </c>
      <c r="G118" s="3">
        <f>IF(INDEX(学年度总表!$G$3:$G$1025,MATCH($E118,学年度总表!$E$3:$E$1025,0))="","",INDEX(学年度总表!$G$3:$G$1025,MATCH($E118,学年度总表!$E$3:$E$1025,0)))</f>
        <v>9.8000000000000007</v>
      </c>
      <c r="H118" s="3">
        <f>IF(INDEX(学年度总表!$H$3:$H$1025,MATCH($E118,学年度总表!$E$3:$E$1025,0))="","",INDEX(学年度总表!$H$3:$H$1025,MATCH($E118,学年度总表!$E$3:$E$1025,0)))</f>
        <v>49.9</v>
      </c>
      <c r="I118" s="3">
        <f>IF(INDEX(学年度总表!$I$3:$I$1025,MATCH($E118,学年度总表!$E$3:$E$1025,0))="","",INDEX(学年度总表!$I$3:$I$1025,MATCH($E118,学年度总表!$E$3:$E$1025,0)))</f>
        <v>3</v>
      </c>
      <c r="J118" s="3">
        <f>IF(INDEX(学年度总表!$J$3:$J$1025,MATCH($E118,学年度总表!$E$3:$E$1025,0))="","",INDEX(学年度总表!$J$3:$J$1025,MATCH($E118,学年度总表!$E$3:$E$1025,0)))</f>
        <v>62.7</v>
      </c>
      <c r="K118" s="3">
        <f>IF(INDEX(学年度总表!$K$3:$K$1025,MATCH($E118,学年度总表!$E$3:$E$1025,0))="","",INDEX(学年度总表!$K$3:$K$1025,MATCH($E118,学年度总表!$E$3:$E$1025,0)))</f>
        <v>7.3000000000000007</v>
      </c>
      <c r="L118" s="3">
        <f>IF(INDEX(学年度总表!$L$3:$L$1025,MATCH($E118,学年度总表!$E$3:$E$1025,0))="","",INDEX(学年度总表!$L$3:$L$1025,MATCH($E118,学年度总表!$E$3:$E$1025,0)))</f>
        <v>48.38</v>
      </c>
      <c r="M118" s="3">
        <f>IF(INDEX(学年度总表!$M$3:$M$1025,MATCH($E118,学年度总表!$E$3:$E$1025,0))="","",INDEX(学年度总表!$M$3:$M$1025,MATCH($E118,学年度总表!$E$3:$E$1025,0)))</f>
        <v>3.5</v>
      </c>
      <c r="N118" s="3">
        <f>IF(INDEX(学年度总表!$N$3:$N$1025,MATCH($E118,学年度总表!$E$3:$E$1025,0))="","",INDEX(学年度总表!$N$3:$N$1025,MATCH($E118,学年度总表!$E$3:$E$1025,0)))</f>
        <v>59.18</v>
      </c>
      <c r="O118" s="3">
        <f>IF(INDEX(学年度总表!$O$3:$O$1025,MATCH($E118,学年度总表!$E$3:$E$1025,0))="","",INDEX(学年度总表!$O$3:$O$1025,MATCH($E118,学年度总表!$E$3:$E$1025,0)))</f>
        <v>121.88</v>
      </c>
      <c r="P118" s="2" t="str">
        <f>IF(INDEX(学年度总表!$P$3:$P$1025,MATCH($E118,学年度总表!$E$3:$E$1025,0))="","",INDEX(学年度总表!$P$3:$P$1025,MATCH($E118,学年度总表!$E$3:$E$1025,0)))</f>
        <v/>
      </c>
      <c r="Q118" s="5" t="str">
        <f>IF(INDEX(学年度总表!$Q$3:$Q$1025,MATCH($E118,学年度总表!$E$3:$E$1025,0))="","",INDEX(学年度总表!$Q$3:$Q$1025,MATCH($E118,学年度总表!$E$3:$E$1025,0)))</f>
        <v/>
      </c>
    </row>
    <row r="119" spans="1:17">
      <c r="A119" s="2">
        <f>IF(INDEX(学年度总表!$A$3:$A$1025,MATCH($E119,学年度总表!$E$3:$E$1025,0))="","",INDEX(学年度总表!$A$3:$A$1025,MATCH($E119,学年度总表!$E$3:$E$1025,0)))</f>
        <v>839</v>
      </c>
      <c r="B119" s="2">
        <f>IF(INDEX(学年度总表!$B$3:$B$1025,MATCH($E119,学年度总表!$E$3:$E$1025,0))="","",INDEX(学年度总表!$B$3:$B$1025,MATCH($E119,学年度总表!$E$3:$E$1025,0)))</f>
        <v>117</v>
      </c>
      <c r="C119" s="2" t="str">
        <f>IF(INDEX(学年度总表!$C$3:$C$1025,MATCH($E119,学年度总表!$E$3:$E$1025,0))="","",INDEX(学年度总表!$C$3:$C$1025,MATCH($E119,学年度总表!$E$3:$E$1025,0)))</f>
        <v>网工</v>
      </c>
      <c r="D119" s="2" t="str">
        <f>IF(INDEX(学年度总表!$D$3:$D$1025,MATCH($E119,学年度总表!$E$3:$E$1025,0))="","",INDEX(学年度总表!$D$3:$D$1025,MATCH($E119,学年度总表!$E$3:$E$1025,0)))</f>
        <v>网工17班</v>
      </c>
      <c r="E119" s="2" t="s">
        <v>1739</v>
      </c>
      <c r="F119" s="2" t="str">
        <f>IF(INDEX(学年度总表!$F$3:$F$1025,MATCH($E119,学年度总表!$E$3:$E$1025,0))="","",INDEX(学年度总表!$F$3:$F$1025,MATCH($E119,学年度总表!$E$3:$E$1025,0)))</f>
        <v>张世祚</v>
      </c>
      <c r="G119" s="3">
        <f>IF(INDEX(学年度总表!$G$3:$G$1025,MATCH($E119,学年度总表!$E$3:$E$1025,0))="","",INDEX(学年度总表!$G$3:$G$1025,MATCH($E119,学年度总表!$E$3:$E$1025,0)))</f>
        <v>9.8000000000000007</v>
      </c>
      <c r="H119" s="3">
        <f>IF(INDEX(学年度总表!$H$3:$H$1025,MATCH($E119,学年度总表!$E$3:$E$1025,0))="","",INDEX(学年度总表!$H$3:$H$1025,MATCH($E119,学年度总表!$E$3:$E$1025,0)))</f>
        <v>50.86</v>
      </c>
      <c r="I119" s="3">
        <f>IF(INDEX(学年度总表!$I$3:$I$1025,MATCH($E119,学年度总表!$E$3:$E$1025,0))="","",INDEX(学年度总表!$I$3:$I$1025,MATCH($E119,学年度总表!$E$3:$E$1025,0)))</f>
        <v>3</v>
      </c>
      <c r="J119" s="3">
        <f>IF(INDEX(学年度总表!$J$3:$J$1025,MATCH($E119,学年度总表!$E$3:$E$1025,0))="","",INDEX(学年度总表!$J$3:$J$1025,MATCH($E119,学年度总表!$E$3:$E$1025,0)))</f>
        <v>63.66</v>
      </c>
      <c r="K119" s="3">
        <f>IF(INDEX(学年度总表!$K$3:$K$1025,MATCH($E119,学年度总表!$E$3:$E$1025,0))="","",INDEX(学年度总表!$K$3:$K$1025,MATCH($E119,学年度总表!$E$3:$E$1025,0)))</f>
        <v>7.3000000000000007</v>
      </c>
      <c r="L119" s="3">
        <f>IF(INDEX(学年度总表!$L$3:$L$1025,MATCH($E119,学年度总表!$E$3:$E$1025,0))="","",INDEX(学年度总表!$L$3:$L$1025,MATCH($E119,学年度总表!$E$3:$E$1025,0)))</f>
        <v>47.18</v>
      </c>
      <c r="M119" s="3">
        <f>IF(INDEX(学年度总表!$M$3:$M$1025,MATCH($E119,学年度总表!$E$3:$E$1025,0))="","",INDEX(学年度总表!$M$3:$M$1025,MATCH($E119,学年度总表!$E$3:$E$1025,0)))</f>
        <v>3.5</v>
      </c>
      <c r="N119" s="3">
        <f>IF(INDEX(学年度总表!$N$3:$N$1025,MATCH($E119,学年度总表!$E$3:$E$1025,0))="","",INDEX(学年度总表!$N$3:$N$1025,MATCH($E119,学年度总表!$E$3:$E$1025,0)))</f>
        <v>57.98</v>
      </c>
      <c r="O119" s="3">
        <f>IF(INDEX(学年度总表!$O$3:$O$1025,MATCH($E119,学年度总表!$E$3:$E$1025,0))="","",INDEX(学年度总表!$O$3:$O$1025,MATCH($E119,学年度总表!$E$3:$E$1025,0)))</f>
        <v>121.64</v>
      </c>
      <c r="P119" s="2" t="str">
        <f>IF(INDEX(学年度总表!$P$3:$P$1025,MATCH($E119,学年度总表!$E$3:$E$1025,0))="","",INDEX(学年度总表!$P$3:$P$1025,MATCH($E119,学年度总表!$E$3:$E$1025,0)))</f>
        <v/>
      </c>
      <c r="Q119" s="5" t="str">
        <f>IF(INDEX(学年度总表!$Q$3:$Q$1025,MATCH($E119,学年度总表!$E$3:$E$1025,0))="","",INDEX(学年度总表!$Q$3:$Q$1025,MATCH($E119,学年度总表!$E$3:$E$1025,0)))</f>
        <v/>
      </c>
    </row>
    <row r="120" spans="1:17">
      <c r="A120" s="2">
        <f>IF(INDEX(学年度总表!$A$3:$A$1025,MATCH($E120,学年度总表!$E$3:$E$1025,0))="","",INDEX(学年度总表!$A$3:$A$1025,MATCH($E120,学年度总表!$E$3:$E$1025,0)))</f>
        <v>846</v>
      </c>
      <c r="B120" s="2">
        <f>IF(INDEX(学年度总表!$B$3:$B$1025,MATCH($E120,学年度总表!$E$3:$E$1025,0))="","",INDEX(学年度总表!$B$3:$B$1025,MATCH($E120,学年度总表!$E$3:$E$1025,0)))</f>
        <v>118</v>
      </c>
      <c r="C120" s="2" t="str">
        <f>IF(INDEX(学年度总表!$C$3:$C$1025,MATCH($E120,学年度总表!$E$3:$E$1025,0))="","",INDEX(学年度总表!$C$3:$C$1025,MATCH($E120,学年度总表!$E$3:$E$1025,0)))</f>
        <v>网工</v>
      </c>
      <c r="D120" s="2" t="str">
        <f>IF(INDEX(学年度总表!$D$3:$D$1025,MATCH($E120,学年度总表!$E$3:$E$1025,0))="","",INDEX(学年度总表!$D$3:$D$1025,MATCH($E120,学年度总表!$E$3:$E$1025,0)))</f>
        <v>网工17班</v>
      </c>
      <c r="E120" s="2" t="s">
        <v>1753</v>
      </c>
      <c r="F120" s="2" t="str">
        <f>IF(INDEX(学年度总表!$F$3:$F$1025,MATCH($E120,学年度总表!$E$3:$E$1025,0))="","",INDEX(学年度总表!$F$3:$F$1025,MATCH($E120,学年度总表!$E$3:$E$1025,0)))</f>
        <v>魏佳伟</v>
      </c>
      <c r="G120" s="3">
        <f>IF(INDEX(学年度总表!$G$3:$G$1025,MATCH($E120,学年度总表!$E$3:$E$1025,0))="","",INDEX(学年度总表!$G$3:$G$1025,MATCH($E120,学年度总表!$E$3:$E$1025,0)))</f>
        <v>10</v>
      </c>
      <c r="H120" s="3">
        <f>IF(INDEX(学年度总表!$H$3:$H$1025,MATCH($E120,学年度总表!$E$3:$E$1025,0))="","",INDEX(学年度总表!$H$3:$H$1025,MATCH($E120,学年度总表!$E$3:$E$1025,0)))</f>
        <v>49.16</v>
      </c>
      <c r="I120" s="3">
        <f>IF(INDEX(学年度总表!$I$3:$I$1025,MATCH($E120,学年度总表!$E$3:$E$1025,0))="","",INDEX(学年度总表!$I$3:$I$1025,MATCH($E120,学年度总表!$E$3:$E$1025,0)))</f>
        <v>3</v>
      </c>
      <c r="J120" s="3">
        <f>IF(INDEX(学年度总表!$J$3:$J$1025,MATCH($E120,学年度总表!$E$3:$E$1025,0))="","",INDEX(学年度总表!$J$3:$J$1025,MATCH($E120,学年度总表!$E$3:$E$1025,0)))</f>
        <v>62.16</v>
      </c>
      <c r="K120" s="3">
        <f>IF(INDEX(学年度总表!$K$3:$K$1025,MATCH($E120,学年度总表!$E$3:$E$1025,0))="","",INDEX(学年度总表!$K$3:$K$1025,MATCH($E120,学年度总表!$E$3:$E$1025,0)))</f>
        <v>7.5</v>
      </c>
      <c r="L120" s="3">
        <f>IF(INDEX(学年度总表!$L$3:$L$1025,MATCH($E120,学年度总表!$E$3:$E$1025,0))="","",INDEX(学年度总表!$L$3:$L$1025,MATCH($E120,学年度总表!$E$3:$E$1025,0)))</f>
        <v>47.97</v>
      </c>
      <c r="M120" s="3">
        <f>IF(INDEX(学年度总表!$M$3:$M$1025,MATCH($E120,学年度总表!$E$3:$E$1025,0))="","",INDEX(学年度总表!$M$3:$M$1025,MATCH($E120,学年度总表!$E$3:$E$1025,0)))</f>
        <v>3.5</v>
      </c>
      <c r="N120" s="3">
        <f>IF(INDEX(学年度总表!$N$3:$N$1025,MATCH($E120,学年度总表!$E$3:$E$1025,0))="","",INDEX(学年度总表!$N$3:$N$1025,MATCH($E120,学年度总表!$E$3:$E$1025,0)))</f>
        <v>58.97</v>
      </c>
      <c r="O120" s="3">
        <f>IF(INDEX(学年度总表!$O$3:$O$1025,MATCH($E120,学年度总表!$E$3:$E$1025,0))="","",INDEX(学年度总表!$O$3:$O$1025,MATCH($E120,学年度总表!$E$3:$E$1025,0)))</f>
        <v>121.13</v>
      </c>
      <c r="P120" s="2" t="str">
        <f>IF(INDEX(学年度总表!$P$3:$P$1025,MATCH($E120,学年度总表!$E$3:$E$1025,0))="","",INDEX(学年度总表!$P$3:$P$1025,MATCH($E120,学年度总表!$E$3:$E$1025,0)))</f>
        <v/>
      </c>
      <c r="Q120" s="5" t="str">
        <f>IF(INDEX(学年度总表!$Q$3:$Q$1025,MATCH($E120,学年度总表!$E$3:$E$1025,0))="","",INDEX(学年度总表!$Q$3:$Q$1025,MATCH($E120,学年度总表!$E$3:$E$1025,0)))</f>
        <v/>
      </c>
    </row>
    <row r="121" spans="1:17">
      <c r="A121" s="2">
        <f>IF(INDEX(学年度总表!$A$3:$A$1025,MATCH($E121,学年度总表!$E$3:$E$1025,0))="","",INDEX(学年度总表!$A$3:$A$1025,MATCH($E121,学年度总表!$E$3:$E$1025,0)))</f>
        <v>867</v>
      </c>
      <c r="B121" s="2">
        <f>IF(INDEX(学年度总表!$B$3:$B$1025,MATCH($E121,学年度总表!$E$3:$E$1025,0))="","",INDEX(学年度总表!$B$3:$B$1025,MATCH($E121,学年度总表!$E$3:$E$1025,0)))</f>
        <v>119</v>
      </c>
      <c r="C121" s="2" t="str">
        <f>IF(INDEX(学年度总表!$C$3:$C$1025,MATCH($E121,学年度总表!$E$3:$E$1025,0))="","",INDEX(学年度总表!$C$3:$C$1025,MATCH($E121,学年度总表!$E$3:$E$1025,0)))</f>
        <v>网工</v>
      </c>
      <c r="D121" s="2" t="str">
        <f>IF(INDEX(学年度总表!$D$3:$D$1025,MATCH($E121,学年度总表!$E$3:$E$1025,0))="","",INDEX(学年度总表!$D$3:$D$1025,MATCH($E121,学年度总表!$E$3:$E$1025,0)))</f>
        <v>网工18班</v>
      </c>
      <c r="E121" s="2" t="s">
        <v>1795</v>
      </c>
      <c r="F121" s="2" t="str">
        <f>IF(INDEX(学年度总表!$F$3:$F$1025,MATCH($E121,学年度总表!$E$3:$E$1025,0))="","",INDEX(学年度总表!$F$3:$F$1025,MATCH($E121,学年度总表!$E$3:$E$1025,0)))</f>
        <v>李铎</v>
      </c>
      <c r="G121" s="3">
        <f>IF(INDEX(学年度总表!$G$3:$G$1025,MATCH($E121,学年度总表!$E$3:$E$1025,0))="","",INDEX(学年度总表!$G$3:$G$1025,MATCH($E121,学年度总表!$E$3:$E$1025,0)))</f>
        <v>10</v>
      </c>
      <c r="H121" s="3">
        <f>IF(INDEX(学年度总表!$H$3:$H$1025,MATCH($E121,学年度总表!$E$3:$E$1025,0))="","",INDEX(学年度总表!$H$3:$H$1025,MATCH($E121,学年度总表!$E$3:$E$1025,0)))</f>
        <v>54.83</v>
      </c>
      <c r="I121" s="3">
        <f>IF(INDEX(学年度总表!$I$3:$I$1025,MATCH($E121,学年度总表!$E$3:$E$1025,0))="","",INDEX(学年度总表!$I$3:$I$1025,MATCH($E121,学年度总表!$E$3:$E$1025,0)))</f>
        <v>3</v>
      </c>
      <c r="J121" s="3">
        <f>IF(INDEX(学年度总表!$J$3:$J$1025,MATCH($E121,学年度总表!$E$3:$E$1025,0))="","",INDEX(学年度总表!$J$3:$J$1025,MATCH($E121,学年度总表!$E$3:$E$1025,0)))</f>
        <v>67.83</v>
      </c>
      <c r="K121" s="3">
        <f>IF(INDEX(学年度总表!$K$3:$K$1025,MATCH($E121,学年度总表!$E$3:$E$1025,0))="","",INDEX(学年度总表!$K$3:$K$1025,MATCH($E121,学年度总表!$E$3:$E$1025,0)))</f>
        <v>7.5</v>
      </c>
      <c r="L121" s="3">
        <f>IF(INDEX(学年度总表!$L$3:$L$1025,MATCH($E121,学年度总表!$E$3:$E$1025,0))="","",INDEX(学年度总表!$L$3:$L$1025,MATCH($E121,学年度总表!$E$3:$E$1025,0)))</f>
        <v>39.39</v>
      </c>
      <c r="M121" s="3">
        <f>IF(INDEX(学年度总表!$M$3:$M$1025,MATCH($E121,学年度总表!$E$3:$E$1025,0))="","",INDEX(学年度总表!$M$3:$M$1025,MATCH($E121,学年度总表!$E$3:$E$1025,0)))</f>
        <v>4.4000000000000004</v>
      </c>
      <c r="N121" s="3">
        <f>IF(INDEX(学年度总表!$N$3:$N$1025,MATCH($E121,学年度总表!$E$3:$E$1025,0))="","",INDEX(学年度总表!$N$3:$N$1025,MATCH($E121,学年度总表!$E$3:$E$1025,0)))</f>
        <v>51.29</v>
      </c>
      <c r="O121" s="3">
        <f>IF(INDEX(学年度总表!$O$3:$O$1025,MATCH($E121,学年度总表!$E$3:$E$1025,0))="","",INDEX(学年度总表!$O$3:$O$1025,MATCH($E121,学年度总表!$E$3:$E$1025,0)))</f>
        <v>119.12</v>
      </c>
      <c r="P121" s="2" t="str">
        <f>IF(INDEX(学年度总表!$P$3:$P$1025,MATCH($E121,学年度总表!$E$3:$E$1025,0))="","",INDEX(学年度总表!$P$3:$P$1025,MATCH($E121,学年度总表!$E$3:$E$1025,0)))</f>
        <v/>
      </c>
      <c r="Q121" s="5" t="str">
        <f>IF(INDEX(学年度总表!$Q$3:$Q$1025,MATCH($E121,学年度总表!$E$3:$E$1025,0))="","",INDEX(学年度总表!$Q$3:$Q$1025,MATCH($E121,学年度总表!$E$3:$E$1025,0)))</f>
        <v/>
      </c>
    </row>
    <row r="122" spans="1:17">
      <c r="A122" s="2">
        <f>IF(INDEX(学年度总表!$A$3:$A$1025,MATCH($E122,学年度总表!$E$3:$E$1025,0))="","",INDEX(学年度总表!$A$3:$A$1025,MATCH($E122,学年度总表!$E$3:$E$1025,0)))</f>
        <v>871</v>
      </c>
      <c r="B122" s="2">
        <f>IF(INDEX(学年度总表!$B$3:$B$1025,MATCH($E122,学年度总表!$E$3:$E$1025,0))="","",INDEX(学年度总表!$B$3:$B$1025,MATCH($E122,学年度总表!$E$3:$E$1025,0)))</f>
        <v>120</v>
      </c>
      <c r="C122" s="2" t="str">
        <f>IF(INDEX(学年度总表!$C$3:$C$1025,MATCH($E122,学年度总表!$E$3:$E$1025,0))="","",INDEX(学年度总表!$C$3:$C$1025,MATCH($E122,学年度总表!$E$3:$E$1025,0)))</f>
        <v>网工</v>
      </c>
      <c r="D122" s="2" t="str">
        <f>IF(INDEX(学年度总表!$D$3:$D$1025,MATCH($E122,学年度总表!$E$3:$E$1025,0))="","",INDEX(学年度总表!$D$3:$D$1025,MATCH($E122,学年度总表!$E$3:$E$1025,0)))</f>
        <v>网工17班</v>
      </c>
      <c r="E122" s="2" t="s">
        <v>1803</v>
      </c>
      <c r="F122" s="2" t="str">
        <f>IF(INDEX(学年度总表!$F$3:$F$1025,MATCH($E122,学年度总表!$E$3:$E$1025,0))="","",INDEX(学年度总表!$F$3:$F$1025,MATCH($E122,学年度总表!$E$3:$E$1025,0)))</f>
        <v>秦澍晨</v>
      </c>
      <c r="G122" s="3">
        <f>IF(INDEX(学年度总表!$G$3:$G$1025,MATCH($E122,学年度总表!$E$3:$E$1025,0))="","",INDEX(学年度总表!$G$3:$G$1025,MATCH($E122,学年度总表!$E$3:$E$1025,0)))</f>
        <v>9.8000000000000007</v>
      </c>
      <c r="H122" s="3">
        <f>IF(INDEX(学年度总表!$H$3:$H$1025,MATCH($E122,学年度总表!$E$3:$E$1025,0))="","",INDEX(学年度总表!$H$3:$H$1025,MATCH($E122,学年度总表!$E$3:$E$1025,0)))</f>
        <v>48.66</v>
      </c>
      <c r="I122" s="3">
        <f>IF(INDEX(学年度总表!$I$3:$I$1025,MATCH($E122,学年度总表!$E$3:$E$1025,0))="","",INDEX(学年度总表!$I$3:$I$1025,MATCH($E122,学年度总表!$E$3:$E$1025,0)))</f>
        <v>3</v>
      </c>
      <c r="J122" s="3">
        <f>IF(INDEX(学年度总表!$J$3:$J$1025,MATCH($E122,学年度总表!$E$3:$E$1025,0))="","",INDEX(学年度总表!$J$3:$J$1025,MATCH($E122,学年度总表!$E$3:$E$1025,0)))</f>
        <v>61.46</v>
      </c>
      <c r="K122" s="3">
        <f>IF(INDEX(学年度总表!$K$3:$K$1025,MATCH($E122,学年度总表!$E$3:$E$1025,0))="","",INDEX(学年度总表!$K$3:$K$1025,MATCH($E122,学年度总表!$E$3:$E$1025,0)))</f>
        <v>7.3000000000000007</v>
      </c>
      <c r="L122" s="3">
        <f>IF(INDEX(学年度总表!$L$3:$L$1025,MATCH($E122,学年度总表!$E$3:$E$1025,0))="","",INDEX(学年度总表!$L$3:$L$1025,MATCH($E122,学年度总表!$E$3:$E$1025,0)))</f>
        <v>46.43</v>
      </c>
      <c r="M122" s="3">
        <f>IF(INDEX(学年度总表!$M$3:$M$1025,MATCH($E122,学年度总表!$E$3:$E$1025,0))="","",INDEX(学年度总表!$M$3:$M$1025,MATCH($E122,学年度总表!$E$3:$E$1025,0)))</f>
        <v>3.5</v>
      </c>
      <c r="N122" s="3">
        <f>IF(INDEX(学年度总表!$N$3:$N$1025,MATCH($E122,学年度总表!$E$3:$E$1025,0))="","",INDEX(学年度总表!$N$3:$N$1025,MATCH($E122,学年度总表!$E$3:$E$1025,0)))</f>
        <v>57.23</v>
      </c>
      <c r="O122" s="3">
        <f>IF(INDEX(学年度总表!$O$3:$O$1025,MATCH($E122,学年度总表!$E$3:$E$1025,0))="","",INDEX(学年度总表!$O$3:$O$1025,MATCH($E122,学年度总表!$E$3:$E$1025,0)))</f>
        <v>118.69</v>
      </c>
      <c r="P122" s="2" t="str">
        <f>IF(INDEX(学年度总表!$P$3:$P$1025,MATCH($E122,学年度总表!$E$3:$E$1025,0))="","",INDEX(学年度总表!$P$3:$P$1025,MATCH($E122,学年度总表!$E$3:$E$1025,0)))</f>
        <v/>
      </c>
      <c r="Q122" s="5" t="str">
        <f>IF(INDEX(学年度总表!$Q$3:$Q$1025,MATCH($E122,学年度总表!$E$3:$E$1025,0))="","",INDEX(学年度总表!$Q$3:$Q$1025,MATCH($E122,学年度总表!$E$3:$E$1025,0)))</f>
        <v/>
      </c>
    </row>
    <row r="123" spans="1:17">
      <c r="A123" s="2">
        <f>IF(INDEX(学年度总表!$A$3:$A$1025,MATCH($E123,学年度总表!$E$3:$E$1025,0))="","",INDEX(学年度总表!$A$3:$A$1025,MATCH($E123,学年度总表!$E$3:$E$1025,0)))</f>
        <v>872</v>
      </c>
      <c r="B123" s="2">
        <f>IF(INDEX(学年度总表!$B$3:$B$1025,MATCH($E123,学年度总表!$E$3:$E$1025,0))="","",INDEX(学年度总表!$B$3:$B$1025,MATCH($E123,学年度总表!$E$3:$E$1025,0)))</f>
        <v>121</v>
      </c>
      <c r="C123" s="2" t="str">
        <f>IF(INDEX(学年度总表!$C$3:$C$1025,MATCH($E123,学年度总表!$E$3:$E$1025,0))="","",INDEX(学年度总表!$C$3:$C$1025,MATCH($E123,学年度总表!$E$3:$E$1025,0)))</f>
        <v>网工</v>
      </c>
      <c r="D123" s="2" t="str">
        <f>IF(INDEX(学年度总表!$D$3:$D$1025,MATCH($E123,学年度总表!$E$3:$E$1025,0))="","",INDEX(学年度总表!$D$3:$D$1025,MATCH($E123,学年度总表!$E$3:$E$1025,0)))</f>
        <v>网工18班</v>
      </c>
      <c r="E123" s="2" t="s">
        <v>1805</v>
      </c>
      <c r="F123" s="2" t="str">
        <f>IF(INDEX(学年度总表!$F$3:$F$1025,MATCH($E123,学年度总表!$E$3:$E$1025,0))="","",INDEX(学年度总表!$F$3:$F$1025,MATCH($E123,学年度总表!$E$3:$E$1025,0)))</f>
        <v>高圣博</v>
      </c>
      <c r="G123" s="3">
        <f>IF(INDEX(学年度总表!$G$3:$G$1025,MATCH($E123,学年度总表!$E$3:$E$1025,0))="","",INDEX(学年度总表!$G$3:$G$1025,MATCH($E123,学年度总表!$E$3:$E$1025,0)))</f>
        <v>10.8</v>
      </c>
      <c r="H123" s="3">
        <f>IF(INDEX(学年度总表!$H$3:$H$1025,MATCH($E123,学年度总表!$E$3:$E$1025,0))="","",INDEX(学年度总表!$H$3:$H$1025,MATCH($E123,学年度总表!$E$3:$E$1025,0)))</f>
        <v>49.46</v>
      </c>
      <c r="I123" s="3">
        <f>IF(INDEX(学年度总表!$I$3:$I$1025,MATCH($E123,学年度总表!$E$3:$E$1025,0))="","",INDEX(学年度总表!$I$3:$I$1025,MATCH($E123,学年度总表!$E$3:$E$1025,0)))</f>
        <v>3</v>
      </c>
      <c r="J123" s="3">
        <f>IF(INDEX(学年度总表!$J$3:$J$1025,MATCH($E123,学年度总表!$E$3:$E$1025,0))="","",INDEX(学年度总表!$J$3:$J$1025,MATCH($E123,学年度总表!$E$3:$E$1025,0)))</f>
        <v>63.26</v>
      </c>
      <c r="K123" s="3">
        <f>IF(INDEX(学年度总表!$K$3:$K$1025,MATCH($E123,学年度总表!$E$3:$E$1025,0))="","",INDEX(学年度总表!$K$3:$K$1025,MATCH($E123,学年度总表!$E$3:$E$1025,0)))</f>
        <v>7.3000000000000007</v>
      </c>
      <c r="L123" s="3">
        <f>IF(INDEX(学年度总表!$L$3:$L$1025,MATCH($E123,学年度总表!$E$3:$E$1025,0))="","",INDEX(学年度总表!$L$3:$L$1025,MATCH($E123,学年度总表!$E$3:$E$1025,0)))</f>
        <v>44.16</v>
      </c>
      <c r="M123" s="3">
        <f>IF(INDEX(学年度总表!$M$3:$M$1025,MATCH($E123,学年度总表!$E$3:$E$1025,0))="","",INDEX(学年度总表!$M$3:$M$1025,MATCH($E123,学年度总表!$E$3:$E$1025,0)))</f>
        <v>3.85</v>
      </c>
      <c r="N123" s="3">
        <f>IF(INDEX(学年度总表!$N$3:$N$1025,MATCH($E123,学年度总表!$E$3:$E$1025,0))="","",INDEX(学年度总表!$N$3:$N$1025,MATCH($E123,学年度总表!$E$3:$E$1025,0)))</f>
        <v>55.31</v>
      </c>
      <c r="O123" s="3">
        <f>IF(INDEX(学年度总表!$O$3:$O$1025,MATCH($E123,学年度总表!$E$3:$E$1025,0))="","",INDEX(学年度总表!$O$3:$O$1025,MATCH($E123,学年度总表!$E$3:$E$1025,0)))</f>
        <v>118.57</v>
      </c>
      <c r="P123" s="2" t="str">
        <f>IF(INDEX(学年度总表!$P$3:$P$1025,MATCH($E123,学年度总表!$E$3:$E$1025,0))="","",INDEX(学年度总表!$P$3:$P$1025,MATCH($E123,学年度总表!$E$3:$E$1025,0)))</f>
        <v/>
      </c>
      <c r="Q123" s="5" t="str">
        <f>IF(INDEX(学年度总表!$Q$3:$Q$1025,MATCH($E123,学年度总表!$E$3:$E$1025,0))="","",INDEX(学年度总表!$Q$3:$Q$1025,MATCH($E123,学年度总表!$E$3:$E$1025,0)))</f>
        <v/>
      </c>
    </row>
    <row r="124" spans="1:17">
      <c r="A124" s="2">
        <f>IF(INDEX(学年度总表!$A$3:$A$1025,MATCH($E124,学年度总表!$E$3:$E$1025,0))="","",INDEX(学年度总表!$A$3:$A$1025,MATCH($E124,学年度总表!$E$3:$E$1025,0)))</f>
        <v>879</v>
      </c>
      <c r="B124" s="2">
        <f>IF(INDEX(学年度总表!$B$3:$B$1025,MATCH($E124,学年度总表!$E$3:$E$1025,0))="","",INDEX(学年度总表!$B$3:$B$1025,MATCH($E124,学年度总表!$E$3:$E$1025,0)))</f>
        <v>122</v>
      </c>
      <c r="C124" s="2" t="str">
        <f>IF(INDEX(学年度总表!$C$3:$C$1025,MATCH($E124,学年度总表!$E$3:$E$1025,0))="","",INDEX(学年度总表!$C$3:$C$1025,MATCH($E124,学年度总表!$E$3:$E$1025,0)))</f>
        <v>网工</v>
      </c>
      <c r="D124" s="2" t="str">
        <f>IF(INDEX(学年度总表!$D$3:$D$1025,MATCH($E124,学年度总表!$E$3:$E$1025,0))="","",INDEX(学年度总表!$D$3:$D$1025,MATCH($E124,学年度总表!$E$3:$E$1025,0)))</f>
        <v>网工15班</v>
      </c>
      <c r="E124" s="2" t="s">
        <v>1819</v>
      </c>
      <c r="F124" s="2" t="str">
        <f>IF(INDEX(学年度总表!$F$3:$F$1025,MATCH($E124,学年度总表!$E$3:$E$1025,0))="","",INDEX(学年度总表!$F$3:$F$1025,MATCH($E124,学年度总表!$E$3:$E$1025,0)))</f>
        <v>郎鸿睿</v>
      </c>
      <c r="G124" s="3">
        <f>IF(INDEX(学年度总表!$G$3:$G$1025,MATCH($E124,学年度总表!$E$3:$E$1025,0))="","",INDEX(学年度总表!$G$3:$G$1025,MATCH($E124,学年度总表!$E$3:$E$1025,0)))</f>
        <v>10</v>
      </c>
      <c r="H124" s="3">
        <f>IF(INDEX(学年度总表!$H$3:$H$1025,MATCH($E124,学年度总表!$E$3:$E$1025,0))="","",INDEX(学年度总表!$H$3:$H$1025,MATCH($E124,学年度总表!$E$3:$E$1025,0)))</f>
        <v>49.81</v>
      </c>
      <c r="I124" s="3">
        <f>IF(INDEX(学年度总表!$I$3:$I$1025,MATCH($E124,学年度总表!$E$3:$E$1025,0))="","",INDEX(学年度总表!$I$3:$I$1025,MATCH($E124,学年度总表!$E$3:$E$1025,0)))</f>
        <v>3</v>
      </c>
      <c r="J124" s="3">
        <f>IF(INDEX(学年度总表!$J$3:$J$1025,MATCH($E124,学年度总表!$E$3:$E$1025,0))="","",INDEX(学年度总表!$J$3:$J$1025,MATCH($E124,学年度总表!$E$3:$E$1025,0)))</f>
        <v>62.81</v>
      </c>
      <c r="K124" s="3">
        <f>IF(INDEX(学年度总表!$K$3:$K$1025,MATCH($E124,学年度总表!$E$3:$E$1025,0))="","",INDEX(学年度总表!$K$3:$K$1025,MATCH($E124,学年度总表!$E$3:$E$1025,0)))</f>
        <v>7.5</v>
      </c>
      <c r="L124" s="3">
        <f>IF(INDEX(学年度总表!$L$3:$L$1025,MATCH($E124,学年度总表!$E$3:$E$1025,0))="","",INDEX(学年度总表!$L$3:$L$1025,MATCH($E124,学年度总表!$E$3:$E$1025,0)))</f>
        <v>43.86</v>
      </c>
      <c r="M124" s="3">
        <f>IF(INDEX(学年度总表!$M$3:$M$1025,MATCH($E124,学年度总表!$E$3:$E$1025,0))="","",INDEX(学年度总表!$M$3:$M$1025,MATCH($E124,学年度总表!$E$3:$E$1025,0)))</f>
        <v>3.5</v>
      </c>
      <c r="N124" s="3">
        <f>IF(INDEX(学年度总表!$N$3:$N$1025,MATCH($E124,学年度总表!$E$3:$E$1025,0))="","",INDEX(学年度总表!$N$3:$N$1025,MATCH($E124,学年度总表!$E$3:$E$1025,0)))</f>
        <v>54.86</v>
      </c>
      <c r="O124" s="3">
        <f>IF(INDEX(学年度总表!$O$3:$O$1025,MATCH($E124,学年度总表!$E$3:$E$1025,0))="","",INDEX(学年度总表!$O$3:$O$1025,MATCH($E124,学年度总表!$E$3:$E$1025,0)))</f>
        <v>117.67</v>
      </c>
      <c r="P124" s="2" t="str">
        <f>IF(INDEX(学年度总表!$P$3:$P$1025,MATCH($E124,学年度总表!$E$3:$E$1025,0))="","",INDEX(学年度总表!$P$3:$P$1025,MATCH($E124,学年度总表!$E$3:$E$1025,0)))</f>
        <v/>
      </c>
      <c r="Q124" s="5" t="str">
        <f>IF(INDEX(学年度总表!$Q$3:$Q$1025,MATCH($E124,学年度总表!$E$3:$E$1025,0))="","",INDEX(学年度总表!$Q$3:$Q$1025,MATCH($E124,学年度总表!$E$3:$E$1025,0)))</f>
        <v/>
      </c>
    </row>
    <row r="125" spans="1:17">
      <c r="A125" s="2">
        <f>IF(INDEX(学年度总表!$A$3:$A$1025,MATCH($E125,学年度总表!$E$3:$E$1025,0))="","",INDEX(学年度总表!$A$3:$A$1025,MATCH($E125,学年度总表!$E$3:$E$1025,0)))</f>
        <v>881</v>
      </c>
      <c r="B125" s="2">
        <f>IF(INDEX(学年度总表!$B$3:$B$1025,MATCH($E125,学年度总表!$E$3:$E$1025,0))="","",INDEX(学年度总表!$B$3:$B$1025,MATCH($E125,学年度总表!$E$3:$E$1025,0)))</f>
        <v>123</v>
      </c>
      <c r="C125" s="2" t="str">
        <f>IF(INDEX(学年度总表!$C$3:$C$1025,MATCH($E125,学年度总表!$E$3:$E$1025,0))="","",INDEX(学年度总表!$C$3:$C$1025,MATCH($E125,学年度总表!$E$3:$E$1025,0)))</f>
        <v>网工</v>
      </c>
      <c r="D125" s="2" t="str">
        <f>IF(INDEX(学年度总表!$D$3:$D$1025,MATCH($E125,学年度总表!$E$3:$E$1025,0))="","",INDEX(学年度总表!$D$3:$D$1025,MATCH($E125,学年度总表!$E$3:$E$1025,0)))</f>
        <v>网工17班</v>
      </c>
      <c r="E125" s="2" t="s">
        <v>1823</v>
      </c>
      <c r="F125" s="2" t="str">
        <f>IF(INDEX(学年度总表!$F$3:$F$1025,MATCH($E125,学年度总表!$E$3:$E$1025,0))="","",INDEX(学年度总表!$F$3:$F$1025,MATCH($E125,学年度总表!$E$3:$E$1025,0)))</f>
        <v>王恒鑫</v>
      </c>
      <c r="G125" s="3">
        <f>IF(INDEX(学年度总表!$G$3:$G$1025,MATCH($E125,学年度总表!$E$3:$E$1025,0))="","",INDEX(学年度总表!$G$3:$G$1025,MATCH($E125,学年度总表!$E$3:$E$1025,0)))</f>
        <v>9.8000000000000007</v>
      </c>
      <c r="H125" s="3">
        <f>IF(INDEX(学年度总表!$H$3:$H$1025,MATCH($E125,学年度总表!$E$3:$E$1025,0))="","",INDEX(学年度总表!$H$3:$H$1025,MATCH($E125,学年度总表!$E$3:$E$1025,0)))</f>
        <v>45.74</v>
      </c>
      <c r="I125" s="3">
        <f>IF(INDEX(学年度总表!$I$3:$I$1025,MATCH($E125,学年度总表!$E$3:$E$1025,0))="","",INDEX(学年度总表!$I$3:$I$1025,MATCH($E125,学年度总表!$E$3:$E$1025,0)))</f>
        <v>3</v>
      </c>
      <c r="J125" s="3">
        <f>IF(INDEX(学年度总表!$J$3:$J$1025,MATCH($E125,学年度总表!$E$3:$E$1025,0))="","",INDEX(学年度总表!$J$3:$J$1025,MATCH($E125,学年度总表!$E$3:$E$1025,0)))</f>
        <v>58.54</v>
      </c>
      <c r="K125" s="3">
        <f>IF(INDEX(学年度总表!$K$3:$K$1025,MATCH($E125,学年度总表!$E$3:$E$1025,0))="","",INDEX(学年度总表!$K$3:$K$1025,MATCH($E125,学年度总表!$E$3:$E$1025,0)))</f>
        <v>7.3000000000000007</v>
      </c>
      <c r="L125" s="3">
        <f>IF(INDEX(学年度总表!$L$3:$L$1025,MATCH($E125,学年度总表!$E$3:$E$1025,0))="","",INDEX(学年度总表!$L$3:$L$1025,MATCH($E125,学年度总表!$E$3:$E$1025,0)))</f>
        <v>47.83</v>
      </c>
      <c r="M125" s="3">
        <f>IF(INDEX(学年度总表!$M$3:$M$1025,MATCH($E125,学年度总表!$E$3:$E$1025,0))="","",INDEX(学年度总表!$M$3:$M$1025,MATCH($E125,学年度总表!$E$3:$E$1025,0)))</f>
        <v>3.5</v>
      </c>
      <c r="N125" s="3">
        <f>IF(INDEX(学年度总表!$N$3:$N$1025,MATCH($E125,学年度总表!$E$3:$E$1025,0))="","",INDEX(学年度总表!$N$3:$N$1025,MATCH($E125,学年度总表!$E$3:$E$1025,0)))</f>
        <v>58.63</v>
      </c>
      <c r="O125" s="3">
        <f>IF(INDEX(学年度总表!$O$3:$O$1025,MATCH($E125,学年度总表!$E$3:$E$1025,0))="","",INDEX(学年度总表!$O$3:$O$1025,MATCH($E125,学年度总表!$E$3:$E$1025,0)))</f>
        <v>117.17</v>
      </c>
      <c r="P125" s="2" t="str">
        <f>IF(INDEX(学年度总表!$P$3:$P$1025,MATCH($E125,学年度总表!$E$3:$E$1025,0))="","",INDEX(学年度总表!$P$3:$P$1025,MATCH($E125,学年度总表!$E$3:$E$1025,0)))</f>
        <v/>
      </c>
      <c r="Q125" s="5" t="str">
        <f>IF(INDEX(学年度总表!$Q$3:$Q$1025,MATCH($E125,学年度总表!$E$3:$E$1025,0))="","",INDEX(学年度总表!$Q$3:$Q$1025,MATCH($E125,学年度总表!$E$3:$E$1025,0)))</f>
        <v/>
      </c>
    </row>
    <row r="126" spans="1:17">
      <c r="A126" s="2">
        <f>IF(INDEX(学年度总表!$A$3:$A$1025,MATCH($E126,学年度总表!$E$3:$E$1025,0))="","",INDEX(学年度总表!$A$3:$A$1025,MATCH($E126,学年度总表!$E$3:$E$1025,0)))</f>
        <v>884</v>
      </c>
      <c r="B126" s="2">
        <f>IF(INDEX(学年度总表!$B$3:$B$1025,MATCH($E126,学年度总表!$E$3:$E$1025,0))="","",INDEX(学年度总表!$B$3:$B$1025,MATCH($E126,学年度总表!$E$3:$E$1025,0)))</f>
        <v>124</v>
      </c>
      <c r="C126" s="2" t="str">
        <f>IF(INDEX(学年度总表!$C$3:$C$1025,MATCH($E126,学年度总表!$E$3:$E$1025,0))="","",INDEX(学年度总表!$C$3:$C$1025,MATCH($E126,学年度总表!$E$3:$E$1025,0)))</f>
        <v>网工</v>
      </c>
      <c r="D126" s="2" t="str">
        <f>IF(INDEX(学年度总表!$D$3:$D$1025,MATCH($E126,学年度总表!$E$3:$E$1025,0))="","",INDEX(学年度总表!$D$3:$D$1025,MATCH($E126,学年度总表!$E$3:$E$1025,0)))</f>
        <v>网工18班</v>
      </c>
      <c r="E126" s="2" t="s">
        <v>1829</v>
      </c>
      <c r="F126" s="2" t="str">
        <f>IF(INDEX(学年度总表!$F$3:$F$1025,MATCH($E126,学年度总表!$E$3:$E$1025,0))="","",INDEX(学年度总表!$F$3:$F$1025,MATCH($E126,学年度总表!$E$3:$E$1025,0)))</f>
        <v>李金洋</v>
      </c>
      <c r="G126" s="3">
        <f>IF(INDEX(学年度总表!$G$3:$G$1025,MATCH($E126,学年度总表!$E$3:$E$1025,0))="","",INDEX(学年度总表!$G$3:$G$1025,MATCH($E126,学年度总表!$E$3:$E$1025,0)))</f>
        <v>9.4</v>
      </c>
      <c r="H126" s="3">
        <f>IF(INDEX(学年度总表!$H$3:$H$1025,MATCH($E126,学年度总表!$E$3:$E$1025,0))="","",INDEX(学年度总表!$H$3:$H$1025,MATCH($E126,学年度总表!$E$3:$E$1025,0)))</f>
        <v>45.09</v>
      </c>
      <c r="I126" s="3">
        <f>IF(INDEX(学年度总表!$I$3:$I$1025,MATCH($E126,学年度总表!$E$3:$E$1025,0))="","",INDEX(学年度总表!$I$3:$I$1025,MATCH($E126,学年度总表!$E$3:$E$1025,0)))</f>
        <v>4</v>
      </c>
      <c r="J126" s="3">
        <f>IF(INDEX(学年度总表!$J$3:$J$1025,MATCH($E126,学年度总表!$E$3:$E$1025,0))="","",INDEX(学年度总表!$J$3:$J$1025,MATCH($E126,学年度总表!$E$3:$E$1025,0)))</f>
        <v>58.49</v>
      </c>
      <c r="K126" s="3">
        <f>IF(INDEX(学年度总表!$K$3:$K$1025,MATCH($E126,学年度总表!$E$3:$E$1025,0))="","",INDEX(学年度总表!$K$3:$K$1025,MATCH($E126,学年度总表!$E$3:$E$1025,0)))</f>
        <v>8.8000000000000007</v>
      </c>
      <c r="L126" s="3">
        <f>IF(INDEX(学年度总表!$L$3:$L$1025,MATCH($E126,学年度总表!$E$3:$E$1025,0))="","",INDEX(学年度总表!$L$3:$L$1025,MATCH($E126,学年度总表!$E$3:$E$1025,0)))</f>
        <v>45.28</v>
      </c>
      <c r="M126" s="3">
        <f>IF(INDEX(学年度总表!$M$3:$M$1025,MATCH($E126,学年度总表!$E$3:$E$1025,0))="","",INDEX(学年度总表!$M$3:$M$1025,MATCH($E126,学年度总表!$E$3:$E$1025,0)))</f>
        <v>4</v>
      </c>
      <c r="N126" s="3">
        <f>IF(INDEX(学年度总表!$N$3:$N$1025,MATCH($E126,学年度总表!$E$3:$E$1025,0))="","",INDEX(学年度总表!$N$3:$N$1025,MATCH($E126,学年度总表!$E$3:$E$1025,0)))</f>
        <v>58.08</v>
      </c>
      <c r="O126" s="3">
        <f>IF(INDEX(学年度总表!$O$3:$O$1025,MATCH($E126,学年度总表!$E$3:$E$1025,0))="","",INDEX(学年度总表!$O$3:$O$1025,MATCH($E126,学年度总表!$E$3:$E$1025,0)))</f>
        <v>116.57</v>
      </c>
      <c r="P126" s="2" t="str">
        <f>IF(INDEX(学年度总表!$P$3:$P$1025,MATCH($E126,学年度总表!$E$3:$E$1025,0))="","",INDEX(学年度总表!$P$3:$P$1025,MATCH($E126,学年度总表!$E$3:$E$1025,0)))</f>
        <v/>
      </c>
      <c r="Q126" s="5" t="str">
        <f>IF(INDEX(学年度总表!$Q$3:$Q$1025,MATCH($E126,学年度总表!$E$3:$E$1025,0))="","",INDEX(学年度总表!$Q$3:$Q$1025,MATCH($E126,学年度总表!$E$3:$E$1025,0)))</f>
        <v/>
      </c>
    </row>
    <row r="127" spans="1:17">
      <c r="A127" s="2">
        <f>IF(INDEX(学年度总表!$A$3:$A$1025,MATCH($E127,学年度总表!$E$3:$E$1025,0))="","",INDEX(学年度总表!$A$3:$A$1025,MATCH($E127,学年度总表!$E$3:$E$1025,0)))</f>
        <v>894</v>
      </c>
      <c r="B127" s="2">
        <f>IF(INDEX(学年度总表!$B$3:$B$1025,MATCH($E127,学年度总表!$E$3:$E$1025,0))="","",INDEX(学年度总表!$B$3:$B$1025,MATCH($E127,学年度总表!$E$3:$E$1025,0)))</f>
        <v>125</v>
      </c>
      <c r="C127" s="2" t="str">
        <f>IF(INDEX(学年度总表!$C$3:$C$1025,MATCH($E127,学年度总表!$E$3:$E$1025,0))="","",INDEX(学年度总表!$C$3:$C$1025,MATCH($E127,学年度总表!$E$3:$E$1025,0)))</f>
        <v>网工</v>
      </c>
      <c r="D127" s="2" t="str">
        <f>IF(INDEX(学年度总表!$D$3:$D$1025,MATCH($E127,学年度总表!$E$3:$E$1025,0))="","",INDEX(学年度总表!$D$3:$D$1025,MATCH($E127,学年度总表!$E$3:$E$1025,0)))</f>
        <v>网工15班</v>
      </c>
      <c r="E127" s="2" t="s">
        <v>1849</v>
      </c>
      <c r="F127" s="2" t="str">
        <f>IF(INDEX(学年度总表!$F$3:$F$1025,MATCH($E127,学年度总表!$E$3:$E$1025,0))="","",INDEX(学年度总表!$F$3:$F$1025,MATCH($E127,学年度总表!$E$3:$E$1025,0)))</f>
        <v>王润琦</v>
      </c>
      <c r="G127" s="3">
        <f>IF(INDEX(学年度总表!$G$3:$G$1025,MATCH($E127,学年度总表!$E$3:$E$1025,0))="","",INDEX(学年度总表!$G$3:$G$1025,MATCH($E127,学年度总表!$E$3:$E$1025,0)))</f>
        <v>9.8000000000000007</v>
      </c>
      <c r="H127" s="3">
        <f>IF(INDEX(学年度总表!$H$3:$H$1025,MATCH($E127,学年度总表!$E$3:$E$1025,0))="","",INDEX(学年度总表!$H$3:$H$1025,MATCH($E127,学年度总表!$E$3:$E$1025,0)))</f>
        <v>50.19</v>
      </c>
      <c r="I127" s="3">
        <f>IF(INDEX(学年度总表!$I$3:$I$1025,MATCH($E127,学年度总表!$E$3:$E$1025,0))="","",INDEX(学年度总表!$I$3:$I$1025,MATCH($E127,学年度总表!$E$3:$E$1025,0)))</f>
        <v>3</v>
      </c>
      <c r="J127" s="3">
        <f>IF(INDEX(学年度总表!$J$3:$J$1025,MATCH($E127,学年度总表!$E$3:$E$1025,0))="","",INDEX(学年度总表!$J$3:$J$1025,MATCH($E127,学年度总表!$E$3:$E$1025,0)))</f>
        <v>62.99</v>
      </c>
      <c r="K127" s="3">
        <f>IF(INDEX(学年度总表!$K$3:$K$1025,MATCH($E127,学年度总表!$E$3:$E$1025,0))="","",INDEX(学年度总表!$K$3:$K$1025,MATCH($E127,学年度总表!$E$3:$E$1025,0)))</f>
        <v>7.3000000000000007</v>
      </c>
      <c r="L127" s="3">
        <f>IF(INDEX(学年度总表!$L$3:$L$1025,MATCH($E127,学年度总表!$E$3:$E$1025,0))="","",INDEX(学年度总表!$L$3:$L$1025,MATCH($E127,学年度总表!$E$3:$E$1025,0)))</f>
        <v>42</v>
      </c>
      <c r="M127" s="3">
        <f>IF(INDEX(学年度总表!$M$3:$M$1025,MATCH($E127,学年度总表!$E$3:$E$1025,0))="","",INDEX(学年度总表!$M$3:$M$1025,MATCH($E127,学年度总表!$E$3:$E$1025,0)))</f>
        <v>3.5</v>
      </c>
      <c r="N127" s="3">
        <f>IF(INDEX(学年度总表!$N$3:$N$1025,MATCH($E127,学年度总表!$E$3:$E$1025,0))="","",INDEX(学年度总表!$N$3:$N$1025,MATCH($E127,学年度总表!$E$3:$E$1025,0)))</f>
        <v>52.8</v>
      </c>
      <c r="O127" s="3">
        <f>IF(INDEX(学年度总表!$O$3:$O$1025,MATCH($E127,学年度总表!$E$3:$E$1025,0))="","",INDEX(学年度总表!$O$3:$O$1025,MATCH($E127,学年度总表!$E$3:$E$1025,0)))</f>
        <v>115.79</v>
      </c>
      <c r="P127" s="2" t="str">
        <f>IF(INDEX(学年度总表!$P$3:$P$1025,MATCH($E127,学年度总表!$E$3:$E$1025,0))="","",INDEX(学年度总表!$P$3:$P$1025,MATCH($E127,学年度总表!$E$3:$E$1025,0)))</f>
        <v/>
      </c>
      <c r="Q127" s="5" t="str">
        <f>IF(INDEX(学年度总表!$Q$3:$Q$1025,MATCH($E127,学年度总表!$E$3:$E$1025,0))="","",INDEX(学年度总表!$Q$3:$Q$1025,MATCH($E127,学年度总表!$E$3:$E$1025,0)))</f>
        <v/>
      </c>
    </row>
    <row r="128" spans="1:17">
      <c r="A128" s="2">
        <f>IF(INDEX(学年度总表!$A$3:$A$1025,MATCH($E128,学年度总表!$E$3:$E$1025,0))="","",INDEX(学年度总表!$A$3:$A$1025,MATCH($E128,学年度总表!$E$3:$E$1025,0)))</f>
        <v>915</v>
      </c>
      <c r="B128" s="2">
        <f>IF(INDEX(学年度总表!$B$3:$B$1025,MATCH($E128,学年度总表!$E$3:$E$1025,0))="","",INDEX(学年度总表!$B$3:$B$1025,MATCH($E128,学年度总表!$E$3:$E$1025,0)))</f>
        <v>126</v>
      </c>
      <c r="C128" s="2" t="str">
        <f>IF(INDEX(学年度总表!$C$3:$C$1025,MATCH($E128,学年度总表!$E$3:$E$1025,0))="","",INDEX(学年度总表!$C$3:$C$1025,MATCH($E128,学年度总表!$E$3:$E$1025,0)))</f>
        <v>网工</v>
      </c>
      <c r="D128" s="2" t="str">
        <f>IF(INDEX(学年度总表!$D$3:$D$1025,MATCH($E128,学年度总表!$E$3:$E$1025,0))="","",INDEX(学年度总表!$D$3:$D$1025,MATCH($E128,学年度总表!$E$3:$E$1025,0)))</f>
        <v>网工17班</v>
      </c>
      <c r="E128" s="2" t="s">
        <v>1891</v>
      </c>
      <c r="F128" s="2" t="str">
        <f>IF(INDEX(学年度总表!$F$3:$F$1025,MATCH($E128,学年度总表!$E$3:$E$1025,0))="","",INDEX(学年度总表!$F$3:$F$1025,MATCH($E128,学年度总表!$E$3:$E$1025,0)))</f>
        <v>苑宸茁</v>
      </c>
      <c r="G128" s="3">
        <f>IF(INDEX(学年度总表!$G$3:$G$1025,MATCH($E128,学年度总表!$E$3:$E$1025,0))="","",INDEX(学年度总表!$G$3:$G$1025,MATCH($E128,学年度总表!$E$3:$E$1025,0)))</f>
        <v>9.6</v>
      </c>
      <c r="H128" s="3">
        <f>IF(INDEX(学年度总表!$H$3:$H$1025,MATCH($E128,学年度总表!$E$3:$E$1025,0))="","",INDEX(学年度总表!$H$3:$H$1025,MATCH($E128,学年度总表!$E$3:$E$1025,0)))</f>
        <v>46.7</v>
      </c>
      <c r="I128" s="3">
        <f>IF(INDEX(学年度总表!$I$3:$I$1025,MATCH($E128,学年度总表!$E$3:$E$1025,0))="","",INDEX(学年度总表!$I$3:$I$1025,MATCH($E128,学年度总表!$E$3:$E$1025,0)))</f>
        <v>3</v>
      </c>
      <c r="J128" s="3">
        <f>IF(INDEX(学年度总表!$J$3:$J$1025,MATCH($E128,学年度总表!$E$3:$E$1025,0))="","",INDEX(学年度总表!$J$3:$J$1025,MATCH($E128,学年度总表!$E$3:$E$1025,0)))</f>
        <v>59.3</v>
      </c>
      <c r="K128" s="3">
        <f>IF(INDEX(学年度总表!$K$3:$K$1025,MATCH($E128,学年度总表!$E$3:$E$1025,0))="","",INDEX(学年度总表!$K$3:$K$1025,MATCH($E128,学年度总表!$E$3:$E$1025,0)))</f>
        <v>7.5</v>
      </c>
      <c r="L128" s="3">
        <f>IF(INDEX(学年度总表!$L$3:$L$1025,MATCH($E128,学年度总表!$E$3:$E$1025,0))="","",INDEX(学年度总表!$L$3:$L$1025,MATCH($E128,学年度总表!$E$3:$E$1025,0)))</f>
        <v>42.58</v>
      </c>
      <c r="M128" s="3">
        <f>IF(INDEX(学年度总表!$M$3:$M$1025,MATCH($E128,学年度总表!$E$3:$E$1025,0))="","",INDEX(学年度总表!$M$3:$M$1025,MATCH($E128,学年度总表!$E$3:$E$1025,0)))</f>
        <v>3.5</v>
      </c>
      <c r="N128" s="3">
        <f>IF(INDEX(学年度总表!$N$3:$N$1025,MATCH($E128,学年度总表!$E$3:$E$1025,0))="","",INDEX(学年度总表!$N$3:$N$1025,MATCH($E128,学年度总表!$E$3:$E$1025,0)))</f>
        <v>53.58</v>
      </c>
      <c r="O128" s="3">
        <f>IF(INDEX(学年度总表!$O$3:$O$1025,MATCH($E128,学年度总表!$E$3:$E$1025,0))="","",INDEX(学年度总表!$O$3:$O$1025,MATCH($E128,学年度总表!$E$3:$E$1025,0)))</f>
        <v>112.88</v>
      </c>
      <c r="P128" s="2" t="str">
        <f>IF(INDEX(学年度总表!$P$3:$P$1025,MATCH($E128,学年度总表!$E$3:$E$1025,0))="","",INDEX(学年度总表!$P$3:$P$1025,MATCH($E128,学年度总表!$E$3:$E$1025,0)))</f>
        <v/>
      </c>
      <c r="Q128" s="5" t="str">
        <f>IF(INDEX(学年度总表!$Q$3:$Q$1025,MATCH($E128,学年度总表!$E$3:$E$1025,0))="","",INDEX(学年度总表!$Q$3:$Q$1025,MATCH($E128,学年度总表!$E$3:$E$1025,0)))</f>
        <v/>
      </c>
    </row>
    <row r="129" spans="1:17">
      <c r="A129" s="2">
        <f>IF(INDEX(学年度总表!$A$3:$A$1025,MATCH($E129,学年度总表!$E$3:$E$1025,0))="","",INDEX(学年度总表!$A$3:$A$1025,MATCH($E129,学年度总表!$E$3:$E$1025,0)))</f>
        <v>923</v>
      </c>
      <c r="B129" s="2">
        <f>IF(INDEX(学年度总表!$B$3:$B$1025,MATCH($E129,学年度总表!$E$3:$E$1025,0))="","",INDEX(学年度总表!$B$3:$B$1025,MATCH($E129,学年度总表!$E$3:$E$1025,0)))</f>
        <v>127</v>
      </c>
      <c r="C129" s="2" t="str">
        <f>IF(INDEX(学年度总表!$C$3:$C$1025,MATCH($E129,学年度总表!$E$3:$E$1025,0))="","",INDEX(学年度总表!$C$3:$C$1025,MATCH($E129,学年度总表!$E$3:$E$1025,0)))</f>
        <v>网工</v>
      </c>
      <c r="D129" s="2" t="str">
        <f>IF(INDEX(学年度总表!$D$3:$D$1025,MATCH($E129,学年度总表!$E$3:$E$1025,0))="","",INDEX(学年度总表!$D$3:$D$1025,MATCH($E129,学年度总表!$E$3:$E$1025,0)))</f>
        <v>网工17班</v>
      </c>
      <c r="E129" s="2" t="s">
        <v>1907</v>
      </c>
      <c r="F129" s="2" t="str">
        <f>IF(INDEX(学年度总表!$F$3:$F$1025,MATCH($E129,学年度总表!$E$3:$E$1025,0))="","",INDEX(学年度总表!$F$3:$F$1025,MATCH($E129,学年度总表!$E$3:$E$1025,0)))</f>
        <v>范嘉诚</v>
      </c>
      <c r="G129" s="3">
        <f>IF(INDEX(学年度总表!$G$3:$G$1025,MATCH($E129,学年度总表!$E$3:$E$1025,0))="","",INDEX(学年度总表!$G$3:$G$1025,MATCH($E129,学年度总表!$E$3:$E$1025,0)))</f>
        <v>9.8000000000000007</v>
      </c>
      <c r="H129" s="3">
        <f>IF(INDEX(学年度总表!$H$3:$H$1025,MATCH($E129,学年度总表!$E$3:$E$1025,0))="","",INDEX(学年度总表!$H$3:$H$1025,MATCH($E129,学年度总表!$E$3:$E$1025,0)))</f>
        <v>39.869999999999997</v>
      </c>
      <c r="I129" s="3">
        <f>IF(INDEX(学年度总表!$I$3:$I$1025,MATCH($E129,学年度总表!$E$3:$E$1025,0))="","",INDEX(学年度总表!$I$3:$I$1025,MATCH($E129,学年度总表!$E$3:$E$1025,0)))</f>
        <v>3</v>
      </c>
      <c r="J129" s="3">
        <f>IF(INDEX(学年度总表!$J$3:$J$1025,MATCH($E129,学年度总表!$E$3:$E$1025,0))="","",INDEX(学年度总表!$J$3:$J$1025,MATCH($E129,学年度总表!$E$3:$E$1025,0)))</f>
        <v>52.67</v>
      </c>
      <c r="K129" s="3">
        <f>IF(INDEX(学年度总表!$K$3:$K$1025,MATCH($E129,学年度总表!$E$3:$E$1025,0))="","",INDEX(学年度总表!$K$3:$K$1025,MATCH($E129,学年度总表!$E$3:$E$1025,0)))</f>
        <v>7.3000000000000007</v>
      </c>
      <c r="L129" s="3">
        <f>IF(INDEX(学年度总表!$L$3:$L$1025,MATCH($E129,学年度总表!$E$3:$E$1025,0))="","",INDEX(学年度总表!$L$3:$L$1025,MATCH($E129,学年度总表!$E$3:$E$1025,0)))</f>
        <v>47.8</v>
      </c>
      <c r="M129" s="3">
        <f>IF(INDEX(学年度总表!$M$3:$M$1025,MATCH($E129,学年度总表!$E$3:$E$1025,0))="","",INDEX(学年度总表!$M$3:$M$1025,MATCH($E129,学年度总表!$E$3:$E$1025,0)))</f>
        <v>3.5</v>
      </c>
      <c r="N129" s="3">
        <f>IF(INDEX(学年度总表!$N$3:$N$1025,MATCH($E129,学年度总表!$E$3:$E$1025,0))="","",INDEX(学年度总表!$N$3:$N$1025,MATCH($E129,学年度总表!$E$3:$E$1025,0)))</f>
        <v>58.6</v>
      </c>
      <c r="O129" s="3">
        <f>IF(INDEX(学年度总表!$O$3:$O$1025,MATCH($E129,学年度总表!$E$3:$E$1025,0))="","",INDEX(学年度总表!$O$3:$O$1025,MATCH($E129,学年度总表!$E$3:$E$1025,0)))</f>
        <v>111.27</v>
      </c>
      <c r="P129" s="2" t="str">
        <f>IF(INDEX(学年度总表!$P$3:$P$1025,MATCH($E129,学年度总表!$E$3:$E$1025,0))="","",INDEX(学年度总表!$P$3:$P$1025,MATCH($E129,学年度总表!$E$3:$E$1025,0)))</f>
        <v/>
      </c>
      <c r="Q129" s="5" t="str">
        <f>IF(INDEX(学年度总表!$Q$3:$Q$1025,MATCH($E129,学年度总表!$E$3:$E$1025,0))="","",INDEX(学年度总表!$Q$3:$Q$1025,MATCH($E129,学年度总表!$E$3:$E$1025,0)))</f>
        <v/>
      </c>
    </row>
    <row r="130" spans="1:17">
      <c r="A130" s="2">
        <f>IF(INDEX(学年度总表!$A$3:$A$1025,MATCH($E130,学年度总表!$E$3:$E$1025,0))="","",INDEX(学年度总表!$A$3:$A$1025,MATCH($E130,学年度总表!$E$3:$E$1025,0)))</f>
        <v>925</v>
      </c>
      <c r="B130" s="2">
        <f>IF(INDEX(学年度总表!$B$3:$B$1025,MATCH($E130,学年度总表!$E$3:$E$1025,0))="","",INDEX(学年度总表!$B$3:$B$1025,MATCH($E130,学年度总表!$E$3:$E$1025,0)))</f>
        <v>128</v>
      </c>
      <c r="C130" s="2" t="str">
        <f>IF(INDEX(学年度总表!$C$3:$C$1025,MATCH($E130,学年度总表!$E$3:$E$1025,0))="","",INDEX(学年度总表!$C$3:$C$1025,MATCH($E130,学年度总表!$E$3:$E$1025,0)))</f>
        <v>网工</v>
      </c>
      <c r="D130" s="2" t="str">
        <f>IF(INDEX(学年度总表!$D$3:$D$1025,MATCH($E130,学年度总表!$E$3:$E$1025,0))="","",INDEX(学年度总表!$D$3:$D$1025,MATCH($E130,学年度总表!$E$3:$E$1025,0)))</f>
        <v>网工16班</v>
      </c>
      <c r="E130" s="2" t="s">
        <v>1911</v>
      </c>
      <c r="F130" s="2" t="str">
        <f>IF(INDEX(学年度总表!$F$3:$F$1025,MATCH($E130,学年度总表!$E$3:$E$1025,0))="","",INDEX(学年度总表!$F$3:$F$1025,MATCH($E130,学年度总表!$E$3:$E$1025,0)))</f>
        <v>陈奕嘉</v>
      </c>
      <c r="G130" s="3">
        <f>IF(INDEX(学年度总表!$G$3:$G$1025,MATCH($E130,学年度总表!$E$3:$E$1025,0))="","",INDEX(学年度总表!$G$3:$G$1025,MATCH($E130,学年度总表!$E$3:$E$1025,0)))</f>
        <v>9.6</v>
      </c>
      <c r="H130" s="3">
        <f>IF(INDEX(学年度总表!$H$3:$H$1025,MATCH($E130,学年度总表!$E$3:$E$1025,0))="","",INDEX(学年度总表!$H$3:$H$1025,MATCH($E130,学年度总表!$E$3:$E$1025,0)))</f>
        <v>44.91</v>
      </c>
      <c r="I130" s="3">
        <f>IF(INDEX(学年度总表!$I$3:$I$1025,MATCH($E130,学年度总表!$E$3:$E$1025,0))="","",INDEX(学年度总表!$I$3:$I$1025,MATCH($E130,学年度总表!$E$3:$E$1025,0)))</f>
        <v>3</v>
      </c>
      <c r="J130" s="3">
        <f>IF(INDEX(学年度总表!$J$3:$J$1025,MATCH($E130,学年度总表!$E$3:$E$1025,0))="","",INDEX(学年度总表!$J$3:$J$1025,MATCH($E130,学年度总表!$E$3:$E$1025,0)))</f>
        <v>57.51</v>
      </c>
      <c r="K130" s="3">
        <f>IF(INDEX(学年度总表!$K$3:$K$1025,MATCH($E130,学年度总表!$E$3:$E$1025,0))="","",INDEX(学年度总表!$K$3:$K$1025,MATCH($E130,学年度总表!$E$3:$E$1025,0)))</f>
        <v>7.5</v>
      </c>
      <c r="L130" s="3">
        <f>IF(INDEX(学年度总表!$L$3:$L$1025,MATCH($E130,学年度总表!$E$3:$E$1025,0))="","",INDEX(学年度总表!$L$3:$L$1025,MATCH($E130,学年度总表!$E$3:$E$1025,0)))</f>
        <v>42.07</v>
      </c>
      <c r="M130" s="3">
        <f>IF(INDEX(学年度总表!$M$3:$M$1025,MATCH($E130,学年度总表!$E$3:$E$1025,0))="","",INDEX(学年度总表!$M$3:$M$1025,MATCH($E130,学年度总表!$E$3:$E$1025,0)))</f>
        <v>3.7</v>
      </c>
      <c r="N130" s="3">
        <f>IF(INDEX(学年度总表!$N$3:$N$1025,MATCH($E130,学年度总表!$E$3:$E$1025,0))="","",INDEX(学年度总表!$N$3:$N$1025,MATCH($E130,学年度总表!$E$3:$E$1025,0)))</f>
        <v>53.27</v>
      </c>
      <c r="O130" s="3">
        <f>IF(INDEX(学年度总表!$O$3:$O$1025,MATCH($E130,学年度总表!$E$3:$E$1025,0))="","",INDEX(学年度总表!$O$3:$O$1025,MATCH($E130,学年度总表!$E$3:$E$1025,0)))</f>
        <v>110.78</v>
      </c>
      <c r="P130" s="2" t="str">
        <f>IF(INDEX(学年度总表!$P$3:$P$1025,MATCH($E130,学年度总表!$E$3:$E$1025,0))="","",INDEX(学年度总表!$P$3:$P$1025,MATCH($E130,学年度总表!$E$3:$E$1025,0)))</f>
        <v/>
      </c>
      <c r="Q130" s="5" t="str">
        <f>IF(INDEX(学年度总表!$Q$3:$Q$1025,MATCH($E130,学年度总表!$E$3:$E$1025,0))="","",INDEX(学年度总表!$Q$3:$Q$1025,MATCH($E130,学年度总表!$E$3:$E$1025,0)))</f>
        <v/>
      </c>
    </row>
    <row r="131" spans="1:17">
      <c r="A131" s="2">
        <f>IF(INDEX(学年度总表!$A$3:$A$1025,MATCH($E131,学年度总表!$E$3:$E$1025,0))="","",INDEX(学年度总表!$A$3:$A$1025,MATCH($E131,学年度总表!$E$3:$E$1025,0)))</f>
        <v>926</v>
      </c>
      <c r="B131" s="2">
        <f>IF(INDEX(学年度总表!$B$3:$B$1025,MATCH($E131,学年度总表!$E$3:$E$1025,0))="","",INDEX(学年度总表!$B$3:$B$1025,MATCH($E131,学年度总表!$E$3:$E$1025,0)))</f>
        <v>129</v>
      </c>
      <c r="C131" s="2" t="str">
        <f>IF(INDEX(学年度总表!$C$3:$C$1025,MATCH($E131,学年度总表!$E$3:$E$1025,0))="","",INDEX(学年度总表!$C$3:$C$1025,MATCH($E131,学年度总表!$E$3:$E$1025,0)))</f>
        <v>网工</v>
      </c>
      <c r="D131" s="2" t="str">
        <f>IF(INDEX(学年度总表!$D$3:$D$1025,MATCH($E131,学年度总表!$E$3:$E$1025,0))="","",INDEX(学年度总表!$D$3:$D$1025,MATCH($E131,学年度总表!$E$3:$E$1025,0)))</f>
        <v>网工17班</v>
      </c>
      <c r="E131" s="2" t="s">
        <v>1912</v>
      </c>
      <c r="F131" s="2" t="str">
        <f>IF(INDEX(学年度总表!$F$3:$F$1025,MATCH($E131,学年度总表!$E$3:$E$1025,0))="","",INDEX(学年度总表!$F$3:$F$1025,MATCH($E131,学年度总表!$E$3:$E$1025,0)))</f>
        <v>尚祖墨</v>
      </c>
      <c r="G131" s="3">
        <f>IF(INDEX(学年度总表!$G$3:$G$1025,MATCH($E131,学年度总表!$E$3:$E$1025,0))="","",INDEX(学年度总表!$G$3:$G$1025,MATCH($E131,学年度总表!$E$3:$E$1025,0)))</f>
        <v>9.6</v>
      </c>
      <c r="H131" s="3">
        <f>IF(INDEX(学年度总表!$H$3:$H$1025,MATCH($E131,学年度总表!$E$3:$E$1025,0))="","",INDEX(学年度总表!$H$3:$H$1025,MATCH($E131,学年度总表!$E$3:$E$1025,0)))</f>
        <v>46.45</v>
      </c>
      <c r="I131" s="3">
        <f>IF(INDEX(学年度总表!$I$3:$I$1025,MATCH($E131,学年度总表!$E$3:$E$1025,0))="","",INDEX(学年度总表!$I$3:$I$1025,MATCH($E131,学年度总表!$E$3:$E$1025,0)))</f>
        <v>3</v>
      </c>
      <c r="J131" s="3">
        <f>IF(INDEX(学年度总表!$J$3:$J$1025,MATCH($E131,学年度总表!$E$3:$E$1025,0))="","",INDEX(学年度总表!$J$3:$J$1025,MATCH($E131,学年度总表!$E$3:$E$1025,0)))</f>
        <v>59.05</v>
      </c>
      <c r="K131" s="3">
        <f>IF(INDEX(学年度总表!$K$3:$K$1025,MATCH($E131,学年度总表!$E$3:$E$1025,0))="","",INDEX(学年度总表!$K$3:$K$1025,MATCH($E131,学年度总表!$E$3:$E$1025,0)))</f>
        <v>7.5</v>
      </c>
      <c r="L131" s="3">
        <f>IF(INDEX(学年度总表!$L$3:$L$1025,MATCH($E131,学年度总表!$E$3:$E$1025,0))="","",INDEX(学年度总表!$L$3:$L$1025,MATCH($E131,学年度总表!$E$3:$E$1025,0)))</f>
        <v>40.68</v>
      </c>
      <c r="M131" s="3">
        <f>IF(INDEX(学年度总表!$M$3:$M$1025,MATCH($E131,学年度总表!$E$3:$E$1025,0))="","",INDEX(学年度总表!$M$3:$M$1025,MATCH($E131,学年度总表!$E$3:$E$1025,0)))</f>
        <v>3.5</v>
      </c>
      <c r="N131" s="3">
        <f>IF(INDEX(学年度总表!$N$3:$N$1025,MATCH($E131,学年度总表!$E$3:$E$1025,0))="","",INDEX(学年度总表!$N$3:$N$1025,MATCH($E131,学年度总表!$E$3:$E$1025,0)))</f>
        <v>51.68</v>
      </c>
      <c r="O131" s="3">
        <f>IF(INDEX(学年度总表!$O$3:$O$1025,MATCH($E131,学年度总表!$E$3:$E$1025,0))="","",INDEX(学年度总表!$O$3:$O$1025,MATCH($E131,学年度总表!$E$3:$E$1025,0)))</f>
        <v>110.73</v>
      </c>
      <c r="P131" s="2" t="str">
        <f>IF(INDEX(学年度总表!$P$3:$P$1025,MATCH($E131,学年度总表!$E$3:$E$1025,0))="","",INDEX(学年度总表!$P$3:$P$1025,MATCH($E131,学年度总表!$E$3:$E$1025,0)))</f>
        <v/>
      </c>
      <c r="Q131" s="5" t="str">
        <f>IF(INDEX(学年度总表!$Q$3:$Q$1025,MATCH($E131,学年度总表!$E$3:$E$1025,0))="","",INDEX(学年度总表!$Q$3:$Q$1025,MATCH($E131,学年度总表!$E$3:$E$1025,0)))</f>
        <v/>
      </c>
    </row>
    <row r="132" spans="1:17">
      <c r="A132" s="2">
        <f>IF(INDEX(学年度总表!$A$3:$A$1025,MATCH($E132,学年度总表!$E$3:$E$1025,0))="","",INDEX(学年度总表!$A$3:$A$1025,MATCH($E132,学年度总表!$E$3:$E$1025,0)))</f>
        <v>947</v>
      </c>
      <c r="B132" s="2">
        <f>IF(INDEX(学年度总表!$B$3:$B$1025,MATCH($E132,学年度总表!$E$3:$E$1025,0))="","",INDEX(学年度总表!$B$3:$B$1025,MATCH($E132,学年度总表!$E$3:$E$1025,0)))</f>
        <v>130</v>
      </c>
      <c r="C132" s="2" t="str">
        <f>IF(INDEX(学年度总表!$C$3:$C$1025,MATCH($E132,学年度总表!$E$3:$E$1025,0))="","",INDEX(学年度总表!$C$3:$C$1025,MATCH($E132,学年度总表!$E$3:$E$1025,0)))</f>
        <v>网工</v>
      </c>
      <c r="D132" s="2" t="str">
        <f>IF(INDEX(学年度总表!$D$3:$D$1025,MATCH($E132,学年度总表!$E$3:$E$1025,0))="","",INDEX(学年度总表!$D$3:$D$1025,MATCH($E132,学年度总表!$E$3:$E$1025,0)))</f>
        <v>网工17班</v>
      </c>
      <c r="E132" s="2" t="s">
        <v>1954</v>
      </c>
      <c r="F132" s="2" t="str">
        <f>IF(INDEX(学年度总表!$F$3:$F$1025,MATCH($E132,学年度总表!$E$3:$E$1025,0))="","",INDEX(学年度总表!$F$3:$F$1025,MATCH($E132,学年度总表!$E$3:$E$1025,0)))</f>
        <v>汪照程</v>
      </c>
      <c r="G132" s="3">
        <f>IF(INDEX(学年度总表!$G$3:$G$1025,MATCH($E132,学年度总表!$E$3:$E$1025,0))="","",INDEX(学年度总表!$G$3:$G$1025,MATCH($E132,学年度总表!$E$3:$E$1025,0)))</f>
        <v>9.4</v>
      </c>
      <c r="H132" s="3">
        <f>IF(INDEX(学年度总表!$H$3:$H$1025,MATCH($E132,学年度总表!$E$3:$E$1025,0))="","",INDEX(学年度总表!$H$3:$H$1025,MATCH($E132,学年度总表!$E$3:$E$1025,0)))</f>
        <v>41.72</v>
      </c>
      <c r="I132" s="3">
        <f>IF(INDEX(学年度总表!$I$3:$I$1025,MATCH($E132,学年度总表!$E$3:$E$1025,0))="","",INDEX(学年度总表!$I$3:$I$1025,MATCH($E132,学年度总表!$E$3:$E$1025,0)))</f>
        <v>3</v>
      </c>
      <c r="J132" s="3">
        <f>IF(INDEX(学年度总表!$J$3:$J$1025,MATCH($E132,学年度总表!$E$3:$E$1025,0))="","",INDEX(学年度总表!$J$3:$J$1025,MATCH($E132,学年度总表!$E$3:$E$1025,0)))</f>
        <v>54.12</v>
      </c>
      <c r="K132" s="3">
        <f>IF(INDEX(学年度总表!$K$3:$K$1025,MATCH($E132,学年度总表!$E$3:$E$1025,0))="","",INDEX(学年度总表!$K$3:$K$1025,MATCH($E132,学年度总表!$E$3:$E$1025,0)))</f>
        <v>7.3000000000000007</v>
      </c>
      <c r="L132" s="3">
        <f>IF(INDEX(学年度总表!$L$3:$L$1025,MATCH($E132,学年度总表!$E$3:$E$1025,0))="","",INDEX(学年度总表!$L$3:$L$1025,MATCH($E132,学年度总表!$E$3:$E$1025,0)))</f>
        <v>42.46</v>
      </c>
      <c r="M132" s="3">
        <f>IF(INDEX(学年度总表!$M$3:$M$1025,MATCH($E132,学年度总表!$E$3:$E$1025,0))="","",INDEX(学年度总表!$M$3:$M$1025,MATCH($E132,学年度总表!$E$3:$E$1025,0)))</f>
        <v>3.5</v>
      </c>
      <c r="N132" s="3">
        <f>IF(INDEX(学年度总表!$N$3:$N$1025,MATCH($E132,学年度总表!$E$3:$E$1025,0))="","",INDEX(学年度总表!$N$3:$N$1025,MATCH($E132,学年度总表!$E$3:$E$1025,0)))</f>
        <v>53.26</v>
      </c>
      <c r="O132" s="3">
        <f>IF(INDEX(学年度总表!$O$3:$O$1025,MATCH($E132,学年度总表!$E$3:$E$1025,0))="","",INDEX(学年度总表!$O$3:$O$1025,MATCH($E132,学年度总表!$E$3:$E$1025,0)))</f>
        <v>107.38</v>
      </c>
      <c r="P132" s="2" t="str">
        <f>IF(INDEX(学年度总表!$P$3:$P$1025,MATCH($E132,学年度总表!$E$3:$E$1025,0))="","",INDEX(学年度总表!$P$3:$P$1025,MATCH($E132,学年度总表!$E$3:$E$1025,0)))</f>
        <v/>
      </c>
      <c r="Q132" s="5" t="str">
        <f>IF(INDEX(学年度总表!$Q$3:$Q$1025,MATCH($E132,学年度总表!$E$3:$E$1025,0))="","",INDEX(学年度总表!$Q$3:$Q$1025,MATCH($E132,学年度总表!$E$3:$E$1025,0)))</f>
        <v/>
      </c>
    </row>
    <row r="133" spans="1:17">
      <c r="A133" s="2">
        <f>IF(INDEX(学年度总表!$A$3:$A$1025,MATCH($E133,学年度总表!$E$3:$E$1025,0))="","",INDEX(学年度总表!$A$3:$A$1025,MATCH($E133,学年度总表!$E$3:$E$1025,0)))</f>
        <v>952</v>
      </c>
      <c r="B133" s="2">
        <f>IF(INDEX(学年度总表!$B$3:$B$1025,MATCH($E133,学年度总表!$E$3:$E$1025,0))="","",INDEX(学年度总表!$B$3:$B$1025,MATCH($E133,学年度总表!$E$3:$E$1025,0)))</f>
        <v>131</v>
      </c>
      <c r="C133" s="2" t="str">
        <f>IF(INDEX(学年度总表!$C$3:$C$1025,MATCH($E133,学年度总表!$E$3:$E$1025,0))="","",INDEX(学年度总表!$C$3:$C$1025,MATCH($E133,学年度总表!$E$3:$E$1025,0)))</f>
        <v>网工</v>
      </c>
      <c r="D133" s="2" t="str">
        <f>IF(INDEX(学年度总表!$D$3:$D$1025,MATCH($E133,学年度总表!$E$3:$E$1025,0))="","",INDEX(学年度总表!$D$3:$D$1025,MATCH($E133,学年度总表!$E$3:$E$1025,0)))</f>
        <v>网工15班</v>
      </c>
      <c r="E133" s="2" t="s">
        <v>1964</v>
      </c>
      <c r="F133" s="2" t="str">
        <f>IF(INDEX(学年度总表!$F$3:$F$1025,MATCH($E133,学年度总表!$E$3:$E$1025,0))="","",INDEX(学年度总表!$F$3:$F$1025,MATCH($E133,学年度总表!$E$3:$E$1025,0)))</f>
        <v>李佳轩</v>
      </c>
      <c r="G133" s="3">
        <f>IF(INDEX(学年度总表!$G$3:$G$1025,MATCH($E133,学年度总表!$E$3:$E$1025,0))="","",INDEX(学年度总表!$G$3:$G$1025,MATCH($E133,学年度总表!$E$3:$E$1025,0)))</f>
        <v>10.4</v>
      </c>
      <c r="H133" s="3">
        <f>IF(INDEX(学年度总表!$H$3:$H$1025,MATCH($E133,学年度总表!$E$3:$E$1025,0))="","",INDEX(学年度总表!$H$3:$H$1025,MATCH($E133,学年度总表!$E$3:$E$1025,0)))</f>
        <v>44.83</v>
      </c>
      <c r="I133" s="3">
        <f>IF(INDEX(学年度总表!$I$3:$I$1025,MATCH($E133,学年度总表!$E$3:$E$1025,0))="","",INDEX(学年度总表!$I$3:$I$1025,MATCH($E133,学年度总表!$E$3:$E$1025,0)))</f>
        <v>3</v>
      </c>
      <c r="J133" s="3">
        <f>IF(INDEX(学年度总表!$J$3:$J$1025,MATCH($E133,学年度总表!$E$3:$E$1025,0))="","",INDEX(学年度总表!$J$3:$J$1025,MATCH($E133,学年度总表!$E$3:$E$1025,0)))</f>
        <v>58.23</v>
      </c>
      <c r="K133" s="3">
        <f>IF(INDEX(学年度总表!$K$3:$K$1025,MATCH($E133,学年度总表!$E$3:$E$1025,0))="","",INDEX(学年度总表!$K$3:$K$1025,MATCH($E133,学年度总表!$E$3:$E$1025,0)))</f>
        <v>7.3000000000000007</v>
      </c>
      <c r="L133" s="3">
        <f>IF(INDEX(学年度总表!$L$3:$L$1025,MATCH($E133,学年度总表!$E$3:$E$1025,0))="","",INDEX(学年度总表!$L$3:$L$1025,MATCH($E133,学年度总表!$E$3:$E$1025,0)))</f>
        <v>34.909999999999997</v>
      </c>
      <c r="M133" s="3">
        <f>IF(INDEX(学年度总表!$M$3:$M$1025,MATCH($E133,学年度总表!$E$3:$E$1025,0))="","",INDEX(学年度总表!$M$3:$M$1025,MATCH($E133,学年度总表!$E$3:$E$1025,0)))</f>
        <v>3.7</v>
      </c>
      <c r="N133" s="3">
        <f>IF(INDEX(学年度总表!$N$3:$N$1025,MATCH($E133,学年度总表!$E$3:$E$1025,0))="","",INDEX(学年度总表!$N$3:$N$1025,MATCH($E133,学年度总表!$E$3:$E$1025,0)))</f>
        <v>45.91</v>
      </c>
      <c r="O133" s="3">
        <f>IF(INDEX(学年度总表!$O$3:$O$1025,MATCH($E133,学年度总表!$E$3:$E$1025,0))="","",INDEX(学年度总表!$O$3:$O$1025,MATCH($E133,学年度总表!$E$3:$E$1025,0)))</f>
        <v>104.14</v>
      </c>
      <c r="P133" s="2" t="str">
        <f>IF(INDEX(学年度总表!$P$3:$P$1025,MATCH($E133,学年度总表!$E$3:$E$1025,0))="","",INDEX(学年度总表!$P$3:$P$1025,MATCH($E133,学年度总表!$E$3:$E$1025,0)))</f>
        <v/>
      </c>
      <c r="Q133" s="5" t="str">
        <f>IF(INDEX(学年度总表!$Q$3:$Q$1025,MATCH($E133,学年度总表!$E$3:$E$1025,0))="","",INDEX(学年度总表!$Q$3:$Q$1025,MATCH($E133,学年度总表!$E$3:$E$1025,0)))</f>
        <v/>
      </c>
    </row>
    <row r="134" spans="1:17">
      <c r="A134" s="2">
        <f>IF(INDEX(学年度总表!$A$3:$A$1025,MATCH($E134,学年度总表!$E$3:$E$1025,0))="","",INDEX(学年度总表!$A$3:$A$1025,MATCH($E134,学年度总表!$E$3:$E$1025,0)))</f>
        <v>954</v>
      </c>
      <c r="B134" s="2">
        <f>IF(INDEX(学年度总表!$B$3:$B$1025,MATCH($E134,学年度总表!$E$3:$E$1025,0))="","",INDEX(学年度总表!$B$3:$B$1025,MATCH($E134,学年度总表!$E$3:$E$1025,0)))</f>
        <v>132</v>
      </c>
      <c r="C134" s="2" t="str">
        <f>IF(INDEX(学年度总表!$C$3:$C$1025,MATCH($E134,学年度总表!$E$3:$E$1025,0))="","",INDEX(学年度总表!$C$3:$C$1025,MATCH($E134,学年度总表!$E$3:$E$1025,0)))</f>
        <v>网工</v>
      </c>
      <c r="D134" s="2" t="str">
        <f>IF(INDEX(学年度总表!$D$3:$D$1025,MATCH($E134,学年度总表!$E$3:$E$1025,0))="","",INDEX(学年度总表!$D$3:$D$1025,MATCH($E134,学年度总表!$E$3:$E$1025,0)))</f>
        <v>网工18班</v>
      </c>
      <c r="E134" s="2" t="s">
        <v>1968</v>
      </c>
      <c r="F134" s="2" t="str">
        <f>IF(INDEX(学年度总表!$F$3:$F$1025,MATCH($E134,学年度总表!$E$3:$E$1025,0))="","",INDEX(学年度总表!$F$3:$F$1025,MATCH($E134,学年度总表!$E$3:$E$1025,0)))</f>
        <v>陈思琦</v>
      </c>
      <c r="G134" s="3">
        <f>IF(INDEX(学年度总表!$G$3:$G$1025,MATCH($E134,学年度总表!$E$3:$E$1025,0))="","",INDEX(学年度总表!$G$3:$G$1025,MATCH($E134,学年度总表!$E$3:$E$1025,0)))</f>
        <v>10</v>
      </c>
      <c r="H134" s="3">
        <f>IF(INDEX(学年度总表!$H$3:$H$1025,MATCH($E134,学年度总表!$E$3:$E$1025,0))="","",INDEX(学年度总表!$H$3:$H$1025,MATCH($E134,学年度总表!$E$3:$E$1025,0)))</f>
        <v>49.22</v>
      </c>
      <c r="I134" s="3">
        <f>IF(INDEX(学年度总表!$I$3:$I$1025,MATCH($E134,学年度总表!$E$3:$E$1025,0))="","",INDEX(学年度总表!$I$3:$I$1025,MATCH($E134,学年度总表!$E$3:$E$1025,0)))</f>
        <v>4</v>
      </c>
      <c r="J134" s="3">
        <f>IF(INDEX(学年度总表!$J$3:$J$1025,MATCH($E134,学年度总表!$E$3:$E$1025,0))="","",INDEX(学年度总表!$J$3:$J$1025,MATCH($E134,学年度总表!$E$3:$E$1025,0)))</f>
        <v>63.22</v>
      </c>
      <c r="K134" s="3">
        <f>IF(INDEX(学年度总表!$K$3:$K$1025,MATCH($E134,学年度总表!$E$3:$E$1025,0))="","",INDEX(学年度总表!$K$3:$K$1025,MATCH($E134,学年度总表!$E$3:$E$1025,0)))</f>
        <v>7.5</v>
      </c>
      <c r="L134" s="3">
        <f>IF(INDEX(学年度总表!$L$3:$L$1025,MATCH($E134,学年度总表!$E$3:$E$1025,0))="","",INDEX(学年度总表!$L$3:$L$1025,MATCH($E134,学年度总表!$E$3:$E$1025,0)))</f>
        <v>27.83</v>
      </c>
      <c r="M134" s="3">
        <f>IF(INDEX(学年度总表!$M$3:$M$1025,MATCH($E134,学年度总表!$E$3:$E$1025,0))="","",INDEX(学年度总表!$M$3:$M$1025,MATCH($E134,学年度总表!$E$3:$E$1025,0)))</f>
        <v>4</v>
      </c>
      <c r="N134" s="3">
        <f>IF(INDEX(学年度总表!$N$3:$N$1025,MATCH($E134,学年度总表!$E$3:$E$1025,0))="","",INDEX(学年度总表!$N$3:$N$1025,MATCH($E134,学年度总表!$E$3:$E$1025,0)))</f>
        <v>39.33</v>
      </c>
      <c r="O134" s="3">
        <f>IF(INDEX(学年度总表!$O$3:$O$1025,MATCH($E134,学年度总表!$E$3:$E$1025,0))="","",INDEX(学年度总表!$O$3:$O$1025,MATCH($E134,学年度总表!$E$3:$E$1025,0)))</f>
        <v>102.55</v>
      </c>
      <c r="P134" s="2" t="str">
        <f>IF(INDEX(学年度总表!$P$3:$P$1025,MATCH($E134,学年度总表!$E$3:$E$1025,0))="","",INDEX(学年度总表!$P$3:$P$1025,MATCH($E134,学年度总表!$E$3:$E$1025,0)))</f>
        <v/>
      </c>
      <c r="Q134" s="5" t="str">
        <f>IF(INDEX(学年度总表!$Q$3:$Q$1025,MATCH($E134,学年度总表!$E$3:$E$1025,0))="","",INDEX(学年度总表!$Q$3:$Q$1025,MATCH($E134,学年度总表!$E$3:$E$1025,0)))</f>
        <v/>
      </c>
    </row>
    <row r="135" spans="1:17">
      <c r="A135" s="2">
        <f>IF(INDEX(学年度总表!$A$3:$A$1025,MATCH($E135,学年度总表!$E$3:$E$1025,0))="","",INDEX(学年度总表!$A$3:$A$1025,MATCH($E135,学年度总表!$E$3:$E$1025,0)))</f>
        <v>955</v>
      </c>
      <c r="B135" s="2">
        <f>IF(INDEX(学年度总表!$B$3:$B$1025,MATCH($E135,学年度总表!$E$3:$E$1025,0))="","",INDEX(学年度总表!$B$3:$B$1025,MATCH($E135,学年度总表!$E$3:$E$1025,0)))</f>
        <v>133</v>
      </c>
      <c r="C135" s="2" t="str">
        <f>IF(INDEX(学年度总表!$C$3:$C$1025,MATCH($E135,学年度总表!$E$3:$E$1025,0))="","",INDEX(学年度总表!$C$3:$C$1025,MATCH($E135,学年度总表!$E$3:$E$1025,0)))</f>
        <v>网工</v>
      </c>
      <c r="D135" s="2" t="str">
        <f>IF(INDEX(学年度总表!$D$3:$D$1025,MATCH($E135,学年度总表!$E$3:$E$1025,0))="","",INDEX(学年度总表!$D$3:$D$1025,MATCH($E135,学年度总表!$E$3:$E$1025,0)))</f>
        <v>网工15班</v>
      </c>
      <c r="E135" s="2" t="s">
        <v>1970</v>
      </c>
      <c r="F135" s="2" t="str">
        <f>IF(INDEX(学年度总表!$F$3:$F$1025,MATCH($E135,学年度总表!$E$3:$E$1025,0))="","",INDEX(学年度总表!$F$3:$F$1025,MATCH($E135,学年度总表!$E$3:$E$1025,0)))</f>
        <v>吴炳锜</v>
      </c>
      <c r="G135" s="3">
        <f>IF(INDEX(学年度总表!$G$3:$G$1025,MATCH($E135,学年度总表!$E$3:$E$1025,0))="","",INDEX(学年度总表!$G$3:$G$1025,MATCH($E135,学年度总表!$E$3:$E$1025,0)))</f>
        <v>7.3</v>
      </c>
      <c r="H135" s="3">
        <f>IF(INDEX(学年度总表!$H$3:$H$1025,MATCH($E135,学年度总表!$E$3:$E$1025,0))="","",INDEX(学年度总表!$H$3:$H$1025,MATCH($E135,学年度总表!$E$3:$E$1025,0)))</f>
        <v>40.299999999999997</v>
      </c>
      <c r="I135" s="3">
        <f>IF(INDEX(学年度总表!$I$3:$I$1025,MATCH($E135,学年度总表!$E$3:$E$1025,0))="","",INDEX(学年度总表!$I$3:$I$1025,MATCH($E135,学年度总表!$E$3:$E$1025,0)))</f>
        <v>3</v>
      </c>
      <c r="J135" s="3">
        <f>IF(INDEX(学年度总表!$J$3:$J$1025,MATCH($E135,学年度总表!$E$3:$E$1025,0))="","",INDEX(学年度总表!$J$3:$J$1025,MATCH($E135,学年度总表!$E$3:$E$1025,0)))</f>
        <v>50.6</v>
      </c>
      <c r="K135" s="3">
        <f>IF(INDEX(学年度总表!$K$3:$K$1025,MATCH($E135,学年度总表!$E$3:$E$1025,0))="","",INDEX(学年度总表!$K$3:$K$1025,MATCH($E135,学年度总表!$E$3:$E$1025,0)))</f>
        <v>7.3000000000000007</v>
      </c>
      <c r="L135" s="3">
        <f>IF(INDEX(学年度总表!$L$3:$L$1025,MATCH($E135,学年度总表!$E$3:$E$1025,0))="","",INDEX(学年度总表!$L$3:$L$1025,MATCH($E135,学年度总表!$E$3:$E$1025,0)))</f>
        <v>39.659999999999997</v>
      </c>
      <c r="M135" s="3">
        <f>IF(INDEX(学年度总表!$M$3:$M$1025,MATCH($E135,学年度总表!$E$3:$E$1025,0))="","",INDEX(学年度总表!$M$3:$M$1025,MATCH($E135,学年度总表!$E$3:$E$1025,0)))</f>
        <v>3.5</v>
      </c>
      <c r="N135" s="3">
        <f>IF(INDEX(学年度总表!$N$3:$N$1025,MATCH($E135,学年度总表!$E$3:$E$1025,0))="","",INDEX(学年度总表!$N$3:$N$1025,MATCH($E135,学年度总表!$E$3:$E$1025,0)))</f>
        <v>50.46</v>
      </c>
      <c r="O135" s="3">
        <f>IF(INDEX(学年度总表!$O$3:$O$1025,MATCH($E135,学年度总表!$E$3:$E$1025,0))="","",INDEX(学年度总表!$O$3:$O$1025,MATCH($E135,学年度总表!$E$3:$E$1025,0)))</f>
        <v>101.06</v>
      </c>
      <c r="P135" s="2" t="str">
        <f>IF(INDEX(学年度总表!$P$3:$P$1025,MATCH($E135,学年度总表!$E$3:$E$1025,0))="","",INDEX(学年度总表!$P$3:$P$1025,MATCH($E135,学年度总表!$E$3:$E$1025,0)))</f>
        <v/>
      </c>
      <c r="Q135" s="5" t="str">
        <f>IF(INDEX(学年度总表!$Q$3:$Q$1025,MATCH($E135,学年度总表!$E$3:$E$1025,0))="","",INDEX(学年度总表!$Q$3:$Q$1025,MATCH($E135,学年度总表!$E$3:$E$1025,0)))</f>
        <v/>
      </c>
    </row>
    <row r="136" spans="1:17">
      <c r="A136" s="2">
        <f>IF(INDEX(学年度总表!$A$3:$A$1025,MATCH($E136,学年度总表!$E$3:$E$1025,0))="","",INDEX(学年度总表!$A$3:$A$1025,MATCH($E136,学年度总表!$E$3:$E$1025,0)))</f>
        <v>956</v>
      </c>
      <c r="B136" s="2">
        <f>IF(INDEX(学年度总表!$B$3:$B$1025,MATCH($E136,学年度总表!$E$3:$E$1025,0))="","",INDEX(学年度总表!$B$3:$B$1025,MATCH($E136,学年度总表!$E$3:$E$1025,0)))</f>
        <v>134</v>
      </c>
      <c r="C136" s="2" t="str">
        <f>IF(INDEX(学年度总表!$C$3:$C$1025,MATCH($E136,学年度总表!$E$3:$E$1025,0))="","",INDEX(学年度总表!$C$3:$C$1025,MATCH($E136,学年度总表!$E$3:$E$1025,0)))</f>
        <v>网工</v>
      </c>
      <c r="D136" s="2" t="str">
        <f>IF(INDEX(学年度总表!$D$3:$D$1025,MATCH($E136,学年度总表!$E$3:$E$1025,0))="","",INDEX(学年度总表!$D$3:$D$1025,MATCH($E136,学年度总表!$E$3:$E$1025,0)))</f>
        <v>网工16班</v>
      </c>
      <c r="E136" s="2" t="s">
        <v>1972</v>
      </c>
      <c r="F136" s="2" t="str">
        <f>IF(INDEX(学年度总表!$F$3:$F$1025,MATCH($E136,学年度总表!$E$3:$E$1025,0))="","",INDEX(学年度总表!$F$3:$F$1025,MATCH($E136,学年度总表!$E$3:$E$1025,0)))</f>
        <v>马子傑</v>
      </c>
      <c r="G136" s="3">
        <f>IF(INDEX(学年度总表!$G$3:$G$1025,MATCH($E136,学年度总表!$E$3:$E$1025,0))="","",INDEX(学年度总表!$G$3:$G$1025,MATCH($E136,学年度总表!$E$3:$E$1025,0)))</f>
        <v>10</v>
      </c>
      <c r="H136" s="3">
        <f>IF(INDEX(学年度总表!$H$3:$H$1025,MATCH($E136,学年度总表!$E$3:$E$1025,0))="","",INDEX(学年度总表!$H$3:$H$1025,MATCH($E136,学年度总表!$E$3:$E$1025,0)))</f>
        <v>44.64</v>
      </c>
      <c r="I136" s="3">
        <f>IF(INDEX(学年度总表!$I$3:$I$1025,MATCH($E136,学年度总表!$E$3:$E$1025,0))="","",INDEX(学年度总表!$I$3:$I$1025,MATCH($E136,学年度总表!$E$3:$E$1025,0)))</f>
        <v>3</v>
      </c>
      <c r="J136" s="3">
        <f>IF(INDEX(学年度总表!$J$3:$J$1025,MATCH($E136,学年度总表!$E$3:$E$1025,0))="","",INDEX(学年度总表!$J$3:$J$1025,MATCH($E136,学年度总表!$E$3:$E$1025,0)))</f>
        <v>57.64</v>
      </c>
      <c r="K136" s="3">
        <f>IF(INDEX(学年度总表!$K$3:$K$1025,MATCH($E136,学年度总表!$E$3:$E$1025,0))="","",INDEX(学年度总表!$K$3:$K$1025,MATCH($E136,学年度总表!$E$3:$E$1025,0)))</f>
        <v>7.5</v>
      </c>
      <c r="L136" s="3">
        <f>IF(INDEX(学年度总表!$L$3:$L$1025,MATCH($E136,学年度总表!$E$3:$E$1025,0))="","",INDEX(学年度总表!$L$3:$L$1025,MATCH($E136,学年度总表!$E$3:$E$1025,0)))</f>
        <v>32.11</v>
      </c>
      <c r="M136" s="3">
        <f>IF(INDEX(学年度总表!$M$3:$M$1025,MATCH($E136,学年度总表!$E$3:$E$1025,0))="","",INDEX(学年度总表!$M$3:$M$1025,MATCH($E136,学年度总表!$E$3:$E$1025,0)))</f>
        <v>3.5</v>
      </c>
      <c r="N136" s="3">
        <f>IF(INDEX(学年度总表!$N$3:$N$1025,MATCH($E136,学年度总表!$E$3:$E$1025,0))="","",INDEX(学年度总表!$N$3:$N$1025,MATCH($E136,学年度总表!$E$3:$E$1025,0)))</f>
        <v>43.11</v>
      </c>
      <c r="O136" s="3">
        <f>IF(INDEX(学年度总表!$O$3:$O$1025,MATCH($E136,学年度总表!$E$3:$E$1025,0))="","",INDEX(学年度总表!$O$3:$O$1025,MATCH($E136,学年度总表!$E$3:$E$1025,0)))</f>
        <v>100.75</v>
      </c>
      <c r="P136" s="2" t="str">
        <f>IF(INDEX(学年度总表!$P$3:$P$1025,MATCH($E136,学年度总表!$E$3:$E$1025,0))="","",INDEX(学年度总表!$P$3:$P$1025,MATCH($E136,学年度总表!$E$3:$E$1025,0)))</f>
        <v/>
      </c>
      <c r="Q136" s="5" t="str">
        <f>IF(INDEX(学年度总表!$Q$3:$Q$1025,MATCH($E136,学年度总表!$E$3:$E$1025,0))="","",INDEX(学年度总表!$Q$3:$Q$1025,MATCH($E136,学年度总表!$E$3:$E$1025,0)))</f>
        <v/>
      </c>
    </row>
    <row r="137" spans="1:17">
      <c r="A137" s="2">
        <f>IF(INDEX(学年度总表!$A$3:$A$1025,MATCH($E137,学年度总表!$E$3:$E$1025,0))="","",INDEX(学年度总表!$A$3:$A$1025,MATCH($E137,学年度总表!$E$3:$E$1025,0)))</f>
        <v>959</v>
      </c>
      <c r="B137" s="2">
        <f>IF(INDEX(学年度总表!$B$3:$B$1025,MATCH($E137,学年度总表!$E$3:$E$1025,0))="","",INDEX(学年度总表!$B$3:$B$1025,MATCH($E137,学年度总表!$E$3:$E$1025,0)))</f>
        <v>135</v>
      </c>
      <c r="C137" s="2" t="str">
        <f>IF(INDEX(学年度总表!$C$3:$C$1025,MATCH($E137,学年度总表!$E$3:$E$1025,0))="","",INDEX(学年度总表!$C$3:$C$1025,MATCH($E137,学年度总表!$E$3:$E$1025,0)))</f>
        <v>网工</v>
      </c>
      <c r="D137" s="2" t="str">
        <f>IF(INDEX(学年度总表!$D$3:$D$1025,MATCH($E137,学年度总表!$E$3:$E$1025,0))="","",INDEX(学年度总表!$D$3:$D$1025,MATCH($E137,学年度总表!$E$3:$E$1025,0)))</f>
        <v>网工18班</v>
      </c>
      <c r="E137" s="2" t="s">
        <v>1978</v>
      </c>
      <c r="F137" s="2" t="str">
        <f>IF(INDEX(学年度总表!$F$3:$F$1025,MATCH($E137,学年度总表!$E$3:$E$1025,0))="","",INDEX(学年度总表!$F$3:$F$1025,MATCH($E137,学年度总表!$E$3:$E$1025,0)))</f>
        <v>陈澳</v>
      </c>
      <c r="G137" s="3">
        <f>IF(INDEX(学年度总表!$G$3:$G$1025,MATCH($E137,学年度总表!$E$3:$E$1025,0))="","",INDEX(学年度总表!$G$3:$G$1025,MATCH($E137,学年度总表!$E$3:$E$1025,0)))</f>
        <v>11.4</v>
      </c>
      <c r="H137" s="3">
        <f>IF(INDEX(学年度总表!$H$3:$H$1025,MATCH($E137,学年度总表!$E$3:$E$1025,0))="","",INDEX(学年度总表!$H$3:$H$1025,MATCH($E137,学年度总表!$E$3:$E$1025,0)))</f>
        <v>39.64</v>
      </c>
      <c r="I137" s="3">
        <f>IF(INDEX(学年度总表!$I$3:$I$1025,MATCH($E137,学年度总表!$E$3:$E$1025,0))="","",INDEX(学年度总表!$I$3:$I$1025,MATCH($E137,学年度总表!$E$3:$E$1025,0)))</f>
        <v>4.4000000000000004</v>
      </c>
      <c r="J137" s="3">
        <f>IF(INDEX(学年度总表!$J$3:$J$1025,MATCH($E137,学年度总表!$E$3:$E$1025,0))="","",INDEX(学年度总表!$J$3:$J$1025,MATCH($E137,学年度总表!$E$3:$E$1025,0)))</f>
        <v>55.44</v>
      </c>
      <c r="K137" s="3">
        <f>IF(INDEX(学年度总表!$K$3:$K$1025,MATCH($E137,学年度总表!$E$3:$E$1025,0))="","",INDEX(学年度总表!$K$3:$K$1025,MATCH($E137,学年度总表!$E$3:$E$1025,0)))</f>
        <v>7.3000000000000007</v>
      </c>
      <c r="L137" s="3">
        <f>IF(INDEX(学年度总表!$L$3:$L$1025,MATCH($E137,学年度总表!$E$3:$E$1025,0))="","",INDEX(学年度总表!$L$3:$L$1025,MATCH($E137,学年度总表!$E$3:$E$1025,0)))</f>
        <v>33.479999999999997</v>
      </c>
      <c r="M137" s="3">
        <f>IF(INDEX(学年度总表!$M$3:$M$1025,MATCH($E137,学年度总表!$E$3:$E$1025,0))="","",INDEX(学年度总表!$M$3:$M$1025,MATCH($E137,学年度总表!$E$3:$E$1025,0)))</f>
        <v>3.5</v>
      </c>
      <c r="N137" s="3">
        <f>IF(INDEX(学年度总表!$N$3:$N$1025,MATCH($E137,学年度总表!$E$3:$E$1025,0))="","",INDEX(学年度总表!$N$3:$N$1025,MATCH($E137,学年度总表!$E$3:$E$1025,0)))</f>
        <v>44.28</v>
      </c>
      <c r="O137" s="3">
        <f>IF(INDEX(学年度总表!$O$3:$O$1025,MATCH($E137,学年度总表!$E$3:$E$1025,0))="","",INDEX(学年度总表!$O$3:$O$1025,MATCH($E137,学年度总表!$E$3:$E$1025,0)))</f>
        <v>99.72</v>
      </c>
      <c r="P137" s="2" t="str">
        <f>IF(INDEX(学年度总表!$P$3:$P$1025,MATCH($E137,学年度总表!$E$3:$E$1025,0))="","",INDEX(学年度总表!$P$3:$P$1025,MATCH($E137,学年度总表!$E$3:$E$1025,0)))</f>
        <v/>
      </c>
      <c r="Q137" s="5" t="str">
        <f>IF(INDEX(学年度总表!$Q$3:$Q$1025,MATCH($E137,学年度总表!$E$3:$E$1025,0))="","",INDEX(学年度总表!$Q$3:$Q$1025,MATCH($E137,学年度总表!$E$3:$E$1025,0)))</f>
        <v/>
      </c>
    </row>
    <row r="138" spans="1:17">
      <c r="A138" s="2">
        <f>IF(INDEX(学年度总表!$A$3:$A$1025,MATCH($E138,学年度总表!$E$3:$E$1025,0))="","",INDEX(学年度总表!$A$3:$A$1025,MATCH($E138,学年度总表!$E$3:$E$1025,0)))</f>
        <v>963</v>
      </c>
      <c r="B138" s="2">
        <f>IF(INDEX(学年度总表!$B$3:$B$1025,MATCH($E138,学年度总表!$E$3:$E$1025,0))="","",INDEX(学年度总表!$B$3:$B$1025,MATCH($E138,学年度总表!$E$3:$E$1025,0)))</f>
        <v>136</v>
      </c>
      <c r="C138" s="2" t="str">
        <f>IF(INDEX(学年度总表!$C$3:$C$1025,MATCH($E138,学年度总表!$E$3:$E$1025,0))="","",INDEX(学年度总表!$C$3:$C$1025,MATCH($E138,学年度总表!$E$3:$E$1025,0)))</f>
        <v>网工</v>
      </c>
      <c r="D138" s="2" t="str">
        <f>IF(INDEX(学年度总表!$D$3:$D$1025,MATCH($E138,学年度总表!$E$3:$E$1025,0))="","",INDEX(学年度总表!$D$3:$D$1025,MATCH($E138,学年度总表!$E$3:$E$1025,0)))</f>
        <v>网工18班</v>
      </c>
      <c r="E138" s="2" t="s">
        <v>1986</v>
      </c>
      <c r="F138" s="2" t="str">
        <f>IF(INDEX(学年度总表!$F$3:$F$1025,MATCH($E138,学年度总表!$E$3:$E$1025,0))="","",INDEX(学年度总表!$F$3:$F$1025,MATCH($E138,学年度总表!$E$3:$E$1025,0)))</f>
        <v>朱宋娜拉</v>
      </c>
      <c r="G138" s="3">
        <f>IF(INDEX(学年度总表!$G$3:$G$1025,MATCH($E138,学年度总表!$E$3:$E$1025,0))="","",INDEX(学年度总表!$G$3:$G$1025,MATCH($E138,学年度总表!$E$3:$E$1025,0)))</f>
        <v>9.8000000000000007</v>
      </c>
      <c r="H138" s="3">
        <f>IF(INDEX(学年度总表!$H$3:$H$1025,MATCH($E138,学年度总表!$E$3:$E$1025,0))="","",INDEX(学年度总表!$H$3:$H$1025,MATCH($E138,学年度总表!$E$3:$E$1025,0)))</f>
        <v>43.95</v>
      </c>
      <c r="I138" s="3">
        <f>IF(INDEX(学年度总表!$I$3:$I$1025,MATCH($E138,学年度总表!$E$3:$E$1025,0))="","",INDEX(学年度总表!$I$3:$I$1025,MATCH($E138,学年度总表!$E$3:$E$1025,0)))</f>
        <v>4.5</v>
      </c>
      <c r="J138" s="3">
        <f>IF(INDEX(学年度总表!$J$3:$J$1025,MATCH($E138,学年度总表!$E$3:$E$1025,0))="","",INDEX(学年度总表!$J$3:$J$1025,MATCH($E138,学年度总表!$E$3:$E$1025,0)))</f>
        <v>58.25</v>
      </c>
      <c r="K138" s="3">
        <f>IF(INDEX(学年度总表!$K$3:$K$1025,MATCH($E138,学年度总表!$E$3:$E$1025,0))="","",INDEX(学年度总表!$K$3:$K$1025,MATCH($E138,学年度总表!$E$3:$E$1025,0)))</f>
        <v>7.3000000000000007</v>
      </c>
      <c r="L138" s="3">
        <f>IF(INDEX(学年度总表!$L$3:$L$1025,MATCH($E138,学年度总表!$E$3:$E$1025,0))="","",INDEX(学年度总表!$L$3:$L$1025,MATCH($E138,学年度总表!$E$3:$E$1025,0)))</f>
        <v>29.52</v>
      </c>
      <c r="M138" s="3">
        <f>IF(INDEX(学年度总表!$M$3:$M$1025,MATCH($E138,学年度总表!$E$3:$E$1025,0))="","",INDEX(学年度总表!$M$3:$M$1025,MATCH($E138,学年度总表!$E$3:$E$1025,0)))</f>
        <v>3.5</v>
      </c>
      <c r="N138" s="3">
        <f>IF(INDEX(学年度总表!$N$3:$N$1025,MATCH($E138,学年度总表!$E$3:$E$1025,0))="","",INDEX(学年度总表!$N$3:$N$1025,MATCH($E138,学年度总表!$E$3:$E$1025,0)))</f>
        <v>40.32</v>
      </c>
      <c r="O138" s="3">
        <f>IF(INDEX(学年度总表!$O$3:$O$1025,MATCH($E138,学年度总表!$E$3:$E$1025,0))="","",INDEX(学年度总表!$O$3:$O$1025,MATCH($E138,学年度总表!$E$3:$E$1025,0)))</f>
        <v>98.57</v>
      </c>
      <c r="P138" s="2" t="str">
        <f>IF(INDEX(学年度总表!$P$3:$P$1025,MATCH($E138,学年度总表!$E$3:$E$1025,0))="","",INDEX(学年度总表!$P$3:$P$1025,MATCH($E138,学年度总表!$E$3:$E$1025,0)))</f>
        <v/>
      </c>
      <c r="Q138" s="5" t="str">
        <f>IF(INDEX(学年度总表!$Q$3:$Q$1025,MATCH($E138,学年度总表!$E$3:$E$1025,0))="","",INDEX(学年度总表!$Q$3:$Q$1025,MATCH($E138,学年度总表!$E$3:$E$1025,0)))</f>
        <v/>
      </c>
    </row>
    <row r="139" spans="1:17">
      <c r="A139" s="2">
        <f>IF(INDEX(学年度总表!$A$3:$A$1025,MATCH($E139,学年度总表!$E$3:$E$1025,0))="","",INDEX(学年度总表!$A$3:$A$1025,MATCH($E139,学年度总表!$E$3:$E$1025,0)))</f>
        <v>974</v>
      </c>
      <c r="B139" s="2">
        <f>IF(INDEX(学年度总表!$B$3:$B$1025,MATCH($E139,学年度总表!$E$3:$E$1025,0))="","",INDEX(学年度总表!$B$3:$B$1025,MATCH($E139,学年度总表!$E$3:$E$1025,0)))</f>
        <v>137</v>
      </c>
      <c r="C139" s="2" t="str">
        <f>IF(INDEX(学年度总表!$C$3:$C$1025,MATCH($E139,学年度总表!$E$3:$E$1025,0))="","",INDEX(学年度总表!$C$3:$C$1025,MATCH($E139,学年度总表!$E$3:$E$1025,0)))</f>
        <v>网工</v>
      </c>
      <c r="D139" s="2" t="str">
        <f>IF(INDEX(学年度总表!$D$3:$D$1025,MATCH($E139,学年度总表!$E$3:$E$1025,0))="","",INDEX(学年度总表!$D$3:$D$1025,MATCH($E139,学年度总表!$E$3:$E$1025,0)))</f>
        <v>网工18班</v>
      </c>
      <c r="E139" s="2" t="s">
        <v>2008</v>
      </c>
      <c r="F139" s="2" t="str">
        <f>IF(INDEX(学年度总表!$F$3:$F$1025,MATCH($E139,学年度总表!$E$3:$E$1025,0))="","",INDEX(学年度总表!$F$3:$F$1025,MATCH($E139,学年度总表!$E$3:$E$1025,0)))</f>
        <v>李贺增</v>
      </c>
      <c r="G139" s="3">
        <f>IF(INDEX(学年度总表!$G$3:$G$1025,MATCH($E139,学年度总表!$E$3:$E$1025,0))="","",INDEX(学年度总表!$G$3:$G$1025,MATCH($E139,学年度总表!$E$3:$E$1025,0)))</f>
        <v>9.4</v>
      </c>
      <c r="H139" s="3">
        <f>IF(INDEX(学年度总表!$H$3:$H$1025,MATCH($E139,学年度总表!$E$3:$E$1025,0))="","",INDEX(学年度总表!$H$3:$H$1025,MATCH($E139,学年度总表!$E$3:$E$1025,0)))</f>
        <v>35.130000000000003</v>
      </c>
      <c r="I139" s="3">
        <f>IF(INDEX(学年度总表!$I$3:$I$1025,MATCH($E139,学年度总表!$E$3:$E$1025,0))="","",INDEX(学年度总表!$I$3:$I$1025,MATCH($E139,学年度总表!$E$3:$E$1025,0)))</f>
        <v>4.5</v>
      </c>
      <c r="J139" s="3">
        <f>IF(INDEX(学年度总表!$J$3:$J$1025,MATCH($E139,学年度总表!$E$3:$E$1025,0))="","",INDEX(学年度总表!$J$3:$J$1025,MATCH($E139,学年度总表!$E$3:$E$1025,0)))</f>
        <v>49.03</v>
      </c>
      <c r="K139" s="3">
        <f>IF(INDEX(学年度总表!$K$3:$K$1025,MATCH($E139,学年度总表!$E$3:$E$1025,0))="","",INDEX(学年度总表!$K$3:$K$1025,MATCH($E139,学年度总表!$E$3:$E$1025,0)))</f>
        <v>7.3000000000000007</v>
      </c>
      <c r="L139" s="3">
        <f>IF(INDEX(学年度总表!$L$3:$L$1025,MATCH($E139,学年度总表!$E$3:$E$1025,0))="","",INDEX(学年度总表!$L$3:$L$1025,MATCH($E139,学年度总表!$E$3:$E$1025,0)))</f>
        <v>29.64</v>
      </c>
      <c r="M139" s="3">
        <f>IF(INDEX(学年度总表!$M$3:$M$1025,MATCH($E139,学年度总表!$E$3:$E$1025,0))="","",INDEX(学年度总表!$M$3:$M$1025,MATCH($E139,学年度总表!$E$3:$E$1025,0)))</f>
        <v>3.5</v>
      </c>
      <c r="N139" s="3">
        <f>IF(INDEX(学年度总表!$N$3:$N$1025,MATCH($E139,学年度总表!$E$3:$E$1025,0))="","",INDEX(学年度总表!$N$3:$N$1025,MATCH($E139,学年度总表!$E$3:$E$1025,0)))</f>
        <v>40.44</v>
      </c>
      <c r="O139" s="3">
        <f>IF(INDEX(学年度总表!$O$3:$O$1025,MATCH($E139,学年度总表!$E$3:$E$1025,0))="","",INDEX(学年度总表!$O$3:$O$1025,MATCH($E139,学年度总表!$E$3:$E$1025,0)))</f>
        <v>89.47</v>
      </c>
      <c r="P139" s="2" t="str">
        <f>IF(INDEX(学年度总表!$P$3:$P$1025,MATCH($E139,学年度总表!$E$3:$E$1025,0))="","",INDEX(学年度总表!$P$3:$P$1025,MATCH($E139,学年度总表!$E$3:$E$1025,0)))</f>
        <v/>
      </c>
      <c r="Q139" s="5" t="str">
        <f>IF(INDEX(学年度总表!$Q$3:$Q$1025,MATCH($E139,学年度总表!$E$3:$E$1025,0))="","",INDEX(学年度总表!$Q$3:$Q$1025,MATCH($E139,学年度总表!$E$3:$E$1025,0)))</f>
        <v/>
      </c>
    </row>
    <row r="140" spans="1:17" ht="30">
      <c r="A140" s="2">
        <f>IF(INDEX(学年度总表!$A$3:$A$1025,MATCH($E140,学年度总表!$E$3:$E$1025,0))="","",INDEX(学年度总表!$A$3:$A$1025,MATCH($E140,学年度总表!$E$3:$E$1025,0)))</f>
        <v>981</v>
      </c>
      <c r="B140" s="2">
        <f>IF(INDEX(学年度总表!$B$3:$B$1025,MATCH($E140,学年度总表!$E$3:$E$1025,0))="","",INDEX(学年度总表!$B$3:$B$1025,MATCH($E140,学年度总表!$E$3:$E$1025,0)))</f>
        <v>138</v>
      </c>
      <c r="C140" s="2" t="str">
        <f>IF(INDEX(学年度总表!$C$3:$C$1025,MATCH($E140,学年度总表!$E$3:$E$1025,0))="","",INDEX(学年度总表!$C$3:$C$1025,MATCH($E140,学年度总表!$E$3:$E$1025,0)))</f>
        <v>网工</v>
      </c>
      <c r="D140" s="2" t="str">
        <f>IF(INDEX(学年度总表!$D$3:$D$1025,MATCH($E140,学年度总表!$E$3:$E$1025,0))="","",INDEX(学年度总表!$D$3:$D$1025,MATCH($E140,学年度总表!$E$3:$E$1025,0)))</f>
        <v>网工15班</v>
      </c>
      <c r="E140" s="2" t="s">
        <v>2023</v>
      </c>
      <c r="F140" s="2" t="str">
        <f>IF(INDEX(学年度总表!$F$3:$F$1025,MATCH($E140,学年度总表!$E$3:$E$1025,0))="","",INDEX(学年度总表!$F$3:$F$1025,MATCH($E140,学年度总表!$E$3:$E$1025,0)))</f>
        <v>杜明凯</v>
      </c>
      <c r="G140" s="3" t="str">
        <f>IF(INDEX(学年度总表!$G$3:$G$1025,MATCH($E140,学年度总表!$E$3:$E$1025,0))="","",INDEX(学年度总表!$G$3:$G$1025,MATCH($E140,学年度总表!$E$3:$E$1025,0)))</f>
        <v/>
      </c>
      <c r="H140" s="3" t="str">
        <f>IF(INDEX(学年度总表!$H$3:$H$1025,MATCH($E140,学年度总表!$E$3:$E$1025,0))="","",INDEX(学年度总表!$H$3:$H$1025,MATCH($E140,学年度总表!$E$3:$E$1025,0)))</f>
        <v/>
      </c>
      <c r="I140" s="3" t="str">
        <f>IF(INDEX(学年度总表!$I$3:$I$1025,MATCH($E140,学年度总表!$E$3:$E$1025,0))="","",INDEX(学年度总表!$I$3:$I$1025,MATCH($E140,学年度总表!$E$3:$E$1025,0)))</f>
        <v/>
      </c>
      <c r="J140" s="3" t="str">
        <f>IF(INDEX(学年度总表!$J$3:$J$1025,MATCH($E140,学年度总表!$E$3:$E$1025,0))="","",INDEX(学年度总表!$J$3:$J$1025,MATCH($E140,学年度总表!$E$3:$E$1025,0)))</f>
        <v/>
      </c>
      <c r="K140" s="3">
        <f>IF(INDEX(学年度总表!$K$3:$K$1025,MATCH($E140,学年度总表!$E$3:$E$1025,0))="","",INDEX(学年度总表!$K$3:$K$1025,MATCH($E140,学年度总表!$E$3:$E$1025,0)))</f>
        <v>14.3</v>
      </c>
      <c r="L140" s="3">
        <f>IF(INDEX(学年度总表!$L$3:$L$1025,MATCH($E140,学年度总表!$E$3:$E$1025,0))="","",INDEX(学年度总表!$L$3:$L$1025,MATCH($E140,学年度总表!$E$3:$E$1025,0)))</f>
        <v>63.8</v>
      </c>
      <c r="M140" s="3">
        <f>IF(INDEX(学年度总表!$M$3:$M$1025,MATCH($E140,学年度总表!$E$3:$E$1025,0))="","",INDEX(学年度总表!$M$3:$M$1025,MATCH($E140,学年度总表!$E$3:$E$1025,0)))</f>
        <v>4.5999999999999996</v>
      </c>
      <c r="N140" s="3">
        <f>IF(INDEX(学年度总表!$N$3:$N$1025,MATCH($E140,学年度总表!$E$3:$E$1025,0))="","",INDEX(学年度总表!$N$3:$N$1025,MATCH($E140,学年度总表!$E$3:$E$1025,0)))</f>
        <v>82.7</v>
      </c>
      <c r="O140" s="3">
        <f>IF(INDEX(学年度总表!$O$3:$O$1025,MATCH($E140,学年度总表!$E$3:$E$1025,0))="","",INDEX(学年度总表!$O$3:$O$1025,MATCH($E140,学年度总表!$E$3:$E$1025,0)))</f>
        <v>82.7</v>
      </c>
      <c r="P140" s="4" t="str">
        <f>IF(INDEX(学年度总表!$P$3:$P$1025,MATCH($E140,学年度总表!$E$3:$E$1025,0))="","",INDEX(学年度总表!$P$3:$P$1025,MATCH($E140,学年度总表!$E$3:$E$1025,0)))</f>
        <v>优秀学生教官、优秀退役士兵</v>
      </c>
      <c r="Q140" s="5" t="str">
        <f>IF(INDEX(学年度总表!$Q$3:$Q$1025,MATCH($E140,学年度总表!$E$3:$E$1025,0))="","",INDEX(学年度总表!$Q$3:$Q$1025,MATCH($E140,学年度总表!$E$3:$E$1025,0)))</f>
        <v>无大一上综测成绩</v>
      </c>
    </row>
    <row r="141" spans="1:17">
      <c r="A141" s="2">
        <f>IF(INDEX(学年度总表!$A$3:$A$1025,MATCH($E141,学年度总表!$E$3:$E$1025,0))="","",INDEX(学年度总表!$A$3:$A$1025,MATCH($E141,学年度总表!$E$3:$E$1025,0)))</f>
        <v>987</v>
      </c>
      <c r="B141" s="2">
        <f>IF(INDEX(学年度总表!$B$3:$B$1025,MATCH($E141,学年度总表!$E$3:$E$1025,0))="","",INDEX(学年度总表!$B$3:$B$1025,MATCH($E141,学年度总表!$E$3:$E$1025,0)))</f>
        <v>139</v>
      </c>
      <c r="C141" s="2" t="str">
        <f>IF(INDEX(学年度总表!$C$3:$C$1025,MATCH($E141,学年度总表!$E$3:$E$1025,0))="","",INDEX(学年度总表!$C$3:$C$1025,MATCH($E141,学年度总表!$E$3:$E$1025,0)))</f>
        <v>网工</v>
      </c>
      <c r="D141" s="2" t="str">
        <f>IF(INDEX(学年度总表!$D$3:$D$1025,MATCH($E141,学年度总表!$E$3:$E$1025,0))="","",INDEX(学年度总表!$D$3:$D$1025,MATCH($E141,学年度总表!$E$3:$E$1025,0)))</f>
        <v>网工18班</v>
      </c>
      <c r="E141" s="2" t="s">
        <v>2037</v>
      </c>
      <c r="F141" s="2" t="str">
        <f>IF(INDEX(学年度总表!$F$3:$F$1025,MATCH($E141,学年度总表!$E$3:$E$1025,0))="","",INDEX(学年度总表!$F$3:$F$1025,MATCH($E141,学年度总表!$E$3:$E$1025,0)))</f>
        <v>周佳瑞</v>
      </c>
      <c r="G141" s="3">
        <f>IF(INDEX(学年度总表!$G$3:$G$1025,MATCH($E141,学年度总表!$E$3:$E$1025,0))="","",INDEX(学年度总表!$G$3:$G$1025,MATCH($E141,学年度总表!$E$3:$E$1025,0)))</f>
        <v>7.3</v>
      </c>
      <c r="H141" s="3">
        <f>IF(INDEX(学年度总表!$H$3:$H$1025,MATCH($E141,学年度总表!$E$3:$E$1025,0))="","",INDEX(学年度总表!$H$3:$H$1025,MATCH($E141,学年度总表!$E$3:$E$1025,0)))</f>
        <v>48.83</v>
      </c>
      <c r="I141" s="3">
        <f>IF(INDEX(学年度总表!$I$3:$I$1025,MATCH($E141,学年度总表!$E$3:$E$1025,0))="","",INDEX(学年度总表!$I$3:$I$1025,MATCH($E141,学年度总表!$E$3:$E$1025,0)))</f>
        <v>3</v>
      </c>
      <c r="J141" s="3">
        <f>IF(INDEX(学年度总表!$J$3:$J$1025,MATCH($E141,学年度总表!$E$3:$E$1025,0))="","",INDEX(学年度总表!$J$3:$J$1025,MATCH($E141,学年度总表!$E$3:$E$1025,0)))</f>
        <v>59.13</v>
      </c>
      <c r="K141" s="3" t="str">
        <f>IF(INDEX(学年度总表!$K$3:$K$1025,MATCH($E141,学年度总表!$E$3:$E$1025,0))="","",INDEX(学年度总表!$K$3:$K$1025,MATCH($E141,学年度总表!$E$3:$E$1025,0)))</f>
        <v/>
      </c>
      <c r="L141" s="3" t="str">
        <f>IF(INDEX(学年度总表!$L$3:$L$1025,MATCH($E141,学年度总表!$E$3:$E$1025,0))="","",INDEX(学年度总表!$L$3:$L$1025,MATCH($E141,学年度总表!$E$3:$E$1025,0)))</f>
        <v/>
      </c>
      <c r="M141" s="3" t="str">
        <f>IF(INDEX(学年度总表!$M$3:$M$1025,MATCH($E141,学年度总表!$E$3:$E$1025,0))="","",INDEX(学年度总表!$M$3:$M$1025,MATCH($E141,学年度总表!$E$3:$E$1025,0)))</f>
        <v/>
      </c>
      <c r="N141" s="3" t="str">
        <f>IF(INDEX(学年度总表!$N$3:$N$1025,MATCH($E141,学年度总表!$E$3:$E$1025,0))="","",INDEX(学年度总表!$N$3:$N$1025,MATCH($E141,学年度总表!$E$3:$E$1025,0)))</f>
        <v/>
      </c>
      <c r="O141" s="3">
        <f>IF(INDEX(学年度总表!$O$3:$O$1025,MATCH($E141,学年度总表!$E$3:$E$1025,0))="","",INDEX(学年度总表!$O$3:$O$1025,MATCH($E141,学年度总表!$E$3:$E$1025,0)))</f>
        <v>59.13</v>
      </c>
      <c r="P141" s="2" t="str">
        <f>IF(INDEX(学年度总表!$P$3:$P$1025,MATCH($E141,学年度总表!$E$3:$E$1025,0))="","",INDEX(学年度总表!$P$3:$P$1025,MATCH($E141,学年度总表!$E$3:$E$1025,0)))</f>
        <v/>
      </c>
      <c r="Q141" s="5" t="str">
        <f>IF(INDEX(学年度总表!$Q$3:$Q$1025,MATCH($E141,学年度总表!$E$3:$E$1025,0))="","",INDEX(学年度总表!$Q$3:$Q$1025,MATCH($E141,学年度总表!$E$3:$E$1025,0)))</f>
        <v>无大一下综测成绩</v>
      </c>
    </row>
    <row r="142" spans="1:17">
      <c r="A142" s="2">
        <f>IF(INDEX(学年度总表!$A$3:$A$1025,MATCH($E142,学年度总表!$E$3:$E$1025,0))="","",INDEX(学年度总表!$A$3:$A$1025,MATCH($E142,学年度总表!$E$3:$E$1025,0)))</f>
        <v>991</v>
      </c>
      <c r="B142" s="2">
        <f>IF(INDEX(学年度总表!$B$3:$B$1025,MATCH($E142,学年度总表!$E$3:$E$1025,0))="","",INDEX(学年度总表!$B$3:$B$1025,MATCH($E142,学年度总表!$E$3:$E$1025,0)))</f>
        <v>140</v>
      </c>
      <c r="C142" s="2" t="str">
        <f>IF(INDEX(学年度总表!$C$3:$C$1025,MATCH($E142,学年度总表!$E$3:$E$1025,0))="","",INDEX(学年度总表!$C$3:$C$1025,MATCH($E142,学年度总表!$E$3:$E$1025,0)))</f>
        <v>网工</v>
      </c>
      <c r="D142" s="2" t="str">
        <f>IF(INDEX(学年度总表!$D$3:$D$1025,MATCH($E142,学年度总表!$E$3:$E$1025,0))="","",INDEX(学年度总表!$D$3:$D$1025,MATCH($E142,学年度总表!$E$3:$E$1025,0)))</f>
        <v>网工18班</v>
      </c>
      <c r="E142" s="2" t="s">
        <v>2046</v>
      </c>
      <c r="F142" s="2" t="str">
        <f>IF(INDEX(学年度总表!$F$3:$F$1025,MATCH($E142,学年度总表!$E$3:$E$1025,0))="","",INDEX(学年度总表!$F$3:$F$1025,MATCH($E142,学年度总表!$E$3:$E$1025,0)))</f>
        <v>杨雨欣</v>
      </c>
      <c r="G142" s="3" t="str">
        <f>IF(INDEX(学年度总表!$G$3:$G$1025,MATCH($E142,学年度总表!$E$3:$E$1025,0))="","",INDEX(学年度总表!$G$3:$G$1025,MATCH($E142,学年度总表!$E$3:$E$1025,0)))</f>
        <v/>
      </c>
      <c r="H142" s="3" t="str">
        <f>IF(INDEX(学年度总表!$H$3:$H$1025,MATCH($E142,学年度总表!$E$3:$E$1025,0))="","",INDEX(学年度总表!$H$3:$H$1025,MATCH($E142,学年度总表!$E$3:$E$1025,0)))</f>
        <v/>
      </c>
      <c r="I142" s="3" t="str">
        <f>IF(INDEX(学年度总表!$I$3:$I$1025,MATCH($E142,学年度总表!$E$3:$E$1025,0))="","",INDEX(学年度总表!$I$3:$I$1025,MATCH($E142,学年度总表!$E$3:$E$1025,0)))</f>
        <v/>
      </c>
      <c r="J142" s="3" t="str">
        <f>IF(INDEX(学年度总表!$J$3:$J$1025,MATCH($E142,学年度总表!$E$3:$E$1025,0))="","",INDEX(学年度总表!$J$3:$J$1025,MATCH($E142,学年度总表!$E$3:$E$1025,0)))</f>
        <v/>
      </c>
      <c r="K142" s="3">
        <f>IF(INDEX(学年度总表!$K$3:$K$1025,MATCH($E142,学年度总表!$E$3:$E$1025,0))="","",INDEX(学年度总表!$K$3:$K$1025,MATCH($E142,学年度总表!$E$3:$E$1025,0)))</f>
        <v>9.8000000000000007</v>
      </c>
      <c r="L142" s="3">
        <f>IF(INDEX(学年度总表!$L$3:$L$1025,MATCH($E142,学年度总表!$E$3:$E$1025,0))="","",INDEX(学年度总表!$L$3:$L$1025,MATCH($E142,学年度总表!$E$3:$E$1025,0)))</f>
        <v>17.829999999999998</v>
      </c>
      <c r="M142" s="3">
        <f>IF(INDEX(学年度总表!$M$3:$M$1025,MATCH($E142,学年度总表!$E$3:$E$1025,0))="","",INDEX(学年度总表!$M$3:$M$1025,MATCH($E142,学年度总表!$E$3:$E$1025,0)))</f>
        <v>3</v>
      </c>
      <c r="N142" s="3">
        <f>IF(INDEX(学年度总表!$N$3:$N$1025,MATCH($E142,学年度总表!$E$3:$E$1025,0))="","",INDEX(学年度总表!$N$3:$N$1025,MATCH($E142,学年度总表!$E$3:$E$1025,0)))</f>
        <v>30.63</v>
      </c>
      <c r="O142" s="3">
        <f>IF(INDEX(学年度总表!$O$3:$O$1025,MATCH($E142,学年度总表!$E$3:$E$1025,0))="","",INDEX(学年度总表!$O$3:$O$1025,MATCH($E142,学年度总表!$E$3:$E$1025,0)))</f>
        <v>30.63</v>
      </c>
      <c r="P142" s="2" t="str">
        <f>IF(INDEX(学年度总表!$P$3:$P$1025,MATCH($E142,学年度总表!$E$3:$E$1025,0))="","",INDEX(学年度总表!$P$3:$P$1025,MATCH($E142,学年度总表!$E$3:$E$1025,0)))</f>
        <v/>
      </c>
      <c r="Q142" s="5" t="str">
        <f>IF(INDEX(学年度总表!$Q$3:$Q$1025,MATCH($E142,学年度总表!$E$3:$E$1025,0))="","",INDEX(学年度总表!$Q$3:$Q$1025,MATCH($E142,学年度总表!$E$3:$E$1025,0)))</f>
        <v>无大一上综测成绩</v>
      </c>
    </row>
  </sheetData>
  <autoFilter ref="A2:Q142" xr:uid="{00000000-0009-0000-0000-000003000000}"/>
  <mergeCells count="11">
    <mergeCell ref="A1:A2"/>
    <mergeCell ref="P1:P2"/>
    <mergeCell ref="Q1:Q2"/>
    <mergeCell ref="K1:N1"/>
    <mergeCell ref="C1:C2"/>
    <mergeCell ref="B1:B2"/>
    <mergeCell ref="D1:D2"/>
    <mergeCell ref="E1:E2"/>
    <mergeCell ref="F1:F2"/>
    <mergeCell ref="G1:J1"/>
    <mergeCell ref="O1:O2"/>
  </mergeCell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58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2" width="6" customWidth="1"/>
    <col min="3" max="3" width="7" customWidth="1"/>
    <col min="4" max="5" width="11" customWidth="1"/>
    <col min="6" max="6" width="9" customWidth="1"/>
    <col min="7" max="9" width="7.5" customWidth="1"/>
    <col min="10" max="10" width="8" customWidth="1"/>
    <col min="11" max="13" width="7.5" customWidth="1"/>
    <col min="14" max="14" width="8" customWidth="1"/>
    <col min="15" max="15" width="9" customWidth="1"/>
    <col min="16" max="16" width="18" customWidth="1"/>
    <col min="17" max="17" width="22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/>
      <c r="I1" s="8"/>
      <c r="J1" s="8"/>
      <c r="K1" s="8" t="s">
        <v>7</v>
      </c>
      <c r="L1" s="8"/>
      <c r="M1" s="8"/>
      <c r="N1" s="8"/>
      <c r="O1" s="8" t="s">
        <v>8</v>
      </c>
      <c r="P1" s="8" t="s">
        <v>9</v>
      </c>
      <c r="Q1" s="8" t="s">
        <v>10</v>
      </c>
    </row>
    <row r="2" spans="1:17" ht="28" customHeight="1">
      <c r="A2" s="8"/>
      <c r="B2" s="8"/>
      <c r="C2" s="8"/>
      <c r="D2" s="8"/>
      <c r="E2" s="8"/>
      <c r="F2" s="8"/>
      <c r="G2" s="1" t="s">
        <v>11</v>
      </c>
      <c r="H2" s="1" t="s">
        <v>12</v>
      </c>
      <c r="I2" s="1" t="s">
        <v>13</v>
      </c>
      <c r="J2" s="1" t="s">
        <v>14</v>
      </c>
      <c r="K2" s="1" t="s">
        <v>11</v>
      </c>
      <c r="L2" s="1" t="s">
        <v>12</v>
      </c>
      <c r="M2" s="1" t="s">
        <v>13</v>
      </c>
      <c r="N2" s="1" t="s">
        <v>14</v>
      </c>
      <c r="O2" s="8"/>
      <c r="P2" s="8"/>
      <c r="Q2" s="8"/>
    </row>
    <row r="3" spans="1:17">
      <c r="A3" s="2">
        <f>IF(INDEX(学年度总表!$A$3:$A$1025,MATCH($E3,学年度总表!$E$3:$E$1025,0))="","",INDEX(学年度总表!$A$3:$A$1025,MATCH($E3,学年度总表!$E$3:$E$1025,0)))</f>
        <v>9</v>
      </c>
      <c r="B3" s="2">
        <f>IF(INDEX(学年度总表!$B$3:$B$1025,MATCH($E3,学年度总表!$E$3:$E$1025,0))="","",INDEX(学年度总表!$B$3:$B$1025,MATCH($E3,学年度总表!$E$3:$E$1025,0)))</f>
        <v>1</v>
      </c>
      <c r="C3" s="2" t="str">
        <f>IF(INDEX(学年度总表!$C$3:$C$1025,MATCH($E3,学年度总表!$E$3:$E$1025,0))="","",INDEX(学年度总表!$C$3:$C$1025,MATCH($E3,学年度总表!$E$3:$E$1025,0)))</f>
        <v>信管</v>
      </c>
      <c r="D3" s="2" t="str">
        <f>IF(INDEX(学年度总表!$D$3:$D$1025,MATCH($E3,学年度总表!$E$3:$E$1025,0))="","",INDEX(学年度总表!$D$3:$D$1025,MATCH($E3,学年度总表!$E$3:$E$1025,0)))</f>
        <v>信管26班</v>
      </c>
      <c r="E3" s="2" t="s">
        <v>47</v>
      </c>
      <c r="F3" s="2" t="str">
        <f>IF(INDEX(学年度总表!$F$3:$F$1025,MATCH($E3,学年度总表!$E$3:$E$1025,0))="","",INDEX(学年度总表!$F$3:$F$1025,MATCH($E3,学年度总表!$E$3:$E$1025,0)))</f>
        <v>刘嘉雯</v>
      </c>
      <c r="G3" s="3">
        <f>IF(INDEX(学年度总表!$G$3:$G$1025,MATCH($E3,学年度总表!$E$3:$E$1025,0))="","",INDEX(学年度总表!$G$3:$G$1025,MATCH($E3,学年度总表!$E$3:$E$1025,0)))</f>
        <v>10.3</v>
      </c>
      <c r="H3" s="3">
        <f>IF(INDEX(学年度总表!$H$3:$H$1025,MATCH($E3,学年度总表!$E$3:$E$1025,0))="","",INDEX(学年度总表!$H$3:$H$1025,MATCH($E3,学年度总表!$E$3:$E$1025,0)))</f>
        <v>72</v>
      </c>
      <c r="I3" s="3">
        <f>IF(INDEX(学年度总表!$I$3:$I$1025,MATCH($E3,学年度总表!$E$3:$E$1025,0))="","",INDEX(学年度总表!$I$3:$I$1025,MATCH($E3,学年度总表!$E$3:$E$1025,0)))</f>
        <v>3.2</v>
      </c>
      <c r="J3" s="3">
        <f>IF(INDEX(学年度总表!$J$3:$J$1025,MATCH($E3,学年度总表!$E$3:$E$1025,0))="","",INDEX(学年度总表!$J$3:$J$1025,MATCH($E3,学年度总表!$E$3:$E$1025,0)))</f>
        <v>85.5</v>
      </c>
      <c r="K3" s="3">
        <f>IF(INDEX(学年度总表!$K$3:$K$1025,MATCH($E3,学年度总表!$E$3:$E$1025,0))="","",INDEX(学年度总表!$K$3:$K$1025,MATCH($E3,学年度总表!$E$3:$E$1025,0)))</f>
        <v>9.8000000000000007</v>
      </c>
      <c r="L3" s="3">
        <f>IF(INDEX(学年度总表!$L$3:$L$1025,MATCH($E3,学年度总表!$E$3:$E$1025,0))="","",INDEX(学年度总表!$L$3:$L$1025,MATCH($E3,学年度总表!$E$3:$E$1025,0)))</f>
        <v>70.95</v>
      </c>
      <c r="M3" s="3">
        <f>IF(INDEX(学年度总表!$M$3:$M$1025,MATCH($E3,学年度总表!$E$3:$E$1025,0))="","",INDEX(学年度总表!$M$3:$M$1025,MATCH($E3,学年度总表!$E$3:$E$1025,0)))</f>
        <v>7.05</v>
      </c>
      <c r="N3" s="3">
        <f>IF(INDEX(学年度总表!$N$3:$N$1025,MATCH($E3,学年度总表!$E$3:$E$1025,0))="","",INDEX(学年度总表!$N$3:$N$1025,MATCH($E3,学年度总表!$E$3:$E$1025,0)))</f>
        <v>87.8</v>
      </c>
      <c r="O3" s="3">
        <f>IF(INDEX(学年度总表!$O$3:$O$1025,MATCH($E3,学年度总表!$E$3:$E$1025,0))="","",INDEX(学年度总表!$O$3:$O$1025,MATCH($E3,学年度总表!$E$3:$E$1025,0)))</f>
        <v>173.3</v>
      </c>
      <c r="P3" s="4" t="str">
        <f>IF(INDEX(学年度总表!$P$3:$P$1025,MATCH($E3,学年度总表!$E$3:$E$1025,0))="","",INDEX(学年度总表!$P$3:$P$1025,MATCH($E3,学年度总表!$E$3:$E$1025,0)))</f>
        <v>校一等</v>
      </c>
      <c r="Q3" s="5" t="str">
        <f>IF(INDEX(学年度总表!$Q$3:$Q$1025,MATCH($E3,学年度总表!$E$3:$E$1025,0))="","",INDEX(学年度总表!$Q$3:$Q$1025,MATCH($E3,学年度总表!$E$3:$E$1025,0)))</f>
        <v/>
      </c>
    </row>
    <row r="4" spans="1:17">
      <c r="A4" s="2">
        <f>IF(INDEX(学年度总表!$A$3:$A$1025,MATCH($E4,学年度总表!$E$3:$E$1025,0))="","",INDEX(学年度总表!$A$3:$A$1025,MATCH($E4,学年度总表!$E$3:$E$1025,0)))</f>
        <v>12</v>
      </c>
      <c r="B4" s="2">
        <f>IF(INDEX(学年度总表!$B$3:$B$1025,MATCH($E4,学年度总表!$E$3:$E$1025,0))="","",INDEX(学年度总表!$B$3:$B$1025,MATCH($E4,学年度总表!$E$3:$E$1025,0)))</f>
        <v>2</v>
      </c>
      <c r="C4" s="2" t="str">
        <f>IF(INDEX(学年度总表!$C$3:$C$1025,MATCH($E4,学年度总表!$E$3:$E$1025,0))="","",INDEX(学年度总表!$C$3:$C$1025,MATCH($E4,学年度总表!$E$3:$E$1025,0)))</f>
        <v>信管</v>
      </c>
      <c r="D4" s="2" t="str">
        <f>IF(INDEX(学年度总表!$D$3:$D$1025,MATCH($E4,学年度总表!$E$3:$E$1025,0))="","",INDEX(学年度总表!$D$3:$D$1025,MATCH($E4,学年度总表!$E$3:$E$1025,0)))</f>
        <v>信管25班</v>
      </c>
      <c r="E4" s="2" t="s">
        <v>55</v>
      </c>
      <c r="F4" s="2" t="str">
        <f>IF(INDEX(学年度总表!$F$3:$F$1025,MATCH($E4,学年度总表!$E$3:$E$1025,0))="","",INDEX(学年度总表!$F$3:$F$1025,MATCH($E4,学年度总表!$E$3:$E$1025,0)))</f>
        <v>赵春乔</v>
      </c>
      <c r="G4" s="3">
        <f>IF(INDEX(学年度总表!$G$3:$G$1025,MATCH($E4,学年度总表!$E$3:$E$1025,0))="","",INDEX(学年度总表!$G$3:$G$1025,MATCH($E4,学年度总表!$E$3:$E$1025,0)))</f>
        <v>10.8</v>
      </c>
      <c r="H4" s="3">
        <f>IF(INDEX(学年度总表!$H$3:$H$1025,MATCH($E4,学年度总表!$E$3:$E$1025,0))="","",INDEX(学年度总表!$H$3:$H$1025,MATCH($E4,学年度总表!$E$3:$E$1025,0)))</f>
        <v>69.709999999999994</v>
      </c>
      <c r="I4" s="3">
        <f>IF(INDEX(学年度总表!$I$3:$I$1025,MATCH($E4,学年度总表!$E$3:$E$1025,0))="","",INDEX(学年度总表!$I$3:$I$1025,MATCH($E4,学年度总表!$E$3:$E$1025,0)))</f>
        <v>4.2</v>
      </c>
      <c r="J4" s="3">
        <f>IF(INDEX(学年度总表!$J$3:$J$1025,MATCH($E4,学年度总表!$E$3:$E$1025,0))="","",INDEX(学年度总表!$J$3:$J$1025,MATCH($E4,学年度总表!$E$3:$E$1025,0)))</f>
        <v>84.71</v>
      </c>
      <c r="K4" s="3">
        <f>IF(INDEX(学年度总表!$K$3:$K$1025,MATCH($E4,学年度总表!$E$3:$E$1025,0))="","",INDEX(学年度总表!$K$3:$K$1025,MATCH($E4,学年度总表!$E$3:$E$1025,0)))</f>
        <v>9.8000000000000007</v>
      </c>
      <c r="L4" s="3">
        <f>IF(INDEX(学年度总表!$L$3:$L$1025,MATCH($E4,学年度总表!$E$3:$E$1025,0))="","",INDEX(学年度总表!$L$3:$L$1025,MATCH($E4,学年度总表!$E$3:$E$1025,0)))</f>
        <v>68.58</v>
      </c>
      <c r="M4" s="3">
        <f>IF(INDEX(学年度总表!$M$3:$M$1025,MATCH($E4,学年度总表!$E$3:$E$1025,0))="","",INDEX(学年度总表!$M$3:$M$1025,MATCH($E4,学年度总表!$E$3:$E$1025,0)))</f>
        <v>8</v>
      </c>
      <c r="N4" s="3">
        <f>IF(INDEX(学年度总表!$N$3:$N$1025,MATCH($E4,学年度总表!$E$3:$E$1025,0))="","",INDEX(学年度总表!$N$3:$N$1025,MATCH($E4,学年度总表!$E$3:$E$1025,0)))</f>
        <v>86.38</v>
      </c>
      <c r="O4" s="3">
        <f>IF(INDEX(学年度总表!$O$3:$O$1025,MATCH($E4,学年度总表!$E$3:$E$1025,0))="","",INDEX(学年度总表!$O$3:$O$1025,MATCH($E4,学年度总表!$E$3:$E$1025,0)))</f>
        <v>171.09</v>
      </c>
      <c r="P4" s="4" t="str">
        <f>IF(INDEX(学年度总表!$P$3:$P$1025,MATCH($E4,学年度总表!$E$3:$E$1025,0))="","",INDEX(学年度总表!$P$3:$P$1025,MATCH($E4,学年度总表!$E$3:$E$1025,0)))</f>
        <v>校一等</v>
      </c>
      <c r="Q4" s="5" t="str">
        <f>IF(INDEX(学年度总表!$Q$3:$Q$1025,MATCH($E4,学年度总表!$E$3:$E$1025,0))="","",INDEX(学年度总表!$Q$3:$Q$1025,MATCH($E4,学年度总表!$E$3:$E$1025,0)))</f>
        <v>转入商学院 财管</v>
      </c>
    </row>
    <row r="5" spans="1:17">
      <c r="A5" s="2">
        <f>IF(INDEX(学年度总表!$A$3:$A$1025,MATCH($E5,学年度总表!$E$3:$E$1025,0))="","",INDEX(学年度总表!$A$3:$A$1025,MATCH($E5,学年度总表!$E$3:$E$1025,0)))</f>
        <v>14</v>
      </c>
      <c r="B5" s="2">
        <f>IF(INDEX(学年度总表!$B$3:$B$1025,MATCH($E5,学年度总表!$E$3:$E$1025,0))="","",INDEX(学年度总表!$B$3:$B$1025,MATCH($E5,学年度总表!$E$3:$E$1025,0)))</f>
        <v>3</v>
      </c>
      <c r="C5" s="2" t="str">
        <f>IF(INDEX(学年度总表!$C$3:$C$1025,MATCH($E5,学年度总表!$E$3:$E$1025,0))="","",INDEX(学年度总表!$C$3:$C$1025,MATCH($E5,学年度总表!$E$3:$E$1025,0)))</f>
        <v>信管</v>
      </c>
      <c r="D5" s="2" t="str">
        <f>IF(INDEX(学年度总表!$D$3:$D$1025,MATCH($E5,学年度总表!$E$3:$E$1025,0))="","",INDEX(学年度总表!$D$3:$D$1025,MATCH($E5,学年度总表!$E$3:$E$1025,0)))</f>
        <v>信管26班</v>
      </c>
      <c r="E5" s="2" t="s">
        <v>61</v>
      </c>
      <c r="F5" s="2" t="str">
        <f>IF(INDEX(学年度总表!$F$3:$F$1025,MATCH($E5,学年度总表!$E$3:$E$1025,0))="","",INDEX(学年度总表!$F$3:$F$1025,MATCH($E5,学年度总表!$E$3:$E$1025,0)))</f>
        <v>张舒涵</v>
      </c>
      <c r="G5" s="3">
        <f>IF(INDEX(学年度总表!$G$3:$G$1025,MATCH($E5,学年度总表!$E$3:$E$1025,0))="","",INDEX(学年度总表!$G$3:$G$1025,MATCH($E5,学年度总表!$E$3:$E$1025,0)))</f>
        <v>11.3</v>
      </c>
      <c r="H5" s="3">
        <f>IF(INDEX(学年度总表!$H$3:$H$1025,MATCH($E5,学年度总表!$E$3:$E$1025,0))="","",INDEX(学年度总表!$H$3:$H$1025,MATCH($E5,学年度总表!$E$3:$E$1025,0)))</f>
        <v>71.16</v>
      </c>
      <c r="I5" s="3">
        <f>IF(INDEX(学年度总表!$I$3:$I$1025,MATCH($E5,学年度总表!$E$3:$E$1025,0))="","",INDEX(学年度总表!$I$3:$I$1025,MATCH($E5,学年度总表!$E$3:$E$1025,0)))</f>
        <v>4.7</v>
      </c>
      <c r="J5" s="3">
        <f>IF(INDEX(学年度总表!$J$3:$J$1025,MATCH($E5,学年度总表!$E$3:$E$1025,0))="","",INDEX(学年度总表!$J$3:$J$1025,MATCH($E5,学年度总表!$E$3:$E$1025,0)))</f>
        <v>87.16</v>
      </c>
      <c r="K5" s="3">
        <f>IF(INDEX(学年度总表!$K$3:$K$1025,MATCH($E5,学年度总表!$E$3:$E$1025,0))="","",INDEX(学年度总表!$K$3:$K$1025,MATCH($E5,学年度总表!$E$3:$E$1025,0)))</f>
        <v>9.8000000000000007</v>
      </c>
      <c r="L5" s="3">
        <f>IF(INDEX(学年度总表!$L$3:$L$1025,MATCH($E5,学年度总表!$E$3:$E$1025,0))="","",INDEX(学年度总表!$L$3:$L$1025,MATCH($E5,学年度总表!$E$3:$E$1025,0)))</f>
        <v>68.540000000000006</v>
      </c>
      <c r="M5" s="3">
        <f>IF(INDEX(学年度总表!$M$3:$M$1025,MATCH($E5,学年度总表!$E$3:$E$1025,0))="","",INDEX(学年度总表!$M$3:$M$1025,MATCH($E5,学年度总表!$E$3:$E$1025,0)))</f>
        <v>5.5</v>
      </c>
      <c r="N5" s="3">
        <f>IF(INDEX(学年度总表!$N$3:$N$1025,MATCH($E5,学年度总表!$E$3:$E$1025,0))="","",INDEX(学年度总表!$N$3:$N$1025,MATCH($E5,学年度总表!$E$3:$E$1025,0)))</f>
        <v>83.84</v>
      </c>
      <c r="O5" s="3">
        <f>IF(INDEX(学年度总表!$O$3:$O$1025,MATCH($E5,学年度总表!$E$3:$E$1025,0))="","",INDEX(学年度总表!$O$3:$O$1025,MATCH($E5,学年度总表!$E$3:$E$1025,0)))</f>
        <v>171</v>
      </c>
      <c r="P5" s="4" t="str">
        <f>IF(INDEX(学年度总表!$P$3:$P$1025,MATCH($E5,学年度总表!$E$3:$E$1025,0))="","",INDEX(学年度总表!$P$3:$P$1025,MATCH($E5,学年度总表!$E$3:$E$1025,0)))</f>
        <v>校一等</v>
      </c>
      <c r="Q5" s="5" t="str">
        <f>IF(INDEX(学年度总表!$Q$3:$Q$1025,MATCH($E5,学年度总表!$E$3:$E$1025,0))="","",INDEX(学年度总表!$Q$3:$Q$1025,MATCH($E5,学年度总表!$E$3:$E$1025,0)))</f>
        <v/>
      </c>
    </row>
    <row r="6" spans="1:17">
      <c r="A6" s="2">
        <f>IF(INDEX(学年度总表!$A$3:$A$1025,MATCH($E6,学年度总表!$E$3:$E$1025,0))="","",INDEX(学年度总表!$A$3:$A$1025,MATCH($E6,学年度总表!$E$3:$E$1025,0)))</f>
        <v>19</v>
      </c>
      <c r="B6" s="2">
        <f>IF(INDEX(学年度总表!$B$3:$B$1025,MATCH($E6,学年度总表!$E$3:$E$1025,0))="","",INDEX(学年度总表!$B$3:$B$1025,MATCH($E6,学年度总表!$E$3:$E$1025,0)))</f>
        <v>4</v>
      </c>
      <c r="C6" s="2" t="str">
        <f>IF(INDEX(学年度总表!$C$3:$C$1025,MATCH($E6,学年度总表!$E$3:$E$1025,0))="","",INDEX(学年度总表!$C$3:$C$1025,MATCH($E6,学年度总表!$E$3:$E$1025,0)))</f>
        <v>信管</v>
      </c>
      <c r="D6" s="2" t="str">
        <f>IF(INDEX(学年度总表!$D$3:$D$1025,MATCH($E6,学年度总表!$E$3:$E$1025,0))="","",INDEX(学年度总表!$D$3:$D$1025,MATCH($E6,学年度总表!$E$3:$E$1025,0)))</f>
        <v>信管22班</v>
      </c>
      <c r="E6" s="2" t="s">
        <v>74</v>
      </c>
      <c r="F6" s="2" t="str">
        <f>IF(INDEX(学年度总表!$F$3:$F$1025,MATCH($E6,学年度总表!$E$3:$E$1025,0))="","",INDEX(学年度总表!$F$3:$F$1025,MATCH($E6,学年度总表!$E$3:$E$1025,0)))</f>
        <v>贺中泽</v>
      </c>
      <c r="G6" s="3">
        <f>IF(INDEX(学年度总表!$G$3:$G$1025,MATCH($E6,学年度总表!$E$3:$E$1025,0))="","",INDEX(学年度总表!$G$3:$G$1025,MATCH($E6,学年度总表!$E$3:$E$1025,0)))</f>
        <v>10.8</v>
      </c>
      <c r="H6" s="3">
        <f>IF(INDEX(学年度总表!$H$3:$H$1025,MATCH($E6,学年度总表!$E$3:$E$1025,0))="","",INDEX(学年度总表!$H$3:$H$1025,MATCH($E6,学年度总表!$E$3:$E$1025,0)))</f>
        <v>71.33</v>
      </c>
      <c r="I6" s="3">
        <f>IF(INDEX(学年度总表!$I$3:$I$1025,MATCH($E6,学年度总表!$E$3:$E$1025,0))="","",INDEX(学年度总表!$I$3:$I$1025,MATCH($E6,学年度总表!$E$3:$E$1025,0)))</f>
        <v>4</v>
      </c>
      <c r="J6" s="3">
        <f>IF(INDEX(学年度总表!$J$3:$J$1025,MATCH($E6,学年度总表!$E$3:$E$1025,0))="","",INDEX(学年度总表!$J$3:$J$1025,MATCH($E6,学年度总表!$E$3:$E$1025,0)))</f>
        <v>86.13</v>
      </c>
      <c r="K6" s="3">
        <f>IF(INDEX(学年度总表!$K$3:$K$1025,MATCH($E6,学年度总表!$E$3:$E$1025,0))="","",INDEX(学年度总表!$K$3:$K$1025,MATCH($E6,学年度总表!$E$3:$E$1025,0)))</f>
        <v>10.8</v>
      </c>
      <c r="L6" s="3">
        <f>IF(INDEX(学年度总表!$L$3:$L$1025,MATCH($E6,学年度总表!$E$3:$E$1025,0))="","",INDEX(学年度总表!$L$3:$L$1025,MATCH($E6,学年度总表!$E$3:$E$1025,0)))</f>
        <v>66.95</v>
      </c>
      <c r="M6" s="3">
        <f>IF(INDEX(学年度总表!$M$3:$M$1025,MATCH($E6,学年度总表!$E$3:$E$1025,0))="","",INDEX(学年度总表!$M$3:$M$1025,MATCH($E6,学年度总表!$E$3:$E$1025,0)))</f>
        <v>5.35</v>
      </c>
      <c r="N6" s="3">
        <f>IF(INDEX(学年度总表!$N$3:$N$1025,MATCH($E6,学年度总表!$E$3:$E$1025,0))="","",INDEX(学年度总表!$N$3:$N$1025,MATCH($E6,学年度总表!$E$3:$E$1025,0)))</f>
        <v>83.1</v>
      </c>
      <c r="O6" s="3">
        <f>IF(INDEX(学年度总表!$O$3:$O$1025,MATCH($E6,学年度总表!$E$3:$E$1025,0))="","",INDEX(学年度总表!$O$3:$O$1025,MATCH($E6,学年度总表!$E$3:$E$1025,0)))</f>
        <v>169.23</v>
      </c>
      <c r="P6" s="4" t="str">
        <f>IF(INDEX(学年度总表!$P$3:$P$1025,MATCH($E6,学年度总表!$E$3:$E$1025,0))="","",INDEX(学年度总表!$P$3:$P$1025,MATCH($E6,学年度总表!$E$3:$E$1025,0)))</f>
        <v>校一等</v>
      </c>
      <c r="Q6" s="5" t="str">
        <f>IF(INDEX(学年度总表!$Q$3:$Q$1025,MATCH($E6,学年度总表!$E$3:$E$1025,0))="","",INDEX(学年度总表!$Q$3:$Q$1025,MATCH($E6,学年度总表!$E$3:$E$1025,0)))</f>
        <v/>
      </c>
    </row>
    <row r="7" spans="1:17">
      <c r="A7" s="2">
        <f>IF(INDEX(学年度总表!$A$3:$A$1025,MATCH($E7,学年度总表!$E$3:$E$1025,0))="","",INDEX(学年度总表!$A$3:$A$1025,MATCH($E7,学年度总表!$E$3:$E$1025,0)))</f>
        <v>25</v>
      </c>
      <c r="B7" s="2">
        <f>IF(INDEX(学年度总表!$B$3:$B$1025,MATCH($E7,学年度总表!$E$3:$E$1025,0))="","",INDEX(学年度总表!$B$3:$B$1025,MATCH($E7,学年度总表!$E$3:$E$1025,0)))</f>
        <v>5</v>
      </c>
      <c r="C7" s="2" t="str">
        <f>IF(INDEX(学年度总表!$C$3:$C$1025,MATCH($E7,学年度总表!$E$3:$E$1025,0))="","",INDEX(学年度总表!$C$3:$C$1025,MATCH($E7,学年度总表!$E$3:$E$1025,0)))</f>
        <v>信管</v>
      </c>
      <c r="D7" s="2" t="str">
        <f>IF(INDEX(学年度总表!$D$3:$D$1025,MATCH($E7,学年度总表!$E$3:$E$1025,0))="","",INDEX(学年度总表!$D$3:$D$1025,MATCH($E7,学年度总表!$E$3:$E$1025,0)))</f>
        <v>信管24班</v>
      </c>
      <c r="E7" s="2" t="s">
        <v>90</v>
      </c>
      <c r="F7" s="2" t="str">
        <f>IF(INDEX(学年度总表!$F$3:$F$1025,MATCH($E7,学年度总表!$E$3:$E$1025,0))="","",INDEX(学年度总表!$F$3:$F$1025,MATCH($E7,学年度总表!$E$3:$E$1025,0)))</f>
        <v>孙鑫颜</v>
      </c>
      <c r="G7" s="3">
        <f>IF(INDEX(学年度总表!$G$3:$G$1025,MATCH($E7,学年度总表!$E$3:$E$1025,0))="","",INDEX(学年度总表!$G$3:$G$1025,MATCH($E7,学年度总表!$E$3:$E$1025,0)))</f>
        <v>10.8</v>
      </c>
      <c r="H7" s="3">
        <f>IF(INDEX(学年度总表!$H$3:$H$1025,MATCH($E7,学年度总表!$E$3:$E$1025,0))="","",INDEX(学年度总表!$H$3:$H$1025,MATCH($E7,学年度总表!$E$3:$E$1025,0)))</f>
        <v>69.709999999999994</v>
      </c>
      <c r="I7" s="3">
        <f>IF(INDEX(学年度总表!$I$3:$I$1025,MATCH($E7,学年度总表!$E$3:$E$1025,0))="","",INDEX(学年度总表!$I$3:$I$1025,MATCH($E7,学年度总表!$E$3:$E$1025,0)))</f>
        <v>5</v>
      </c>
      <c r="J7" s="3">
        <f>IF(INDEX(学年度总表!$J$3:$J$1025,MATCH($E7,学年度总表!$E$3:$E$1025,0))="","",INDEX(学年度总表!$J$3:$J$1025,MATCH($E7,学年度总表!$E$3:$E$1025,0)))</f>
        <v>85.51</v>
      </c>
      <c r="K7" s="3">
        <f>IF(INDEX(学年度总表!$K$3:$K$1025,MATCH($E7,学年度总表!$E$3:$E$1025,0))="","",INDEX(学年度总表!$K$3:$K$1025,MATCH($E7,学年度总表!$E$3:$E$1025,0)))</f>
        <v>11.3</v>
      </c>
      <c r="L7" s="3">
        <f>IF(INDEX(学年度总表!$L$3:$L$1025,MATCH($E7,学年度总表!$E$3:$E$1025,0))="","",INDEX(学年度总表!$L$3:$L$1025,MATCH($E7,学年度总表!$E$3:$E$1025,0)))</f>
        <v>65.150000000000006</v>
      </c>
      <c r="M7" s="3">
        <f>IF(INDEX(学年度总表!$M$3:$M$1025,MATCH($E7,学年度总表!$E$3:$E$1025,0))="","",INDEX(学年度总表!$M$3:$M$1025,MATCH($E7,学年度总表!$E$3:$E$1025,0)))</f>
        <v>6</v>
      </c>
      <c r="N7" s="3">
        <f>IF(INDEX(学年度总表!$N$3:$N$1025,MATCH($E7,学年度总表!$E$3:$E$1025,0))="","",INDEX(学年度总表!$N$3:$N$1025,MATCH($E7,学年度总表!$E$3:$E$1025,0)))</f>
        <v>82.45</v>
      </c>
      <c r="O7" s="3">
        <f>IF(INDEX(学年度总表!$O$3:$O$1025,MATCH($E7,学年度总表!$E$3:$E$1025,0))="","",INDEX(学年度总表!$O$3:$O$1025,MATCH($E7,学年度总表!$E$3:$E$1025,0)))</f>
        <v>167.96</v>
      </c>
      <c r="P7" s="4" t="str">
        <f>IF(INDEX(学年度总表!$P$3:$P$1025,MATCH($E7,学年度总表!$E$3:$E$1025,0))="","",INDEX(学年度总表!$P$3:$P$1025,MATCH($E7,学年度总表!$E$3:$E$1025,0)))</f>
        <v>校一等</v>
      </c>
      <c r="Q7" s="5" t="str">
        <f>IF(INDEX(学年度总表!$Q$3:$Q$1025,MATCH($E7,学年度总表!$E$3:$E$1025,0))="","",INDEX(学年度总表!$Q$3:$Q$1025,MATCH($E7,学年度总表!$E$3:$E$1025,0)))</f>
        <v/>
      </c>
    </row>
    <row r="8" spans="1:17">
      <c r="A8" s="2">
        <f>IF(INDEX(学年度总表!$A$3:$A$1025,MATCH($E8,学年度总表!$E$3:$E$1025,0))="","",INDEX(学年度总表!$A$3:$A$1025,MATCH($E8,学年度总表!$E$3:$E$1025,0)))</f>
        <v>28</v>
      </c>
      <c r="B8" s="2">
        <f>IF(INDEX(学年度总表!$B$3:$B$1025,MATCH($E8,学年度总表!$E$3:$E$1025,0))="","",INDEX(学年度总表!$B$3:$B$1025,MATCH($E8,学年度总表!$E$3:$E$1025,0)))</f>
        <v>6</v>
      </c>
      <c r="C8" s="2" t="str">
        <f>IF(INDEX(学年度总表!$C$3:$C$1025,MATCH($E8,学年度总表!$E$3:$E$1025,0))="","",INDEX(学年度总表!$C$3:$C$1025,MATCH($E8,学年度总表!$E$3:$E$1025,0)))</f>
        <v>信管</v>
      </c>
      <c r="D8" s="2" t="str">
        <f>IF(INDEX(学年度总表!$D$3:$D$1025,MATCH($E8,学年度总表!$E$3:$E$1025,0))="","",INDEX(学年度总表!$D$3:$D$1025,MATCH($E8,学年度总表!$E$3:$E$1025,0)))</f>
        <v>信管28班</v>
      </c>
      <c r="E8" s="2" t="s">
        <v>97</v>
      </c>
      <c r="F8" s="2" t="str">
        <f>IF(INDEX(学年度总表!$F$3:$F$1025,MATCH($E8,学年度总表!$E$3:$E$1025,0))="","",INDEX(学年度总表!$F$3:$F$1025,MATCH($E8,学年度总表!$E$3:$E$1025,0)))</f>
        <v>牟彦铷</v>
      </c>
      <c r="G8" s="3">
        <f>IF(INDEX(学年度总表!$G$3:$G$1025,MATCH($E8,学年度总表!$E$3:$E$1025,0))="","",INDEX(学年度总表!$G$3:$G$1025,MATCH($E8,学年度总表!$E$3:$E$1025,0)))</f>
        <v>9.8000000000000007</v>
      </c>
      <c r="H8" s="3">
        <f>IF(INDEX(学年度总表!$H$3:$H$1025,MATCH($E8,学年度总表!$E$3:$E$1025,0))="","",INDEX(学年度总表!$H$3:$H$1025,MATCH($E8,学年度总表!$E$3:$E$1025,0)))</f>
        <v>69.069999999999993</v>
      </c>
      <c r="I8" s="3">
        <f>IF(INDEX(学年度总表!$I$3:$I$1025,MATCH($E8,学年度总表!$E$3:$E$1025,0))="","",INDEX(学年度总表!$I$3:$I$1025,MATCH($E8,学年度总表!$E$3:$E$1025,0)))</f>
        <v>5.8</v>
      </c>
      <c r="J8" s="3">
        <f>IF(INDEX(学年度总表!$J$3:$J$1025,MATCH($E8,学年度总表!$E$3:$E$1025,0))="","",INDEX(学年度总表!$J$3:$J$1025,MATCH($E8,学年度总表!$E$3:$E$1025,0)))</f>
        <v>84.67</v>
      </c>
      <c r="K8" s="3">
        <f>IF(INDEX(学年度总表!$K$3:$K$1025,MATCH($E8,学年度总表!$E$3:$E$1025,0))="","",INDEX(学年度总表!$K$3:$K$1025,MATCH($E8,学年度总表!$E$3:$E$1025,0)))</f>
        <v>10</v>
      </c>
      <c r="L8" s="3">
        <f>IF(INDEX(学年度总表!$L$3:$L$1025,MATCH($E8,学年度总表!$E$3:$E$1025,0))="","",INDEX(学年度总表!$L$3:$L$1025,MATCH($E8,学年度总表!$E$3:$E$1025,0)))</f>
        <v>63.3</v>
      </c>
      <c r="M8" s="3">
        <f>IF(INDEX(学年度总表!$M$3:$M$1025,MATCH($E8,学年度总表!$E$3:$E$1025,0))="","",INDEX(学年度总表!$M$3:$M$1025,MATCH($E8,学年度总表!$E$3:$E$1025,0)))</f>
        <v>8.9</v>
      </c>
      <c r="N8" s="3">
        <f>IF(INDEX(学年度总表!$N$3:$N$1025,MATCH($E8,学年度总表!$E$3:$E$1025,0))="","",INDEX(学年度总表!$N$3:$N$1025,MATCH($E8,学年度总表!$E$3:$E$1025,0)))</f>
        <v>82.2</v>
      </c>
      <c r="O8" s="3">
        <f>IF(INDEX(学年度总表!$O$3:$O$1025,MATCH($E8,学年度总表!$E$3:$E$1025,0))="","",INDEX(学年度总表!$O$3:$O$1025,MATCH($E8,学年度总表!$E$3:$E$1025,0)))</f>
        <v>166.87</v>
      </c>
      <c r="P8" s="4" t="str">
        <f>IF(INDEX(学年度总表!$P$3:$P$1025,MATCH($E8,学年度总表!$E$3:$E$1025,0))="","",INDEX(学年度总表!$P$3:$P$1025,MATCH($E8,学年度总表!$E$3:$E$1025,0)))</f>
        <v>校一等</v>
      </c>
      <c r="Q8" s="5" t="str">
        <f>IF(INDEX(学年度总表!$Q$3:$Q$1025,MATCH($E8,学年度总表!$E$3:$E$1025,0))="","",INDEX(学年度总表!$Q$3:$Q$1025,MATCH($E8,学年度总表!$E$3:$E$1025,0)))</f>
        <v/>
      </c>
    </row>
    <row r="9" spans="1:17">
      <c r="A9" s="2">
        <f>IF(INDEX(学年度总表!$A$3:$A$1025,MATCH($E9,学年度总表!$E$3:$E$1025,0))="","",INDEX(学年度总表!$A$3:$A$1025,MATCH($E9,学年度总表!$E$3:$E$1025,0)))</f>
        <v>31</v>
      </c>
      <c r="B9" s="2">
        <f>IF(INDEX(学年度总表!$B$3:$B$1025,MATCH($E9,学年度总表!$E$3:$E$1025,0))="","",INDEX(学年度总表!$B$3:$B$1025,MATCH($E9,学年度总表!$E$3:$E$1025,0)))</f>
        <v>7</v>
      </c>
      <c r="C9" s="2" t="str">
        <f>IF(INDEX(学年度总表!$C$3:$C$1025,MATCH($E9,学年度总表!$E$3:$E$1025,0))="","",INDEX(学年度总表!$C$3:$C$1025,MATCH($E9,学年度总表!$E$3:$E$1025,0)))</f>
        <v>信管</v>
      </c>
      <c r="D9" s="2" t="str">
        <f>IF(INDEX(学年度总表!$D$3:$D$1025,MATCH($E9,学年度总表!$E$3:$E$1025,0))="","",INDEX(学年度总表!$D$3:$D$1025,MATCH($E9,学年度总表!$E$3:$E$1025,0)))</f>
        <v>信管24班</v>
      </c>
      <c r="E9" s="2" t="s">
        <v>103</v>
      </c>
      <c r="F9" s="2" t="str">
        <f>IF(INDEX(学年度总表!$F$3:$F$1025,MATCH($E9,学年度总表!$E$3:$E$1025,0))="","",INDEX(学年度总表!$F$3:$F$1025,MATCH($E9,学年度总表!$E$3:$E$1025,0)))</f>
        <v>陈尔其</v>
      </c>
      <c r="G9" s="3">
        <f>IF(INDEX(学年度总表!$G$3:$G$1025,MATCH($E9,学年度总表!$E$3:$E$1025,0))="","",INDEX(学年度总表!$G$3:$G$1025,MATCH($E9,学年度总表!$E$3:$E$1025,0)))</f>
        <v>9.8000000000000007</v>
      </c>
      <c r="H9" s="3">
        <f>IF(INDEX(学年度总表!$H$3:$H$1025,MATCH($E9,学年度总表!$E$3:$E$1025,0))="","",INDEX(学年度总表!$H$3:$H$1025,MATCH($E9,学年度总表!$E$3:$E$1025,0)))</f>
        <v>70.97</v>
      </c>
      <c r="I9" s="3">
        <f>IF(INDEX(学年度总表!$I$3:$I$1025,MATCH($E9,学年度总表!$E$3:$E$1025,0))="","",INDEX(学年度总表!$I$3:$I$1025,MATCH($E9,学年度总表!$E$3:$E$1025,0)))</f>
        <v>5.3</v>
      </c>
      <c r="J9" s="3">
        <f>IF(INDEX(学年度总表!$J$3:$J$1025,MATCH($E9,学年度总表!$E$3:$E$1025,0))="","",INDEX(学年度总表!$J$3:$J$1025,MATCH($E9,学年度总表!$E$3:$E$1025,0)))</f>
        <v>86.07</v>
      </c>
      <c r="K9" s="3">
        <f>IF(INDEX(学年度总表!$K$3:$K$1025,MATCH($E9,学年度总表!$E$3:$E$1025,0))="","",INDEX(学年度总表!$K$3:$K$1025,MATCH($E9,学年度总表!$E$3:$E$1025,0)))</f>
        <v>9.8000000000000007</v>
      </c>
      <c r="L9" s="3">
        <f>IF(INDEX(学年度总表!$L$3:$L$1025,MATCH($E9,学年度总表!$E$3:$E$1025,0))="","",INDEX(学年度总表!$L$3:$L$1025,MATCH($E9,学年度总表!$E$3:$E$1025,0)))</f>
        <v>64.72</v>
      </c>
      <c r="M9" s="3">
        <f>IF(INDEX(学年度总表!$M$3:$M$1025,MATCH($E9,学年度总表!$E$3:$E$1025,0))="","",INDEX(学年度总表!$M$3:$M$1025,MATCH($E9,学年度总表!$E$3:$E$1025,0)))</f>
        <v>5.8</v>
      </c>
      <c r="N9" s="3">
        <f>IF(INDEX(学年度总表!$N$3:$N$1025,MATCH($E9,学年度总表!$E$3:$E$1025,0))="","",INDEX(学年度总表!$N$3:$N$1025,MATCH($E9,学年度总表!$E$3:$E$1025,0)))</f>
        <v>80.319999999999993</v>
      </c>
      <c r="O9" s="3">
        <f>IF(INDEX(学年度总表!$O$3:$O$1025,MATCH($E9,学年度总表!$E$3:$E$1025,0))="","",INDEX(学年度总表!$O$3:$O$1025,MATCH($E9,学年度总表!$E$3:$E$1025,0)))</f>
        <v>166.39</v>
      </c>
      <c r="P9" s="4" t="str">
        <f>IF(INDEX(学年度总表!$P$3:$P$1025,MATCH($E9,学年度总表!$E$3:$E$1025,0))="","",INDEX(学年度总表!$P$3:$P$1025,MATCH($E9,学年度总表!$E$3:$E$1025,0)))</f>
        <v>校一等</v>
      </c>
      <c r="Q9" s="5" t="str">
        <f>IF(INDEX(学年度总表!$Q$3:$Q$1025,MATCH($E9,学年度总表!$E$3:$E$1025,0))="","",INDEX(学年度总表!$Q$3:$Q$1025,MATCH($E9,学年度总表!$E$3:$E$1025,0)))</f>
        <v/>
      </c>
    </row>
    <row r="10" spans="1:17">
      <c r="A10" s="2">
        <f>IF(INDEX(学年度总表!$A$3:$A$1025,MATCH($E10,学年度总表!$E$3:$E$1025,0))="","",INDEX(学年度总表!$A$3:$A$1025,MATCH($E10,学年度总表!$E$3:$E$1025,0)))</f>
        <v>34</v>
      </c>
      <c r="B10" s="2">
        <f>IF(INDEX(学年度总表!$B$3:$B$1025,MATCH($E10,学年度总表!$E$3:$E$1025,0))="","",INDEX(学年度总表!$B$3:$B$1025,MATCH($E10,学年度总表!$E$3:$E$1025,0)))</f>
        <v>8</v>
      </c>
      <c r="C10" s="2" t="str">
        <f>IF(INDEX(学年度总表!$C$3:$C$1025,MATCH($E10,学年度总表!$E$3:$E$1025,0))="","",INDEX(学年度总表!$C$3:$C$1025,MATCH($E10,学年度总表!$E$3:$E$1025,0)))</f>
        <v>信管</v>
      </c>
      <c r="D10" s="2" t="str">
        <f>IF(INDEX(学年度总表!$D$3:$D$1025,MATCH($E10,学年度总表!$E$3:$E$1025,0))="","",INDEX(学年度总表!$D$3:$D$1025,MATCH($E10,学年度总表!$E$3:$E$1025,0)))</f>
        <v>信管27班</v>
      </c>
      <c r="E10" s="2" t="s">
        <v>110</v>
      </c>
      <c r="F10" s="2" t="str">
        <f>IF(INDEX(学年度总表!$F$3:$F$1025,MATCH($E10,学年度总表!$E$3:$E$1025,0))="","",INDEX(学年度总表!$F$3:$F$1025,MATCH($E10,学年度总表!$E$3:$E$1025,0)))</f>
        <v>杨众然</v>
      </c>
      <c r="G10" s="3">
        <f>IF(INDEX(学年度总表!$G$3:$G$1025,MATCH($E10,学年度总表!$E$3:$E$1025,0))="","",INDEX(学年度总表!$G$3:$G$1025,MATCH($E10,学年度总表!$E$3:$E$1025,0)))</f>
        <v>9.8000000000000007</v>
      </c>
      <c r="H10" s="3">
        <f>IF(INDEX(学年度总表!$H$3:$H$1025,MATCH($E10,学年度总表!$E$3:$E$1025,0))="","",INDEX(学年度总表!$H$3:$H$1025,MATCH($E10,学年度总表!$E$3:$E$1025,0)))</f>
        <v>70.8</v>
      </c>
      <c r="I10" s="3">
        <f>IF(INDEX(学年度总表!$I$3:$I$1025,MATCH($E10,学年度总表!$E$3:$E$1025,0))="","",INDEX(学年度总表!$I$3:$I$1025,MATCH($E10,学年度总表!$E$3:$E$1025,0)))</f>
        <v>3.2</v>
      </c>
      <c r="J10" s="3">
        <f>IF(INDEX(学年度总表!$J$3:$J$1025,MATCH($E10,学年度总表!$E$3:$E$1025,0))="","",INDEX(学年度总表!$J$3:$J$1025,MATCH($E10,学年度总表!$E$3:$E$1025,0)))</f>
        <v>83.8</v>
      </c>
      <c r="K10" s="3">
        <f>IF(INDEX(学年度总表!$K$3:$K$1025,MATCH($E10,学年度总表!$E$3:$E$1025,0))="","",INDEX(学年度总表!$K$3:$K$1025,MATCH($E10,学年度总表!$E$3:$E$1025,0)))</f>
        <v>9.8000000000000007</v>
      </c>
      <c r="L10" s="3">
        <f>IF(INDEX(学年度总表!$L$3:$L$1025,MATCH($E10,学年度总表!$E$3:$E$1025,0))="","",INDEX(学年度总表!$L$3:$L$1025,MATCH($E10,学年度总表!$E$3:$E$1025,0)))</f>
        <v>68.319999999999993</v>
      </c>
      <c r="M10" s="3">
        <f>IF(INDEX(学年度总表!$M$3:$M$1025,MATCH($E10,学年度总表!$E$3:$E$1025,0))="","",INDEX(学年度总表!$M$3:$M$1025,MATCH($E10,学年度总表!$E$3:$E$1025,0)))</f>
        <v>4.2</v>
      </c>
      <c r="N10" s="3">
        <f>IF(INDEX(学年度总表!$N$3:$N$1025,MATCH($E10,学年度总表!$E$3:$E$1025,0))="","",INDEX(学年度总表!$N$3:$N$1025,MATCH($E10,学年度总表!$E$3:$E$1025,0)))</f>
        <v>82.32</v>
      </c>
      <c r="O10" s="3">
        <f>IF(INDEX(学年度总表!$O$3:$O$1025,MATCH($E10,学年度总表!$E$3:$E$1025,0))="","",INDEX(学年度总表!$O$3:$O$1025,MATCH($E10,学年度总表!$E$3:$E$1025,0)))</f>
        <v>166.12</v>
      </c>
      <c r="P10" s="4" t="str">
        <f>IF(INDEX(学年度总表!$P$3:$P$1025,MATCH($E10,学年度总表!$E$3:$E$1025,0))="","",INDEX(学年度总表!$P$3:$P$1025,MATCH($E10,学年度总表!$E$3:$E$1025,0)))</f>
        <v>校二等</v>
      </c>
      <c r="Q10" s="5" t="str">
        <f>IF(INDEX(学年度总表!$Q$3:$Q$1025,MATCH($E10,学年度总表!$E$3:$E$1025,0))="","",INDEX(学年度总表!$Q$3:$Q$1025,MATCH($E10,学年度总表!$E$3:$E$1025,0)))</f>
        <v/>
      </c>
    </row>
    <row r="11" spans="1:17">
      <c r="A11" s="2">
        <f>IF(INDEX(学年度总表!$A$3:$A$1025,MATCH($E11,学年度总表!$E$3:$E$1025,0))="","",INDEX(学年度总表!$A$3:$A$1025,MATCH($E11,学年度总表!$E$3:$E$1025,0)))</f>
        <v>36</v>
      </c>
      <c r="B11" s="2">
        <f>IF(INDEX(学年度总表!$B$3:$B$1025,MATCH($E11,学年度总表!$E$3:$E$1025,0))="","",INDEX(学年度总表!$B$3:$B$1025,MATCH($E11,学年度总表!$E$3:$E$1025,0)))</f>
        <v>9</v>
      </c>
      <c r="C11" s="2" t="str">
        <f>IF(INDEX(学年度总表!$C$3:$C$1025,MATCH($E11,学年度总表!$E$3:$E$1025,0))="","",INDEX(学年度总表!$C$3:$C$1025,MATCH($E11,学年度总表!$E$3:$E$1025,0)))</f>
        <v>信管</v>
      </c>
      <c r="D11" s="2" t="str">
        <f>IF(INDEX(学年度总表!$D$3:$D$1025,MATCH($E11,学年度总表!$E$3:$E$1025,0))="","",INDEX(学年度总表!$D$3:$D$1025,MATCH($E11,学年度总表!$E$3:$E$1025,0)))</f>
        <v>信管21班</v>
      </c>
      <c r="E11" s="2" t="s">
        <v>115</v>
      </c>
      <c r="F11" s="2" t="str">
        <f>IF(INDEX(学年度总表!$F$3:$F$1025,MATCH($E11,学年度总表!$E$3:$E$1025,0))="","",INDEX(学年度总表!$F$3:$F$1025,MATCH($E11,学年度总表!$E$3:$E$1025,0)))</f>
        <v>李瑞洋</v>
      </c>
      <c r="G11" s="3">
        <f>IF(INDEX(学年度总表!$G$3:$G$1025,MATCH($E11,学年度总表!$E$3:$E$1025,0))="","",INDEX(学年度总表!$G$3:$G$1025,MATCH($E11,学年度总表!$E$3:$E$1025,0)))</f>
        <v>9.8000000000000007</v>
      </c>
      <c r="H11" s="3">
        <f>IF(INDEX(学年度总表!$H$3:$H$1025,MATCH($E11,学年度总表!$E$3:$E$1025,0))="","",INDEX(学年度总表!$H$3:$H$1025,MATCH($E11,学年度总表!$E$3:$E$1025,0)))</f>
        <v>70.14</v>
      </c>
      <c r="I11" s="3">
        <f>IF(INDEX(学年度总表!$I$3:$I$1025,MATCH($E11,学年度总表!$E$3:$E$1025,0))="","",INDEX(学年度总表!$I$3:$I$1025,MATCH($E11,学年度总表!$E$3:$E$1025,0)))</f>
        <v>4.2</v>
      </c>
      <c r="J11" s="3">
        <f>IF(INDEX(学年度总表!$J$3:$J$1025,MATCH($E11,学年度总表!$E$3:$E$1025,0))="","",INDEX(学年度总表!$J$3:$J$1025,MATCH($E11,学年度总表!$E$3:$E$1025,0)))</f>
        <v>84.14</v>
      </c>
      <c r="K11" s="3">
        <f>IF(INDEX(学年度总表!$K$3:$K$1025,MATCH($E11,学年度总表!$E$3:$E$1025,0))="","",INDEX(学年度总表!$K$3:$K$1025,MATCH($E11,学年度总表!$E$3:$E$1025,0)))</f>
        <v>9.8000000000000007</v>
      </c>
      <c r="L11" s="3">
        <f>IF(INDEX(学年度总表!$L$3:$L$1025,MATCH($E11,学年度总表!$E$3:$E$1025,0))="","",INDEX(学年度总表!$L$3:$L$1025,MATCH($E11,学年度总表!$E$3:$E$1025,0)))</f>
        <v>67.27</v>
      </c>
      <c r="M11" s="3">
        <f>IF(INDEX(学年度总表!$M$3:$M$1025,MATCH($E11,学年度总表!$E$3:$E$1025,0))="","",INDEX(学年度总表!$M$3:$M$1025,MATCH($E11,学年度总表!$E$3:$E$1025,0)))</f>
        <v>4.7</v>
      </c>
      <c r="N11" s="3">
        <f>IF(INDEX(学年度总表!$N$3:$N$1025,MATCH($E11,学年度总表!$E$3:$E$1025,0))="","",INDEX(学年度总表!$N$3:$N$1025,MATCH($E11,学年度总表!$E$3:$E$1025,0)))</f>
        <v>81.77</v>
      </c>
      <c r="O11" s="3">
        <f>IF(INDEX(学年度总表!$O$3:$O$1025,MATCH($E11,学年度总表!$E$3:$E$1025,0))="","",INDEX(学年度总表!$O$3:$O$1025,MATCH($E11,学年度总表!$E$3:$E$1025,0)))</f>
        <v>165.91</v>
      </c>
      <c r="P11" s="4" t="str">
        <f>IF(INDEX(学年度总表!$P$3:$P$1025,MATCH($E11,学年度总表!$E$3:$E$1025,0))="","",INDEX(学年度总表!$P$3:$P$1025,MATCH($E11,学年度总表!$E$3:$E$1025,0)))</f>
        <v>校二等</v>
      </c>
      <c r="Q11" s="5" t="str">
        <f>IF(INDEX(学年度总表!$Q$3:$Q$1025,MATCH($E11,学年度总表!$E$3:$E$1025,0))="","",INDEX(学年度总表!$Q$3:$Q$1025,MATCH($E11,学年度总表!$E$3:$E$1025,0)))</f>
        <v/>
      </c>
    </row>
    <row r="12" spans="1:17">
      <c r="A12" s="2">
        <f>IF(INDEX(学年度总表!$A$3:$A$1025,MATCH($E12,学年度总表!$E$3:$E$1025,0))="","",INDEX(学年度总表!$A$3:$A$1025,MATCH($E12,学年度总表!$E$3:$E$1025,0)))</f>
        <v>38</v>
      </c>
      <c r="B12" s="2">
        <f>IF(INDEX(学年度总表!$B$3:$B$1025,MATCH($E12,学年度总表!$E$3:$E$1025,0))="","",INDEX(学年度总表!$B$3:$B$1025,MATCH($E12,学年度总表!$E$3:$E$1025,0)))</f>
        <v>10</v>
      </c>
      <c r="C12" s="2" t="str">
        <f>IF(INDEX(学年度总表!$C$3:$C$1025,MATCH($E12,学年度总表!$E$3:$E$1025,0))="","",INDEX(学年度总表!$C$3:$C$1025,MATCH($E12,学年度总表!$E$3:$E$1025,0)))</f>
        <v>信管</v>
      </c>
      <c r="D12" s="2" t="str">
        <f>IF(INDEX(学年度总表!$D$3:$D$1025,MATCH($E12,学年度总表!$E$3:$E$1025,0))="","",INDEX(学年度总表!$D$3:$D$1025,MATCH($E12,学年度总表!$E$3:$E$1025,0)))</f>
        <v>信管24班</v>
      </c>
      <c r="E12" s="2" t="s">
        <v>120</v>
      </c>
      <c r="F12" s="2" t="str">
        <f>IF(INDEX(学年度总表!$F$3:$F$1025,MATCH($E12,学年度总表!$E$3:$E$1025,0))="","",INDEX(学年度总表!$F$3:$F$1025,MATCH($E12,学年度总表!$E$3:$E$1025,0)))</f>
        <v>刘一鸣</v>
      </c>
      <c r="G12" s="3">
        <f>IF(INDEX(学年度总表!$G$3:$G$1025,MATCH($E12,学年度总表!$E$3:$E$1025,0))="","",INDEX(学年度总表!$G$3:$G$1025,MATCH($E12,学年度总表!$E$3:$E$1025,0)))</f>
        <v>9.8000000000000007</v>
      </c>
      <c r="H12" s="3">
        <f>IF(INDEX(学年度总表!$H$3:$H$1025,MATCH($E12,学年度总表!$E$3:$E$1025,0))="","",INDEX(学年度总表!$H$3:$H$1025,MATCH($E12,学年度总表!$E$3:$E$1025,0)))</f>
        <v>68.73</v>
      </c>
      <c r="I12" s="3">
        <f>IF(INDEX(学年度总表!$I$3:$I$1025,MATCH($E12,学年度总表!$E$3:$E$1025,0))="","",INDEX(学年度总表!$I$3:$I$1025,MATCH($E12,学年度总表!$E$3:$E$1025,0)))</f>
        <v>4.9000000000000004</v>
      </c>
      <c r="J12" s="3">
        <f>IF(INDEX(学年度总表!$J$3:$J$1025,MATCH($E12,学年度总表!$E$3:$E$1025,0))="","",INDEX(学年度总表!$J$3:$J$1025,MATCH($E12,学年度总表!$E$3:$E$1025,0)))</f>
        <v>83.43</v>
      </c>
      <c r="K12" s="3">
        <f>IF(INDEX(学年度总表!$K$3:$K$1025,MATCH($E12,学年度总表!$E$3:$E$1025,0))="","",INDEX(学年度总表!$K$3:$K$1025,MATCH($E12,学年度总表!$E$3:$E$1025,0)))</f>
        <v>9.8000000000000007</v>
      </c>
      <c r="L12" s="3">
        <f>IF(INDEX(学年度总表!$L$3:$L$1025,MATCH($E12,学年度总表!$E$3:$E$1025,0))="","",INDEX(学年度总表!$L$3:$L$1025,MATCH($E12,学年度总表!$E$3:$E$1025,0)))</f>
        <v>66.52</v>
      </c>
      <c r="M12" s="3">
        <f>IF(INDEX(学年度总表!$M$3:$M$1025,MATCH($E12,学年度总表!$E$3:$E$1025,0))="","",INDEX(学年度总表!$M$3:$M$1025,MATCH($E12,学年度总表!$E$3:$E$1025,0)))</f>
        <v>6.1</v>
      </c>
      <c r="N12" s="3">
        <f>IF(INDEX(学年度总表!$N$3:$N$1025,MATCH($E12,学年度总表!$E$3:$E$1025,0))="","",INDEX(学年度总表!$N$3:$N$1025,MATCH($E12,学年度总表!$E$3:$E$1025,0)))</f>
        <v>82.42</v>
      </c>
      <c r="O12" s="3">
        <f>IF(INDEX(学年度总表!$O$3:$O$1025,MATCH($E12,学年度总表!$E$3:$E$1025,0))="","",INDEX(学年度总表!$O$3:$O$1025,MATCH($E12,学年度总表!$E$3:$E$1025,0)))</f>
        <v>165.85</v>
      </c>
      <c r="P12" s="4" t="str">
        <f>IF(INDEX(学年度总表!$P$3:$P$1025,MATCH($E12,学年度总表!$E$3:$E$1025,0))="","",INDEX(学年度总表!$P$3:$P$1025,MATCH($E12,学年度总表!$E$3:$E$1025,0)))</f>
        <v>校二等</v>
      </c>
      <c r="Q12" s="5" t="str">
        <f>IF(INDEX(学年度总表!$Q$3:$Q$1025,MATCH($E12,学年度总表!$E$3:$E$1025,0))="","",INDEX(学年度总表!$Q$3:$Q$1025,MATCH($E12,学年度总表!$E$3:$E$1025,0)))</f>
        <v/>
      </c>
    </row>
    <row r="13" spans="1:17">
      <c r="A13" s="2">
        <f>IF(INDEX(学年度总表!$A$3:$A$1025,MATCH($E13,学年度总表!$E$3:$E$1025,0))="","",INDEX(学年度总表!$A$3:$A$1025,MATCH($E13,学年度总表!$E$3:$E$1025,0)))</f>
        <v>39</v>
      </c>
      <c r="B13" s="2">
        <f>IF(INDEX(学年度总表!$B$3:$B$1025,MATCH($E13,学年度总表!$E$3:$E$1025,0))="","",INDEX(学年度总表!$B$3:$B$1025,MATCH($E13,学年度总表!$E$3:$E$1025,0)))</f>
        <v>11</v>
      </c>
      <c r="C13" s="2" t="str">
        <f>IF(INDEX(学年度总表!$C$3:$C$1025,MATCH($E13,学年度总表!$E$3:$E$1025,0))="","",INDEX(学年度总表!$C$3:$C$1025,MATCH($E13,学年度总表!$E$3:$E$1025,0)))</f>
        <v>信管</v>
      </c>
      <c r="D13" s="2" t="str">
        <f>IF(INDEX(学年度总表!$D$3:$D$1025,MATCH($E13,学年度总表!$E$3:$E$1025,0))="","",INDEX(学年度总表!$D$3:$D$1025,MATCH($E13,学年度总表!$E$3:$E$1025,0)))</f>
        <v>信管28班</v>
      </c>
      <c r="E13" s="2" t="s">
        <v>122</v>
      </c>
      <c r="F13" s="2" t="str">
        <f>IF(INDEX(学年度总表!$F$3:$F$1025,MATCH($E13,学年度总表!$E$3:$E$1025,0))="","",INDEX(学年度总表!$F$3:$F$1025,MATCH($E13,学年度总表!$E$3:$E$1025,0)))</f>
        <v>高乃姬</v>
      </c>
      <c r="G13" s="3">
        <f>IF(INDEX(学年度总表!$G$3:$G$1025,MATCH($E13,学年度总表!$E$3:$E$1025,0))="","",INDEX(学年度总表!$G$3:$G$1025,MATCH($E13,学年度总表!$E$3:$E$1025,0)))</f>
        <v>9.8000000000000007</v>
      </c>
      <c r="H13" s="3">
        <f>IF(INDEX(学年度总表!$H$3:$H$1025,MATCH($E13,学年度总表!$E$3:$E$1025,0))="","",INDEX(学年度总表!$H$3:$H$1025,MATCH($E13,学年度总表!$E$3:$E$1025,0)))</f>
        <v>71.86</v>
      </c>
      <c r="I13" s="3">
        <f>IF(INDEX(学年度总表!$I$3:$I$1025,MATCH($E13,学年度总表!$E$3:$E$1025,0))="","",INDEX(学年度总表!$I$3:$I$1025,MATCH($E13,学年度总表!$E$3:$E$1025,0)))</f>
        <v>4.2</v>
      </c>
      <c r="J13" s="3">
        <f>IF(INDEX(学年度总表!$J$3:$J$1025,MATCH($E13,学年度总表!$E$3:$E$1025,0))="","",INDEX(学年度总表!$J$3:$J$1025,MATCH($E13,学年度总表!$E$3:$E$1025,0)))</f>
        <v>85.86</v>
      </c>
      <c r="K13" s="3">
        <f>IF(INDEX(学年度总表!$K$3:$K$1025,MATCH($E13,学年度总表!$E$3:$E$1025,0))="","",INDEX(学年度总表!$K$3:$K$1025,MATCH($E13,学年度总表!$E$3:$E$1025,0)))</f>
        <v>9.8000000000000007</v>
      </c>
      <c r="L13" s="3">
        <f>IF(INDEX(学年度总表!$L$3:$L$1025,MATCH($E13,学年度总表!$E$3:$E$1025,0))="","",INDEX(学年度总表!$L$3:$L$1025,MATCH($E13,学年度总表!$E$3:$E$1025,0)))</f>
        <v>64.759999999999991</v>
      </c>
      <c r="M13" s="3">
        <f>IF(INDEX(学年度总表!$M$3:$M$1025,MATCH($E13,学年度总表!$E$3:$E$1025,0))="","",INDEX(学年度总表!$M$3:$M$1025,MATCH($E13,学年度总表!$E$3:$E$1025,0)))</f>
        <v>5.0999999999999996</v>
      </c>
      <c r="N13" s="3">
        <f>IF(INDEX(学年度总表!$N$3:$N$1025,MATCH($E13,学年度总表!$E$3:$E$1025,0))="","",INDEX(学年度总表!$N$3:$N$1025,MATCH($E13,学年度总表!$E$3:$E$1025,0)))</f>
        <v>79.66</v>
      </c>
      <c r="O13" s="3">
        <f>IF(INDEX(学年度总表!$O$3:$O$1025,MATCH($E13,学年度总表!$E$3:$E$1025,0))="","",INDEX(学年度总表!$O$3:$O$1025,MATCH($E13,学年度总表!$E$3:$E$1025,0)))</f>
        <v>165.52</v>
      </c>
      <c r="P13" s="4" t="str">
        <f>IF(INDEX(学年度总表!$P$3:$P$1025,MATCH($E13,学年度总表!$E$3:$E$1025,0))="","",INDEX(学年度总表!$P$3:$P$1025,MATCH($E13,学年度总表!$E$3:$E$1025,0)))</f>
        <v>校二等</v>
      </c>
      <c r="Q13" s="5" t="str">
        <f>IF(INDEX(学年度总表!$Q$3:$Q$1025,MATCH($E13,学年度总表!$E$3:$E$1025,0))="","",INDEX(学年度总表!$Q$3:$Q$1025,MATCH($E13,学年度总表!$E$3:$E$1025,0)))</f>
        <v/>
      </c>
    </row>
    <row r="14" spans="1:17">
      <c r="A14" s="2">
        <f>IF(INDEX(学年度总表!$A$3:$A$1025,MATCH($E14,学年度总表!$E$3:$E$1025,0))="","",INDEX(学年度总表!$A$3:$A$1025,MATCH($E14,学年度总表!$E$3:$E$1025,0)))</f>
        <v>40</v>
      </c>
      <c r="B14" s="2">
        <f>IF(INDEX(学年度总表!$B$3:$B$1025,MATCH($E14,学年度总表!$E$3:$E$1025,0))="","",INDEX(学年度总表!$B$3:$B$1025,MATCH($E14,学年度总表!$E$3:$E$1025,0)))</f>
        <v>12</v>
      </c>
      <c r="C14" s="2" t="str">
        <f>IF(INDEX(学年度总表!$C$3:$C$1025,MATCH($E14,学年度总表!$E$3:$E$1025,0))="","",INDEX(学年度总表!$C$3:$C$1025,MATCH($E14,学年度总表!$E$3:$E$1025,0)))</f>
        <v>信管</v>
      </c>
      <c r="D14" s="2" t="str">
        <f>IF(INDEX(学年度总表!$D$3:$D$1025,MATCH($E14,学年度总表!$E$3:$E$1025,0))="","",INDEX(学年度总表!$D$3:$D$1025,MATCH($E14,学年度总表!$E$3:$E$1025,0)))</f>
        <v>信管25班</v>
      </c>
      <c r="E14" s="2" t="s">
        <v>124</v>
      </c>
      <c r="F14" s="2" t="str">
        <f>IF(INDEX(学年度总表!$F$3:$F$1025,MATCH($E14,学年度总表!$E$3:$E$1025,0))="","",INDEX(学年度总表!$F$3:$F$1025,MATCH($E14,学年度总表!$E$3:$E$1025,0)))</f>
        <v>刘书语</v>
      </c>
      <c r="G14" s="3">
        <f>IF(INDEX(学年度总表!$G$3:$G$1025,MATCH($E14,学年度总表!$E$3:$E$1025,0))="","",INDEX(学年度总表!$G$3:$G$1025,MATCH($E14,学年度总表!$E$3:$E$1025,0)))</f>
        <v>9.8000000000000007</v>
      </c>
      <c r="H14" s="3">
        <f>IF(INDEX(学年度总表!$H$3:$H$1025,MATCH($E14,学年度总表!$E$3:$E$1025,0))="","",INDEX(学年度总表!$H$3:$H$1025,MATCH($E14,学年度总表!$E$3:$E$1025,0)))</f>
        <v>72.19</v>
      </c>
      <c r="I14" s="3">
        <f>IF(INDEX(学年度总表!$I$3:$I$1025,MATCH($E14,学年度总表!$E$3:$E$1025,0))="","",INDEX(学年度总表!$I$3:$I$1025,MATCH($E14,学年度总表!$E$3:$E$1025,0)))</f>
        <v>4.2</v>
      </c>
      <c r="J14" s="3">
        <f>IF(INDEX(学年度总表!$J$3:$J$1025,MATCH($E14,学年度总表!$E$3:$E$1025,0))="","",INDEX(学年度总表!$J$3:$J$1025,MATCH($E14,学年度总表!$E$3:$E$1025,0)))</f>
        <v>86.19</v>
      </c>
      <c r="K14" s="3">
        <f>IF(INDEX(学年度总表!$K$3:$K$1025,MATCH($E14,学年度总表!$E$3:$E$1025,0))="","",INDEX(学年度总表!$K$3:$K$1025,MATCH($E14,学年度总表!$E$3:$E$1025,0)))</f>
        <v>9.8000000000000007</v>
      </c>
      <c r="L14" s="3">
        <f>IF(INDEX(学年度总表!$L$3:$L$1025,MATCH($E14,学年度总表!$E$3:$E$1025,0))="","",INDEX(学年度总表!$L$3:$L$1025,MATCH($E14,学年度总表!$E$3:$E$1025,0)))</f>
        <v>65.05</v>
      </c>
      <c r="M14" s="3">
        <f>IF(INDEX(学年度总表!$M$3:$M$1025,MATCH($E14,学年度总表!$E$3:$E$1025,0))="","",INDEX(学年度总表!$M$3:$M$1025,MATCH($E14,学年度总表!$E$3:$E$1025,0)))</f>
        <v>4</v>
      </c>
      <c r="N14" s="3">
        <f>IF(INDEX(学年度总表!$N$3:$N$1025,MATCH($E14,学年度总表!$E$3:$E$1025,0))="","",INDEX(学年度总表!$N$3:$N$1025,MATCH($E14,学年度总表!$E$3:$E$1025,0)))</f>
        <v>78.849999999999994</v>
      </c>
      <c r="O14" s="3">
        <f>IF(INDEX(学年度总表!$O$3:$O$1025,MATCH($E14,学年度总表!$E$3:$E$1025,0))="","",INDEX(学年度总表!$O$3:$O$1025,MATCH($E14,学年度总表!$E$3:$E$1025,0)))</f>
        <v>165.04</v>
      </c>
      <c r="P14" s="4" t="str">
        <f>IF(INDEX(学年度总表!$P$3:$P$1025,MATCH($E14,学年度总表!$E$3:$E$1025,0))="","",INDEX(学年度总表!$P$3:$P$1025,MATCH($E14,学年度总表!$E$3:$E$1025,0)))</f>
        <v>校二等</v>
      </c>
      <c r="Q14" s="5" t="str">
        <f>IF(INDEX(学年度总表!$Q$3:$Q$1025,MATCH($E14,学年度总表!$E$3:$E$1025,0))="","",INDEX(学年度总表!$Q$3:$Q$1025,MATCH($E14,学年度总表!$E$3:$E$1025,0)))</f>
        <v/>
      </c>
    </row>
    <row r="15" spans="1:17">
      <c r="A15" s="2">
        <f>IF(INDEX(学年度总表!$A$3:$A$1025,MATCH($E15,学年度总表!$E$3:$E$1025,0))="","",INDEX(学年度总表!$A$3:$A$1025,MATCH($E15,学年度总表!$E$3:$E$1025,0)))</f>
        <v>51</v>
      </c>
      <c r="B15" s="2">
        <f>IF(INDEX(学年度总表!$B$3:$B$1025,MATCH($E15,学年度总表!$E$3:$E$1025,0))="","",INDEX(学年度总表!$B$3:$B$1025,MATCH($E15,学年度总表!$E$3:$E$1025,0)))</f>
        <v>13</v>
      </c>
      <c r="C15" s="2" t="str">
        <f>IF(INDEX(学年度总表!$C$3:$C$1025,MATCH($E15,学年度总表!$E$3:$E$1025,0))="","",INDEX(学年度总表!$C$3:$C$1025,MATCH($E15,学年度总表!$E$3:$E$1025,0)))</f>
        <v>信管</v>
      </c>
      <c r="D15" s="2" t="str">
        <f>IF(INDEX(学年度总表!$D$3:$D$1025,MATCH($E15,学年度总表!$E$3:$E$1025,0))="","",INDEX(学年度总表!$D$3:$D$1025,MATCH($E15,学年度总表!$E$3:$E$1025,0)))</f>
        <v>信管28班</v>
      </c>
      <c r="E15" s="2" t="s">
        <v>148</v>
      </c>
      <c r="F15" s="2" t="str">
        <f>IF(INDEX(学年度总表!$F$3:$F$1025,MATCH($E15,学年度总表!$E$3:$E$1025,0))="","",INDEX(学年度总表!$F$3:$F$1025,MATCH($E15,学年度总表!$E$3:$E$1025,0)))</f>
        <v>吴欣恬</v>
      </c>
      <c r="G15" s="3">
        <f>IF(INDEX(学年度总表!$G$3:$G$1025,MATCH($E15,学年度总表!$E$3:$E$1025,0))="","",INDEX(学年度总表!$G$3:$G$1025,MATCH($E15,学年度总表!$E$3:$E$1025,0)))</f>
        <v>10.3</v>
      </c>
      <c r="H15" s="3">
        <f>IF(INDEX(学年度总表!$H$3:$H$1025,MATCH($E15,学年度总表!$E$3:$E$1025,0))="","",INDEX(学年度总表!$H$3:$H$1025,MATCH($E15,学年度总表!$E$3:$E$1025,0)))</f>
        <v>65.44</v>
      </c>
      <c r="I15" s="3">
        <f>IF(INDEX(学年度总表!$I$3:$I$1025,MATCH($E15,学年度总表!$E$3:$E$1025,0))="","",INDEX(学年度总表!$I$3:$I$1025,MATCH($E15,学年度总表!$E$3:$E$1025,0)))</f>
        <v>5.7</v>
      </c>
      <c r="J15" s="3">
        <f>IF(INDEX(学年度总表!$J$3:$J$1025,MATCH($E15,学年度总表!$E$3:$E$1025,0))="","",INDEX(学年度总表!$J$3:$J$1025,MATCH($E15,学年度总表!$E$3:$E$1025,0)))</f>
        <v>81.44</v>
      </c>
      <c r="K15" s="3">
        <f>IF(INDEX(学年度总表!$K$3:$K$1025,MATCH($E15,学年度总表!$E$3:$E$1025,0))="","",INDEX(学年度总表!$K$3:$K$1025,MATCH($E15,学年度总表!$E$3:$E$1025,0)))</f>
        <v>11</v>
      </c>
      <c r="L15" s="3">
        <f>IF(INDEX(学年度总表!$L$3:$L$1025,MATCH($E15,学年度总表!$E$3:$E$1025,0))="","",INDEX(学年度总表!$L$3:$L$1025,MATCH($E15,学年度总表!$E$3:$E$1025,0)))</f>
        <v>63.07</v>
      </c>
      <c r="M15" s="3">
        <f>IF(INDEX(学年度总表!$M$3:$M$1025,MATCH($E15,学年度总表!$E$3:$E$1025,0))="","",INDEX(学年度总表!$M$3:$M$1025,MATCH($E15,学年度总表!$E$3:$E$1025,0)))</f>
        <v>8.4</v>
      </c>
      <c r="N15" s="3">
        <f>IF(INDEX(学年度总表!$N$3:$N$1025,MATCH($E15,学年度总表!$E$3:$E$1025,0))="","",INDEX(学年度总表!$N$3:$N$1025,MATCH($E15,学年度总表!$E$3:$E$1025,0)))</f>
        <v>82.47</v>
      </c>
      <c r="O15" s="3">
        <f>IF(INDEX(学年度总表!$O$3:$O$1025,MATCH($E15,学年度总表!$E$3:$E$1025,0))="","",INDEX(学年度总表!$O$3:$O$1025,MATCH($E15,学年度总表!$E$3:$E$1025,0)))</f>
        <v>163.91</v>
      </c>
      <c r="P15" s="4" t="str">
        <f>IF(INDEX(学年度总表!$P$3:$P$1025,MATCH($E15,学年度总表!$E$3:$E$1025,0))="","",INDEX(学年度总表!$P$3:$P$1025,MATCH($E15,学年度总表!$E$3:$E$1025,0)))</f>
        <v>校二等</v>
      </c>
      <c r="Q15" s="5" t="str">
        <f>IF(INDEX(学年度总表!$Q$3:$Q$1025,MATCH($E15,学年度总表!$E$3:$E$1025,0))="","",INDEX(学年度总表!$Q$3:$Q$1025,MATCH($E15,学年度总表!$E$3:$E$1025,0)))</f>
        <v/>
      </c>
    </row>
    <row r="16" spans="1:17">
      <c r="A16" s="2">
        <f>IF(INDEX(学年度总表!$A$3:$A$1025,MATCH($E16,学年度总表!$E$3:$E$1025,0))="","",INDEX(学年度总表!$A$3:$A$1025,MATCH($E16,学年度总表!$E$3:$E$1025,0)))</f>
        <v>53</v>
      </c>
      <c r="B16" s="2">
        <f>IF(INDEX(学年度总表!$B$3:$B$1025,MATCH($E16,学年度总表!$E$3:$E$1025,0))="","",INDEX(学年度总表!$B$3:$B$1025,MATCH($E16,学年度总表!$E$3:$E$1025,0)))</f>
        <v>14</v>
      </c>
      <c r="C16" s="2" t="str">
        <f>IF(INDEX(学年度总表!$C$3:$C$1025,MATCH($E16,学年度总表!$E$3:$E$1025,0))="","",INDEX(学年度总表!$C$3:$C$1025,MATCH($E16,学年度总表!$E$3:$E$1025,0)))</f>
        <v>信管</v>
      </c>
      <c r="D16" s="2" t="str">
        <f>IF(INDEX(学年度总表!$D$3:$D$1025,MATCH($E16,学年度总表!$E$3:$E$1025,0))="","",INDEX(学年度总表!$D$3:$D$1025,MATCH($E16,学年度总表!$E$3:$E$1025,0)))</f>
        <v>信管22班</v>
      </c>
      <c r="E16" s="2" t="s">
        <v>152</v>
      </c>
      <c r="F16" s="2" t="str">
        <f>IF(INDEX(学年度总表!$F$3:$F$1025,MATCH($E16,学年度总表!$E$3:$E$1025,0))="","",INDEX(学年度总表!$F$3:$F$1025,MATCH($E16,学年度总表!$E$3:$E$1025,0)))</f>
        <v>王言如</v>
      </c>
      <c r="G16" s="3">
        <f>IF(INDEX(学年度总表!$G$3:$G$1025,MATCH($E16,学年度总表!$E$3:$E$1025,0))="","",INDEX(学年度总表!$G$3:$G$1025,MATCH($E16,学年度总表!$E$3:$E$1025,0)))</f>
        <v>11</v>
      </c>
      <c r="H16" s="3">
        <f>IF(INDEX(学年度总表!$H$3:$H$1025,MATCH($E16,学年度总表!$E$3:$E$1025,0))="","",INDEX(学年度总表!$H$3:$H$1025,MATCH($E16,学年度总表!$E$3:$E$1025,0)))</f>
        <v>70.81</v>
      </c>
      <c r="I16" s="3">
        <f>IF(INDEX(学年度总表!$I$3:$I$1025,MATCH($E16,学年度总表!$E$3:$E$1025,0))="","",INDEX(学年度总表!$I$3:$I$1025,MATCH($E16,学年度总表!$E$3:$E$1025,0)))</f>
        <v>4.5</v>
      </c>
      <c r="J16" s="3">
        <f>IF(INDEX(学年度总表!$J$3:$J$1025,MATCH($E16,学年度总表!$E$3:$E$1025,0))="","",INDEX(学年度总表!$J$3:$J$1025,MATCH($E16,学年度总表!$E$3:$E$1025,0)))</f>
        <v>86.31</v>
      </c>
      <c r="K16" s="3">
        <f>IF(INDEX(学年度总表!$K$3:$K$1025,MATCH($E16,学年度总表!$E$3:$E$1025,0))="","",INDEX(学年度总表!$K$3:$K$1025,MATCH($E16,学年度总表!$E$3:$E$1025,0)))</f>
        <v>7.5</v>
      </c>
      <c r="L16" s="3">
        <f>IF(INDEX(学年度总表!$L$3:$L$1025,MATCH($E16,学年度总表!$E$3:$E$1025,0))="","",INDEX(学年度总表!$L$3:$L$1025,MATCH($E16,学年度总表!$E$3:$E$1025,0)))</f>
        <v>64.680000000000007</v>
      </c>
      <c r="M16" s="3">
        <f>IF(INDEX(学年度总表!$M$3:$M$1025,MATCH($E16,学年度总表!$E$3:$E$1025,0))="","",INDEX(学年度总表!$M$3:$M$1025,MATCH($E16,学年度总表!$E$3:$E$1025,0)))</f>
        <v>5.2</v>
      </c>
      <c r="N16" s="3">
        <f>IF(INDEX(学年度总表!$N$3:$N$1025,MATCH($E16,学年度总表!$E$3:$E$1025,0))="","",INDEX(学年度总表!$N$3:$N$1025,MATCH($E16,学年度总表!$E$3:$E$1025,0)))</f>
        <v>77.38</v>
      </c>
      <c r="O16" s="3">
        <f>IF(INDEX(学年度总表!$O$3:$O$1025,MATCH($E16,学年度总表!$E$3:$E$1025,0))="","",INDEX(学年度总表!$O$3:$O$1025,MATCH($E16,学年度总表!$E$3:$E$1025,0)))</f>
        <v>163.69</v>
      </c>
      <c r="P16" s="4" t="str">
        <f>IF(INDEX(学年度总表!$P$3:$P$1025,MATCH($E16,学年度总表!$E$3:$E$1025,0))="","",INDEX(学年度总表!$P$3:$P$1025,MATCH($E16,学年度总表!$E$3:$E$1025,0)))</f>
        <v>校二等</v>
      </c>
      <c r="Q16" s="5" t="str">
        <f>IF(INDEX(学年度总表!$Q$3:$Q$1025,MATCH($E16,学年度总表!$E$3:$E$1025,0))="","",INDEX(学年度总表!$Q$3:$Q$1025,MATCH($E16,学年度总表!$E$3:$E$1025,0)))</f>
        <v/>
      </c>
    </row>
    <row r="17" spans="1:17">
      <c r="A17" s="2">
        <f>IF(INDEX(学年度总表!$A$3:$A$1025,MATCH($E17,学年度总表!$E$3:$E$1025,0))="","",INDEX(学年度总表!$A$3:$A$1025,MATCH($E17,学年度总表!$E$3:$E$1025,0)))</f>
        <v>54</v>
      </c>
      <c r="B17" s="2">
        <f>IF(INDEX(学年度总表!$B$3:$B$1025,MATCH($E17,学年度总表!$E$3:$E$1025,0))="","",INDEX(学年度总表!$B$3:$B$1025,MATCH($E17,学年度总表!$E$3:$E$1025,0)))</f>
        <v>15</v>
      </c>
      <c r="C17" s="2" t="str">
        <f>IF(INDEX(学年度总表!$C$3:$C$1025,MATCH($E17,学年度总表!$E$3:$E$1025,0))="","",INDEX(学年度总表!$C$3:$C$1025,MATCH($E17,学年度总表!$E$3:$E$1025,0)))</f>
        <v>信管</v>
      </c>
      <c r="D17" s="2" t="str">
        <f>IF(INDEX(学年度总表!$D$3:$D$1025,MATCH($E17,学年度总表!$E$3:$E$1025,0))="","",INDEX(学年度总表!$D$3:$D$1025,MATCH($E17,学年度总表!$E$3:$E$1025,0)))</f>
        <v>信管25班</v>
      </c>
      <c r="E17" s="2" t="s">
        <v>154</v>
      </c>
      <c r="F17" s="2" t="str">
        <f>IF(INDEX(学年度总表!$F$3:$F$1025,MATCH($E17,学年度总表!$E$3:$E$1025,0))="","",INDEX(学年度总表!$F$3:$F$1025,MATCH($E17,学年度总表!$E$3:$E$1025,0)))</f>
        <v>杨际菲</v>
      </c>
      <c r="G17" s="3">
        <f>IF(INDEX(学年度总表!$G$3:$G$1025,MATCH($E17,学年度总表!$E$3:$E$1025,0))="","",INDEX(学年度总表!$G$3:$G$1025,MATCH($E17,学年度总表!$E$3:$E$1025,0)))</f>
        <v>10.3</v>
      </c>
      <c r="H17" s="3">
        <f>IF(INDEX(学年度总表!$H$3:$H$1025,MATCH($E17,学年度总表!$E$3:$E$1025,0))="","",INDEX(学年度总表!$H$3:$H$1025,MATCH($E17,学年度总表!$E$3:$E$1025,0)))</f>
        <v>68.41</v>
      </c>
      <c r="I17" s="3">
        <f>IF(INDEX(学年度总表!$I$3:$I$1025,MATCH($E17,学年度总表!$E$3:$E$1025,0))="","",INDEX(学年度总表!$I$3:$I$1025,MATCH($E17,学年度总表!$E$3:$E$1025,0)))</f>
        <v>6</v>
      </c>
      <c r="J17" s="3">
        <f>IF(INDEX(学年度总表!$J$3:$J$1025,MATCH($E17,学年度总表!$E$3:$E$1025,0))="","",INDEX(学年度总表!$J$3:$J$1025,MATCH($E17,学年度总表!$E$3:$E$1025,0)))</f>
        <v>84.71</v>
      </c>
      <c r="K17" s="3">
        <f>IF(INDEX(学年度总表!$K$3:$K$1025,MATCH($E17,学年度总表!$E$3:$E$1025,0))="","",INDEX(学年度总表!$K$3:$K$1025,MATCH($E17,学年度总表!$E$3:$E$1025,0)))</f>
        <v>9.8000000000000007</v>
      </c>
      <c r="L17" s="3">
        <f>IF(INDEX(学年度总表!$L$3:$L$1025,MATCH($E17,学年度总表!$E$3:$E$1025,0))="","",INDEX(学年度总表!$L$3:$L$1025,MATCH($E17,学年度总表!$E$3:$E$1025,0)))</f>
        <v>64.67</v>
      </c>
      <c r="M17" s="3">
        <f>IF(INDEX(学年度总表!$M$3:$M$1025,MATCH($E17,学年度总表!$E$3:$E$1025,0))="","",INDEX(学年度总表!$M$3:$M$1025,MATCH($E17,学年度总表!$E$3:$E$1025,0)))</f>
        <v>4.5</v>
      </c>
      <c r="N17" s="3">
        <f>IF(INDEX(学年度总表!$N$3:$N$1025,MATCH($E17,学年度总表!$E$3:$E$1025,0))="","",INDEX(学年度总表!$N$3:$N$1025,MATCH($E17,学年度总表!$E$3:$E$1025,0)))</f>
        <v>78.97</v>
      </c>
      <c r="O17" s="3">
        <f>IF(INDEX(学年度总表!$O$3:$O$1025,MATCH($E17,学年度总表!$E$3:$E$1025,0))="","",INDEX(学年度总表!$O$3:$O$1025,MATCH($E17,学年度总表!$E$3:$E$1025,0)))</f>
        <v>163.68</v>
      </c>
      <c r="P17" s="4" t="str">
        <f>IF(INDEX(学年度总表!$P$3:$P$1025,MATCH($E17,学年度总表!$E$3:$E$1025,0))="","",INDEX(学年度总表!$P$3:$P$1025,MATCH($E17,学年度总表!$E$3:$E$1025,0)))</f>
        <v>校二等</v>
      </c>
      <c r="Q17" s="5" t="str">
        <f>IF(INDEX(学年度总表!$Q$3:$Q$1025,MATCH($E17,学年度总表!$E$3:$E$1025,0))="","",INDEX(学年度总表!$Q$3:$Q$1025,MATCH($E17,学年度总表!$E$3:$E$1025,0)))</f>
        <v/>
      </c>
    </row>
    <row r="18" spans="1:17">
      <c r="A18" s="2">
        <f>IF(INDEX(学年度总表!$A$3:$A$1025,MATCH($E18,学年度总表!$E$3:$E$1025,0))="","",INDEX(学年度总表!$A$3:$A$1025,MATCH($E18,学年度总表!$E$3:$E$1025,0)))</f>
        <v>57</v>
      </c>
      <c r="B18" s="2">
        <f>IF(INDEX(学年度总表!$B$3:$B$1025,MATCH($E18,学年度总表!$E$3:$E$1025,0))="","",INDEX(学年度总表!$B$3:$B$1025,MATCH($E18,学年度总表!$E$3:$E$1025,0)))</f>
        <v>16</v>
      </c>
      <c r="C18" s="2" t="str">
        <f>IF(INDEX(学年度总表!$C$3:$C$1025,MATCH($E18,学年度总表!$E$3:$E$1025,0))="","",INDEX(学年度总表!$C$3:$C$1025,MATCH($E18,学年度总表!$E$3:$E$1025,0)))</f>
        <v>信管</v>
      </c>
      <c r="D18" s="2" t="str">
        <f>IF(INDEX(学年度总表!$D$3:$D$1025,MATCH($E18,学年度总表!$E$3:$E$1025,0))="","",INDEX(学年度总表!$D$3:$D$1025,MATCH($E18,学年度总表!$E$3:$E$1025,0)))</f>
        <v>信管22班</v>
      </c>
      <c r="E18" s="2" t="s">
        <v>160</v>
      </c>
      <c r="F18" s="2" t="str">
        <f>IF(INDEX(学年度总表!$F$3:$F$1025,MATCH($E18,学年度总表!$E$3:$E$1025,0))="","",INDEX(学年度总表!$F$3:$F$1025,MATCH($E18,学年度总表!$E$3:$E$1025,0)))</f>
        <v>孙小游</v>
      </c>
      <c r="G18" s="3">
        <f>IF(INDEX(学年度总表!$G$3:$G$1025,MATCH($E18,学年度总表!$E$3:$E$1025,0))="","",INDEX(学年度总表!$G$3:$G$1025,MATCH($E18,学年度总表!$E$3:$E$1025,0)))</f>
        <v>10.3</v>
      </c>
      <c r="H18" s="3">
        <f>IF(INDEX(学年度总表!$H$3:$H$1025,MATCH($E18,学年度总表!$E$3:$E$1025,0))="","",INDEX(学年度总表!$H$3:$H$1025,MATCH($E18,学年度总表!$E$3:$E$1025,0)))</f>
        <v>66.58</v>
      </c>
      <c r="I18" s="3">
        <f>IF(INDEX(学年度总表!$I$3:$I$1025,MATCH($E18,学年度总表!$E$3:$E$1025,0))="","",INDEX(学年度总表!$I$3:$I$1025,MATCH($E18,学年度总表!$E$3:$E$1025,0)))</f>
        <v>5</v>
      </c>
      <c r="J18" s="3">
        <f>IF(INDEX(学年度总表!$J$3:$J$1025,MATCH($E18,学年度总表!$E$3:$E$1025,0))="","",INDEX(学年度总表!$J$3:$J$1025,MATCH($E18,学年度总表!$E$3:$E$1025,0)))</f>
        <v>81.88</v>
      </c>
      <c r="K18" s="3">
        <f>IF(INDEX(学年度总表!$K$3:$K$1025,MATCH($E18,学年度总表!$E$3:$E$1025,0))="","",INDEX(学年度总表!$K$3:$K$1025,MATCH($E18,学年度总表!$E$3:$E$1025,0)))</f>
        <v>7.3000000000000007</v>
      </c>
      <c r="L18" s="3">
        <f>IF(INDEX(学年度总表!$L$3:$L$1025,MATCH($E18,学年度总表!$E$3:$E$1025,0))="","",INDEX(学年度总表!$L$3:$L$1025,MATCH($E18,学年度总表!$E$3:$E$1025,0)))</f>
        <v>67.2</v>
      </c>
      <c r="M18" s="3">
        <f>IF(INDEX(学年度总表!$M$3:$M$1025,MATCH($E18,学年度总表!$E$3:$E$1025,0))="","",INDEX(学年度总表!$M$3:$M$1025,MATCH($E18,学年度总表!$E$3:$E$1025,0)))</f>
        <v>5.9</v>
      </c>
      <c r="N18" s="3">
        <f>IF(INDEX(学年度总表!$N$3:$N$1025,MATCH($E18,学年度总表!$E$3:$E$1025,0))="","",INDEX(学年度总表!$N$3:$N$1025,MATCH($E18,学年度总表!$E$3:$E$1025,0)))</f>
        <v>80.400000000000006</v>
      </c>
      <c r="O18" s="3">
        <f>IF(INDEX(学年度总表!$O$3:$O$1025,MATCH($E18,学年度总表!$E$3:$E$1025,0))="","",INDEX(学年度总表!$O$3:$O$1025,MATCH($E18,学年度总表!$E$3:$E$1025,0)))</f>
        <v>162.28</v>
      </c>
      <c r="P18" s="4" t="str">
        <f>IF(INDEX(学年度总表!$P$3:$P$1025,MATCH($E18,学年度总表!$E$3:$E$1025,0))="","",INDEX(学年度总表!$P$3:$P$1025,MATCH($E18,学年度总表!$E$3:$E$1025,0)))</f>
        <v>校二等</v>
      </c>
      <c r="Q18" s="5" t="str">
        <f>IF(INDEX(学年度总表!$Q$3:$Q$1025,MATCH($E18,学年度总表!$E$3:$E$1025,0))="","",INDEX(学年度总表!$Q$3:$Q$1025,MATCH($E18,学年度总表!$E$3:$E$1025,0)))</f>
        <v/>
      </c>
    </row>
    <row r="19" spans="1:17">
      <c r="A19" s="2">
        <f>IF(INDEX(学年度总表!$A$3:$A$1025,MATCH($E19,学年度总表!$E$3:$E$1025,0))="","",INDEX(学年度总表!$A$3:$A$1025,MATCH($E19,学年度总表!$E$3:$E$1025,0)))</f>
        <v>66</v>
      </c>
      <c r="B19" s="2">
        <f>IF(INDEX(学年度总表!$B$3:$B$1025,MATCH($E19,学年度总表!$E$3:$E$1025,0))="","",INDEX(学年度总表!$B$3:$B$1025,MATCH($E19,学年度总表!$E$3:$E$1025,0)))</f>
        <v>17</v>
      </c>
      <c r="C19" s="2" t="str">
        <f>IF(INDEX(学年度总表!$C$3:$C$1025,MATCH($E19,学年度总表!$E$3:$E$1025,0))="","",INDEX(学年度总表!$C$3:$C$1025,MATCH($E19,学年度总表!$E$3:$E$1025,0)))</f>
        <v>信管</v>
      </c>
      <c r="D19" s="2" t="str">
        <f>IF(INDEX(学年度总表!$D$3:$D$1025,MATCH($E19,学年度总表!$E$3:$E$1025,0))="","",INDEX(学年度总表!$D$3:$D$1025,MATCH($E19,学年度总表!$E$3:$E$1025,0)))</f>
        <v>信管26班</v>
      </c>
      <c r="E19" s="2" t="s">
        <v>179</v>
      </c>
      <c r="F19" s="2" t="str">
        <f>IF(INDEX(学年度总表!$F$3:$F$1025,MATCH($E19,学年度总表!$E$3:$E$1025,0))="","",INDEX(学年度总表!$F$3:$F$1025,MATCH($E19,学年度总表!$E$3:$E$1025,0)))</f>
        <v>张艺</v>
      </c>
      <c r="G19" s="3">
        <f>IF(INDEX(学年度总表!$G$3:$G$1025,MATCH($E19,学年度总表!$E$3:$E$1025,0))="","",INDEX(学年度总表!$G$3:$G$1025,MATCH($E19,学年度总表!$E$3:$E$1025,0)))</f>
        <v>9.8000000000000007</v>
      </c>
      <c r="H19" s="3">
        <f>IF(INDEX(学年度总表!$H$3:$H$1025,MATCH($E19,学年度总表!$E$3:$E$1025,0))="","",INDEX(学年度总表!$H$3:$H$1025,MATCH($E19,学年度总表!$E$3:$E$1025,0)))</f>
        <v>70.75</v>
      </c>
      <c r="I19" s="3">
        <f>IF(INDEX(学年度总表!$I$3:$I$1025,MATCH($E19,学年度总表!$E$3:$E$1025,0))="","",INDEX(学年度总表!$I$3:$I$1025,MATCH($E19,学年度总表!$E$3:$E$1025,0)))</f>
        <v>3</v>
      </c>
      <c r="J19" s="3">
        <f>IF(INDEX(学年度总表!$J$3:$J$1025,MATCH($E19,学年度总表!$E$3:$E$1025,0))="","",INDEX(学年度总表!$J$3:$J$1025,MATCH($E19,学年度总表!$E$3:$E$1025,0)))</f>
        <v>83.55</v>
      </c>
      <c r="K19" s="3">
        <f>IF(INDEX(学年度总表!$K$3:$K$1025,MATCH($E19,学年度总表!$E$3:$E$1025,0))="","",INDEX(学年度总表!$K$3:$K$1025,MATCH($E19,学年度总表!$E$3:$E$1025,0)))</f>
        <v>9.8000000000000007</v>
      </c>
      <c r="L19" s="3">
        <f>IF(INDEX(学年度总表!$L$3:$L$1025,MATCH($E19,学年度总表!$E$3:$E$1025,0))="","",INDEX(学年度总表!$L$3:$L$1025,MATCH($E19,学年度总表!$E$3:$E$1025,0)))</f>
        <v>65.17</v>
      </c>
      <c r="M19" s="3">
        <f>IF(INDEX(学年度总表!$M$3:$M$1025,MATCH($E19,学年度总表!$E$3:$E$1025,0))="","",INDEX(学年度总表!$M$3:$M$1025,MATCH($E19,学年度总表!$E$3:$E$1025,0)))</f>
        <v>3</v>
      </c>
      <c r="N19" s="3">
        <f>IF(INDEX(学年度总表!$N$3:$N$1025,MATCH($E19,学年度总表!$E$3:$E$1025,0))="","",INDEX(学年度总表!$N$3:$N$1025,MATCH($E19,学年度总表!$E$3:$E$1025,0)))</f>
        <v>77.97</v>
      </c>
      <c r="O19" s="3">
        <f>IF(INDEX(学年度总表!$O$3:$O$1025,MATCH($E19,学年度总表!$E$3:$E$1025,0))="","",INDEX(学年度总表!$O$3:$O$1025,MATCH($E19,学年度总表!$E$3:$E$1025,0)))</f>
        <v>161.52000000000001</v>
      </c>
      <c r="P19" s="4" t="str">
        <f>IF(INDEX(学年度总表!$P$3:$P$1025,MATCH($E19,学年度总表!$E$3:$E$1025,0))="","",INDEX(学年度总表!$P$3:$P$1025,MATCH($E19,学年度总表!$E$3:$E$1025,0)))</f>
        <v>校二等</v>
      </c>
      <c r="Q19" s="5" t="str">
        <f>IF(INDEX(学年度总表!$Q$3:$Q$1025,MATCH($E19,学年度总表!$E$3:$E$1025,0))="","",INDEX(学年度总表!$Q$3:$Q$1025,MATCH($E19,学年度总表!$E$3:$E$1025,0)))</f>
        <v/>
      </c>
    </row>
    <row r="20" spans="1:17">
      <c r="A20" s="2">
        <f>IF(INDEX(学年度总表!$A$3:$A$1025,MATCH($E20,学年度总表!$E$3:$E$1025,0))="","",INDEX(学年度总表!$A$3:$A$1025,MATCH($E20,学年度总表!$E$3:$E$1025,0)))</f>
        <v>73</v>
      </c>
      <c r="B20" s="2">
        <f>IF(INDEX(学年度总表!$B$3:$B$1025,MATCH($E20,学年度总表!$E$3:$E$1025,0))="","",INDEX(学年度总表!$B$3:$B$1025,MATCH($E20,学年度总表!$E$3:$E$1025,0)))</f>
        <v>18</v>
      </c>
      <c r="C20" s="2" t="str">
        <f>IF(INDEX(学年度总表!$C$3:$C$1025,MATCH($E20,学年度总表!$E$3:$E$1025,0))="","",INDEX(学年度总表!$C$3:$C$1025,MATCH($E20,学年度总表!$E$3:$E$1025,0)))</f>
        <v>信管</v>
      </c>
      <c r="D20" s="2" t="str">
        <f>IF(INDEX(学年度总表!$D$3:$D$1025,MATCH($E20,学年度总表!$E$3:$E$1025,0))="","",INDEX(学年度总表!$D$3:$D$1025,MATCH($E20,学年度总表!$E$3:$E$1025,0)))</f>
        <v>信管28班</v>
      </c>
      <c r="E20" s="2" t="s">
        <v>195</v>
      </c>
      <c r="F20" s="2" t="str">
        <f>IF(INDEX(学年度总表!$F$3:$F$1025,MATCH($E20,学年度总表!$E$3:$E$1025,0))="","",INDEX(学年度总表!$F$3:$F$1025,MATCH($E20,学年度总表!$E$3:$E$1025,0)))</f>
        <v>王可欣</v>
      </c>
      <c r="G20" s="3">
        <f>IF(INDEX(学年度总表!$G$3:$G$1025,MATCH($E20,学年度总表!$E$3:$E$1025,0))="","",INDEX(学年度总表!$G$3:$G$1025,MATCH($E20,学年度总表!$E$3:$E$1025,0)))</f>
        <v>9.8000000000000007</v>
      </c>
      <c r="H20" s="3">
        <f>IF(INDEX(学年度总表!$H$3:$H$1025,MATCH($E20,学年度总表!$E$3:$E$1025,0))="","",INDEX(学年度总表!$H$3:$H$1025,MATCH($E20,学年度总表!$E$3:$E$1025,0)))</f>
        <v>68.13</v>
      </c>
      <c r="I20" s="3">
        <f>IF(INDEX(学年度总表!$I$3:$I$1025,MATCH($E20,学年度总表!$E$3:$E$1025,0))="","",INDEX(学年度总表!$I$3:$I$1025,MATCH($E20,学年度总表!$E$3:$E$1025,0)))</f>
        <v>4</v>
      </c>
      <c r="J20" s="3">
        <f>IF(INDEX(学年度总表!$J$3:$J$1025,MATCH($E20,学年度总表!$E$3:$E$1025,0))="","",INDEX(学年度总表!$J$3:$J$1025,MATCH($E20,学年度总表!$E$3:$E$1025,0)))</f>
        <v>81.93</v>
      </c>
      <c r="K20" s="3">
        <f>IF(INDEX(学年度总表!$K$3:$K$1025,MATCH($E20,学年度总表!$E$3:$E$1025,0))="","",INDEX(学年度总表!$K$3:$K$1025,MATCH($E20,学年度总表!$E$3:$E$1025,0)))</f>
        <v>9.8000000000000007</v>
      </c>
      <c r="L20" s="3">
        <f>IF(INDEX(学年度总表!$L$3:$L$1025,MATCH($E20,学年度总表!$E$3:$E$1025,0))="","",INDEX(学年度总表!$L$3:$L$1025,MATCH($E20,学年度总表!$E$3:$E$1025,0)))</f>
        <v>64.44</v>
      </c>
      <c r="M20" s="3">
        <f>IF(INDEX(学年度总表!$M$3:$M$1025,MATCH($E20,学年度总表!$E$3:$E$1025,0))="","",INDEX(学年度总表!$M$3:$M$1025,MATCH($E20,学年度总表!$E$3:$E$1025,0)))</f>
        <v>4.4000000000000004</v>
      </c>
      <c r="N20" s="3">
        <f>IF(INDEX(学年度总表!$N$3:$N$1025,MATCH($E20,学年度总表!$E$3:$E$1025,0))="","",INDEX(学年度总表!$N$3:$N$1025,MATCH($E20,学年度总表!$E$3:$E$1025,0)))</f>
        <v>78.64</v>
      </c>
      <c r="O20" s="3">
        <f>IF(INDEX(学年度总表!$O$3:$O$1025,MATCH($E20,学年度总表!$E$3:$E$1025,0))="","",INDEX(学年度总表!$O$3:$O$1025,MATCH($E20,学年度总表!$E$3:$E$1025,0)))</f>
        <v>160.57</v>
      </c>
      <c r="P20" s="4" t="str">
        <f>IF(INDEX(学年度总表!$P$3:$P$1025,MATCH($E20,学年度总表!$E$3:$E$1025,0))="","",INDEX(学年度总表!$P$3:$P$1025,MATCH($E20,学年度总表!$E$3:$E$1025,0)))</f>
        <v>校二等</v>
      </c>
      <c r="Q20" s="5" t="str">
        <f>IF(INDEX(学年度总表!$Q$3:$Q$1025,MATCH($E20,学年度总表!$E$3:$E$1025,0))="","",INDEX(学年度总表!$Q$3:$Q$1025,MATCH($E20,学年度总表!$E$3:$E$1025,0)))</f>
        <v/>
      </c>
    </row>
    <row r="21" spans="1:17">
      <c r="A21" s="2">
        <f>IF(INDEX(学年度总表!$A$3:$A$1025,MATCH($E21,学年度总表!$E$3:$E$1025,0))="","",INDEX(学年度总表!$A$3:$A$1025,MATCH($E21,学年度总表!$E$3:$E$1025,0)))</f>
        <v>75</v>
      </c>
      <c r="B21" s="2">
        <f>IF(INDEX(学年度总表!$B$3:$B$1025,MATCH($E21,学年度总表!$E$3:$E$1025,0))="","",INDEX(学年度总表!$B$3:$B$1025,MATCH($E21,学年度总表!$E$3:$E$1025,0)))</f>
        <v>19</v>
      </c>
      <c r="C21" s="2" t="str">
        <f>IF(INDEX(学年度总表!$C$3:$C$1025,MATCH($E21,学年度总表!$E$3:$E$1025,0))="","",INDEX(学年度总表!$C$3:$C$1025,MATCH($E21,学年度总表!$E$3:$E$1025,0)))</f>
        <v>信管</v>
      </c>
      <c r="D21" s="2" t="str">
        <f>IF(INDEX(学年度总表!$D$3:$D$1025,MATCH($E21,学年度总表!$E$3:$E$1025,0))="","",INDEX(学年度总表!$D$3:$D$1025,MATCH($E21,学年度总表!$E$3:$E$1025,0)))</f>
        <v>信管22班</v>
      </c>
      <c r="E21" s="2" t="s">
        <v>199</v>
      </c>
      <c r="F21" s="2" t="str">
        <f>IF(INDEX(学年度总表!$F$3:$F$1025,MATCH($E21,学年度总表!$E$3:$E$1025,0))="","",INDEX(学年度总表!$F$3:$F$1025,MATCH($E21,学年度总表!$E$3:$E$1025,0)))</f>
        <v>宋虹儒</v>
      </c>
      <c r="G21" s="3">
        <f>IF(INDEX(学年度总表!$G$3:$G$1025,MATCH($E21,学年度总表!$E$3:$E$1025,0))="","",INDEX(学年度总表!$G$3:$G$1025,MATCH($E21,学年度总表!$E$3:$E$1025,0)))</f>
        <v>9.8000000000000007</v>
      </c>
      <c r="H21" s="3">
        <f>IF(INDEX(学年度总表!$H$3:$H$1025,MATCH($E21,学年度总表!$E$3:$E$1025,0))="","",INDEX(学年度总表!$H$3:$H$1025,MATCH($E21,学年度总表!$E$3:$E$1025,0)))</f>
        <v>72.7</v>
      </c>
      <c r="I21" s="3">
        <f>IF(INDEX(学年度总表!$I$3:$I$1025,MATCH($E21,学年度总表!$E$3:$E$1025,0))="","",INDEX(学年度总表!$I$3:$I$1025,MATCH($E21,学年度总表!$E$3:$E$1025,0)))</f>
        <v>3</v>
      </c>
      <c r="J21" s="3">
        <f>IF(INDEX(学年度总表!$J$3:$J$1025,MATCH($E21,学年度总表!$E$3:$E$1025,0))="","",INDEX(学年度总表!$J$3:$J$1025,MATCH($E21,学年度总表!$E$3:$E$1025,0)))</f>
        <v>85.5</v>
      </c>
      <c r="K21" s="3">
        <f>IF(INDEX(学年度总表!$K$3:$K$1025,MATCH($E21,学年度总表!$E$3:$E$1025,0))="","",INDEX(学年度总表!$K$3:$K$1025,MATCH($E21,学年度总表!$E$3:$E$1025,0)))</f>
        <v>9.8000000000000007</v>
      </c>
      <c r="L21" s="3">
        <f>IF(INDEX(学年度总表!$L$3:$L$1025,MATCH($E21,学年度总表!$E$3:$E$1025,0))="","",INDEX(学年度总表!$L$3:$L$1025,MATCH($E21,学年度总表!$E$3:$E$1025,0)))</f>
        <v>61.53</v>
      </c>
      <c r="M21" s="3">
        <f>IF(INDEX(学年度总表!$M$3:$M$1025,MATCH($E21,学年度总表!$E$3:$E$1025,0))="","",INDEX(学年度总表!$M$3:$M$1025,MATCH($E21,学年度总表!$E$3:$E$1025,0)))</f>
        <v>3.5</v>
      </c>
      <c r="N21" s="3">
        <f>IF(INDEX(学年度总表!$N$3:$N$1025,MATCH($E21,学年度总表!$E$3:$E$1025,0))="","",INDEX(学年度总表!$N$3:$N$1025,MATCH($E21,学年度总表!$E$3:$E$1025,0)))</f>
        <v>74.83</v>
      </c>
      <c r="O21" s="3">
        <f>IF(INDEX(学年度总表!$O$3:$O$1025,MATCH($E21,学年度总表!$E$3:$E$1025,0))="","",INDEX(学年度总表!$O$3:$O$1025,MATCH($E21,学年度总表!$E$3:$E$1025,0)))</f>
        <v>160.33000000000001</v>
      </c>
      <c r="P21" s="4" t="str">
        <f>IF(INDEX(学年度总表!$P$3:$P$1025,MATCH($E21,学年度总表!$E$3:$E$1025,0))="","",INDEX(学年度总表!$P$3:$P$1025,MATCH($E21,学年度总表!$E$3:$E$1025,0)))</f>
        <v>国励</v>
      </c>
      <c r="Q21" s="5" t="str">
        <f>IF(INDEX(学年度总表!$Q$3:$Q$1025,MATCH($E21,学年度总表!$E$3:$E$1025,0))="","",INDEX(学年度总表!$Q$3:$Q$1025,MATCH($E21,学年度总表!$E$3:$E$1025,0)))</f>
        <v/>
      </c>
    </row>
    <row r="22" spans="1:17">
      <c r="A22" s="2">
        <f>IF(INDEX(学年度总表!$A$3:$A$1025,MATCH($E22,学年度总表!$E$3:$E$1025,0))="","",INDEX(学年度总表!$A$3:$A$1025,MATCH($E22,学年度总表!$E$3:$E$1025,0)))</f>
        <v>79</v>
      </c>
      <c r="B22" s="2">
        <f>IF(INDEX(学年度总表!$B$3:$B$1025,MATCH($E22,学年度总表!$E$3:$E$1025,0))="","",INDEX(学年度总表!$B$3:$B$1025,MATCH($E22,学年度总表!$E$3:$E$1025,0)))</f>
        <v>20</v>
      </c>
      <c r="C22" s="2" t="str">
        <f>IF(INDEX(学年度总表!$C$3:$C$1025,MATCH($E22,学年度总表!$E$3:$E$1025,0))="","",INDEX(学年度总表!$C$3:$C$1025,MATCH($E22,学年度总表!$E$3:$E$1025,0)))</f>
        <v>信管</v>
      </c>
      <c r="D22" s="2" t="str">
        <f>IF(INDEX(学年度总表!$D$3:$D$1025,MATCH($E22,学年度总表!$E$3:$E$1025,0))="","",INDEX(学年度总表!$D$3:$D$1025,MATCH($E22,学年度总表!$E$3:$E$1025,0)))</f>
        <v>信管26班</v>
      </c>
      <c r="E22" s="2" t="s">
        <v>208</v>
      </c>
      <c r="F22" s="2" t="str">
        <f>IF(INDEX(学年度总表!$F$3:$F$1025,MATCH($E22,学年度总表!$E$3:$E$1025,0))="","",INDEX(学年度总表!$F$3:$F$1025,MATCH($E22,学年度总表!$E$3:$E$1025,0)))</f>
        <v>宋诺言</v>
      </c>
      <c r="G22" s="3">
        <f>IF(INDEX(学年度总表!$G$3:$G$1025,MATCH($E22,学年度总表!$E$3:$E$1025,0))="","",INDEX(学年度总表!$G$3:$G$1025,MATCH($E22,学年度总表!$E$3:$E$1025,0)))</f>
        <v>10.3</v>
      </c>
      <c r="H22" s="3">
        <f>IF(INDEX(学年度总表!$H$3:$H$1025,MATCH($E22,学年度总表!$E$3:$E$1025,0))="","",INDEX(学年度总表!$H$3:$H$1025,MATCH($E22,学年度总表!$E$3:$E$1025,0)))</f>
        <v>63.37</v>
      </c>
      <c r="I22" s="3">
        <f>IF(INDEX(学年度总表!$I$3:$I$1025,MATCH($E22,学年度总表!$E$3:$E$1025,0))="","",INDEX(学年度总表!$I$3:$I$1025,MATCH($E22,学年度总表!$E$3:$E$1025,0)))</f>
        <v>3.3</v>
      </c>
      <c r="J22" s="3">
        <f>IF(INDEX(学年度总表!$J$3:$J$1025,MATCH($E22,学年度总表!$E$3:$E$1025,0))="","",INDEX(学年度总表!$J$3:$J$1025,MATCH($E22,学年度总表!$E$3:$E$1025,0)))</f>
        <v>76.97</v>
      </c>
      <c r="K22" s="3">
        <f>IF(INDEX(学年度总表!$K$3:$K$1025,MATCH($E22,学年度总表!$E$3:$E$1025,0))="","",INDEX(学年度总表!$K$3:$K$1025,MATCH($E22,学年度总表!$E$3:$E$1025,0)))</f>
        <v>9.8000000000000007</v>
      </c>
      <c r="L22" s="3">
        <f>IF(INDEX(学年度总表!$L$3:$L$1025,MATCH($E22,学年度总表!$E$3:$E$1025,0))="","",INDEX(学年度总表!$L$3:$L$1025,MATCH($E22,学年度总表!$E$3:$E$1025,0)))</f>
        <v>67.290000000000006</v>
      </c>
      <c r="M22" s="3">
        <f>IF(INDEX(学年度总表!$M$3:$M$1025,MATCH($E22,学年度总表!$E$3:$E$1025,0))="","",INDEX(学年度总表!$M$3:$M$1025,MATCH($E22,学年度总表!$E$3:$E$1025,0)))</f>
        <v>6.1</v>
      </c>
      <c r="N22" s="3">
        <f>IF(INDEX(学年度总表!$N$3:$N$1025,MATCH($E22,学年度总表!$E$3:$E$1025,0))="","",INDEX(学年度总表!$N$3:$N$1025,MATCH($E22,学年度总表!$E$3:$E$1025,0)))</f>
        <v>83.19</v>
      </c>
      <c r="O22" s="3">
        <f>IF(INDEX(学年度总表!$O$3:$O$1025,MATCH($E22,学年度总表!$E$3:$E$1025,0))="","",INDEX(学年度总表!$O$3:$O$1025,MATCH($E22,学年度总表!$E$3:$E$1025,0)))</f>
        <v>160.16</v>
      </c>
      <c r="P22" s="4" t="str">
        <f>IF(INDEX(学年度总表!$P$3:$P$1025,MATCH($E22,学年度总表!$E$3:$E$1025,0))="","",INDEX(学年度总表!$P$3:$P$1025,MATCH($E22,学年度总表!$E$3:$E$1025,0)))</f>
        <v>校二等</v>
      </c>
      <c r="Q22" s="5" t="str">
        <f>IF(INDEX(学年度总表!$Q$3:$Q$1025,MATCH($E22,学年度总表!$E$3:$E$1025,0))="","",INDEX(学年度总表!$Q$3:$Q$1025,MATCH($E22,学年度总表!$E$3:$E$1025,0)))</f>
        <v/>
      </c>
    </row>
    <row r="23" spans="1:17">
      <c r="A23" s="2">
        <f>IF(INDEX(学年度总表!$A$3:$A$1025,MATCH($E23,学年度总表!$E$3:$E$1025,0))="","",INDEX(学年度总表!$A$3:$A$1025,MATCH($E23,学年度总表!$E$3:$E$1025,0)))</f>
        <v>84</v>
      </c>
      <c r="B23" s="2">
        <f>IF(INDEX(学年度总表!$B$3:$B$1025,MATCH($E23,学年度总表!$E$3:$E$1025,0))="","",INDEX(学年度总表!$B$3:$B$1025,MATCH($E23,学年度总表!$E$3:$E$1025,0)))</f>
        <v>21</v>
      </c>
      <c r="C23" s="2" t="str">
        <f>IF(INDEX(学年度总表!$C$3:$C$1025,MATCH($E23,学年度总表!$E$3:$E$1025,0))="","",INDEX(学年度总表!$C$3:$C$1025,MATCH($E23,学年度总表!$E$3:$E$1025,0)))</f>
        <v>信管</v>
      </c>
      <c r="D23" s="2" t="str">
        <f>IF(INDEX(学年度总表!$D$3:$D$1025,MATCH($E23,学年度总表!$E$3:$E$1025,0))="","",INDEX(学年度总表!$D$3:$D$1025,MATCH($E23,学年度总表!$E$3:$E$1025,0)))</f>
        <v>信管20班</v>
      </c>
      <c r="E23" s="2" t="s">
        <v>221</v>
      </c>
      <c r="F23" s="2" t="str">
        <f>IF(INDEX(学年度总表!$F$3:$F$1025,MATCH($E23,学年度总表!$E$3:$E$1025,0))="","",INDEX(学年度总表!$F$3:$F$1025,MATCH($E23,学年度总表!$E$3:$E$1025,0)))</f>
        <v>邬昇震</v>
      </c>
      <c r="G23" s="3">
        <f>IF(INDEX(学年度总表!$G$3:$G$1025,MATCH($E23,学年度总表!$E$3:$E$1025,0))="","",INDEX(学年度总表!$G$3:$G$1025,MATCH($E23,学年度总表!$E$3:$E$1025,0)))</f>
        <v>9</v>
      </c>
      <c r="H23" s="3">
        <f>IF(INDEX(学年度总表!$H$3:$H$1025,MATCH($E23,学年度总表!$E$3:$E$1025,0))="","",INDEX(学年度总表!$H$3:$H$1025,MATCH($E23,学年度总表!$E$3:$E$1025,0)))</f>
        <v>65.2</v>
      </c>
      <c r="I23" s="3">
        <f>IF(INDEX(学年度总表!$I$3:$I$1025,MATCH($E23,学年度总表!$E$3:$E$1025,0))="","",INDEX(学年度总表!$I$3:$I$1025,MATCH($E23,学年度总表!$E$3:$E$1025,0)))</f>
        <v>4</v>
      </c>
      <c r="J23" s="3">
        <f>IF(INDEX(学年度总表!$J$3:$J$1025,MATCH($E23,学年度总表!$E$3:$E$1025,0))="","",INDEX(学年度总表!$J$3:$J$1025,MATCH($E23,学年度总表!$E$3:$E$1025,0)))</f>
        <v>78.2</v>
      </c>
      <c r="K23" s="3">
        <f>IF(INDEX(学年度总表!$K$3:$K$1025,MATCH($E23,学年度总表!$E$3:$E$1025,0))="","",INDEX(学年度总表!$K$3:$K$1025,MATCH($E23,学年度总表!$E$3:$E$1025,0)))</f>
        <v>10</v>
      </c>
      <c r="L23" s="3">
        <f>IF(INDEX(学年度总表!$L$3:$L$1025,MATCH($E23,学年度总表!$E$3:$E$1025,0))="","",INDEX(学年度总表!$L$3:$L$1025,MATCH($E23,学年度总表!$E$3:$E$1025,0)))</f>
        <v>66.040000000000006</v>
      </c>
      <c r="M23" s="3">
        <f>IF(INDEX(学年度总表!$M$3:$M$1025,MATCH($E23,学年度总表!$E$3:$E$1025,0))="","",INDEX(学年度总表!$M$3:$M$1025,MATCH($E23,学年度总表!$E$3:$E$1025,0)))</f>
        <v>5</v>
      </c>
      <c r="N23" s="3">
        <f>IF(INDEX(学年度总表!$N$3:$N$1025,MATCH($E23,学年度总表!$E$3:$E$1025,0))="","",INDEX(学年度总表!$N$3:$N$1025,MATCH($E23,学年度总表!$E$3:$E$1025,0)))</f>
        <v>81.040000000000006</v>
      </c>
      <c r="O23" s="3">
        <f>IF(INDEX(学年度总表!$O$3:$O$1025,MATCH($E23,学年度总表!$E$3:$E$1025,0))="","",INDEX(学年度总表!$O$3:$O$1025,MATCH($E23,学年度总表!$E$3:$E$1025,0)))</f>
        <v>159.24</v>
      </c>
      <c r="P23" s="4" t="str">
        <f>IF(INDEX(学年度总表!$P$3:$P$1025,MATCH($E23,学年度总表!$E$3:$E$1025,0))="","",INDEX(学年度总表!$P$3:$P$1025,MATCH($E23,学年度总表!$E$3:$E$1025,0)))</f>
        <v>校三等</v>
      </c>
      <c r="Q23" s="5" t="str">
        <f>IF(INDEX(学年度总表!$Q$3:$Q$1025,MATCH($E23,学年度总表!$E$3:$E$1025,0))="","",INDEX(学年度总表!$Q$3:$Q$1025,MATCH($E23,学年度总表!$E$3:$E$1025,0)))</f>
        <v/>
      </c>
    </row>
    <row r="24" spans="1:17">
      <c r="A24" s="2">
        <f>IF(INDEX(学年度总表!$A$3:$A$1025,MATCH($E24,学年度总表!$E$3:$E$1025,0))="","",INDEX(学年度总表!$A$3:$A$1025,MATCH($E24,学年度总表!$E$3:$E$1025,0)))</f>
        <v>90</v>
      </c>
      <c r="B24" s="2">
        <f>IF(INDEX(学年度总表!$B$3:$B$1025,MATCH($E24,学年度总表!$E$3:$E$1025,0))="","",INDEX(学年度总表!$B$3:$B$1025,MATCH($E24,学年度总表!$E$3:$E$1025,0)))</f>
        <v>22</v>
      </c>
      <c r="C24" s="2" t="str">
        <f>IF(INDEX(学年度总表!$C$3:$C$1025,MATCH($E24,学年度总表!$E$3:$E$1025,0))="","",INDEX(学年度总表!$C$3:$C$1025,MATCH($E24,学年度总表!$E$3:$E$1025,0)))</f>
        <v>信管</v>
      </c>
      <c r="D24" s="2" t="str">
        <f>IF(INDEX(学年度总表!$D$3:$D$1025,MATCH($E24,学年度总表!$E$3:$E$1025,0))="","",INDEX(学年度总表!$D$3:$D$1025,MATCH($E24,学年度总表!$E$3:$E$1025,0)))</f>
        <v>信管19班</v>
      </c>
      <c r="E24" s="2" t="s">
        <v>233</v>
      </c>
      <c r="F24" s="2" t="str">
        <f>IF(INDEX(学年度总表!$F$3:$F$1025,MATCH($E24,学年度总表!$E$3:$E$1025,0))="","",INDEX(学年度总表!$F$3:$F$1025,MATCH($E24,学年度总表!$E$3:$E$1025,0)))</f>
        <v>艾天放</v>
      </c>
      <c r="G24" s="3">
        <f>IF(INDEX(学年度总表!$G$3:$G$1025,MATCH($E24,学年度总表!$E$3:$E$1025,0))="","",INDEX(学年度总表!$G$3:$G$1025,MATCH($E24,学年度总表!$E$3:$E$1025,0)))</f>
        <v>9.9</v>
      </c>
      <c r="H24" s="3">
        <f>IF(INDEX(学年度总表!$H$3:$H$1025,MATCH($E24,学年度总表!$E$3:$E$1025,0))="","",INDEX(学年度总表!$H$3:$H$1025,MATCH($E24,学年度总表!$E$3:$E$1025,0)))</f>
        <v>63.89</v>
      </c>
      <c r="I24" s="3">
        <f>IF(INDEX(学年度总表!$I$3:$I$1025,MATCH($E24,学年度总表!$E$3:$E$1025,0))="","",INDEX(学年度总表!$I$3:$I$1025,MATCH($E24,学年度总表!$E$3:$E$1025,0)))</f>
        <v>5.8</v>
      </c>
      <c r="J24" s="3">
        <f>IF(INDEX(学年度总表!$J$3:$J$1025,MATCH($E24,学年度总表!$E$3:$E$1025,0))="","",INDEX(学年度总表!$J$3:$J$1025,MATCH($E24,学年度总表!$E$3:$E$1025,0)))</f>
        <v>79.59</v>
      </c>
      <c r="K24" s="3">
        <f>IF(INDEX(学年度总表!$K$3:$K$1025,MATCH($E24,学年度总表!$E$3:$E$1025,0))="","",INDEX(学年度总表!$K$3:$K$1025,MATCH($E24,学年度总表!$E$3:$E$1025,0)))</f>
        <v>11</v>
      </c>
      <c r="L24" s="3">
        <f>IF(INDEX(学年度总表!$L$3:$L$1025,MATCH($E24,学年度总表!$E$3:$E$1025,0))="","",INDEX(学年度总表!$L$3:$L$1025,MATCH($E24,学年度总表!$E$3:$E$1025,0)))</f>
        <v>60.81</v>
      </c>
      <c r="M24" s="3">
        <f>IF(INDEX(学年度总表!$M$3:$M$1025,MATCH($E24,学年度总表!$E$3:$E$1025,0))="","",INDEX(学年度总表!$M$3:$M$1025,MATCH($E24,学年度总表!$E$3:$E$1025,0)))</f>
        <v>7.3</v>
      </c>
      <c r="N24" s="3">
        <f>IF(INDEX(学年度总表!$N$3:$N$1025,MATCH($E24,学年度总表!$E$3:$E$1025,0))="","",INDEX(学年度总表!$N$3:$N$1025,MATCH($E24,学年度总表!$E$3:$E$1025,0)))</f>
        <v>79.11</v>
      </c>
      <c r="O24" s="3">
        <f>IF(INDEX(学年度总表!$O$3:$O$1025,MATCH($E24,学年度总表!$E$3:$E$1025,0))="","",INDEX(学年度总表!$O$3:$O$1025,MATCH($E24,学年度总表!$E$3:$E$1025,0)))</f>
        <v>158.69999999999999</v>
      </c>
      <c r="P24" s="4" t="str">
        <f>IF(INDEX(学年度总表!$P$3:$P$1025,MATCH($E24,学年度总表!$E$3:$E$1025,0))="","",INDEX(学年度总表!$P$3:$P$1025,MATCH($E24,学年度总表!$E$3:$E$1025,0)))</f>
        <v>校三等</v>
      </c>
      <c r="Q24" s="5" t="str">
        <f>IF(INDEX(学年度总表!$Q$3:$Q$1025,MATCH($E24,学年度总表!$E$3:$E$1025,0))="","",INDEX(学年度总表!$Q$3:$Q$1025,MATCH($E24,学年度总表!$E$3:$E$1025,0)))</f>
        <v/>
      </c>
    </row>
    <row r="25" spans="1:17">
      <c r="A25" s="2">
        <f>IF(INDEX(学年度总表!$A$3:$A$1025,MATCH($E25,学年度总表!$E$3:$E$1025,0))="","",INDEX(学年度总表!$A$3:$A$1025,MATCH($E25,学年度总表!$E$3:$E$1025,0)))</f>
        <v>97</v>
      </c>
      <c r="B25" s="2">
        <f>IF(INDEX(学年度总表!$B$3:$B$1025,MATCH($E25,学年度总表!$E$3:$E$1025,0))="","",INDEX(学年度总表!$B$3:$B$1025,MATCH($E25,学年度总表!$E$3:$E$1025,0)))</f>
        <v>23</v>
      </c>
      <c r="C25" s="2" t="str">
        <f>IF(INDEX(学年度总表!$C$3:$C$1025,MATCH($E25,学年度总表!$E$3:$E$1025,0))="","",INDEX(学年度总表!$C$3:$C$1025,MATCH($E25,学年度总表!$E$3:$E$1025,0)))</f>
        <v>信管</v>
      </c>
      <c r="D25" s="2" t="str">
        <f>IF(INDEX(学年度总表!$D$3:$D$1025,MATCH($E25,学年度总表!$E$3:$E$1025,0))="","",INDEX(学年度总表!$D$3:$D$1025,MATCH($E25,学年度总表!$E$3:$E$1025,0)))</f>
        <v>信管27班</v>
      </c>
      <c r="E25" s="2" t="s">
        <v>247</v>
      </c>
      <c r="F25" s="2" t="str">
        <f>IF(INDEX(学年度总表!$F$3:$F$1025,MATCH($E25,学年度总表!$E$3:$E$1025,0))="","",INDEX(学年度总表!$F$3:$F$1025,MATCH($E25,学年度总表!$E$3:$E$1025,0)))</f>
        <v>王嘉慧</v>
      </c>
      <c r="G25" s="3">
        <f>IF(INDEX(学年度总表!$G$3:$G$1025,MATCH($E25,学年度总表!$E$3:$E$1025,0))="","",INDEX(学年度总表!$G$3:$G$1025,MATCH($E25,学年度总表!$E$3:$E$1025,0)))</f>
        <v>9.8000000000000007</v>
      </c>
      <c r="H25" s="3">
        <f>IF(INDEX(学年度总表!$H$3:$H$1025,MATCH($E25,学年度总表!$E$3:$E$1025,0))="","",INDEX(学年度总表!$H$3:$H$1025,MATCH($E25,学年度总表!$E$3:$E$1025,0)))</f>
        <v>64.5</v>
      </c>
      <c r="I25" s="3">
        <f>IF(INDEX(学年度总表!$I$3:$I$1025,MATCH($E25,学年度总表!$E$3:$E$1025,0))="","",INDEX(学年度总表!$I$3:$I$1025,MATCH($E25,学年度总表!$E$3:$E$1025,0)))</f>
        <v>4</v>
      </c>
      <c r="J25" s="3">
        <f>IF(INDEX(学年度总表!$J$3:$J$1025,MATCH($E25,学年度总表!$E$3:$E$1025,0))="","",INDEX(学年度总表!$J$3:$J$1025,MATCH($E25,学年度总表!$E$3:$E$1025,0)))</f>
        <v>78.3</v>
      </c>
      <c r="K25" s="3">
        <f>IF(INDEX(学年度总表!$K$3:$K$1025,MATCH($E25,学年度总表!$E$3:$E$1025,0))="","",INDEX(学年度总表!$K$3:$K$1025,MATCH($E25,学年度总表!$E$3:$E$1025,0)))</f>
        <v>9.8000000000000007</v>
      </c>
      <c r="L25" s="3">
        <f>IF(INDEX(学年度总表!$L$3:$L$1025,MATCH($E25,学年度总表!$E$3:$E$1025,0))="","",INDEX(学年度总表!$L$3:$L$1025,MATCH($E25,学年度总表!$E$3:$E$1025,0)))</f>
        <v>65.22</v>
      </c>
      <c r="M25" s="3">
        <f>IF(INDEX(学年度总表!$M$3:$M$1025,MATCH($E25,学年度总表!$E$3:$E$1025,0))="","",INDEX(学年度总表!$M$3:$M$1025,MATCH($E25,学年度总表!$E$3:$E$1025,0)))</f>
        <v>4.9000000000000004</v>
      </c>
      <c r="N25" s="3">
        <f>IF(INDEX(学年度总表!$N$3:$N$1025,MATCH($E25,学年度总表!$E$3:$E$1025,0))="","",INDEX(学年度总表!$N$3:$N$1025,MATCH($E25,学年度总表!$E$3:$E$1025,0)))</f>
        <v>79.92</v>
      </c>
      <c r="O25" s="3">
        <f>IF(INDEX(学年度总表!$O$3:$O$1025,MATCH($E25,学年度总表!$E$3:$E$1025,0))="","",INDEX(学年度总表!$O$3:$O$1025,MATCH($E25,学年度总表!$E$3:$E$1025,0)))</f>
        <v>158.22</v>
      </c>
      <c r="P25" s="4" t="str">
        <f>IF(INDEX(学年度总表!$P$3:$P$1025,MATCH($E25,学年度总表!$E$3:$E$1025,0))="","",INDEX(学年度总表!$P$3:$P$1025,MATCH($E25,学年度总表!$E$3:$E$1025,0)))</f>
        <v>校三等</v>
      </c>
      <c r="Q25" s="5" t="str">
        <f>IF(INDEX(学年度总表!$Q$3:$Q$1025,MATCH($E25,学年度总表!$E$3:$E$1025,0))="","",INDEX(学年度总表!$Q$3:$Q$1025,MATCH($E25,学年度总表!$E$3:$E$1025,0)))</f>
        <v/>
      </c>
    </row>
    <row r="26" spans="1:17">
      <c r="A26" s="2">
        <f>IF(INDEX(学年度总表!$A$3:$A$1025,MATCH($E26,学年度总表!$E$3:$E$1025,0))="","",INDEX(学年度总表!$A$3:$A$1025,MATCH($E26,学年度总表!$E$3:$E$1025,0)))</f>
        <v>100</v>
      </c>
      <c r="B26" s="2">
        <f>IF(INDEX(学年度总表!$B$3:$B$1025,MATCH($E26,学年度总表!$E$3:$E$1025,0))="","",INDEX(学年度总表!$B$3:$B$1025,MATCH($E26,学年度总表!$E$3:$E$1025,0)))</f>
        <v>24</v>
      </c>
      <c r="C26" s="2" t="str">
        <f>IF(INDEX(学年度总表!$C$3:$C$1025,MATCH($E26,学年度总表!$E$3:$E$1025,0))="","",INDEX(学年度总表!$C$3:$C$1025,MATCH($E26,学年度总表!$E$3:$E$1025,0)))</f>
        <v>信管</v>
      </c>
      <c r="D26" s="2" t="str">
        <f>IF(INDEX(学年度总表!$D$3:$D$1025,MATCH($E26,学年度总表!$E$3:$E$1025,0))="","",INDEX(学年度总表!$D$3:$D$1025,MATCH($E26,学年度总表!$E$3:$E$1025,0)))</f>
        <v>信管25班</v>
      </c>
      <c r="E26" s="2" t="s">
        <v>253</v>
      </c>
      <c r="F26" s="2" t="str">
        <f>IF(INDEX(学年度总表!$F$3:$F$1025,MATCH($E26,学年度总表!$E$3:$E$1025,0))="","",INDEX(学年度总表!$F$3:$F$1025,MATCH($E26,学年度总表!$E$3:$E$1025,0)))</f>
        <v>刘蔓</v>
      </c>
      <c r="G26" s="3">
        <f>IF(INDEX(学年度总表!$G$3:$G$1025,MATCH($E26,学年度总表!$E$3:$E$1025,0))="","",INDEX(学年度总表!$G$3:$G$1025,MATCH($E26,学年度总表!$E$3:$E$1025,0)))</f>
        <v>10.8</v>
      </c>
      <c r="H26" s="3">
        <f>IF(INDEX(学年度总表!$H$3:$H$1025,MATCH($E26,学年度总表!$E$3:$E$1025,0))="","",INDEX(学年度总表!$H$3:$H$1025,MATCH($E26,学年度总表!$E$3:$E$1025,0)))</f>
        <v>65.819999999999993</v>
      </c>
      <c r="I26" s="3">
        <f>IF(INDEX(学年度总表!$I$3:$I$1025,MATCH($E26,学年度总表!$E$3:$E$1025,0))="","",INDEX(学年度总表!$I$3:$I$1025,MATCH($E26,学年度总表!$E$3:$E$1025,0)))</f>
        <v>4.3</v>
      </c>
      <c r="J26" s="3">
        <f>IF(INDEX(学年度总表!$J$3:$J$1025,MATCH($E26,学年度总表!$E$3:$E$1025,0))="","",INDEX(学年度总表!$J$3:$J$1025,MATCH($E26,学年度总表!$E$3:$E$1025,0)))</f>
        <v>80.92</v>
      </c>
      <c r="K26" s="3">
        <f>IF(INDEX(学年度总表!$K$3:$K$1025,MATCH($E26,学年度总表!$E$3:$E$1025,0))="","",INDEX(学年度总表!$K$3:$K$1025,MATCH($E26,学年度总表!$E$3:$E$1025,0)))</f>
        <v>9.8000000000000007</v>
      </c>
      <c r="L26" s="3">
        <f>IF(INDEX(学年度总表!$L$3:$L$1025,MATCH($E26,学年度总表!$E$3:$E$1025,0))="","",INDEX(学年度总表!$L$3:$L$1025,MATCH($E26,学年度总表!$E$3:$E$1025,0)))</f>
        <v>63.57</v>
      </c>
      <c r="M26" s="3">
        <f>IF(INDEX(学年度总表!$M$3:$M$1025,MATCH($E26,学年度总表!$E$3:$E$1025,0))="","",INDEX(学年度总表!$M$3:$M$1025,MATCH($E26,学年度总表!$E$3:$E$1025,0)))</f>
        <v>3.5</v>
      </c>
      <c r="N26" s="3">
        <f>IF(INDEX(学年度总表!$N$3:$N$1025,MATCH($E26,学年度总表!$E$3:$E$1025,0))="","",INDEX(学年度总表!$N$3:$N$1025,MATCH($E26,学年度总表!$E$3:$E$1025,0)))</f>
        <v>76.87</v>
      </c>
      <c r="O26" s="3">
        <f>IF(INDEX(学年度总表!$O$3:$O$1025,MATCH($E26,学年度总表!$E$3:$E$1025,0))="","",INDEX(学年度总表!$O$3:$O$1025,MATCH($E26,学年度总表!$E$3:$E$1025,0)))</f>
        <v>157.79</v>
      </c>
      <c r="P26" s="4" t="str">
        <f>IF(INDEX(学年度总表!$P$3:$P$1025,MATCH($E26,学年度总表!$E$3:$E$1025,0))="","",INDEX(学年度总表!$P$3:$P$1025,MATCH($E26,学年度总表!$E$3:$E$1025,0)))</f>
        <v>校三等</v>
      </c>
      <c r="Q26" s="5" t="str">
        <f>IF(INDEX(学年度总表!$Q$3:$Q$1025,MATCH($E26,学年度总表!$E$3:$E$1025,0))="","",INDEX(学年度总表!$Q$3:$Q$1025,MATCH($E26,学年度总表!$E$3:$E$1025,0)))</f>
        <v/>
      </c>
    </row>
    <row r="27" spans="1:17">
      <c r="A27" s="2">
        <f>IF(INDEX(学年度总表!$A$3:$A$1025,MATCH($E27,学年度总表!$E$3:$E$1025,0))="","",INDEX(学年度总表!$A$3:$A$1025,MATCH($E27,学年度总表!$E$3:$E$1025,0)))</f>
        <v>106</v>
      </c>
      <c r="B27" s="2">
        <f>IF(INDEX(学年度总表!$B$3:$B$1025,MATCH($E27,学年度总表!$E$3:$E$1025,0))="","",INDEX(学年度总表!$B$3:$B$1025,MATCH($E27,学年度总表!$E$3:$E$1025,0)))</f>
        <v>25</v>
      </c>
      <c r="C27" s="2" t="str">
        <f>IF(INDEX(学年度总表!$C$3:$C$1025,MATCH($E27,学年度总表!$E$3:$E$1025,0))="","",INDEX(学年度总表!$C$3:$C$1025,MATCH($E27,学年度总表!$E$3:$E$1025,0)))</f>
        <v>信管</v>
      </c>
      <c r="D27" s="2" t="str">
        <f>IF(INDEX(学年度总表!$D$3:$D$1025,MATCH($E27,学年度总表!$E$3:$E$1025,0))="","",INDEX(学年度总表!$D$3:$D$1025,MATCH($E27,学年度总表!$E$3:$E$1025,0)))</f>
        <v>信管23班</v>
      </c>
      <c r="E27" s="2" t="s">
        <v>267</v>
      </c>
      <c r="F27" s="2" t="str">
        <f>IF(INDEX(学年度总表!$F$3:$F$1025,MATCH($E27,学年度总表!$E$3:$E$1025,0))="","",INDEX(学年度总表!$F$3:$F$1025,MATCH($E27,学年度总表!$E$3:$E$1025,0)))</f>
        <v>杨淼</v>
      </c>
      <c r="G27" s="3">
        <f>IF(INDEX(学年度总表!$G$3:$G$1025,MATCH($E27,学年度总表!$E$3:$E$1025,0))="","",INDEX(学年度总表!$G$3:$G$1025,MATCH($E27,学年度总表!$E$3:$E$1025,0)))</f>
        <v>11.3</v>
      </c>
      <c r="H27" s="3">
        <f>IF(INDEX(学年度总表!$H$3:$H$1025,MATCH($E27,学年度总表!$E$3:$E$1025,0))="","",INDEX(学年度总表!$H$3:$H$1025,MATCH($E27,学年度总表!$E$3:$E$1025,0)))</f>
        <v>59.58</v>
      </c>
      <c r="I27" s="3">
        <f>IF(INDEX(学年度总表!$I$3:$I$1025,MATCH($E27,学年度总表!$E$3:$E$1025,0))="","",INDEX(学年度总表!$I$3:$I$1025,MATCH($E27,学年度总表!$E$3:$E$1025,0)))</f>
        <v>6.2</v>
      </c>
      <c r="J27" s="3">
        <f>IF(INDEX(学年度总表!$J$3:$J$1025,MATCH($E27,学年度总表!$E$3:$E$1025,0))="","",INDEX(学年度总表!$J$3:$J$1025,MATCH($E27,学年度总表!$E$3:$E$1025,0)))</f>
        <v>77.08</v>
      </c>
      <c r="K27" s="3">
        <f>IF(INDEX(学年度总表!$K$3:$K$1025,MATCH($E27,学年度总表!$E$3:$E$1025,0))="","",INDEX(学年度总表!$K$3:$K$1025,MATCH($E27,学年度总表!$E$3:$E$1025,0)))</f>
        <v>11.3</v>
      </c>
      <c r="L27" s="3">
        <f>IF(INDEX(学年度总表!$L$3:$L$1025,MATCH($E27,学年度总表!$E$3:$E$1025,0))="","",INDEX(学年度总表!$L$3:$L$1025,MATCH($E27,学年度总表!$E$3:$E$1025,0)))</f>
        <v>61.62</v>
      </c>
      <c r="M27" s="3">
        <f>IF(INDEX(学年度总表!$M$3:$M$1025,MATCH($E27,学年度总表!$E$3:$E$1025,0))="","",INDEX(学年度总表!$M$3:$M$1025,MATCH($E27,学年度总表!$E$3:$E$1025,0)))</f>
        <v>7.5</v>
      </c>
      <c r="N27" s="3">
        <f>IF(INDEX(学年度总表!$N$3:$N$1025,MATCH($E27,学年度总表!$E$3:$E$1025,0))="","",INDEX(学年度总表!$N$3:$N$1025,MATCH($E27,学年度总表!$E$3:$E$1025,0)))</f>
        <v>80.42</v>
      </c>
      <c r="O27" s="3">
        <f>IF(INDEX(学年度总表!$O$3:$O$1025,MATCH($E27,学年度总表!$E$3:$E$1025,0))="","",INDEX(学年度总表!$O$3:$O$1025,MATCH($E27,学年度总表!$E$3:$E$1025,0)))</f>
        <v>157.5</v>
      </c>
      <c r="P27" s="4" t="str">
        <f>IF(INDEX(学年度总表!$P$3:$P$1025,MATCH($E27,学年度总表!$E$3:$E$1025,0))="","",INDEX(学年度总表!$P$3:$P$1025,MATCH($E27,学年度总表!$E$3:$E$1025,0)))</f>
        <v>国励</v>
      </c>
      <c r="Q27" s="5" t="str">
        <f>IF(INDEX(学年度总表!$Q$3:$Q$1025,MATCH($E27,学年度总表!$E$3:$E$1025,0))="","",INDEX(学年度总表!$Q$3:$Q$1025,MATCH($E27,学年度总表!$E$3:$E$1025,0)))</f>
        <v/>
      </c>
    </row>
    <row r="28" spans="1:17">
      <c r="A28" s="2">
        <f>IF(INDEX(学年度总表!$A$3:$A$1025,MATCH($E28,学年度总表!$E$3:$E$1025,0))="","",INDEX(学年度总表!$A$3:$A$1025,MATCH($E28,学年度总表!$E$3:$E$1025,0)))</f>
        <v>107</v>
      </c>
      <c r="B28" s="2">
        <f>IF(INDEX(学年度总表!$B$3:$B$1025,MATCH($E28,学年度总表!$E$3:$E$1025,0))="","",INDEX(学年度总表!$B$3:$B$1025,MATCH($E28,学年度总表!$E$3:$E$1025,0)))</f>
        <v>26</v>
      </c>
      <c r="C28" s="2" t="str">
        <f>IF(INDEX(学年度总表!$C$3:$C$1025,MATCH($E28,学年度总表!$E$3:$E$1025,0))="","",INDEX(学年度总表!$C$3:$C$1025,MATCH($E28,学年度总表!$E$3:$E$1025,0)))</f>
        <v>信管</v>
      </c>
      <c r="D28" s="2" t="str">
        <f>IF(INDEX(学年度总表!$D$3:$D$1025,MATCH($E28,学年度总表!$E$3:$E$1025,0))="","",INDEX(学年度总表!$D$3:$D$1025,MATCH($E28,学年度总表!$E$3:$E$1025,0)))</f>
        <v>信管19班</v>
      </c>
      <c r="E28" s="2" t="s">
        <v>269</v>
      </c>
      <c r="F28" s="2" t="str">
        <f>IF(INDEX(学年度总表!$F$3:$F$1025,MATCH($E28,学年度总表!$E$3:$E$1025,0))="","",INDEX(学年度总表!$F$3:$F$1025,MATCH($E28,学年度总表!$E$3:$E$1025,0)))</f>
        <v>曹嘉格</v>
      </c>
      <c r="G28" s="3">
        <f>IF(INDEX(学年度总表!$G$3:$G$1025,MATCH($E28,学年度总表!$E$3:$E$1025,0))="","",INDEX(学年度总表!$G$3:$G$1025,MATCH($E28,学年度总表!$E$3:$E$1025,0)))</f>
        <v>9.8000000000000007</v>
      </c>
      <c r="H28" s="3">
        <f>IF(INDEX(学年度总表!$H$3:$H$1025,MATCH($E28,学年度总表!$E$3:$E$1025,0))="","",INDEX(学年度总表!$H$3:$H$1025,MATCH($E28,学年度总表!$E$3:$E$1025,0)))</f>
        <v>65.39</v>
      </c>
      <c r="I28" s="3">
        <f>IF(INDEX(学年度总表!$I$3:$I$1025,MATCH($E28,学年度总表!$E$3:$E$1025,0))="","",INDEX(学年度总表!$I$3:$I$1025,MATCH($E28,学年度总表!$E$3:$E$1025,0)))</f>
        <v>4.2</v>
      </c>
      <c r="J28" s="3">
        <f>IF(INDEX(学年度总表!$J$3:$J$1025,MATCH($E28,学年度总表!$E$3:$E$1025,0))="","",INDEX(学年度总表!$J$3:$J$1025,MATCH($E28,学年度总表!$E$3:$E$1025,0)))</f>
        <v>79.39</v>
      </c>
      <c r="K28" s="3">
        <f>IF(INDEX(学年度总表!$K$3:$K$1025,MATCH($E28,学年度总表!$E$3:$E$1025,0))="","",INDEX(学年度总表!$K$3:$K$1025,MATCH($E28,学年度总表!$E$3:$E$1025,0)))</f>
        <v>9.8000000000000007</v>
      </c>
      <c r="L28" s="3">
        <f>IF(INDEX(学年度总表!$L$3:$L$1025,MATCH($E28,学年度总表!$E$3:$E$1025,0))="","",INDEX(学年度总表!$L$3:$L$1025,MATCH($E28,学年度总表!$E$3:$E$1025,0)))</f>
        <v>63</v>
      </c>
      <c r="M28" s="3">
        <f>IF(INDEX(学年度总表!$M$3:$M$1025,MATCH($E28,学年度总表!$E$3:$E$1025,0))="","",INDEX(学年度总表!$M$3:$M$1025,MATCH($E28,学年度总表!$E$3:$E$1025,0)))</f>
        <v>5.3</v>
      </c>
      <c r="N28" s="3">
        <f>IF(INDEX(学年度总表!$N$3:$N$1025,MATCH($E28,学年度总表!$E$3:$E$1025,0))="","",INDEX(学年度总表!$N$3:$N$1025,MATCH($E28,学年度总表!$E$3:$E$1025,0)))</f>
        <v>78.099999999999994</v>
      </c>
      <c r="O28" s="3">
        <f>IF(INDEX(学年度总表!$O$3:$O$1025,MATCH($E28,学年度总表!$E$3:$E$1025,0))="","",INDEX(学年度总表!$O$3:$O$1025,MATCH($E28,学年度总表!$E$3:$E$1025,0)))</f>
        <v>157.49</v>
      </c>
      <c r="P28" s="4" t="str">
        <f>IF(INDEX(学年度总表!$P$3:$P$1025,MATCH($E28,学年度总表!$E$3:$E$1025,0))="","",INDEX(学年度总表!$P$3:$P$1025,MATCH($E28,学年度总表!$E$3:$E$1025,0)))</f>
        <v>校三等</v>
      </c>
      <c r="Q28" s="5" t="str">
        <f>IF(INDEX(学年度总表!$Q$3:$Q$1025,MATCH($E28,学年度总表!$E$3:$E$1025,0))="","",INDEX(学年度总表!$Q$3:$Q$1025,MATCH($E28,学年度总表!$E$3:$E$1025,0)))</f>
        <v/>
      </c>
    </row>
    <row r="29" spans="1:17">
      <c r="A29" s="2">
        <f>IF(INDEX(学年度总表!$A$3:$A$1025,MATCH($E29,学年度总表!$E$3:$E$1025,0))="","",INDEX(学年度总表!$A$3:$A$1025,MATCH($E29,学年度总表!$E$3:$E$1025,0)))</f>
        <v>122</v>
      </c>
      <c r="B29" s="2">
        <f>IF(INDEX(学年度总表!$B$3:$B$1025,MATCH($E29,学年度总表!$E$3:$E$1025,0))="","",INDEX(学年度总表!$B$3:$B$1025,MATCH($E29,学年度总表!$E$3:$E$1025,0)))</f>
        <v>27</v>
      </c>
      <c r="C29" s="2" t="str">
        <f>IF(INDEX(学年度总表!$C$3:$C$1025,MATCH($E29,学年度总表!$E$3:$E$1025,0))="","",INDEX(学年度总表!$C$3:$C$1025,MATCH($E29,学年度总表!$E$3:$E$1025,0)))</f>
        <v>信管</v>
      </c>
      <c r="D29" s="2" t="str">
        <f>IF(INDEX(学年度总表!$D$3:$D$1025,MATCH($E29,学年度总表!$E$3:$E$1025,0))="","",INDEX(学年度总表!$D$3:$D$1025,MATCH($E29,学年度总表!$E$3:$E$1025,0)))</f>
        <v>信管20班</v>
      </c>
      <c r="E29" s="2" t="s">
        <v>299</v>
      </c>
      <c r="F29" s="2" t="str">
        <f>IF(INDEX(学年度总表!$F$3:$F$1025,MATCH($E29,学年度总表!$E$3:$E$1025,0))="","",INDEX(学年度总表!$F$3:$F$1025,MATCH($E29,学年度总表!$E$3:$E$1025,0)))</f>
        <v>白云荻</v>
      </c>
      <c r="G29" s="3">
        <f>IF(INDEX(学年度总表!$G$3:$G$1025,MATCH($E29,学年度总表!$E$3:$E$1025,0))="","",INDEX(学年度总表!$G$3:$G$1025,MATCH($E29,学年度总表!$E$3:$E$1025,0)))</f>
        <v>10</v>
      </c>
      <c r="H29" s="3">
        <f>IF(INDEX(学年度总表!$H$3:$H$1025,MATCH($E29,学年度总表!$E$3:$E$1025,0))="","",INDEX(学年度总表!$H$3:$H$1025,MATCH($E29,学年度总表!$E$3:$E$1025,0)))</f>
        <v>69.010000000000005</v>
      </c>
      <c r="I29" s="3">
        <f>IF(INDEX(学年度总表!$I$3:$I$1025,MATCH($E29,学年度总表!$E$3:$E$1025,0))="","",INDEX(学年度总表!$I$3:$I$1025,MATCH($E29,学年度总表!$E$3:$E$1025,0)))</f>
        <v>4.8</v>
      </c>
      <c r="J29" s="3">
        <f>IF(INDEX(学年度总表!$J$3:$J$1025,MATCH($E29,学年度总表!$E$3:$E$1025,0))="","",INDEX(学年度总表!$J$3:$J$1025,MATCH($E29,学年度总表!$E$3:$E$1025,0)))</f>
        <v>83.81</v>
      </c>
      <c r="K29" s="3">
        <f>IF(INDEX(学年度总表!$K$3:$K$1025,MATCH($E29,学年度总表!$E$3:$E$1025,0))="","",INDEX(学年度总表!$K$3:$K$1025,MATCH($E29,学年度总表!$E$3:$E$1025,0)))</f>
        <v>10</v>
      </c>
      <c r="L29" s="3">
        <f>IF(INDEX(学年度总表!$L$3:$L$1025,MATCH($E29,学年度总表!$E$3:$E$1025,0))="","",INDEX(学年度总表!$L$3:$L$1025,MATCH($E29,学年度总表!$E$3:$E$1025,0)))</f>
        <v>58.45</v>
      </c>
      <c r="M29" s="3">
        <f>IF(INDEX(学年度总表!$M$3:$M$1025,MATCH($E29,学年度总表!$E$3:$E$1025,0))="","",INDEX(学年度总表!$M$3:$M$1025,MATCH($E29,学年度总表!$E$3:$E$1025,0)))</f>
        <v>4.0999999999999996</v>
      </c>
      <c r="N29" s="3">
        <f>IF(INDEX(学年度总表!$N$3:$N$1025,MATCH($E29,学年度总表!$E$3:$E$1025,0))="","",INDEX(学年度总表!$N$3:$N$1025,MATCH($E29,学年度总表!$E$3:$E$1025,0)))</f>
        <v>72.55</v>
      </c>
      <c r="O29" s="3">
        <f>IF(INDEX(学年度总表!$O$3:$O$1025,MATCH($E29,学年度总表!$E$3:$E$1025,0))="","",INDEX(学年度总表!$O$3:$O$1025,MATCH($E29,学年度总表!$E$3:$E$1025,0)))</f>
        <v>156.36000000000001</v>
      </c>
      <c r="P29" s="4" t="str">
        <f>IF(INDEX(学年度总表!$P$3:$P$1025,MATCH($E29,学年度总表!$E$3:$E$1025,0))="","",INDEX(学年度总表!$P$3:$P$1025,MATCH($E29,学年度总表!$E$3:$E$1025,0)))</f>
        <v>国励</v>
      </c>
      <c r="Q29" s="5" t="str">
        <f>IF(INDEX(学年度总表!$Q$3:$Q$1025,MATCH($E29,学年度总表!$E$3:$E$1025,0))="","",INDEX(学年度总表!$Q$3:$Q$1025,MATCH($E29,学年度总表!$E$3:$E$1025,0)))</f>
        <v/>
      </c>
    </row>
    <row r="30" spans="1:17">
      <c r="A30" s="2">
        <f>IF(INDEX(学年度总表!$A$3:$A$1025,MATCH($E30,学年度总表!$E$3:$E$1025,0))="","",INDEX(学年度总表!$A$3:$A$1025,MATCH($E30,学年度总表!$E$3:$E$1025,0)))</f>
        <v>123</v>
      </c>
      <c r="B30" s="2">
        <f>IF(INDEX(学年度总表!$B$3:$B$1025,MATCH($E30,学年度总表!$E$3:$E$1025,0))="","",INDEX(学年度总表!$B$3:$B$1025,MATCH($E30,学年度总表!$E$3:$E$1025,0)))</f>
        <v>28</v>
      </c>
      <c r="C30" s="2" t="str">
        <f>IF(INDEX(学年度总表!$C$3:$C$1025,MATCH($E30,学年度总表!$E$3:$E$1025,0))="","",INDEX(学年度总表!$C$3:$C$1025,MATCH($E30,学年度总表!$E$3:$E$1025,0)))</f>
        <v>信管</v>
      </c>
      <c r="D30" s="2" t="str">
        <f>IF(INDEX(学年度总表!$D$3:$D$1025,MATCH($E30,学年度总表!$E$3:$E$1025,0))="","",INDEX(学年度总表!$D$3:$D$1025,MATCH($E30,学年度总表!$E$3:$E$1025,0)))</f>
        <v>信管19班</v>
      </c>
      <c r="E30" s="2" t="s">
        <v>301</v>
      </c>
      <c r="F30" s="2" t="str">
        <f>IF(INDEX(学年度总表!$F$3:$F$1025,MATCH($E30,学年度总表!$E$3:$E$1025,0))="","",INDEX(学年度总表!$F$3:$F$1025,MATCH($E30,学年度总表!$E$3:$E$1025,0)))</f>
        <v>刘芷伊</v>
      </c>
      <c r="G30" s="3">
        <f>IF(INDEX(学年度总表!$G$3:$G$1025,MATCH($E30,学年度总表!$E$3:$E$1025,0))="","",INDEX(学年度总表!$G$3:$G$1025,MATCH($E30,学年度总表!$E$3:$E$1025,0)))</f>
        <v>10.3</v>
      </c>
      <c r="H30" s="3">
        <f>IF(INDEX(学年度总表!$H$3:$H$1025,MATCH($E30,学年度总表!$E$3:$E$1025,0))="","",INDEX(学年度总表!$H$3:$H$1025,MATCH($E30,学年度总表!$E$3:$E$1025,0)))</f>
        <v>67.180000000000007</v>
      </c>
      <c r="I30" s="3">
        <f>IF(INDEX(学年度总表!$I$3:$I$1025,MATCH($E30,学年度总表!$E$3:$E$1025,0))="","",INDEX(学年度总表!$I$3:$I$1025,MATCH($E30,学年度总表!$E$3:$E$1025,0)))</f>
        <v>3.2</v>
      </c>
      <c r="J30" s="3">
        <f>IF(INDEX(学年度总表!$J$3:$J$1025,MATCH($E30,学年度总表!$E$3:$E$1025,0))="","",INDEX(学年度总表!$J$3:$J$1025,MATCH($E30,学年度总表!$E$3:$E$1025,0)))</f>
        <v>80.680000000000007</v>
      </c>
      <c r="K30" s="3">
        <f>IF(INDEX(学年度总表!$K$3:$K$1025,MATCH($E30,学年度总表!$E$3:$E$1025,0))="","",INDEX(学年度总表!$K$3:$K$1025,MATCH($E30,学年度总表!$E$3:$E$1025,0)))</f>
        <v>9.8000000000000007</v>
      </c>
      <c r="L30" s="3">
        <f>IF(INDEX(学年度总表!$L$3:$L$1025,MATCH($E30,学年度总表!$E$3:$E$1025,0))="","",INDEX(学年度总表!$L$3:$L$1025,MATCH($E30,学年度总表!$E$3:$E$1025,0)))</f>
        <v>61.66</v>
      </c>
      <c r="M30" s="3">
        <f>IF(INDEX(学年度总表!$M$3:$M$1025,MATCH($E30,学年度总表!$E$3:$E$1025,0))="","",INDEX(学年度总表!$M$3:$M$1025,MATCH($E30,学年度总表!$E$3:$E$1025,0)))</f>
        <v>4.2</v>
      </c>
      <c r="N30" s="3">
        <f>IF(INDEX(学年度总表!$N$3:$N$1025,MATCH($E30,学年度总表!$E$3:$E$1025,0))="","",INDEX(学年度总表!$N$3:$N$1025,MATCH($E30,学年度总表!$E$3:$E$1025,0)))</f>
        <v>75.66</v>
      </c>
      <c r="O30" s="3">
        <f>IF(INDEX(学年度总表!$O$3:$O$1025,MATCH($E30,学年度总表!$E$3:$E$1025,0))="","",INDEX(学年度总表!$O$3:$O$1025,MATCH($E30,学年度总表!$E$3:$E$1025,0)))</f>
        <v>156.34</v>
      </c>
      <c r="P30" s="4" t="str">
        <f>IF(INDEX(学年度总表!$P$3:$P$1025,MATCH($E30,学年度总表!$E$3:$E$1025,0))="","",INDEX(学年度总表!$P$3:$P$1025,MATCH($E30,学年度总表!$E$3:$E$1025,0)))</f>
        <v>校三等</v>
      </c>
      <c r="Q30" s="5" t="str">
        <f>IF(INDEX(学年度总表!$Q$3:$Q$1025,MATCH($E30,学年度总表!$E$3:$E$1025,0))="","",INDEX(学年度总表!$Q$3:$Q$1025,MATCH($E30,学年度总表!$E$3:$E$1025,0)))</f>
        <v/>
      </c>
    </row>
    <row r="31" spans="1:17">
      <c r="A31" s="2">
        <f>IF(INDEX(学年度总表!$A$3:$A$1025,MATCH($E31,学年度总表!$E$3:$E$1025,0))="","",INDEX(学年度总表!$A$3:$A$1025,MATCH($E31,学年度总表!$E$3:$E$1025,0)))</f>
        <v>123</v>
      </c>
      <c r="B31" s="2">
        <f>IF(INDEX(学年度总表!$B$3:$B$1025,MATCH($E31,学年度总表!$E$3:$E$1025,0))="","",INDEX(学年度总表!$B$3:$B$1025,MATCH($E31,学年度总表!$E$3:$E$1025,0)))</f>
        <v>28</v>
      </c>
      <c r="C31" s="2" t="str">
        <f>IF(INDEX(学年度总表!$C$3:$C$1025,MATCH($E31,学年度总表!$E$3:$E$1025,0))="","",INDEX(学年度总表!$C$3:$C$1025,MATCH($E31,学年度总表!$E$3:$E$1025,0)))</f>
        <v>信管</v>
      </c>
      <c r="D31" s="2" t="str">
        <f>IF(INDEX(学年度总表!$D$3:$D$1025,MATCH($E31,学年度总表!$E$3:$E$1025,0))="","",INDEX(学年度总表!$D$3:$D$1025,MATCH($E31,学年度总表!$E$3:$E$1025,0)))</f>
        <v>信管24班</v>
      </c>
      <c r="E31" s="2" t="s">
        <v>303</v>
      </c>
      <c r="F31" s="2" t="str">
        <f>IF(INDEX(学年度总表!$F$3:$F$1025,MATCH($E31,学年度总表!$E$3:$E$1025,0))="","",INDEX(学年度总表!$F$3:$F$1025,MATCH($E31,学年度总表!$E$3:$E$1025,0)))</f>
        <v>纪周升</v>
      </c>
      <c r="G31" s="3">
        <f>IF(INDEX(学年度总表!$G$3:$G$1025,MATCH($E31,学年度总表!$E$3:$E$1025,0))="","",INDEX(学年度总表!$G$3:$G$1025,MATCH($E31,学年度总表!$E$3:$E$1025,0)))</f>
        <v>9.4</v>
      </c>
      <c r="H31" s="3">
        <f>IF(INDEX(学年度总表!$H$3:$H$1025,MATCH($E31,学年度总表!$E$3:$E$1025,0))="","",INDEX(学年度总表!$H$3:$H$1025,MATCH($E31,学年度总表!$E$3:$E$1025,0)))</f>
        <v>65.010000000000005</v>
      </c>
      <c r="I31" s="3">
        <f>IF(INDEX(学年度总表!$I$3:$I$1025,MATCH($E31,学年度总表!$E$3:$E$1025,0))="","",INDEX(学年度总表!$I$3:$I$1025,MATCH($E31,学年度总表!$E$3:$E$1025,0)))</f>
        <v>5.4</v>
      </c>
      <c r="J31" s="3">
        <f>IF(INDEX(学年度总表!$J$3:$J$1025,MATCH($E31,学年度总表!$E$3:$E$1025,0))="","",INDEX(学年度总表!$J$3:$J$1025,MATCH($E31,学年度总表!$E$3:$E$1025,0)))</f>
        <v>79.81</v>
      </c>
      <c r="K31" s="3">
        <f>IF(INDEX(学年度总表!$K$3:$K$1025,MATCH($E31,学年度总表!$E$3:$E$1025,0))="","",INDEX(学年度总表!$K$3:$K$1025,MATCH($E31,学年度总表!$E$3:$E$1025,0)))</f>
        <v>9.8000000000000007</v>
      </c>
      <c r="L31" s="3">
        <f>IF(INDEX(学年度总表!$L$3:$L$1025,MATCH($E31,学年度总表!$E$3:$E$1025,0))="","",INDEX(学年度总表!$L$3:$L$1025,MATCH($E31,学年度总表!$E$3:$E$1025,0)))</f>
        <v>61.43</v>
      </c>
      <c r="M31" s="3">
        <f>IF(INDEX(学年度总表!$M$3:$M$1025,MATCH($E31,学年度总表!$E$3:$E$1025,0))="","",INDEX(学年度总表!$M$3:$M$1025,MATCH($E31,学年度总表!$E$3:$E$1025,0)))</f>
        <v>5.3</v>
      </c>
      <c r="N31" s="3">
        <f>IF(INDEX(学年度总表!$N$3:$N$1025,MATCH($E31,学年度总表!$E$3:$E$1025,0))="","",INDEX(学年度总表!$N$3:$N$1025,MATCH($E31,学年度总表!$E$3:$E$1025,0)))</f>
        <v>76.53</v>
      </c>
      <c r="O31" s="3">
        <f>IF(INDEX(学年度总表!$O$3:$O$1025,MATCH($E31,学年度总表!$E$3:$E$1025,0))="","",INDEX(学年度总表!$O$3:$O$1025,MATCH($E31,学年度总表!$E$3:$E$1025,0)))</f>
        <v>156.34</v>
      </c>
      <c r="P31" s="4" t="str">
        <f>IF(INDEX(学年度总表!$P$3:$P$1025,MATCH($E31,学年度总表!$E$3:$E$1025,0))="","",INDEX(学年度总表!$P$3:$P$1025,MATCH($E31,学年度总表!$E$3:$E$1025,0)))</f>
        <v>校三等</v>
      </c>
      <c r="Q31" s="5" t="str">
        <f>IF(INDEX(学年度总表!$Q$3:$Q$1025,MATCH($E31,学年度总表!$E$3:$E$1025,0))="","",INDEX(学年度总表!$Q$3:$Q$1025,MATCH($E31,学年度总表!$E$3:$E$1025,0)))</f>
        <v/>
      </c>
    </row>
    <row r="32" spans="1:17">
      <c r="A32" s="2">
        <f>IF(INDEX(学年度总表!$A$3:$A$1025,MATCH($E32,学年度总表!$E$3:$E$1025,0))="","",INDEX(学年度总表!$A$3:$A$1025,MATCH($E32,学年度总表!$E$3:$E$1025,0)))</f>
        <v>127</v>
      </c>
      <c r="B32" s="2">
        <f>IF(INDEX(学年度总表!$B$3:$B$1025,MATCH($E32,学年度总表!$E$3:$E$1025,0))="","",INDEX(学年度总表!$B$3:$B$1025,MATCH($E32,学年度总表!$E$3:$E$1025,0)))</f>
        <v>30</v>
      </c>
      <c r="C32" s="2" t="str">
        <f>IF(INDEX(学年度总表!$C$3:$C$1025,MATCH($E32,学年度总表!$E$3:$E$1025,0))="","",INDEX(学年度总表!$C$3:$C$1025,MATCH($E32,学年度总表!$E$3:$E$1025,0)))</f>
        <v>信管</v>
      </c>
      <c r="D32" s="2" t="str">
        <f>IF(INDEX(学年度总表!$D$3:$D$1025,MATCH($E32,学年度总表!$E$3:$E$1025,0))="","",INDEX(学年度总表!$D$3:$D$1025,MATCH($E32,学年度总表!$E$3:$E$1025,0)))</f>
        <v>信管22班</v>
      </c>
      <c r="E32" s="2" t="s">
        <v>309</v>
      </c>
      <c r="F32" s="2" t="str">
        <f>IF(INDEX(学年度总表!$F$3:$F$1025,MATCH($E32,学年度总表!$E$3:$E$1025,0))="","",INDEX(学年度总表!$F$3:$F$1025,MATCH($E32,学年度总表!$E$3:$E$1025,0)))</f>
        <v>乔岩</v>
      </c>
      <c r="G32" s="3">
        <f>IF(INDEX(学年度总表!$G$3:$G$1025,MATCH($E32,学年度总表!$E$3:$E$1025,0))="","",INDEX(学年度总表!$G$3:$G$1025,MATCH($E32,学年度总表!$E$3:$E$1025,0)))</f>
        <v>10</v>
      </c>
      <c r="H32" s="3">
        <f>IF(INDEX(学年度总表!$H$3:$H$1025,MATCH($E32,学年度总表!$E$3:$E$1025,0))="","",INDEX(学年度总表!$H$3:$H$1025,MATCH($E32,学年度总表!$E$3:$E$1025,0)))</f>
        <v>64.94</v>
      </c>
      <c r="I32" s="3">
        <f>IF(INDEX(学年度总表!$I$3:$I$1025,MATCH($E32,学年度总表!$E$3:$E$1025,0))="","",INDEX(学年度总表!$I$3:$I$1025,MATCH($E32,学年度总表!$E$3:$E$1025,0)))</f>
        <v>4</v>
      </c>
      <c r="J32" s="3">
        <f>IF(INDEX(学年度总表!$J$3:$J$1025,MATCH($E32,学年度总表!$E$3:$E$1025,0))="","",INDEX(学年度总表!$J$3:$J$1025,MATCH($E32,学年度总表!$E$3:$E$1025,0)))</f>
        <v>78.94</v>
      </c>
      <c r="K32" s="3">
        <f>IF(INDEX(学年度总表!$K$3:$K$1025,MATCH($E32,学年度总表!$E$3:$E$1025,0))="","",INDEX(学年度总表!$K$3:$K$1025,MATCH($E32,学年度总表!$E$3:$E$1025,0)))</f>
        <v>10</v>
      </c>
      <c r="L32" s="3">
        <f>IF(INDEX(学年度总表!$L$3:$L$1025,MATCH($E32,学年度总表!$E$3:$E$1025,0))="","",INDEX(学年度总表!$L$3:$L$1025,MATCH($E32,学年度总表!$E$3:$E$1025,0)))</f>
        <v>62.5</v>
      </c>
      <c r="M32" s="3">
        <f>IF(INDEX(学年度总表!$M$3:$M$1025,MATCH($E32,学年度总表!$E$3:$E$1025,0))="","",INDEX(学年度总表!$M$3:$M$1025,MATCH($E32,学年度总表!$E$3:$E$1025,0)))</f>
        <v>4.7</v>
      </c>
      <c r="N32" s="3">
        <f>IF(INDEX(学年度总表!$N$3:$N$1025,MATCH($E32,学年度总表!$E$3:$E$1025,0))="","",INDEX(学年度总表!$N$3:$N$1025,MATCH($E32,学年度总表!$E$3:$E$1025,0)))</f>
        <v>77.2</v>
      </c>
      <c r="O32" s="3">
        <f>IF(INDEX(学年度总表!$O$3:$O$1025,MATCH($E32,学年度总表!$E$3:$E$1025,0))="","",INDEX(学年度总表!$O$3:$O$1025,MATCH($E32,学年度总表!$E$3:$E$1025,0)))</f>
        <v>156.13999999999999</v>
      </c>
      <c r="P32" s="4" t="str">
        <f>IF(INDEX(学年度总表!$P$3:$P$1025,MATCH($E32,学年度总表!$E$3:$E$1025,0))="","",INDEX(学年度总表!$P$3:$P$1025,MATCH($E32,学年度总表!$E$3:$E$1025,0)))</f>
        <v>校三等</v>
      </c>
      <c r="Q32" s="5" t="str">
        <f>IF(INDEX(学年度总表!$Q$3:$Q$1025,MATCH($E32,学年度总表!$E$3:$E$1025,0))="","",INDEX(学年度总表!$Q$3:$Q$1025,MATCH($E32,学年度总表!$E$3:$E$1025,0)))</f>
        <v/>
      </c>
    </row>
    <row r="33" spans="1:17">
      <c r="A33" s="2">
        <f>IF(INDEX(学年度总表!$A$3:$A$1025,MATCH($E33,学年度总表!$E$3:$E$1025,0))="","",INDEX(学年度总表!$A$3:$A$1025,MATCH($E33,学年度总表!$E$3:$E$1025,0)))</f>
        <v>128</v>
      </c>
      <c r="B33" s="2">
        <f>IF(INDEX(学年度总表!$B$3:$B$1025,MATCH($E33,学年度总表!$E$3:$E$1025,0))="","",INDEX(学年度总表!$B$3:$B$1025,MATCH($E33,学年度总表!$E$3:$E$1025,0)))</f>
        <v>31</v>
      </c>
      <c r="C33" s="2" t="str">
        <f>IF(INDEX(学年度总表!$C$3:$C$1025,MATCH($E33,学年度总表!$E$3:$E$1025,0))="","",INDEX(学年度总表!$C$3:$C$1025,MATCH($E33,学年度总表!$E$3:$E$1025,0)))</f>
        <v>信管</v>
      </c>
      <c r="D33" s="2" t="str">
        <f>IF(INDEX(学年度总表!$D$3:$D$1025,MATCH($E33,学年度总表!$E$3:$E$1025,0))="","",INDEX(学年度总表!$D$3:$D$1025,MATCH($E33,学年度总表!$E$3:$E$1025,0)))</f>
        <v>信管27班</v>
      </c>
      <c r="E33" s="2" t="s">
        <v>311</v>
      </c>
      <c r="F33" s="2" t="str">
        <f>IF(INDEX(学年度总表!$F$3:$F$1025,MATCH($E33,学年度总表!$E$3:$E$1025,0))="","",INDEX(学年度总表!$F$3:$F$1025,MATCH($E33,学年度总表!$E$3:$E$1025,0)))</f>
        <v>王雯鑫</v>
      </c>
      <c r="G33" s="3">
        <f>IF(INDEX(学年度总表!$G$3:$G$1025,MATCH($E33,学年度总表!$E$3:$E$1025,0))="","",INDEX(学年度总表!$G$3:$G$1025,MATCH($E33,学年度总表!$E$3:$E$1025,0)))</f>
        <v>9.8000000000000007</v>
      </c>
      <c r="H33" s="3">
        <f>IF(INDEX(学年度总表!$H$3:$H$1025,MATCH($E33,学年度总表!$E$3:$E$1025,0))="","",INDEX(学年度总表!$H$3:$H$1025,MATCH($E33,学年度总表!$E$3:$E$1025,0)))</f>
        <v>68.650000000000006</v>
      </c>
      <c r="I33" s="3">
        <f>IF(INDEX(学年度总表!$I$3:$I$1025,MATCH($E33,学年度总表!$E$3:$E$1025,0))="","",INDEX(学年度总表!$I$3:$I$1025,MATCH($E33,学年度总表!$E$3:$E$1025,0)))</f>
        <v>3</v>
      </c>
      <c r="J33" s="3">
        <f>IF(INDEX(学年度总表!$J$3:$J$1025,MATCH($E33,学年度总表!$E$3:$E$1025,0))="","",INDEX(学年度总表!$J$3:$J$1025,MATCH($E33,学年度总表!$E$3:$E$1025,0)))</f>
        <v>81.45</v>
      </c>
      <c r="K33" s="3">
        <f>IF(INDEX(学年度总表!$K$3:$K$1025,MATCH($E33,学年度总表!$E$3:$E$1025,0))="","",INDEX(学年度总表!$K$3:$K$1025,MATCH($E33,学年度总表!$E$3:$E$1025,0)))</f>
        <v>7.3000000000000007</v>
      </c>
      <c r="L33" s="3">
        <f>IF(INDEX(学年度总表!$L$3:$L$1025,MATCH($E33,学年度总表!$E$3:$E$1025,0))="","",INDEX(学年度总表!$L$3:$L$1025,MATCH($E33,学年度总表!$E$3:$E$1025,0)))</f>
        <v>64.36</v>
      </c>
      <c r="M33" s="3">
        <f>IF(INDEX(学年度总表!$M$3:$M$1025,MATCH($E33,学年度总表!$E$3:$E$1025,0))="","",INDEX(学年度总表!$M$3:$M$1025,MATCH($E33,学年度总表!$E$3:$E$1025,0)))</f>
        <v>3</v>
      </c>
      <c r="N33" s="3">
        <f>IF(INDEX(学年度总表!$N$3:$N$1025,MATCH($E33,学年度总表!$E$3:$E$1025,0))="","",INDEX(学年度总表!$N$3:$N$1025,MATCH($E33,学年度总表!$E$3:$E$1025,0)))</f>
        <v>74.66</v>
      </c>
      <c r="O33" s="3">
        <f>IF(INDEX(学年度总表!$O$3:$O$1025,MATCH($E33,学年度总表!$E$3:$E$1025,0))="","",INDEX(学年度总表!$O$3:$O$1025,MATCH($E33,学年度总表!$E$3:$E$1025,0)))</f>
        <v>156.11000000000001</v>
      </c>
      <c r="P33" s="4" t="str">
        <f>IF(INDEX(学年度总表!$P$3:$P$1025,MATCH($E33,学年度总表!$E$3:$E$1025,0))="","",INDEX(学年度总表!$P$3:$P$1025,MATCH($E33,学年度总表!$E$3:$E$1025,0)))</f>
        <v>校三等</v>
      </c>
      <c r="Q33" s="5" t="str">
        <f>IF(INDEX(学年度总表!$Q$3:$Q$1025,MATCH($E33,学年度总表!$E$3:$E$1025,0))="","",INDEX(学年度总表!$Q$3:$Q$1025,MATCH($E33,学年度总表!$E$3:$E$1025,0)))</f>
        <v/>
      </c>
    </row>
    <row r="34" spans="1:17">
      <c r="A34" s="2">
        <f>IF(INDEX(学年度总表!$A$3:$A$1025,MATCH($E34,学年度总表!$E$3:$E$1025,0))="","",INDEX(学年度总表!$A$3:$A$1025,MATCH($E34,学年度总表!$E$3:$E$1025,0)))</f>
        <v>136</v>
      </c>
      <c r="B34" s="2">
        <f>IF(INDEX(学年度总表!$B$3:$B$1025,MATCH($E34,学年度总表!$E$3:$E$1025,0))="","",INDEX(学年度总表!$B$3:$B$1025,MATCH($E34,学年度总表!$E$3:$E$1025,0)))</f>
        <v>32</v>
      </c>
      <c r="C34" s="2" t="str">
        <f>IF(INDEX(学年度总表!$C$3:$C$1025,MATCH($E34,学年度总表!$E$3:$E$1025,0))="","",INDEX(学年度总表!$C$3:$C$1025,MATCH($E34,学年度总表!$E$3:$E$1025,0)))</f>
        <v>信管</v>
      </c>
      <c r="D34" s="2" t="str">
        <f>IF(INDEX(学年度总表!$D$3:$D$1025,MATCH($E34,学年度总表!$E$3:$E$1025,0))="","",INDEX(学年度总表!$D$3:$D$1025,MATCH($E34,学年度总表!$E$3:$E$1025,0)))</f>
        <v>信管27班</v>
      </c>
      <c r="E34" s="2" t="s">
        <v>327</v>
      </c>
      <c r="F34" s="2" t="str">
        <f>IF(INDEX(学年度总表!$F$3:$F$1025,MATCH($E34,学年度总表!$E$3:$E$1025,0))="","",INDEX(学年度总表!$F$3:$F$1025,MATCH($E34,学年度总表!$E$3:$E$1025,0)))</f>
        <v>李子涵</v>
      </c>
      <c r="G34" s="3">
        <f>IF(INDEX(学年度总表!$G$3:$G$1025,MATCH($E34,学年度总表!$E$3:$E$1025,0))="","",INDEX(学年度总表!$G$3:$G$1025,MATCH($E34,学年度总表!$E$3:$E$1025,0)))</f>
        <v>9.8000000000000007</v>
      </c>
      <c r="H34" s="3">
        <f>IF(INDEX(学年度总表!$H$3:$H$1025,MATCH($E34,学年度总表!$E$3:$E$1025,0))="","",INDEX(学年度总表!$H$3:$H$1025,MATCH($E34,学年度总表!$E$3:$E$1025,0)))</f>
        <v>62.27</v>
      </c>
      <c r="I34" s="3">
        <f>IF(INDEX(学年度总表!$I$3:$I$1025,MATCH($E34,学年度总表!$E$3:$E$1025,0))="","",INDEX(学年度总表!$I$3:$I$1025,MATCH($E34,学年度总表!$E$3:$E$1025,0)))</f>
        <v>4.2</v>
      </c>
      <c r="J34" s="3">
        <f>IF(INDEX(学年度总表!$J$3:$J$1025,MATCH($E34,学年度总表!$E$3:$E$1025,0))="","",INDEX(学年度总表!$J$3:$J$1025,MATCH($E34,学年度总表!$E$3:$E$1025,0)))</f>
        <v>76.27</v>
      </c>
      <c r="K34" s="3">
        <f>IF(INDEX(学年度总表!$K$3:$K$1025,MATCH($E34,学年度总表!$E$3:$E$1025,0))="","",INDEX(学年度总表!$K$3:$K$1025,MATCH($E34,学年度总表!$E$3:$E$1025,0)))</f>
        <v>11.3</v>
      </c>
      <c r="L34" s="3">
        <f>IF(INDEX(学年度总表!$L$3:$L$1025,MATCH($E34,学年度总表!$E$3:$E$1025,0))="","",INDEX(学年度总表!$L$3:$L$1025,MATCH($E34,学年度总表!$E$3:$E$1025,0)))</f>
        <v>60.82</v>
      </c>
      <c r="M34" s="3">
        <f>IF(INDEX(学年度总表!$M$3:$M$1025,MATCH($E34,学年度总表!$E$3:$E$1025,0))="","",INDEX(学年度总表!$M$3:$M$1025,MATCH($E34,学年度总表!$E$3:$E$1025,0)))</f>
        <v>7.1</v>
      </c>
      <c r="N34" s="3">
        <f>IF(INDEX(学年度总表!$N$3:$N$1025,MATCH($E34,学年度总表!$E$3:$E$1025,0))="","",INDEX(学年度总表!$N$3:$N$1025,MATCH($E34,学年度总表!$E$3:$E$1025,0)))</f>
        <v>79.22</v>
      </c>
      <c r="O34" s="3">
        <f>IF(INDEX(学年度总表!$O$3:$O$1025,MATCH($E34,学年度总表!$E$3:$E$1025,0))="","",INDEX(学年度总表!$O$3:$O$1025,MATCH($E34,学年度总表!$E$3:$E$1025,0)))</f>
        <v>155.49</v>
      </c>
      <c r="P34" s="4" t="str">
        <f>IF(INDEX(学年度总表!$P$3:$P$1025,MATCH($E34,学年度总表!$E$3:$E$1025,0))="","",INDEX(学年度总表!$P$3:$P$1025,MATCH($E34,学年度总表!$E$3:$E$1025,0)))</f>
        <v>校三等</v>
      </c>
      <c r="Q34" s="5" t="str">
        <f>IF(INDEX(学年度总表!$Q$3:$Q$1025,MATCH($E34,学年度总表!$E$3:$E$1025,0))="","",INDEX(学年度总表!$Q$3:$Q$1025,MATCH($E34,学年度总表!$E$3:$E$1025,0)))</f>
        <v/>
      </c>
    </row>
    <row r="35" spans="1:17">
      <c r="A35" s="2">
        <f>IF(INDEX(学年度总表!$A$3:$A$1025,MATCH($E35,学年度总表!$E$3:$E$1025,0))="","",INDEX(学年度总表!$A$3:$A$1025,MATCH($E35,学年度总表!$E$3:$E$1025,0)))</f>
        <v>138</v>
      </c>
      <c r="B35" s="2">
        <f>IF(INDEX(学年度总表!$B$3:$B$1025,MATCH($E35,学年度总表!$E$3:$E$1025,0))="","",INDEX(学年度总表!$B$3:$B$1025,MATCH($E35,学年度总表!$E$3:$E$1025,0)))</f>
        <v>33</v>
      </c>
      <c r="C35" s="2" t="str">
        <f>IF(INDEX(学年度总表!$C$3:$C$1025,MATCH($E35,学年度总表!$E$3:$E$1025,0))="","",INDEX(学年度总表!$C$3:$C$1025,MATCH($E35,学年度总表!$E$3:$E$1025,0)))</f>
        <v>信管</v>
      </c>
      <c r="D35" s="2" t="str">
        <f>IF(INDEX(学年度总表!$D$3:$D$1025,MATCH($E35,学年度总表!$E$3:$E$1025,0))="","",INDEX(学年度总表!$D$3:$D$1025,MATCH($E35,学年度总表!$E$3:$E$1025,0)))</f>
        <v>信管23班</v>
      </c>
      <c r="E35" s="2" t="s">
        <v>331</v>
      </c>
      <c r="F35" s="2" t="str">
        <f>IF(INDEX(学年度总表!$F$3:$F$1025,MATCH($E35,学年度总表!$E$3:$E$1025,0))="","",INDEX(学年度总表!$F$3:$F$1025,MATCH($E35,学年度总表!$E$3:$E$1025,0)))</f>
        <v>夏雪</v>
      </c>
      <c r="G35" s="3">
        <f>IF(INDEX(学年度总表!$G$3:$G$1025,MATCH($E35,学年度总表!$E$3:$E$1025,0))="","",INDEX(学年度总表!$G$3:$G$1025,MATCH($E35,学年度总表!$E$3:$E$1025,0)))</f>
        <v>9.8000000000000007</v>
      </c>
      <c r="H35" s="3">
        <f>IF(INDEX(学年度总表!$H$3:$H$1025,MATCH($E35,学年度总表!$E$3:$E$1025,0))="","",INDEX(学年度总表!$H$3:$H$1025,MATCH($E35,学年度总表!$E$3:$E$1025,0)))</f>
        <v>65.69</v>
      </c>
      <c r="I35" s="3">
        <f>IF(INDEX(学年度总表!$I$3:$I$1025,MATCH($E35,学年度总表!$E$3:$E$1025,0))="","",INDEX(学年度总表!$I$3:$I$1025,MATCH($E35,学年度总表!$E$3:$E$1025,0)))</f>
        <v>3</v>
      </c>
      <c r="J35" s="3">
        <f>IF(INDEX(学年度总表!$J$3:$J$1025,MATCH($E35,学年度总表!$E$3:$E$1025,0))="","",INDEX(学年度总表!$J$3:$J$1025,MATCH($E35,学年度总表!$E$3:$E$1025,0)))</f>
        <v>78.489999999999995</v>
      </c>
      <c r="K35" s="3">
        <f>IF(INDEX(学年度总表!$K$3:$K$1025,MATCH($E35,学年度总表!$E$3:$E$1025,0))="","",INDEX(学年度总表!$K$3:$K$1025,MATCH($E35,学年度总表!$E$3:$E$1025,0)))</f>
        <v>9.8000000000000007</v>
      </c>
      <c r="L35" s="3">
        <f>IF(INDEX(学年度总表!$L$3:$L$1025,MATCH($E35,学年度总表!$E$3:$E$1025,0))="","",INDEX(学年度总表!$L$3:$L$1025,MATCH($E35,学年度总表!$E$3:$E$1025,0)))</f>
        <v>64.11</v>
      </c>
      <c r="M35" s="3">
        <f>IF(INDEX(学年度总表!$M$3:$M$1025,MATCH($E35,学年度总表!$E$3:$E$1025,0))="","",INDEX(学年度总表!$M$3:$M$1025,MATCH($E35,学年度总表!$E$3:$E$1025,0)))</f>
        <v>3</v>
      </c>
      <c r="N35" s="3">
        <f>IF(INDEX(学年度总表!$N$3:$N$1025,MATCH($E35,学年度总表!$E$3:$E$1025,0))="","",INDEX(学年度总表!$N$3:$N$1025,MATCH($E35,学年度总表!$E$3:$E$1025,0)))</f>
        <v>76.91</v>
      </c>
      <c r="O35" s="3">
        <f>IF(INDEX(学年度总表!$O$3:$O$1025,MATCH($E35,学年度总表!$E$3:$E$1025,0))="","",INDEX(学年度总表!$O$3:$O$1025,MATCH($E35,学年度总表!$E$3:$E$1025,0)))</f>
        <v>155.4</v>
      </c>
      <c r="P35" s="4" t="str">
        <f>IF(INDEX(学年度总表!$P$3:$P$1025,MATCH($E35,学年度总表!$E$3:$E$1025,0))="","",INDEX(学年度总表!$P$3:$P$1025,MATCH($E35,学年度总表!$E$3:$E$1025,0)))</f>
        <v>校三等</v>
      </c>
      <c r="Q35" s="5" t="str">
        <f>IF(INDEX(学年度总表!$Q$3:$Q$1025,MATCH($E35,学年度总表!$E$3:$E$1025,0))="","",INDEX(学年度总表!$Q$3:$Q$1025,MATCH($E35,学年度总表!$E$3:$E$1025,0)))</f>
        <v/>
      </c>
    </row>
    <row r="36" spans="1:17">
      <c r="A36" s="2">
        <f>IF(INDEX(学年度总表!$A$3:$A$1025,MATCH($E36,学年度总表!$E$3:$E$1025,0))="","",INDEX(学年度总表!$A$3:$A$1025,MATCH($E36,学年度总表!$E$3:$E$1025,0)))</f>
        <v>139</v>
      </c>
      <c r="B36" s="2">
        <f>IF(INDEX(学年度总表!$B$3:$B$1025,MATCH($E36,学年度总表!$E$3:$E$1025,0))="","",INDEX(学年度总表!$B$3:$B$1025,MATCH($E36,学年度总表!$E$3:$E$1025,0)))</f>
        <v>34</v>
      </c>
      <c r="C36" s="2" t="str">
        <f>IF(INDEX(学年度总表!$C$3:$C$1025,MATCH($E36,学年度总表!$E$3:$E$1025,0))="","",INDEX(学年度总表!$C$3:$C$1025,MATCH($E36,学年度总表!$E$3:$E$1025,0)))</f>
        <v>信管</v>
      </c>
      <c r="D36" s="2" t="str">
        <f>IF(INDEX(学年度总表!$D$3:$D$1025,MATCH($E36,学年度总表!$E$3:$E$1025,0))="","",INDEX(学年度总表!$D$3:$D$1025,MATCH($E36,学年度总表!$E$3:$E$1025,0)))</f>
        <v>信管26班</v>
      </c>
      <c r="E36" s="2" t="s">
        <v>335</v>
      </c>
      <c r="F36" s="2" t="str">
        <f>IF(INDEX(学年度总表!$F$3:$F$1025,MATCH($E36,学年度总表!$E$3:$E$1025,0))="","",INDEX(学年度总表!$F$3:$F$1025,MATCH($E36,学年度总表!$E$3:$E$1025,0)))</f>
        <v>刘紫璇</v>
      </c>
      <c r="G36" s="3">
        <f>IF(INDEX(学年度总表!$G$3:$G$1025,MATCH($E36,学年度总表!$E$3:$E$1025,0))="","",INDEX(学年度总表!$G$3:$G$1025,MATCH($E36,学年度总表!$E$3:$E$1025,0)))</f>
        <v>9.8000000000000007</v>
      </c>
      <c r="H36" s="3">
        <f>IF(INDEX(学年度总表!$H$3:$H$1025,MATCH($E36,学年度总表!$E$3:$E$1025,0))="","",INDEX(学年度总表!$H$3:$H$1025,MATCH($E36,学年度总表!$E$3:$E$1025,0)))</f>
        <v>65.33</v>
      </c>
      <c r="I36" s="3">
        <f>IF(INDEX(学年度总表!$I$3:$I$1025,MATCH($E36,学年度总表!$E$3:$E$1025,0))="","",INDEX(学年度总表!$I$3:$I$1025,MATCH($E36,学年度总表!$E$3:$E$1025,0)))</f>
        <v>5.3</v>
      </c>
      <c r="J36" s="3">
        <f>IF(INDEX(学年度总表!$J$3:$J$1025,MATCH($E36,学年度总表!$E$3:$E$1025,0))="","",INDEX(学年度总表!$J$3:$J$1025,MATCH($E36,学年度总表!$E$3:$E$1025,0)))</f>
        <v>80.430000000000007</v>
      </c>
      <c r="K36" s="3">
        <f>IF(INDEX(学年度总表!$K$3:$K$1025,MATCH($E36,学年度总表!$E$3:$E$1025,0))="","",INDEX(学年度总表!$K$3:$K$1025,MATCH($E36,学年度总表!$E$3:$E$1025,0)))</f>
        <v>7.3000000000000007</v>
      </c>
      <c r="L36" s="3">
        <f>IF(INDEX(学年度总表!$L$3:$L$1025,MATCH($E36,学年度总表!$E$3:$E$1025,0))="","",INDEX(学年度总表!$L$3:$L$1025,MATCH($E36,学年度总表!$E$3:$E$1025,0)))</f>
        <v>64.16</v>
      </c>
      <c r="M36" s="3">
        <f>IF(INDEX(学年度总表!$M$3:$M$1025,MATCH($E36,学年度总表!$E$3:$E$1025,0))="","",INDEX(学年度总表!$M$3:$M$1025,MATCH($E36,学年度总表!$E$3:$E$1025,0)))</f>
        <v>3.5</v>
      </c>
      <c r="N36" s="3">
        <f>IF(INDEX(学年度总表!$N$3:$N$1025,MATCH($E36,学年度总表!$E$3:$E$1025,0))="","",INDEX(学年度总表!$N$3:$N$1025,MATCH($E36,学年度总表!$E$3:$E$1025,0)))</f>
        <v>74.959999999999994</v>
      </c>
      <c r="O36" s="3">
        <f>IF(INDEX(学年度总表!$O$3:$O$1025,MATCH($E36,学年度总表!$E$3:$E$1025,0))="","",INDEX(学年度总表!$O$3:$O$1025,MATCH($E36,学年度总表!$E$3:$E$1025,0)))</f>
        <v>155.38999999999999</v>
      </c>
      <c r="P36" s="4" t="str">
        <f>IF(INDEX(学年度总表!$P$3:$P$1025,MATCH($E36,学年度总表!$E$3:$E$1025,0))="","",INDEX(学年度总表!$P$3:$P$1025,MATCH($E36,学年度总表!$E$3:$E$1025,0)))</f>
        <v>校三等</v>
      </c>
      <c r="Q36" s="5" t="str">
        <f>IF(INDEX(学年度总表!$Q$3:$Q$1025,MATCH($E36,学年度总表!$E$3:$E$1025,0))="","",INDEX(学年度总表!$Q$3:$Q$1025,MATCH($E36,学年度总表!$E$3:$E$1025,0)))</f>
        <v/>
      </c>
    </row>
    <row r="37" spans="1:17">
      <c r="A37" s="2">
        <f>IF(INDEX(学年度总表!$A$3:$A$1025,MATCH($E37,学年度总表!$E$3:$E$1025,0))="","",INDEX(学年度总表!$A$3:$A$1025,MATCH($E37,学年度总表!$E$3:$E$1025,0)))</f>
        <v>144</v>
      </c>
      <c r="B37" s="2">
        <f>IF(INDEX(学年度总表!$B$3:$B$1025,MATCH($E37,学年度总表!$E$3:$E$1025,0))="","",INDEX(学年度总表!$B$3:$B$1025,MATCH($E37,学年度总表!$E$3:$E$1025,0)))</f>
        <v>35</v>
      </c>
      <c r="C37" s="2" t="str">
        <f>IF(INDEX(学年度总表!$C$3:$C$1025,MATCH($E37,学年度总表!$E$3:$E$1025,0))="","",INDEX(学年度总表!$C$3:$C$1025,MATCH($E37,学年度总表!$E$3:$E$1025,0)))</f>
        <v>信管</v>
      </c>
      <c r="D37" s="2" t="str">
        <f>IF(INDEX(学年度总表!$D$3:$D$1025,MATCH($E37,学年度总表!$E$3:$E$1025,0))="","",INDEX(学年度总表!$D$3:$D$1025,MATCH($E37,学年度总表!$E$3:$E$1025,0)))</f>
        <v>信管24班</v>
      </c>
      <c r="E37" s="2" t="s">
        <v>343</v>
      </c>
      <c r="F37" s="2" t="str">
        <f>IF(INDEX(学年度总表!$F$3:$F$1025,MATCH($E37,学年度总表!$E$3:$E$1025,0))="","",INDEX(学年度总表!$F$3:$F$1025,MATCH($E37,学年度总表!$E$3:$E$1025,0)))</f>
        <v>冯博华</v>
      </c>
      <c r="G37" s="3">
        <f>IF(INDEX(学年度总表!$G$3:$G$1025,MATCH($E37,学年度总表!$E$3:$E$1025,0))="","",INDEX(学年度总表!$G$3:$G$1025,MATCH($E37,学年度总表!$E$3:$E$1025,0)))</f>
        <v>10</v>
      </c>
      <c r="H37" s="3">
        <f>IF(INDEX(学年度总表!$H$3:$H$1025,MATCH($E37,学年度总表!$E$3:$E$1025,0))="","",INDEX(学年度总表!$H$3:$H$1025,MATCH($E37,学年度总表!$E$3:$E$1025,0)))</f>
        <v>64.650000000000006</v>
      </c>
      <c r="I37" s="3">
        <f>IF(INDEX(学年度总表!$I$3:$I$1025,MATCH($E37,学年度总表!$E$3:$E$1025,0))="","",INDEX(学年度总表!$I$3:$I$1025,MATCH($E37,学年度总表!$E$3:$E$1025,0)))</f>
        <v>3.6</v>
      </c>
      <c r="J37" s="3">
        <f>IF(INDEX(学年度总表!$J$3:$J$1025,MATCH($E37,学年度总表!$E$3:$E$1025,0))="","",INDEX(学年度总表!$J$3:$J$1025,MATCH($E37,学年度总表!$E$3:$E$1025,0)))</f>
        <v>78.25</v>
      </c>
      <c r="K37" s="3">
        <f>IF(INDEX(学年度总表!$K$3:$K$1025,MATCH($E37,学年度总表!$E$3:$E$1025,0))="","",INDEX(学年度总表!$K$3:$K$1025,MATCH($E37,学年度总表!$E$3:$E$1025,0)))</f>
        <v>7.5</v>
      </c>
      <c r="L37" s="3">
        <f>IF(INDEX(学年度总表!$L$3:$L$1025,MATCH($E37,学年度总表!$E$3:$E$1025,0))="","",INDEX(学年度总表!$L$3:$L$1025,MATCH($E37,学年度总表!$E$3:$E$1025,0)))</f>
        <v>65.459999999999994</v>
      </c>
      <c r="M37" s="3">
        <f>IF(INDEX(学年度总表!$M$3:$M$1025,MATCH($E37,学年度总表!$E$3:$E$1025,0))="","",INDEX(学年度总表!$M$3:$M$1025,MATCH($E37,学年度总表!$E$3:$E$1025,0)))</f>
        <v>4</v>
      </c>
      <c r="N37" s="3">
        <f>IF(INDEX(学年度总表!$N$3:$N$1025,MATCH($E37,学年度总表!$E$3:$E$1025,0))="","",INDEX(学年度总表!$N$3:$N$1025,MATCH($E37,学年度总表!$E$3:$E$1025,0)))</f>
        <v>76.959999999999994</v>
      </c>
      <c r="O37" s="3">
        <f>IF(INDEX(学年度总表!$O$3:$O$1025,MATCH($E37,学年度总表!$E$3:$E$1025,0))="","",INDEX(学年度总表!$O$3:$O$1025,MATCH($E37,学年度总表!$E$3:$E$1025,0)))</f>
        <v>155.21</v>
      </c>
      <c r="P37" s="4" t="str">
        <f>IF(INDEX(学年度总表!$P$3:$P$1025,MATCH($E37,学年度总表!$E$3:$E$1025,0))="","",INDEX(学年度总表!$P$3:$P$1025,MATCH($E37,学年度总表!$E$3:$E$1025,0)))</f>
        <v>国励</v>
      </c>
      <c r="Q37" s="5" t="str">
        <f>IF(INDEX(学年度总表!$Q$3:$Q$1025,MATCH($E37,学年度总表!$E$3:$E$1025,0))="","",INDEX(学年度总表!$Q$3:$Q$1025,MATCH($E37,学年度总表!$E$3:$E$1025,0)))</f>
        <v>转大数据</v>
      </c>
    </row>
    <row r="38" spans="1:17">
      <c r="A38" s="2">
        <f>IF(INDEX(学年度总表!$A$3:$A$1025,MATCH($E38,学年度总表!$E$3:$E$1025,0))="","",INDEX(学年度总表!$A$3:$A$1025,MATCH($E38,学年度总表!$E$3:$E$1025,0)))</f>
        <v>147</v>
      </c>
      <c r="B38" s="2">
        <f>IF(INDEX(学年度总表!$B$3:$B$1025,MATCH($E38,学年度总表!$E$3:$E$1025,0))="","",INDEX(学年度总表!$B$3:$B$1025,MATCH($E38,学年度总表!$E$3:$E$1025,0)))</f>
        <v>36</v>
      </c>
      <c r="C38" s="2" t="str">
        <f>IF(INDEX(学年度总表!$C$3:$C$1025,MATCH($E38,学年度总表!$E$3:$E$1025,0))="","",INDEX(学年度总表!$C$3:$C$1025,MATCH($E38,学年度总表!$E$3:$E$1025,0)))</f>
        <v>信管</v>
      </c>
      <c r="D38" s="2" t="str">
        <f>IF(INDEX(学年度总表!$D$3:$D$1025,MATCH($E38,学年度总表!$E$3:$E$1025,0))="","",INDEX(学年度总表!$D$3:$D$1025,MATCH($E38,学年度总表!$E$3:$E$1025,0)))</f>
        <v>信管24班</v>
      </c>
      <c r="E38" s="2" t="s">
        <v>350</v>
      </c>
      <c r="F38" s="2" t="str">
        <f>IF(INDEX(学年度总表!$F$3:$F$1025,MATCH($E38,学年度总表!$E$3:$E$1025,0))="","",INDEX(学年度总表!$F$3:$F$1025,MATCH($E38,学年度总表!$E$3:$E$1025,0)))</f>
        <v>薛宇然</v>
      </c>
      <c r="G38" s="3">
        <f>IF(INDEX(学年度总表!$G$3:$G$1025,MATCH($E38,学年度总表!$E$3:$E$1025,0))="","",INDEX(学年度总表!$G$3:$G$1025,MATCH($E38,学年度总表!$E$3:$E$1025,0)))</f>
        <v>11.8</v>
      </c>
      <c r="H38" s="3">
        <f>IF(INDEX(学年度总表!$H$3:$H$1025,MATCH($E38,学年度总表!$E$3:$E$1025,0))="","",INDEX(学年度总表!$H$3:$H$1025,MATCH($E38,学年度总表!$E$3:$E$1025,0)))</f>
        <v>58.14</v>
      </c>
      <c r="I38" s="3">
        <f>IF(INDEX(学年度总表!$I$3:$I$1025,MATCH($E38,学年度总表!$E$3:$E$1025,0))="","",INDEX(学年度总表!$I$3:$I$1025,MATCH($E38,学年度总表!$E$3:$E$1025,0)))</f>
        <v>6.05</v>
      </c>
      <c r="J38" s="3">
        <f>IF(INDEX(学年度总表!$J$3:$J$1025,MATCH($E38,学年度总表!$E$3:$E$1025,0))="","",INDEX(学年度总表!$J$3:$J$1025,MATCH($E38,学年度总表!$E$3:$E$1025,0)))</f>
        <v>75.989999999999995</v>
      </c>
      <c r="K38" s="3">
        <f>IF(INDEX(学年度总表!$K$3:$K$1025,MATCH($E38,学年度总表!$E$3:$E$1025,0))="","",INDEX(学年度总表!$K$3:$K$1025,MATCH($E38,学年度总表!$E$3:$E$1025,0)))</f>
        <v>10.8</v>
      </c>
      <c r="L38" s="3">
        <f>IF(INDEX(学年度总表!$L$3:$L$1025,MATCH($E38,学年度总表!$E$3:$E$1025,0))="","",INDEX(学年度总表!$L$3:$L$1025,MATCH($E38,学年度总表!$E$3:$E$1025,0)))</f>
        <v>59.47</v>
      </c>
      <c r="M38" s="3">
        <f>IF(INDEX(学年度总表!$M$3:$M$1025,MATCH($E38,学年度总表!$E$3:$E$1025,0))="","",INDEX(学年度总表!$M$3:$M$1025,MATCH($E38,学年度总表!$E$3:$E$1025,0)))</f>
        <v>8.85</v>
      </c>
      <c r="N38" s="3">
        <f>IF(INDEX(学年度总表!$N$3:$N$1025,MATCH($E38,学年度总表!$E$3:$E$1025,0))="","",INDEX(学年度总表!$N$3:$N$1025,MATCH($E38,学年度总表!$E$3:$E$1025,0)))</f>
        <v>79.12</v>
      </c>
      <c r="O38" s="3">
        <f>IF(INDEX(学年度总表!$O$3:$O$1025,MATCH($E38,学年度总表!$E$3:$E$1025,0))="","",INDEX(学年度总表!$O$3:$O$1025,MATCH($E38,学年度总表!$E$3:$E$1025,0)))</f>
        <v>155.11000000000001</v>
      </c>
      <c r="P38" s="4" t="str">
        <f>IF(INDEX(学年度总表!$P$3:$P$1025,MATCH($E38,学年度总表!$E$3:$E$1025,0))="","",INDEX(学年度总表!$P$3:$P$1025,MATCH($E38,学年度总表!$E$3:$E$1025,0)))</f>
        <v>校三等</v>
      </c>
      <c r="Q38" s="5" t="str">
        <f>IF(INDEX(学年度总表!$Q$3:$Q$1025,MATCH($E38,学年度总表!$E$3:$E$1025,0))="","",INDEX(学年度总表!$Q$3:$Q$1025,MATCH($E38,学年度总表!$E$3:$E$1025,0)))</f>
        <v/>
      </c>
    </row>
    <row r="39" spans="1:17">
      <c r="A39" s="2">
        <f>IF(INDEX(学年度总表!$A$3:$A$1025,MATCH($E39,学年度总表!$E$3:$E$1025,0))="","",INDEX(学年度总表!$A$3:$A$1025,MATCH($E39,学年度总表!$E$3:$E$1025,0)))</f>
        <v>148</v>
      </c>
      <c r="B39" s="2">
        <f>IF(INDEX(学年度总表!$B$3:$B$1025,MATCH($E39,学年度总表!$E$3:$E$1025,0))="","",INDEX(学年度总表!$B$3:$B$1025,MATCH($E39,学年度总表!$E$3:$E$1025,0)))</f>
        <v>37</v>
      </c>
      <c r="C39" s="2" t="str">
        <f>IF(INDEX(学年度总表!$C$3:$C$1025,MATCH($E39,学年度总表!$E$3:$E$1025,0))="","",INDEX(学年度总表!$C$3:$C$1025,MATCH($E39,学年度总表!$E$3:$E$1025,0)))</f>
        <v>信管</v>
      </c>
      <c r="D39" s="2" t="str">
        <f>IF(INDEX(学年度总表!$D$3:$D$1025,MATCH($E39,学年度总表!$E$3:$E$1025,0))="","",INDEX(学年度总表!$D$3:$D$1025,MATCH($E39,学年度总表!$E$3:$E$1025,0)))</f>
        <v>信管21班</v>
      </c>
      <c r="E39" s="2" t="s">
        <v>352</v>
      </c>
      <c r="F39" s="2" t="str">
        <f>IF(INDEX(学年度总表!$F$3:$F$1025,MATCH($E39,学年度总表!$E$3:$E$1025,0))="","",INDEX(学年度总表!$F$3:$F$1025,MATCH($E39,学年度总表!$E$3:$E$1025,0)))</f>
        <v>郑雅琪</v>
      </c>
      <c r="G39" s="3">
        <f>IF(INDEX(学年度总表!$G$3:$G$1025,MATCH($E39,学年度总表!$E$3:$E$1025,0))="","",INDEX(学年度总表!$G$3:$G$1025,MATCH($E39,学年度总表!$E$3:$E$1025,0)))</f>
        <v>9.8000000000000007</v>
      </c>
      <c r="H39" s="3">
        <f>IF(INDEX(学年度总表!$H$3:$H$1025,MATCH($E39,学年度总表!$E$3:$E$1025,0))="","",INDEX(学年度总表!$H$3:$H$1025,MATCH($E39,学年度总表!$E$3:$E$1025,0)))</f>
        <v>64.47</v>
      </c>
      <c r="I39" s="3">
        <f>IF(INDEX(学年度总表!$I$3:$I$1025,MATCH($E39,学年度总表!$E$3:$E$1025,0))="","",INDEX(学年度总表!$I$3:$I$1025,MATCH($E39,学年度总表!$E$3:$E$1025,0)))</f>
        <v>4</v>
      </c>
      <c r="J39" s="3">
        <f>IF(INDEX(学年度总表!$J$3:$J$1025,MATCH($E39,学年度总表!$E$3:$E$1025,0))="","",INDEX(学年度总表!$J$3:$J$1025,MATCH($E39,学年度总表!$E$3:$E$1025,0)))</f>
        <v>78.27</v>
      </c>
      <c r="K39" s="3">
        <f>IF(INDEX(学年度总表!$K$3:$K$1025,MATCH($E39,学年度总表!$E$3:$E$1025,0))="","",INDEX(学年度总表!$K$3:$K$1025,MATCH($E39,学年度总表!$E$3:$E$1025,0)))</f>
        <v>11.3</v>
      </c>
      <c r="L39" s="3">
        <f>IF(INDEX(学年度总表!$L$3:$L$1025,MATCH($E39,学年度总表!$E$3:$E$1025,0))="","",INDEX(学年度总表!$L$3:$L$1025,MATCH($E39,学年度总表!$E$3:$E$1025,0)))</f>
        <v>60.79</v>
      </c>
      <c r="M39" s="3">
        <f>IF(INDEX(学年度总表!$M$3:$M$1025,MATCH($E39,学年度总表!$E$3:$E$1025,0))="","",INDEX(学年度总表!$M$3:$M$1025,MATCH($E39,学年度总表!$E$3:$E$1025,0)))</f>
        <v>4.7</v>
      </c>
      <c r="N39" s="3">
        <f>IF(INDEX(学年度总表!$N$3:$N$1025,MATCH($E39,学年度总表!$E$3:$E$1025,0))="","",INDEX(学年度总表!$N$3:$N$1025,MATCH($E39,学年度总表!$E$3:$E$1025,0)))</f>
        <v>76.790000000000006</v>
      </c>
      <c r="O39" s="3">
        <f>IF(INDEX(学年度总表!$O$3:$O$1025,MATCH($E39,学年度总表!$E$3:$E$1025,0))="","",INDEX(学年度总表!$O$3:$O$1025,MATCH($E39,学年度总表!$E$3:$E$1025,0)))</f>
        <v>155.06</v>
      </c>
      <c r="P39" s="4" t="str">
        <f>IF(INDEX(学年度总表!$P$3:$P$1025,MATCH($E39,学年度总表!$E$3:$E$1025,0))="","",INDEX(学年度总表!$P$3:$P$1025,MATCH($E39,学年度总表!$E$3:$E$1025,0)))</f>
        <v>校三等</v>
      </c>
      <c r="Q39" s="5" t="str">
        <f>IF(INDEX(学年度总表!$Q$3:$Q$1025,MATCH($E39,学年度总表!$E$3:$E$1025,0))="","",INDEX(学年度总表!$Q$3:$Q$1025,MATCH($E39,学年度总表!$E$3:$E$1025,0)))</f>
        <v/>
      </c>
    </row>
    <row r="40" spans="1:17">
      <c r="A40" s="2">
        <f>IF(INDEX(学年度总表!$A$3:$A$1025,MATCH($E40,学年度总表!$E$3:$E$1025,0))="","",INDEX(学年度总表!$A$3:$A$1025,MATCH($E40,学年度总表!$E$3:$E$1025,0)))</f>
        <v>156</v>
      </c>
      <c r="B40" s="2">
        <f>IF(INDEX(学年度总表!$B$3:$B$1025,MATCH($E40,学年度总表!$E$3:$E$1025,0))="","",INDEX(学年度总表!$B$3:$B$1025,MATCH($E40,学年度总表!$E$3:$E$1025,0)))</f>
        <v>38</v>
      </c>
      <c r="C40" s="2" t="str">
        <f>IF(INDEX(学年度总表!$C$3:$C$1025,MATCH($E40,学年度总表!$E$3:$E$1025,0))="","",INDEX(学年度总表!$C$3:$C$1025,MATCH($E40,学年度总表!$E$3:$E$1025,0)))</f>
        <v>信管</v>
      </c>
      <c r="D40" s="2" t="str">
        <f>IF(INDEX(学年度总表!$D$3:$D$1025,MATCH($E40,学年度总表!$E$3:$E$1025,0))="","",INDEX(学年度总表!$D$3:$D$1025,MATCH($E40,学年度总表!$E$3:$E$1025,0)))</f>
        <v>信管23班</v>
      </c>
      <c r="E40" s="2" t="s">
        <v>368</v>
      </c>
      <c r="F40" s="2" t="str">
        <f>IF(INDEX(学年度总表!$F$3:$F$1025,MATCH($E40,学年度总表!$E$3:$E$1025,0))="","",INDEX(学年度总表!$F$3:$F$1025,MATCH($E40,学年度总表!$E$3:$E$1025,0)))</f>
        <v>赵睿加</v>
      </c>
      <c r="G40" s="3">
        <f>IF(INDEX(学年度总表!$G$3:$G$1025,MATCH($E40,学年度总表!$E$3:$E$1025,0))="","",INDEX(学年度总表!$G$3:$G$1025,MATCH($E40,学年度总表!$E$3:$E$1025,0)))</f>
        <v>10.5</v>
      </c>
      <c r="H40" s="3">
        <f>IF(INDEX(学年度总表!$H$3:$H$1025,MATCH($E40,学年度总表!$E$3:$E$1025,0))="","",INDEX(学年度总表!$H$3:$H$1025,MATCH($E40,学年度总表!$E$3:$E$1025,0)))</f>
        <v>64.290000000000006</v>
      </c>
      <c r="I40" s="3">
        <f>IF(INDEX(学年度总表!$I$3:$I$1025,MATCH($E40,学年度总表!$E$3:$E$1025,0))="","",INDEX(学年度总表!$I$3:$I$1025,MATCH($E40,学年度总表!$E$3:$E$1025,0)))</f>
        <v>4.4000000000000004</v>
      </c>
      <c r="J40" s="3">
        <f>IF(INDEX(学年度总表!$J$3:$J$1025,MATCH($E40,学年度总表!$E$3:$E$1025,0))="","",INDEX(学年度总表!$J$3:$J$1025,MATCH($E40,学年度总表!$E$3:$E$1025,0)))</f>
        <v>79.19</v>
      </c>
      <c r="K40" s="3">
        <f>IF(INDEX(学年度总表!$K$3:$K$1025,MATCH($E40,学年度总表!$E$3:$E$1025,0))="","",INDEX(学年度总表!$K$3:$K$1025,MATCH($E40,学年度总表!$E$3:$E$1025,0)))</f>
        <v>10</v>
      </c>
      <c r="L40" s="3">
        <f>IF(INDEX(学年度总表!$L$3:$L$1025,MATCH($E40,学年度总表!$E$3:$E$1025,0))="","",INDEX(学年度总表!$L$3:$L$1025,MATCH($E40,学年度总表!$E$3:$E$1025,0)))</f>
        <v>59.12</v>
      </c>
      <c r="M40" s="3">
        <f>IF(INDEX(学年度总表!$M$3:$M$1025,MATCH($E40,学年度总表!$E$3:$E$1025,0))="","",INDEX(学年度总表!$M$3:$M$1025,MATCH($E40,学年度总表!$E$3:$E$1025,0)))</f>
        <v>6.3</v>
      </c>
      <c r="N40" s="3">
        <f>IF(INDEX(学年度总表!$N$3:$N$1025,MATCH($E40,学年度总表!$E$3:$E$1025,0))="","",INDEX(学年度总表!$N$3:$N$1025,MATCH($E40,学年度总表!$E$3:$E$1025,0)))</f>
        <v>75.42</v>
      </c>
      <c r="O40" s="3">
        <f>IF(INDEX(学年度总表!$O$3:$O$1025,MATCH($E40,学年度总表!$E$3:$E$1025,0))="","",INDEX(学年度总表!$O$3:$O$1025,MATCH($E40,学年度总表!$E$3:$E$1025,0)))</f>
        <v>154.61000000000001</v>
      </c>
      <c r="P40" s="4" t="str">
        <f>IF(INDEX(学年度总表!$P$3:$P$1025,MATCH($E40,学年度总表!$E$3:$E$1025,0))="","",INDEX(学年度总表!$P$3:$P$1025,MATCH($E40,学年度总表!$E$3:$E$1025,0)))</f>
        <v>校三等</v>
      </c>
      <c r="Q40" s="5" t="str">
        <f>IF(INDEX(学年度总表!$Q$3:$Q$1025,MATCH($E40,学年度总表!$E$3:$E$1025,0))="","",INDEX(学年度总表!$Q$3:$Q$1025,MATCH($E40,学年度总表!$E$3:$E$1025,0)))</f>
        <v/>
      </c>
    </row>
    <row r="41" spans="1:17">
      <c r="A41" s="2">
        <f>IF(INDEX(学年度总表!$A$3:$A$1025,MATCH($E41,学年度总表!$E$3:$E$1025,0))="","",INDEX(学年度总表!$A$3:$A$1025,MATCH($E41,学年度总表!$E$3:$E$1025,0)))</f>
        <v>157</v>
      </c>
      <c r="B41" s="2">
        <f>IF(INDEX(学年度总表!$B$3:$B$1025,MATCH($E41,学年度总表!$E$3:$E$1025,0))="","",INDEX(学年度总表!$B$3:$B$1025,MATCH($E41,学年度总表!$E$3:$E$1025,0)))</f>
        <v>39</v>
      </c>
      <c r="C41" s="2" t="str">
        <f>IF(INDEX(学年度总表!$C$3:$C$1025,MATCH($E41,学年度总表!$E$3:$E$1025,0))="","",INDEX(学年度总表!$C$3:$C$1025,MATCH($E41,学年度总表!$E$3:$E$1025,0)))</f>
        <v>信管</v>
      </c>
      <c r="D41" s="2" t="str">
        <f>IF(INDEX(学年度总表!$D$3:$D$1025,MATCH($E41,学年度总表!$E$3:$E$1025,0))="","",INDEX(学年度总表!$D$3:$D$1025,MATCH($E41,学年度总表!$E$3:$E$1025,0)))</f>
        <v>信管23班</v>
      </c>
      <c r="E41" s="2" t="s">
        <v>370</v>
      </c>
      <c r="F41" s="2" t="str">
        <f>IF(INDEX(学年度总表!$F$3:$F$1025,MATCH($E41,学年度总表!$E$3:$E$1025,0))="","",INDEX(学年度总表!$F$3:$F$1025,MATCH($E41,学年度总表!$E$3:$E$1025,0)))</f>
        <v>赵斓琪</v>
      </c>
      <c r="G41" s="3">
        <f>IF(INDEX(学年度总表!$G$3:$G$1025,MATCH($E41,学年度总表!$E$3:$E$1025,0))="","",INDEX(学年度总表!$G$3:$G$1025,MATCH($E41,学年度总表!$E$3:$E$1025,0)))</f>
        <v>9.8000000000000007</v>
      </c>
      <c r="H41" s="3">
        <f>IF(INDEX(学年度总表!$H$3:$H$1025,MATCH($E41,学年度总表!$E$3:$E$1025,0))="","",INDEX(学年度总表!$H$3:$H$1025,MATCH($E41,学年度总表!$E$3:$E$1025,0)))</f>
        <v>63.98</v>
      </c>
      <c r="I41" s="3">
        <f>IF(INDEX(学年度总表!$I$3:$I$1025,MATCH($E41,学年度总表!$E$3:$E$1025,0))="","",INDEX(学年度总表!$I$3:$I$1025,MATCH($E41,学年度总表!$E$3:$E$1025,0)))</f>
        <v>4</v>
      </c>
      <c r="J41" s="3">
        <f>IF(INDEX(学年度总表!$J$3:$J$1025,MATCH($E41,学年度总表!$E$3:$E$1025,0))="","",INDEX(学年度总表!$J$3:$J$1025,MATCH($E41,学年度总表!$E$3:$E$1025,0)))</f>
        <v>77.78</v>
      </c>
      <c r="K41" s="3">
        <f>IF(INDEX(学年度总表!$K$3:$K$1025,MATCH($E41,学年度总表!$E$3:$E$1025,0))="","",INDEX(学年度总表!$K$3:$K$1025,MATCH($E41,学年度总表!$E$3:$E$1025,0)))</f>
        <v>9.8000000000000007</v>
      </c>
      <c r="L41" s="3">
        <f>IF(INDEX(学年度总表!$L$3:$L$1025,MATCH($E41,学年度总表!$E$3:$E$1025,0))="","",INDEX(学年度总表!$L$3:$L$1025,MATCH($E41,学年度总表!$E$3:$E$1025,0)))</f>
        <v>61.8</v>
      </c>
      <c r="M41" s="3">
        <f>IF(INDEX(学年度总表!$M$3:$M$1025,MATCH($E41,学年度总表!$E$3:$E$1025,0))="","",INDEX(学年度总表!$M$3:$M$1025,MATCH($E41,学年度总表!$E$3:$E$1025,0)))</f>
        <v>5.2</v>
      </c>
      <c r="N41" s="3">
        <f>IF(INDEX(学年度总表!$N$3:$N$1025,MATCH($E41,学年度总表!$E$3:$E$1025,0))="","",INDEX(学年度总表!$N$3:$N$1025,MATCH($E41,学年度总表!$E$3:$E$1025,0)))</f>
        <v>76.8</v>
      </c>
      <c r="O41" s="3">
        <f>IF(INDEX(学年度总表!$O$3:$O$1025,MATCH($E41,学年度总表!$E$3:$E$1025,0))="","",INDEX(学年度总表!$O$3:$O$1025,MATCH($E41,学年度总表!$E$3:$E$1025,0)))</f>
        <v>154.58000000000001</v>
      </c>
      <c r="P41" s="4" t="str">
        <f>IF(INDEX(学年度总表!$P$3:$P$1025,MATCH($E41,学年度总表!$E$3:$E$1025,0))="","",INDEX(学年度总表!$P$3:$P$1025,MATCH($E41,学年度总表!$E$3:$E$1025,0)))</f>
        <v>校三等</v>
      </c>
      <c r="Q41" s="5" t="str">
        <f>IF(INDEX(学年度总表!$Q$3:$Q$1025,MATCH($E41,学年度总表!$E$3:$E$1025,0))="","",INDEX(学年度总表!$Q$3:$Q$1025,MATCH($E41,学年度总表!$E$3:$E$1025,0)))</f>
        <v/>
      </c>
    </row>
    <row r="42" spans="1:17">
      <c r="A42" s="2">
        <f>IF(INDEX(学年度总表!$A$3:$A$1025,MATCH($E42,学年度总表!$E$3:$E$1025,0))="","",INDEX(学年度总表!$A$3:$A$1025,MATCH($E42,学年度总表!$E$3:$E$1025,0)))</f>
        <v>164</v>
      </c>
      <c r="B42" s="2">
        <f>IF(INDEX(学年度总表!$B$3:$B$1025,MATCH($E42,学年度总表!$E$3:$E$1025,0))="","",INDEX(学年度总表!$B$3:$B$1025,MATCH($E42,学年度总表!$E$3:$E$1025,0)))</f>
        <v>40</v>
      </c>
      <c r="C42" s="2" t="str">
        <f>IF(INDEX(学年度总表!$C$3:$C$1025,MATCH($E42,学年度总表!$E$3:$E$1025,0))="","",INDEX(学年度总表!$C$3:$C$1025,MATCH($E42,学年度总表!$E$3:$E$1025,0)))</f>
        <v>信管</v>
      </c>
      <c r="D42" s="2" t="str">
        <f>IF(INDEX(学年度总表!$D$3:$D$1025,MATCH($E42,学年度总表!$E$3:$E$1025,0))="","",INDEX(学年度总表!$D$3:$D$1025,MATCH($E42,学年度总表!$E$3:$E$1025,0)))</f>
        <v>信管21班</v>
      </c>
      <c r="E42" s="2" t="s">
        <v>384</v>
      </c>
      <c r="F42" s="2" t="str">
        <f>IF(INDEX(学年度总表!$F$3:$F$1025,MATCH($E42,学年度总表!$E$3:$E$1025,0))="","",INDEX(学年度总表!$F$3:$F$1025,MATCH($E42,学年度总表!$E$3:$E$1025,0)))</f>
        <v>张可欣</v>
      </c>
      <c r="G42" s="3">
        <f>IF(INDEX(学年度总表!$G$3:$G$1025,MATCH($E42,学年度总表!$E$3:$E$1025,0))="","",INDEX(学年度总表!$G$3:$G$1025,MATCH($E42,学年度总表!$E$3:$E$1025,0)))</f>
        <v>10.8</v>
      </c>
      <c r="H42" s="3">
        <f>IF(INDEX(学年度总表!$H$3:$H$1025,MATCH($E42,学年度总表!$E$3:$E$1025,0))="","",INDEX(学年度总表!$H$3:$H$1025,MATCH($E42,学年度总表!$E$3:$E$1025,0)))</f>
        <v>66.75</v>
      </c>
      <c r="I42" s="3">
        <f>IF(INDEX(学年度总表!$I$3:$I$1025,MATCH($E42,学年度总表!$E$3:$E$1025,0))="","",INDEX(学年度总表!$I$3:$I$1025,MATCH($E42,学年度总表!$E$3:$E$1025,0)))</f>
        <v>4</v>
      </c>
      <c r="J42" s="3">
        <f>IF(INDEX(学年度总表!$J$3:$J$1025,MATCH($E42,学年度总表!$E$3:$E$1025,0))="","",INDEX(学年度总表!$J$3:$J$1025,MATCH($E42,学年度总表!$E$3:$E$1025,0)))</f>
        <v>81.55</v>
      </c>
      <c r="K42" s="3">
        <f>IF(INDEX(学年度总表!$K$3:$K$1025,MATCH($E42,学年度总表!$E$3:$E$1025,0))="","",INDEX(学年度总表!$K$3:$K$1025,MATCH($E42,学年度总表!$E$3:$E$1025,0)))</f>
        <v>9.8000000000000007</v>
      </c>
      <c r="L42" s="3">
        <f>IF(INDEX(学年度总表!$L$3:$L$1025,MATCH($E42,学年度总表!$E$3:$E$1025,0))="","",INDEX(学年度总表!$L$3:$L$1025,MATCH($E42,学年度总表!$E$3:$E$1025,0)))</f>
        <v>57.69</v>
      </c>
      <c r="M42" s="3">
        <f>IF(INDEX(学年度总表!$M$3:$M$1025,MATCH($E42,学年度总表!$E$3:$E$1025,0))="","",INDEX(学年度总表!$M$3:$M$1025,MATCH($E42,学年度总表!$E$3:$E$1025,0)))</f>
        <v>5.2</v>
      </c>
      <c r="N42" s="3">
        <f>IF(INDEX(学年度总表!$N$3:$N$1025,MATCH($E42,学年度总表!$E$3:$E$1025,0))="","",INDEX(学年度总表!$N$3:$N$1025,MATCH($E42,学年度总表!$E$3:$E$1025,0)))</f>
        <v>72.69</v>
      </c>
      <c r="O42" s="3">
        <f>IF(INDEX(学年度总表!$O$3:$O$1025,MATCH($E42,学年度总表!$E$3:$E$1025,0))="","",INDEX(学年度总表!$O$3:$O$1025,MATCH($E42,学年度总表!$E$3:$E$1025,0)))</f>
        <v>154.24</v>
      </c>
      <c r="P42" s="2" t="str">
        <f>IF(INDEX(学年度总表!$P$3:$P$1025,MATCH($E42,学年度总表!$E$3:$E$1025,0))="","",INDEX(学年度总表!$P$3:$P$1025,MATCH($E42,学年度总表!$E$3:$E$1025,0)))</f>
        <v/>
      </c>
      <c r="Q42" s="5" t="str">
        <f>IF(INDEX(学年度总表!$Q$3:$Q$1025,MATCH($E42,学年度总表!$E$3:$E$1025,0))="","",INDEX(学年度总表!$Q$3:$Q$1025,MATCH($E42,学年度总表!$E$3:$E$1025,0)))</f>
        <v/>
      </c>
    </row>
    <row r="43" spans="1:17">
      <c r="A43" s="2">
        <f>IF(INDEX(学年度总表!$A$3:$A$1025,MATCH($E43,学年度总表!$E$3:$E$1025,0))="","",INDEX(学年度总表!$A$3:$A$1025,MATCH($E43,学年度总表!$E$3:$E$1025,0)))</f>
        <v>167</v>
      </c>
      <c r="B43" s="2">
        <f>IF(INDEX(学年度总表!$B$3:$B$1025,MATCH($E43,学年度总表!$E$3:$E$1025,0))="","",INDEX(学年度总表!$B$3:$B$1025,MATCH($E43,学年度总表!$E$3:$E$1025,0)))</f>
        <v>41</v>
      </c>
      <c r="C43" s="2" t="str">
        <f>IF(INDEX(学年度总表!$C$3:$C$1025,MATCH($E43,学年度总表!$E$3:$E$1025,0))="","",INDEX(学年度总表!$C$3:$C$1025,MATCH($E43,学年度总表!$E$3:$E$1025,0)))</f>
        <v>信管</v>
      </c>
      <c r="D43" s="2" t="str">
        <f>IF(INDEX(学年度总表!$D$3:$D$1025,MATCH($E43,学年度总表!$E$3:$E$1025,0))="","",INDEX(学年度总表!$D$3:$D$1025,MATCH($E43,学年度总表!$E$3:$E$1025,0)))</f>
        <v>信管19班</v>
      </c>
      <c r="E43" s="2" t="s">
        <v>391</v>
      </c>
      <c r="F43" s="2" t="str">
        <f>IF(INDEX(学年度总表!$F$3:$F$1025,MATCH($E43,学年度总表!$E$3:$E$1025,0))="","",INDEX(学年度总表!$F$3:$F$1025,MATCH($E43,学年度总表!$E$3:$E$1025,0)))</f>
        <v>张潆蔓</v>
      </c>
      <c r="G43" s="3">
        <f>IF(INDEX(学年度总表!$G$3:$G$1025,MATCH($E43,学年度总表!$E$3:$E$1025,0))="","",INDEX(学年度总表!$G$3:$G$1025,MATCH($E43,学年度总表!$E$3:$E$1025,0)))</f>
        <v>11</v>
      </c>
      <c r="H43" s="3">
        <f>IF(INDEX(学年度总表!$H$3:$H$1025,MATCH($E43,学年度总表!$E$3:$E$1025,0))="","",INDEX(学年度总表!$H$3:$H$1025,MATCH($E43,学年度总表!$E$3:$E$1025,0)))</f>
        <v>63.89</v>
      </c>
      <c r="I43" s="3">
        <f>IF(INDEX(学年度总表!$I$3:$I$1025,MATCH($E43,学年度总表!$E$3:$E$1025,0))="","",INDEX(学年度总表!$I$3:$I$1025,MATCH($E43,学年度总表!$E$3:$E$1025,0)))</f>
        <v>5.7</v>
      </c>
      <c r="J43" s="3">
        <f>IF(INDEX(学年度总表!$J$3:$J$1025,MATCH($E43,学年度总表!$E$3:$E$1025,0))="","",INDEX(学年度总表!$J$3:$J$1025,MATCH($E43,学年度总表!$E$3:$E$1025,0)))</f>
        <v>80.59</v>
      </c>
      <c r="K43" s="3">
        <f>IF(INDEX(学年度总表!$K$3:$K$1025,MATCH($E43,学年度总表!$E$3:$E$1025,0))="","",INDEX(学年度总表!$K$3:$K$1025,MATCH($E43,学年度总表!$E$3:$E$1025,0)))</f>
        <v>10</v>
      </c>
      <c r="L43" s="3">
        <f>IF(INDEX(学年度总表!$L$3:$L$1025,MATCH($E43,学年度总表!$E$3:$E$1025,0))="","",INDEX(学年度总表!$L$3:$L$1025,MATCH($E43,学年度总表!$E$3:$E$1025,0)))</f>
        <v>55.54</v>
      </c>
      <c r="M43" s="3">
        <f>IF(INDEX(学年度总表!$M$3:$M$1025,MATCH($E43,学年度总表!$E$3:$E$1025,0))="","",INDEX(学年度总表!$M$3:$M$1025,MATCH($E43,学年度总表!$E$3:$E$1025,0)))</f>
        <v>8</v>
      </c>
      <c r="N43" s="3">
        <f>IF(INDEX(学年度总表!$N$3:$N$1025,MATCH($E43,学年度总表!$E$3:$E$1025,0))="","",INDEX(学年度总表!$N$3:$N$1025,MATCH($E43,学年度总表!$E$3:$E$1025,0)))</f>
        <v>73.540000000000006</v>
      </c>
      <c r="O43" s="3">
        <f>IF(INDEX(学年度总表!$O$3:$O$1025,MATCH($E43,学年度总表!$E$3:$E$1025,0))="","",INDEX(学年度总表!$O$3:$O$1025,MATCH($E43,学年度总表!$E$3:$E$1025,0)))</f>
        <v>154.13</v>
      </c>
      <c r="P43" s="2" t="str">
        <f>IF(INDEX(学年度总表!$P$3:$P$1025,MATCH($E43,学年度总表!$E$3:$E$1025,0))="","",INDEX(学年度总表!$P$3:$P$1025,MATCH($E43,学年度总表!$E$3:$E$1025,0)))</f>
        <v/>
      </c>
      <c r="Q43" s="5" t="str">
        <f>IF(INDEX(学年度总表!$Q$3:$Q$1025,MATCH($E43,学年度总表!$E$3:$E$1025,0))="","",INDEX(学年度总表!$Q$3:$Q$1025,MATCH($E43,学年度总表!$E$3:$E$1025,0)))</f>
        <v/>
      </c>
    </row>
    <row r="44" spans="1:17">
      <c r="A44" s="2">
        <f>IF(INDEX(学年度总表!$A$3:$A$1025,MATCH($E44,学年度总表!$E$3:$E$1025,0))="","",INDEX(学年度总表!$A$3:$A$1025,MATCH($E44,学年度总表!$E$3:$E$1025,0)))</f>
        <v>168</v>
      </c>
      <c r="B44" s="2">
        <f>IF(INDEX(学年度总表!$B$3:$B$1025,MATCH($E44,学年度总表!$E$3:$E$1025,0))="","",INDEX(学年度总表!$B$3:$B$1025,MATCH($E44,学年度总表!$E$3:$E$1025,0)))</f>
        <v>42</v>
      </c>
      <c r="C44" s="2" t="str">
        <f>IF(INDEX(学年度总表!$C$3:$C$1025,MATCH($E44,学年度总表!$E$3:$E$1025,0))="","",INDEX(学年度总表!$C$3:$C$1025,MATCH($E44,学年度总表!$E$3:$E$1025,0)))</f>
        <v>信管</v>
      </c>
      <c r="D44" s="2" t="str">
        <f>IF(INDEX(学年度总表!$D$3:$D$1025,MATCH($E44,学年度总表!$E$3:$E$1025,0))="","",INDEX(学年度总表!$D$3:$D$1025,MATCH($E44,学年度总表!$E$3:$E$1025,0)))</f>
        <v>信管27班</v>
      </c>
      <c r="E44" s="2" t="s">
        <v>395</v>
      </c>
      <c r="F44" s="2" t="str">
        <f>IF(INDEX(学年度总表!$F$3:$F$1025,MATCH($E44,学年度总表!$E$3:$E$1025,0))="","",INDEX(学年度总表!$F$3:$F$1025,MATCH($E44,学年度总表!$E$3:$E$1025,0)))</f>
        <v>姜雨含</v>
      </c>
      <c r="G44" s="3">
        <f>IF(INDEX(学年度总表!$G$3:$G$1025,MATCH($E44,学年度总表!$E$3:$E$1025,0))="","",INDEX(学年度总表!$G$3:$G$1025,MATCH($E44,学年度总表!$E$3:$E$1025,0)))</f>
        <v>9.8000000000000007</v>
      </c>
      <c r="H44" s="3">
        <f>IF(INDEX(学年度总表!$H$3:$H$1025,MATCH($E44,学年度总表!$E$3:$E$1025,0))="","",INDEX(学年度总表!$H$3:$H$1025,MATCH($E44,学年度总表!$E$3:$E$1025,0)))</f>
        <v>64.22</v>
      </c>
      <c r="I44" s="3">
        <f>IF(INDEX(学年度总表!$I$3:$I$1025,MATCH($E44,学年度总表!$E$3:$E$1025,0))="","",INDEX(学年度总表!$I$3:$I$1025,MATCH($E44,学年度总表!$E$3:$E$1025,0)))</f>
        <v>4</v>
      </c>
      <c r="J44" s="3">
        <f>IF(INDEX(学年度总表!$J$3:$J$1025,MATCH($E44,学年度总表!$E$3:$E$1025,0))="","",INDEX(学年度总表!$J$3:$J$1025,MATCH($E44,学年度总表!$E$3:$E$1025,0)))</f>
        <v>78.02</v>
      </c>
      <c r="K44" s="3">
        <f>IF(INDEX(学年度总表!$K$3:$K$1025,MATCH($E44,学年度总表!$E$3:$E$1025,0))="","",INDEX(学年度总表!$K$3:$K$1025,MATCH($E44,学年度总表!$E$3:$E$1025,0)))</f>
        <v>9.8000000000000007</v>
      </c>
      <c r="L44" s="3">
        <f>IF(INDEX(学年度总表!$L$3:$L$1025,MATCH($E44,学年度总表!$E$3:$E$1025,0))="","",INDEX(学年度总表!$L$3:$L$1025,MATCH($E44,学年度总表!$E$3:$E$1025,0)))</f>
        <v>61.4</v>
      </c>
      <c r="M44" s="3">
        <f>IF(INDEX(学年度总表!$M$3:$M$1025,MATCH($E44,学年度总表!$E$3:$E$1025,0))="","",INDEX(学年度总表!$M$3:$M$1025,MATCH($E44,学年度总表!$E$3:$E$1025,0)))</f>
        <v>4.9000000000000004</v>
      </c>
      <c r="N44" s="3">
        <f>IF(INDEX(学年度总表!$N$3:$N$1025,MATCH($E44,学年度总表!$E$3:$E$1025,0))="","",INDEX(学年度总表!$N$3:$N$1025,MATCH($E44,学年度总表!$E$3:$E$1025,0)))</f>
        <v>76.099999999999994</v>
      </c>
      <c r="O44" s="3">
        <f>IF(INDEX(学年度总表!$O$3:$O$1025,MATCH($E44,学年度总表!$E$3:$E$1025,0))="","",INDEX(学年度总表!$O$3:$O$1025,MATCH($E44,学年度总表!$E$3:$E$1025,0)))</f>
        <v>154.12</v>
      </c>
      <c r="P44" s="4" t="str">
        <f>IF(INDEX(学年度总表!$P$3:$P$1025,MATCH($E44,学年度总表!$E$3:$E$1025,0))="","",INDEX(学年度总表!$P$3:$P$1025,MATCH($E44,学年度总表!$E$3:$E$1025,0)))</f>
        <v>校三等</v>
      </c>
      <c r="Q44" s="5" t="str">
        <f>IF(INDEX(学年度总表!$Q$3:$Q$1025,MATCH($E44,学年度总表!$E$3:$E$1025,0))="","",INDEX(学年度总表!$Q$3:$Q$1025,MATCH($E44,学年度总表!$E$3:$E$1025,0)))</f>
        <v/>
      </c>
    </row>
    <row r="45" spans="1:17">
      <c r="A45" s="2">
        <f>IF(INDEX(学年度总表!$A$3:$A$1025,MATCH($E45,学年度总表!$E$3:$E$1025,0))="","",INDEX(学年度总表!$A$3:$A$1025,MATCH($E45,学年度总表!$E$3:$E$1025,0)))</f>
        <v>173</v>
      </c>
      <c r="B45" s="2">
        <f>IF(INDEX(学年度总表!$B$3:$B$1025,MATCH($E45,学年度总表!$E$3:$E$1025,0))="","",INDEX(学年度总表!$B$3:$B$1025,MATCH($E45,学年度总表!$E$3:$E$1025,0)))</f>
        <v>43</v>
      </c>
      <c r="C45" s="2" t="str">
        <f>IF(INDEX(学年度总表!$C$3:$C$1025,MATCH($E45,学年度总表!$E$3:$E$1025,0))="","",INDEX(学年度总表!$C$3:$C$1025,MATCH($E45,学年度总表!$E$3:$E$1025,0)))</f>
        <v>信管</v>
      </c>
      <c r="D45" s="2" t="str">
        <f>IF(INDEX(学年度总表!$D$3:$D$1025,MATCH($E45,学年度总表!$E$3:$E$1025,0))="","",INDEX(学年度总表!$D$3:$D$1025,MATCH($E45,学年度总表!$E$3:$E$1025,0)))</f>
        <v>信管22班</v>
      </c>
      <c r="E45" s="2" t="s">
        <v>403</v>
      </c>
      <c r="F45" s="2" t="str">
        <f>IF(INDEX(学年度总表!$F$3:$F$1025,MATCH($E45,学年度总表!$E$3:$E$1025,0))="","",INDEX(学年度总表!$F$3:$F$1025,MATCH($E45,学年度总表!$E$3:$E$1025,0)))</f>
        <v>张修平</v>
      </c>
      <c r="G45" s="3">
        <f>IF(INDEX(学年度总表!$G$3:$G$1025,MATCH($E45,学年度总表!$E$3:$E$1025,0))="","",INDEX(学年度总表!$G$3:$G$1025,MATCH($E45,学年度总表!$E$3:$E$1025,0)))</f>
        <v>10</v>
      </c>
      <c r="H45" s="3">
        <f>IF(INDEX(学年度总表!$H$3:$H$1025,MATCH($E45,学年度总表!$E$3:$E$1025,0))="","",INDEX(学年度总表!$H$3:$H$1025,MATCH($E45,学年度总表!$E$3:$E$1025,0)))</f>
        <v>65.819999999999993</v>
      </c>
      <c r="I45" s="3">
        <f>IF(INDEX(学年度总表!$I$3:$I$1025,MATCH($E45,学年度总表!$E$3:$E$1025,0))="","",INDEX(学年度总表!$I$3:$I$1025,MATCH($E45,学年度总表!$E$3:$E$1025,0)))</f>
        <v>3</v>
      </c>
      <c r="J45" s="3">
        <f>IF(INDEX(学年度总表!$J$3:$J$1025,MATCH($E45,学年度总表!$E$3:$E$1025,0))="","",INDEX(学年度总表!$J$3:$J$1025,MATCH($E45,学年度总表!$E$3:$E$1025,0)))</f>
        <v>78.819999999999993</v>
      </c>
      <c r="K45" s="3">
        <f>IF(INDEX(学年度总表!$K$3:$K$1025,MATCH($E45,学年度总表!$E$3:$E$1025,0))="","",INDEX(学年度总表!$K$3:$K$1025,MATCH($E45,学年度总表!$E$3:$E$1025,0)))</f>
        <v>10</v>
      </c>
      <c r="L45" s="3">
        <f>IF(INDEX(学年度总表!$L$3:$L$1025,MATCH($E45,学年度总表!$E$3:$E$1025,0))="","",INDEX(学年度总表!$L$3:$L$1025,MATCH($E45,学年度总表!$E$3:$E$1025,0)))</f>
        <v>62.08</v>
      </c>
      <c r="M45" s="3">
        <f>IF(INDEX(学年度总表!$M$3:$M$1025,MATCH($E45,学年度总表!$E$3:$E$1025,0))="","",INDEX(学年度总表!$M$3:$M$1025,MATCH($E45,学年度总表!$E$3:$E$1025,0)))</f>
        <v>3</v>
      </c>
      <c r="N45" s="3">
        <f>IF(INDEX(学年度总表!$N$3:$N$1025,MATCH($E45,学年度总表!$E$3:$E$1025,0))="","",INDEX(学年度总表!$N$3:$N$1025,MATCH($E45,学年度总表!$E$3:$E$1025,0)))</f>
        <v>75.08</v>
      </c>
      <c r="O45" s="3">
        <f>IF(INDEX(学年度总表!$O$3:$O$1025,MATCH($E45,学年度总表!$E$3:$E$1025,0))="","",INDEX(学年度总表!$O$3:$O$1025,MATCH($E45,学年度总表!$E$3:$E$1025,0)))</f>
        <v>153.9</v>
      </c>
      <c r="P45" s="4" t="str">
        <f>IF(INDEX(学年度总表!$P$3:$P$1025,MATCH($E45,学年度总表!$E$3:$E$1025,0))="","",INDEX(学年度总表!$P$3:$P$1025,MATCH($E45,学年度总表!$E$3:$E$1025,0)))</f>
        <v>校三等</v>
      </c>
      <c r="Q45" s="5" t="str">
        <f>IF(INDEX(学年度总表!$Q$3:$Q$1025,MATCH($E45,学年度总表!$E$3:$E$1025,0))="","",INDEX(学年度总表!$Q$3:$Q$1025,MATCH($E45,学年度总表!$E$3:$E$1025,0)))</f>
        <v/>
      </c>
    </row>
    <row r="46" spans="1:17">
      <c r="A46" s="2">
        <f>IF(INDEX(学年度总表!$A$3:$A$1025,MATCH($E46,学年度总表!$E$3:$E$1025,0))="","",INDEX(学年度总表!$A$3:$A$1025,MATCH($E46,学年度总表!$E$3:$E$1025,0)))</f>
        <v>175</v>
      </c>
      <c r="B46" s="2">
        <f>IF(INDEX(学年度总表!$B$3:$B$1025,MATCH($E46,学年度总表!$E$3:$E$1025,0))="","",INDEX(学年度总表!$B$3:$B$1025,MATCH($E46,学年度总表!$E$3:$E$1025,0)))</f>
        <v>44</v>
      </c>
      <c r="C46" s="2" t="str">
        <f>IF(INDEX(学年度总表!$C$3:$C$1025,MATCH($E46,学年度总表!$E$3:$E$1025,0))="","",INDEX(学年度总表!$C$3:$C$1025,MATCH($E46,学年度总表!$E$3:$E$1025,0)))</f>
        <v>信管</v>
      </c>
      <c r="D46" s="2" t="str">
        <f>IF(INDEX(学年度总表!$D$3:$D$1025,MATCH($E46,学年度总表!$E$3:$E$1025,0))="","",INDEX(学年度总表!$D$3:$D$1025,MATCH($E46,学年度总表!$E$3:$E$1025,0)))</f>
        <v>信管23班</v>
      </c>
      <c r="E46" s="2" t="s">
        <v>407</v>
      </c>
      <c r="F46" s="2" t="str">
        <f>IF(INDEX(学年度总表!$F$3:$F$1025,MATCH($E46,学年度总表!$E$3:$E$1025,0))="","",INDEX(学年度总表!$F$3:$F$1025,MATCH($E46,学年度总表!$E$3:$E$1025,0)))</f>
        <v>谷曜丞</v>
      </c>
      <c r="G46" s="3">
        <f>IF(INDEX(学年度总表!$G$3:$G$1025,MATCH($E46,学年度总表!$E$3:$E$1025,0))="","",INDEX(学年度总表!$G$3:$G$1025,MATCH($E46,学年度总表!$E$3:$E$1025,0)))</f>
        <v>9.8000000000000007</v>
      </c>
      <c r="H46" s="3">
        <f>IF(INDEX(学年度总表!$H$3:$H$1025,MATCH($E46,学年度总表!$E$3:$E$1025,0))="","",INDEX(学年度总表!$H$3:$H$1025,MATCH($E46,学年度总表!$E$3:$E$1025,0)))</f>
        <v>60.67</v>
      </c>
      <c r="I46" s="3">
        <f>IF(INDEX(学年度总表!$I$3:$I$1025,MATCH($E46,学年度总表!$E$3:$E$1025,0))="","",INDEX(学年度总表!$I$3:$I$1025,MATCH($E46,学年度总表!$E$3:$E$1025,0)))</f>
        <v>5.0999999999999996</v>
      </c>
      <c r="J46" s="3">
        <f>IF(INDEX(学年度总表!$J$3:$J$1025,MATCH($E46,学年度总表!$E$3:$E$1025,0))="","",INDEX(学年度总表!$J$3:$J$1025,MATCH($E46,学年度总表!$E$3:$E$1025,0)))</f>
        <v>75.569999999999993</v>
      </c>
      <c r="K46" s="3">
        <f>IF(INDEX(学年度总表!$K$3:$K$1025,MATCH($E46,学年度总表!$E$3:$E$1025,0))="","",INDEX(学年度总表!$K$3:$K$1025,MATCH($E46,学年度总表!$E$3:$E$1025,0)))</f>
        <v>9.8000000000000007</v>
      </c>
      <c r="L46" s="3">
        <f>IF(INDEX(学年度总表!$L$3:$L$1025,MATCH($E46,学年度总表!$E$3:$E$1025,0))="","",INDEX(学年度总表!$L$3:$L$1025,MATCH($E46,学年度总表!$E$3:$E$1025,0)))</f>
        <v>61.63</v>
      </c>
      <c r="M46" s="3">
        <f>IF(INDEX(学年度总表!$M$3:$M$1025,MATCH($E46,学年度总表!$E$3:$E$1025,0))="","",INDEX(学年度总表!$M$3:$M$1025,MATCH($E46,学年度总表!$E$3:$E$1025,0)))</f>
        <v>6.7</v>
      </c>
      <c r="N46" s="3">
        <f>IF(INDEX(学年度总表!$N$3:$N$1025,MATCH($E46,学年度总表!$E$3:$E$1025,0))="","",INDEX(学年度总表!$N$3:$N$1025,MATCH($E46,学年度总表!$E$3:$E$1025,0)))</f>
        <v>78.13</v>
      </c>
      <c r="O46" s="3">
        <f>IF(INDEX(学年度总表!$O$3:$O$1025,MATCH($E46,学年度总表!$E$3:$E$1025,0))="","",INDEX(学年度总表!$O$3:$O$1025,MATCH($E46,学年度总表!$E$3:$E$1025,0)))</f>
        <v>153.69999999999999</v>
      </c>
      <c r="P46" s="4" t="str">
        <f>IF(INDEX(学年度总表!$P$3:$P$1025,MATCH($E46,学年度总表!$E$3:$E$1025,0))="","",INDEX(学年度总表!$P$3:$P$1025,MATCH($E46,学年度总表!$E$3:$E$1025,0)))</f>
        <v>校三等、文体奖学金</v>
      </c>
      <c r="Q46" s="5" t="str">
        <f>IF(INDEX(学年度总表!$Q$3:$Q$1025,MATCH($E46,学年度总表!$E$3:$E$1025,0))="","",INDEX(学年度总表!$Q$3:$Q$1025,MATCH($E46,学年度总表!$E$3:$E$1025,0)))</f>
        <v/>
      </c>
    </row>
    <row r="47" spans="1:17">
      <c r="A47" s="2">
        <f>IF(INDEX(学年度总表!$A$3:$A$1025,MATCH($E47,学年度总表!$E$3:$E$1025,0))="","",INDEX(学年度总表!$A$3:$A$1025,MATCH($E47,学年度总表!$E$3:$E$1025,0)))</f>
        <v>179</v>
      </c>
      <c r="B47" s="2">
        <f>IF(INDEX(学年度总表!$B$3:$B$1025,MATCH($E47,学年度总表!$E$3:$E$1025,0))="","",INDEX(学年度总表!$B$3:$B$1025,MATCH($E47,学年度总表!$E$3:$E$1025,0)))</f>
        <v>45</v>
      </c>
      <c r="C47" s="2" t="str">
        <f>IF(INDEX(学年度总表!$C$3:$C$1025,MATCH($E47,学年度总表!$E$3:$E$1025,0))="","",INDEX(学年度总表!$C$3:$C$1025,MATCH($E47,学年度总表!$E$3:$E$1025,0)))</f>
        <v>信管</v>
      </c>
      <c r="D47" s="2" t="str">
        <f>IF(INDEX(学年度总表!$D$3:$D$1025,MATCH($E47,学年度总表!$E$3:$E$1025,0))="","",INDEX(学年度总表!$D$3:$D$1025,MATCH($E47,学年度总表!$E$3:$E$1025,0)))</f>
        <v>信管25班</v>
      </c>
      <c r="E47" s="2" t="s">
        <v>415</v>
      </c>
      <c r="F47" s="2" t="str">
        <f>IF(INDEX(学年度总表!$F$3:$F$1025,MATCH($E47,学年度总表!$E$3:$E$1025,0))="","",INDEX(学年度总表!$F$3:$F$1025,MATCH($E47,学年度总表!$E$3:$E$1025,0)))</f>
        <v>邵靖乔</v>
      </c>
      <c r="G47" s="3">
        <f>IF(INDEX(学年度总表!$G$3:$G$1025,MATCH($E47,学年度总表!$E$3:$E$1025,0))="","",INDEX(学年度总表!$G$3:$G$1025,MATCH($E47,学年度总表!$E$3:$E$1025,0)))</f>
        <v>9.8000000000000007</v>
      </c>
      <c r="H47" s="3">
        <f>IF(INDEX(学年度总表!$H$3:$H$1025,MATCH($E47,学年度总表!$E$3:$E$1025,0))="","",INDEX(学年度总表!$H$3:$H$1025,MATCH($E47,学年度总表!$E$3:$E$1025,0)))</f>
        <v>61.99</v>
      </c>
      <c r="I47" s="3">
        <f>IF(INDEX(学年度总表!$I$3:$I$1025,MATCH($E47,学年度总表!$E$3:$E$1025,0))="","",INDEX(学年度总表!$I$3:$I$1025,MATCH($E47,学年度总表!$E$3:$E$1025,0)))</f>
        <v>5.0999999999999996</v>
      </c>
      <c r="J47" s="3">
        <f>IF(INDEX(学年度总表!$J$3:$J$1025,MATCH($E47,学年度总表!$E$3:$E$1025,0))="","",INDEX(学年度总表!$J$3:$J$1025,MATCH($E47,学年度总表!$E$3:$E$1025,0)))</f>
        <v>76.89</v>
      </c>
      <c r="K47" s="3">
        <f>IF(INDEX(学年度总表!$K$3:$K$1025,MATCH($E47,学年度总表!$E$3:$E$1025,0))="","",INDEX(学年度总表!$K$3:$K$1025,MATCH($E47,学年度总表!$E$3:$E$1025,0)))</f>
        <v>9.8000000000000007</v>
      </c>
      <c r="L47" s="3">
        <f>IF(INDEX(学年度总表!$L$3:$L$1025,MATCH($E47,学年度总表!$E$3:$E$1025,0))="","",INDEX(学年度总表!$L$3:$L$1025,MATCH($E47,学年度总表!$E$3:$E$1025,0)))</f>
        <v>60</v>
      </c>
      <c r="M47" s="3">
        <f>IF(INDEX(学年度总表!$M$3:$M$1025,MATCH($E47,学年度总表!$E$3:$E$1025,0))="","",INDEX(学年度总表!$M$3:$M$1025,MATCH($E47,学年度总表!$E$3:$E$1025,0)))</f>
        <v>6.7</v>
      </c>
      <c r="N47" s="3">
        <f>IF(INDEX(学年度总表!$N$3:$N$1025,MATCH($E47,学年度总表!$E$3:$E$1025,0))="","",INDEX(学年度总表!$N$3:$N$1025,MATCH($E47,学年度总表!$E$3:$E$1025,0)))</f>
        <v>76.5</v>
      </c>
      <c r="O47" s="3">
        <f>IF(INDEX(学年度总表!$O$3:$O$1025,MATCH($E47,学年度总表!$E$3:$E$1025,0))="","",INDEX(学年度总表!$O$3:$O$1025,MATCH($E47,学年度总表!$E$3:$E$1025,0)))</f>
        <v>153.38999999999999</v>
      </c>
      <c r="P47" s="4" t="str">
        <f>IF(INDEX(学年度总表!$P$3:$P$1025,MATCH($E47,学年度总表!$E$3:$E$1025,0))="","",INDEX(学年度总表!$P$3:$P$1025,MATCH($E47,学年度总表!$E$3:$E$1025,0)))</f>
        <v>校三等、文体奖学金</v>
      </c>
      <c r="Q47" s="5" t="str">
        <f>IF(INDEX(学年度总表!$Q$3:$Q$1025,MATCH($E47,学年度总表!$E$3:$E$1025,0))="","",INDEX(学年度总表!$Q$3:$Q$1025,MATCH($E47,学年度总表!$E$3:$E$1025,0)))</f>
        <v/>
      </c>
    </row>
    <row r="48" spans="1:17">
      <c r="A48" s="2">
        <f>IF(INDEX(学年度总表!$A$3:$A$1025,MATCH($E48,学年度总表!$E$3:$E$1025,0))="","",INDEX(学年度总表!$A$3:$A$1025,MATCH($E48,学年度总表!$E$3:$E$1025,0)))</f>
        <v>182</v>
      </c>
      <c r="B48" s="2">
        <f>IF(INDEX(学年度总表!$B$3:$B$1025,MATCH($E48,学年度总表!$E$3:$E$1025,0))="","",INDEX(学年度总表!$B$3:$B$1025,MATCH($E48,学年度总表!$E$3:$E$1025,0)))</f>
        <v>46</v>
      </c>
      <c r="C48" s="2" t="str">
        <f>IF(INDEX(学年度总表!$C$3:$C$1025,MATCH($E48,学年度总表!$E$3:$E$1025,0))="","",INDEX(学年度总表!$C$3:$C$1025,MATCH($E48,学年度总表!$E$3:$E$1025,0)))</f>
        <v>信管</v>
      </c>
      <c r="D48" s="2" t="str">
        <f>IF(INDEX(学年度总表!$D$3:$D$1025,MATCH($E48,学年度总表!$E$3:$E$1025,0))="","",INDEX(学年度总表!$D$3:$D$1025,MATCH($E48,学年度总表!$E$3:$E$1025,0)))</f>
        <v>信管22班</v>
      </c>
      <c r="E48" s="2" t="s">
        <v>422</v>
      </c>
      <c r="F48" s="2" t="str">
        <f>IF(INDEX(学年度总表!$F$3:$F$1025,MATCH($E48,学年度总表!$E$3:$E$1025,0))="","",INDEX(学年度总表!$F$3:$F$1025,MATCH($E48,学年度总表!$E$3:$E$1025,0)))</f>
        <v>杨心雨</v>
      </c>
      <c r="G48" s="3">
        <f>IF(INDEX(学年度总表!$G$3:$G$1025,MATCH($E48,学年度总表!$E$3:$E$1025,0))="","",INDEX(学年度总表!$G$3:$G$1025,MATCH($E48,学年度总表!$E$3:$E$1025,0)))</f>
        <v>11.6</v>
      </c>
      <c r="H48" s="3">
        <f>IF(INDEX(学年度总表!$H$3:$H$1025,MATCH($E48,学年度总表!$E$3:$E$1025,0))="","",INDEX(学年度总表!$H$3:$H$1025,MATCH($E48,学年度总表!$E$3:$E$1025,0)))</f>
        <v>60.28</v>
      </c>
      <c r="I48" s="3">
        <f>IF(INDEX(学年度总表!$I$3:$I$1025,MATCH($E48,学年度总表!$E$3:$E$1025,0))="","",INDEX(学年度总表!$I$3:$I$1025,MATCH($E48,学年度总表!$E$3:$E$1025,0)))</f>
        <v>3.6</v>
      </c>
      <c r="J48" s="3">
        <f>IF(INDEX(学年度总表!$J$3:$J$1025,MATCH($E48,学年度总表!$E$3:$E$1025,0))="","",INDEX(学年度总表!$J$3:$J$1025,MATCH($E48,学年度总表!$E$3:$E$1025,0)))</f>
        <v>75.48</v>
      </c>
      <c r="K48" s="3">
        <f>IF(INDEX(学年度总表!$K$3:$K$1025,MATCH($E48,学年度总表!$E$3:$E$1025,0))="","",INDEX(学年度总表!$K$3:$K$1025,MATCH($E48,学年度总表!$E$3:$E$1025,0)))</f>
        <v>9.8000000000000007</v>
      </c>
      <c r="L48" s="3">
        <f>IF(INDEX(学年度总表!$L$3:$L$1025,MATCH($E48,学年度总表!$E$3:$E$1025,0))="","",INDEX(学年度总表!$L$3:$L$1025,MATCH($E48,学年度总表!$E$3:$E$1025,0)))</f>
        <v>63.3</v>
      </c>
      <c r="M48" s="3">
        <f>IF(INDEX(学年度总表!$M$3:$M$1025,MATCH($E48,学年度总表!$E$3:$E$1025,0))="","",INDEX(学年度总表!$M$3:$M$1025,MATCH($E48,学年度总表!$E$3:$E$1025,0)))</f>
        <v>4.7</v>
      </c>
      <c r="N48" s="3">
        <f>IF(INDEX(学年度总表!$N$3:$N$1025,MATCH($E48,学年度总表!$E$3:$E$1025,0))="","",INDEX(学年度总表!$N$3:$N$1025,MATCH($E48,学年度总表!$E$3:$E$1025,0)))</f>
        <v>77.8</v>
      </c>
      <c r="O48" s="3">
        <f>IF(INDEX(学年度总表!$O$3:$O$1025,MATCH($E48,学年度总表!$E$3:$E$1025,0))="","",INDEX(学年度总表!$O$3:$O$1025,MATCH($E48,学年度总表!$E$3:$E$1025,0)))</f>
        <v>153.28</v>
      </c>
      <c r="P48" s="4" t="str">
        <f>IF(INDEX(学年度总表!$P$3:$P$1025,MATCH($E48,学年度总表!$E$3:$E$1025,0))="","",INDEX(学年度总表!$P$3:$P$1025,MATCH($E48,学年度总表!$E$3:$E$1025,0)))</f>
        <v>校三等</v>
      </c>
      <c r="Q48" s="5" t="str">
        <f>IF(INDEX(学年度总表!$Q$3:$Q$1025,MATCH($E48,学年度总表!$E$3:$E$1025,0))="","",INDEX(学年度总表!$Q$3:$Q$1025,MATCH($E48,学年度总表!$E$3:$E$1025,0)))</f>
        <v/>
      </c>
    </row>
    <row r="49" spans="1:17">
      <c r="A49" s="2">
        <f>IF(INDEX(学年度总表!$A$3:$A$1025,MATCH($E49,学年度总表!$E$3:$E$1025,0))="","",INDEX(学年度总表!$A$3:$A$1025,MATCH($E49,学年度总表!$E$3:$E$1025,0)))</f>
        <v>186</v>
      </c>
      <c r="B49" s="2">
        <f>IF(INDEX(学年度总表!$B$3:$B$1025,MATCH($E49,学年度总表!$E$3:$E$1025,0))="","",INDEX(学年度总表!$B$3:$B$1025,MATCH($E49,学年度总表!$E$3:$E$1025,0)))</f>
        <v>47</v>
      </c>
      <c r="C49" s="2" t="str">
        <f>IF(INDEX(学年度总表!$C$3:$C$1025,MATCH($E49,学年度总表!$E$3:$E$1025,0))="","",INDEX(学年度总表!$C$3:$C$1025,MATCH($E49,学年度总表!$E$3:$E$1025,0)))</f>
        <v>信管</v>
      </c>
      <c r="D49" s="2" t="str">
        <f>IF(INDEX(学年度总表!$D$3:$D$1025,MATCH($E49,学年度总表!$E$3:$E$1025,0))="","",INDEX(学年度总表!$D$3:$D$1025,MATCH($E49,学年度总表!$E$3:$E$1025,0)))</f>
        <v>信管26班</v>
      </c>
      <c r="E49" s="2" t="s">
        <v>430</v>
      </c>
      <c r="F49" s="2" t="str">
        <f>IF(INDEX(学年度总表!$F$3:$F$1025,MATCH($E49,学年度总表!$E$3:$E$1025,0))="","",INDEX(学年度总表!$F$3:$F$1025,MATCH($E49,学年度总表!$E$3:$E$1025,0)))</f>
        <v>张曦文</v>
      </c>
      <c r="G49" s="3">
        <f>IF(INDEX(学年度总表!$G$3:$G$1025,MATCH($E49,学年度总表!$E$3:$E$1025,0))="","",INDEX(学年度总表!$G$3:$G$1025,MATCH($E49,学年度总表!$E$3:$E$1025,0)))</f>
        <v>10</v>
      </c>
      <c r="H49" s="3">
        <f>IF(INDEX(学年度总表!$H$3:$H$1025,MATCH($E49,学年度总表!$E$3:$E$1025,0))="","",INDEX(学年度总表!$H$3:$H$1025,MATCH($E49,学年度总表!$E$3:$E$1025,0)))</f>
        <v>61.81</v>
      </c>
      <c r="I49" s="3">
        <f>IF(INDEX(学年度总表!$I$3:$I$1025,MATCH($E49,学年度总表!$E$3:$E$1025,0))="","",INDEX(学年度总表!$I$3:$I$1025,MATCH($E49,学年度总表!$E$3:$E$1025,0)))</f>
        <v>3.2</v>
      </c>
      <c r="J49" s="3">
        <f>IF(INDEX(学年度总表!$J$3:$J$1025,MATCH($E49,学年度总表!$E$3:$E$1025,0))="","",INDEX(学年度总表!$J$3:$J$1025,MATCH($E49,学年度总表!$E$3:$E$1025,0)))</f>
        <v>75.010000000000005</v>
      </c>
      <c r="K49" s="3">
        <f>IF(INDEX(学年度总表!$K$3:$K$1025,MATCH($E49,学年度总表!$E$3:$E$1025,0))="","",INDEX(学年度总表!$K$3:$K$1025,MATCH($E49,学年度总表!$E$3:$E$1025,0)))</f>
        <v>10</v>
      </c>
      <c r="L49" s="3">
        <f>IF(INDEX(学年度总表!$L$3:$L$1025,MATCH($E49,学年度总表!$E$3:$E$1025,0))="","",INDEX(学年度总表!$L$3:$L$1025,MATCH($E49,学年度总表!$E$3:$E$1025,0)))</f>
        <v>65.03</v>
      </c>
      <c r="M49" s="3">
        <f>IF(INDEX(学年度总表!$M$3:$M$1025,MATCH($E49,学年度总表!$E$3:$E$1025,0))="","",INDEX(学年度总表!$M$3:$M$1025,MATCH($E49,学年度总表!$E$3:$E$1025,0)))</f>
        <v>3</v>
      </c>
      <c r="N49" s="3">
        <f>IF(INDEX(学年度总表!$N$3:$N$1025,MATCH($E49,学年度总表!$E$3:$E$1025,0))="","",INDEX(学年度总表!$N$3:$N$1025,MATCH($E49,学年度总表!$E$3:$E$1025,0)))</f>
        <v>78.03</v>
      </c>
      <c r="O49" s="3">
        <f>IF(INDEX(学年度总表!$O$3:$O$1025,MATCH($E49,学年度总表!$E$3:$E$1025,0))="","",INDEX(学年度总表!$O$3:$O$1025,MATCH($E49,学年度总表!$E$3:$E$1025,0)))</f>
        <v>153.04</v>
      </c>
      <c r="P49" s="4" t="str">
        <f>IF(INDEX(学年度总表!$P$3:$P$1025,MATCH($E49,学年度总表!$E$3:$E$1025,0))="","",INDEX(学年度总表!$P$3:$P$1025,MATCH($E49,学年度总表!$E$3:$E$1025,0)))</f>
        <v>校三等</v>
      </c>
      <c r="Q49" s="5" t="str">
        <f>IF(INDEX(学年度总表!$Q$3:$Q$1025,MATCH($E49,学年度总表!$E$3:$E$1025,0))="","",INDEX(学年度总表!$Q$3:$Q$1025,MATCH($E49,学年度总表!$E$3:$E$1025,0)))</f>
        <v>转入日本语学院</v>
      </c>
    </row>
    <row r="50" spans="1:17">
      <c r="A50" s="2">
        <f>IF(INDEX(学年度总表!$A$3:$A$1025,MATCH($E50,学年度总表!$E$3:$E$1025,0))="","",INDEX(学年度总表!$A$3:$A$1025,MATCH($E50,学年度总表!$E$3:$E$1025,0)))</f>
        <v>188</v>
      </c>
      <c r="B50" s="2">
        <f>IF(INDEX(学年度总表!$B$3:$B$1025,MATCH($E50,学年度总表!$E$3:$E$1025,0))="","",INDEX(学年度总表!$B$3:$B$1025,MATCH($E50,学年度总表!$E$3:$E$1025,0)))</f>
        <v>48</v>
      </c>
      <c r="C50" s="2" t="str">
        <f>IF(INDEX(学年度总表!$C$3:$C$1025,MATCH($E50,学年度总表!$E$3:$E$1025,0))="","",INDEX(学年度总表!$C$3:$C$1025,MATCH($E50,学年度总表!$E$3:$E$1025,0)))</f>
        <v>信管</v>
      </c>
      <c r="D50" s="2" t="str">
        <f>IF(INDEX(学年度总表!$D$3:$D$1025,MATCH($E50,学年度总表!$E$3:$E$1025,0))="","",INDEX(学年度总表!$D$3:$D$1025,MATCH($E50,学年度总表!$E$3:$E$1025,0)))</f>
        <v>信管27班</v>
      </c>
      <c r="E50" s="2" t="s">
        <v>435</v>
      </c>
      <c r="F50" s="2" t="str">
        <f>IF(INDEX(学年度总表!$F$3:$F$1025,MATCH($E50,学年度总表!$E$3:$E$1025,0))="","",INDEX(学年度总表!$F$3:$F$1025,MATCH($E50,学年度总表!$E$3:$E$1025,0)))</f>
        <v>张艺哲</v>
      </c>
      <c r="G50" s="3">
        <f>IF(INDEX(学年度总表!$G$3:$G$1025,MATCH($E50,学年度总表!$E$3:$E$1025,0))="","",INDEX(学年度总表!$G$3:$G$1025,MATCH($E50,学年度总表!$E$3:$E$1025,0)))</f>
        <v>10.3</v>
      </c>
      <c r="H50" s="3">
        <f>IF(INDEX(学年度总表!$H$3:$H$1025,MATCH($E50,学年度总表!$E$3:$E$1025,0))="","",INDEX(学年度总表!$H$3:$H$1025,MATCH($E50,学年度总表!$E$3:$E$1025,0)))</f>
        <v>63.69</v>
      </c>
      <c r="I50" s="3">
        <f>IF(INDEX(学年度总表!$I$3:$I$1025,MATCH($E50,学年度总表!$E$3:$E$1025,0))="","",INDEX(学年度总表!$I$3:$I$1025,MATCH($E50,学年度总表!$E$3:$E$1025,0)))</f>
        <v>5.2</v>
      </c>
      <c r="J50" s="3">
        <f>IF(INDEX(学年度总表!$J$3:$J$1025,MATCH($E50,学年度总表!$E$3:$E$1025,0))="","",INDEX(学年度总表!$J$3:$J$1025,MATCH($E50,学年度总表!$E$3:$E$1025,0)))</f>
        <v>79.19</v>
      </c>
      <c r="K50" s="3">
        <f>IF(INDEX(学年度总表!$K$3:$K$1025,MATCH($E50,学年度总表!$E$3:$E$1025,0))="","",INDEX(学年度总表!$K$3:$K$1025,MATCH($E50,学年度总表!$E$3:$E$1025,0)))</f>
        <v>9.8000000000000007</v>
      </c>
      <c r="L50" s="3">
        <f>IF(INDEX(学年度总表!$L$3:$L$1025,MATCH($E50,学年度总表!$E$3:$E$1025,0))="","",INDEX(学年度总表!$L$3:$L$1025,MATCH($E50,学年度总表!$E$3:$E$1025,0)))</f>
        <v>58.25</v>
      </c>
      <c r="M50" s="3">
        <f>IF(INDEX(学年度总表!$M$3:$M$1025,MATCH($E50,学年度总表!$E$3:$E$1025,0))="","",INDEX(学年度总表!$M$3:$M$1025,MATCH($E50,学年度总表!$E$3:$E$1025,0)))</f>
        <v>5.7</v>
      </c>
      <c r="N50" s="3">
        <f>IF(INDEX(学年度总表!$N$3:$N$1025,MATCH($E50,学年度总表!$E$3:$E$1025,0))="","",INDEX(学年度总表!$N$3:$N$1025,MATCH($E50,学年度总表!$E$3:$E$1025,0)))</f>
        <v>73.75</v>
      </c>
      <c r="O50" s="3">
        <f>IF(INDEX(学年度总表!$O$3:$O$1025,MATCH($E50,学年度总表!$E$3:$E$1025,0))="","",INDEX(学年度总表!$O$3:$O$1025,MATCH($E50,学年度总表!$E$3:$E$1025,0)))</f>
        <v>152.94</v>
      </c>
      <c r="P50" s="4" t="str">
        <f>IF(INDEX(学年度总表!$P$3:$P$1025,MATCH($E50,学年度总表!$E$3:$E$1025,0))="","",INDEX(学年度总表!$P$3:$P$1025,MATCH($E50,学年度总表!$E$3:$E$1025,0)))</f>
        <v>国励</v>
      </c>
      <c r="Q50" s="5" t="str">
        <f>IF(INDEX(学年度总表!$Q$3:$Q$1025,MATCH($E50,学年度总表!$E$3:$E$1025,0))="","",INDEX(学年度总表!$Q$3:$Q$1025,MATCH($E50,学年度总表!$E$3:$E$1025,0)))</f>
        <v/>
      </c>
    </row>
    <row r="51" spans="1:17">
      <c r="A51" s="2">
        <f>IF(INDEX(学年度总表!$A$3:$A$1025,MATCH($E51,学年度总表!$E$3:$E$1025,0))="","",INDEX(学年度总表!$A$3:$A$1025,MATCH($E51,学年度总表!$E$3:$E$1025,0)))</f>
        <v>189</v>
      </c>
      <c r="B51" s="2">
        <f>IF(INDEX(学年度总表!$B$3:$B$1025,MATCH($E51,学年度总表!$E$3:$E$1025,0))="","",INDEX(学年度总表!$B$3:$B$1025,MATCH($E51,学年度总表!$E$3:$E$1025,0)))</f>
        <v>49</v>
      </c>
      <c r="C51" s="2" t="str">
        <f>IF(INDEX(学年度总表!$C$3:$C$1025,MATCH($E51,学年度总表!$E$3:$E$1025,0))="","",INDEX(学年度总表!$C$3:$C$1025,MATCH($E51,学年度总表!$E$3:$E$1025,0)))</f>
        <v>信管</v>
      </c>
      <c r="D51" s="2" t="str">
        <f>IF(INDEX(学年度总表!$D$3:$D$1025,MATCH($E51,学年度总表!$E$3:$E$1025,0))="","",INDEX(学年度总表!$D$3:$D$1025,MATCH($E51,学年度总表!$E$3:$E$1025,0)))</f>
        <v>信管25班</v>
      </c>
      <c r="E51" s="2" t="s">
        <v>437</v>
      </c>
      <c r="F51" s="2" t="str">
        <f>IF(INDEX(学年度总表!$F$3:$F$1025,MATCH($E51,学年度总表!$E$3:$E$1025,0))="","",INDEX(学年度总表!$F$3:$F$1025,MATCH($E51,学年度总表!$E$3:$E$1025,0)))</f>
        <v>侯思宇</v>
      </c>
      <c r="G51" s="3">
        <f>IF(INDEX(学年度总表!$G$3:$G$1025,MATCH($E51,学年度总表!$E$3:$E$1025,0))="","",INDEX(学年度总表!$G$3:$G$1025,MATCH($E51,学年度总表!$E$3:$E$1025,0)))</f>
        <v>10.8</v>
      </c>
      <c r="H51" s="3">
        <f>IF(INDEX(学年度总表!$H$3:$H$1025,MATCH($E51,学年度总表!$E$3:$E$1025,0))="","",INDEX(学年度总表!$H$3:$H$1025,MATCH($E51,学年度总表!$E$3:$E$1025,0)))</f>
        <v>65.05</v>
      </c>
      <c r="I51" s="3">
        <f>IF(INDEX(学年度总表!$I$3:$I$1025,MATCH($E51,学年度总表!$E$3:$E$1025,0))="","",INDEX(学年度总表!$I$3:$I$1025,MATCH($E51,学年度总表!$E$3:$E$1025,0)))</f>
        <v>4</v>
      </c>
      <c r="J51" s="3">
        <f>IF(INDEX(学年度总表!$J$3:$J$1025,MATCH($E51,学年度总表!$E$3:$E$1025,0))="","",INDEX(学年度总表!$J$3:$J$1025,MATCH($E51,学年度总表!$E$3:$E$1025,0)))</f>
        <v>79.849999999999994</v>
      </c>
      <c r="K51" s="3">
        <f>IF(INDEX(学年度总表!$K$3:$K$1025,MATCH($E51,学年度总表!$E$3:$E$1025,0))="","",INDEX(学年度总表!$K$3:$K$1025,MATCH($E51,学年度总表!$E$3:$E$1025,0)))</f>
        <v>7.5</v>
      </c>
      <c r="L51" s="3">
        <f>IF(INDEX(学年度总表!$L$3:$L$1025,MATCH($E51,学年度总表!$E$3:$E$1025,0))="","",INDEX(学年度总表!$L$3:$L$1025,MATCH($E51,学年度总表!$E$3:$E$1025,0)))</f>
        <v>61.64</v>
      </c>
      <c r="M51" s="3">
        <f>IF(INDEX(学年度总表!$M$3:$M$1025,MATCH($E51,学年度总表!$E$3:$E$1025,0))="","",INDEX(学年度总表!$M$3:$M$1025,MATCH($E51,学年度总表!$E$3:$E$1025,0)))</f>
        <v>3.9</v>
      </c>
      <c r="N51" s="3">
        <f>IF(INDEX(学年度总表!$N$3:$N$1025,MATCH($E51,学年度总表!$E$3:$E$1025,0))="","",INDEX(学年度总表!$N$3:$N$1025,MATCH($E51,学年度总表!$E$3:$E$1025,0)))</f>
        <v>73.040000000000006</v>
      </c>
      <c r="O51" s="3">
        <f>IF(INDEX(学年度总表!$O$3:$O$1025,MATCH($E51,学年度总表!$E$3:$E$1025,0))="","",INDEX(学年度总表!$O$3:$O$1025,MATCH($E51,学年度总表!$E$3:$E$1025,0)))</f>
        <v>152.88999999999999</v>
      </c>
      <c r="P51" s="4" t="str">
        <f>IF(INDEX(学年度总表!$P$3:$P$1025,MATCH($E51,学年度总表!$E$3:$E$1025,0))="","",INDEX(学年度总表!$P$3:$P$1025,MATCH($E51,学年度总表!$E$3:$E$1025,0)))</f>
        <v>校三等</v>
      </c>
      <c r="Q51" s="5" t="str">
        <f>IF(INDEX(学年度总表!$Q$3:$Q$1025,MATCH($E51,学年度总表!$E$3:$E$1025,0))="","",INDEX(学年度总表!$Q$3:$Q$1025,MATCH($E51,学年度总表!$E$3:$E$1025,0)))</f>
        <v/>
      </c>
    </row>
    <row r="52" spans="1:17">
      <c r="A52" s="2">
        <f>IF(INDEX(学年度总表!$A$3:$A$1025,MATCH($E52,学年度总表!$E$3:$E$1025,0))="","",INDEX(学年度总表!$A$3:$A$1025,MATCH($E52,学年度总表!$E$3:$E$1025,0)))</f>
        <v>208</v>
      </c>
      <c r="B52" s="2">
        <f>IF(INDEX(学年度总表!$B$3:$B$1025,MATCH($E52,学年度总表!$E$3:$E$1025,0))="","",INDEX(学年度总表!$B$3:$B$1025,MATCH($E52,学年度总表!$E$3:$E$1025,0)))</f>
        <v>50</v>
      </c>
      <c r="C52" s="2" t="str">
        <f>IF(INDEX(学年度总表!$C$3:$C$1025,MATCH($E52,学年度总表!$E$3:$E$1025,0))="","",INDEX(学年度总表!$C$3:$C$1025,MATCH($E52,学年度总表!$E$3:$E$1025,0)))</f>
        <v>信管</v>
      </c>
      <c r="D52" s="2" t="str">
        <f>IF(INDEX(学年度总表!$D$3:$D$1025,MATCH($E52,学年度总表!$E$3:$E$1025,0))="","",INDEX(学年度总表!$D$3:$D$1025,MATCH($E52,学年度总表!$E$3:$E$1025,0)))</f>
        <v>信管23班</v>
      </c>
      <c r="E52" s="2" t="s">
        <v>475</v>
      </c>
      <c r="F52" s="2" t="str">
        <f>IF(INDEX(学年度总表!$F$3:$F$1025,MATCH($E52,学年度总表!$E$3:$E$1025,0))="","",INDEX(学年度总表!$F$3:$F$1025,MATCH($E52,学年度总表!$E$3:$E$1025,0)))</f>
        <v>高思琪</v>
      </c>
      <c r="G52" s="3">
        <f>IF(INDEX(学年度总表!$G$3:$G$1025,MATCH($E52,学年度总表!$E$3:$E$1025,0))="","",INDEX(学年度总表!$G$3:$G$1025,MATCH($E52,学年度总表!$E$3:$E$1025,0)))</f>
        <v>10</v>
      </c>
      <c r="H52" s="3">
        <f>IF(INDEX(学年度总表!$H$3:$H$1025,MATCH($E52,学年度总表!$E$3:$E$1025,0))="","",INDEX(学年度总表!$H$3:$H$1025,MATCH($E52,学年度总表!$E$3:$E$1025,0)))</f>
        <v>59.27</v>
      </c>
      <c r="I52" s="3">
        <f>IF(INDEX(学年度总表!$I$3:$I$1025,MATCH($E52,学年度总表!$E$3:$E$1025,0))="","",INDEX(学年度总表!$I$3:$I$1025,MATCH($E52,学年度总表!$E$3:$E$1025,0)))</f>
        <v>5.45</v>
      </c>
      <c r="J52" s="3">
        <f>IF(INDEX(学年度总表!$J$3:$J$1025,MATCH($E52,学年度总表!$E$3:$E$1025,0))="","",INDEX(学年度总表!$J$3:$J$1025,MATCH($E52,学年度总表!$E$3:$E$1025,0)))</f>
        <v>74.72</v>
      </c>
      <c r="K52" s="3">
        <f>IF(INDEX(学年度总表!$K$3:$K$1025,MATCH($E52,学年度总表!$E$3:$E$1025,0))="","",INDEX(学年度总表!$K$3:$K$1025,MATCH($E52,学年度总表!$E$3:$E$1025,0)))</f>
        <v>10</v>
      </c>
      <c r="L52" s="3">
        <f>IF(INDEX(学年度总表!$L$3:$L$1025,MATCH($E52,学年度总表!$E$3:$E$1025,0))="","",INDEX(学年度总表!$L$3:$L$1025,MATCH($E52,学年度总表!$E$3:$E$1025,0)))</f>
        <v>58.97</v>
      </c>
      <c r="M52" s="3">
        <f>IF(INDEX(学年度总表!$M$3:$M$1025,MATCH($E52,学年度总表!$E$3:$E$1025,0))="","",INDEX(学年度总表!$M$3:$M$1025,MATCH($E52,学年度总表!$E$3:$E$1025,0)))</f>
        <v>7.9</v>
      </c>
      <c r="N52" s="3">
        <f>IF(INDEX(学年度总表!$N$3:$N$1025,MATCH($E52,学年度总表!$E$3:$E$1025,0))="","",INDEX(学年度总表!$N$3:$N$1025,MATCH($E52,学年度总表!$E$3:$E$1025,0)))</f>
        <v>76.87</v>
      </c>
      <c r="O52" s="3">
        <f>IF(INDEX(学年度总表!$O$3:$O$1025,MATCH($E52,学年度总表!$E$3:$E$1025,0))="","",INDEX(学年度总表!$O$3:$O$1025,MATCH($E52,学年度总表!$E$3:$E$1025,0)))</f>
        <v>151.59</v>
      </c>
      <c r="P52" s="4" t="str">
        <f>IF(INDEX(学年度总表!$P$3:$P$1025,MATCH($E52,学年度总表!$E$3:$E$1025,0))="","",INDEX(学年度总表!$P$3:$P$1025,MATCH($E52,学年度总表!$E$3:$E$1025,0)))</f>
        <v>校三等</v>
      </c>
      <c r="Q52" s="5" t="str">
        <f>IF(INDEX(学年度总表!$Q$3:$Q$1025,MATCH($E52,学年度总表!$E$3:$E$1025,0))="","",INDEX(学年度总表!$Q$3:$Q$1025,MATCH($E52,学年度总表!$E$3:$E$1025,0)))</f>
        <v/>
      </c>
    </row>
    <row r="53" spans="1:17">
      <c r="A53" s="2">
        <f>IF(INDEX(学年度总表!$A$3:$A$1025,MATCH($E53,学年度总表!$E$3:$E$1025,0))="","",INDEX(学年度总表!$A$3:$A$1025,MATCH($E53,学年度总表!$E$3:$E$1025,0)))</f>
        <v>211</v>
      </c>
      <c r="B53" s="2">
        <f>IF(INDEX(学年度总表!$B$3:$B$1025,MATCH($E53,学年度总表!$E$3:$E$1025,0))="","",INDEX(学年度总表!$B$3:$B$1025,MATCH($E53,学年度总表!$E$3:$E$1025,0)))</f>
        <v>51</v>
      </c>
      <c r="C53" s="2" t="str">
        <f>IF(INDEX(学年度总表!$C$3:$C$1025,MATCH($E53,学年度总表!$E$3:$E$1025,0))="","",INDEX(学年度总表!$C$3:$C$1025,MATCH($E53,学年度总表!$E$3:$E$1025,0)))</f>
        <v>信管</v>
      </c>
      <c r="D53" s="2" t="str">
        <f>IF(INDEX(学年度总表!$D$3:$D$1025,MATCH($E53,学年度总表!$E$3:$E$1025,0))="","",INDEX(学年度总表!$D$3:$D$1025,MATCH($E53,学年度总表!$E$3:$E$1025,0)))</f>
        <v>信管20班</v>
      </c>
      <c r="E53" s="2" t="s">
        <v>481</v>
      </c>
      <c r="F53" s="2" t="str">
        <f>IF(INDEX(学年度总表!$F$3:$F$1025,MATCH($E53,学年度总表!$E$3:$E$1025,0))="","",INDEX(学年度总表!$F$3:$F$1025,MATCH($E53,学年度总表!$E$3:$E$1025,0)))</f>
        <v>刘佳美</v>
      </c>
      <c r="G53" s="3">
        <f>IF(INDEX(学年度总表!$G$3:$G$1025,MATCH($E53,学年度总表!$E$3:$E$1025,0))="","",INDEX(学年度总表!$G$3:$G$1025,MATCH($E53,学年度总表!$E$3:$E$1025,0)))</f>
        <v>9.8000000000000007</v>
      </c>
      <c r="H53" s="3">
        <f>IF(INDEX(学年度总表!$H$3:$H$1025,MATCH($E53,学年度总表!$E$3:$E$1025,0))="","",INDEX(学年度总表!$H$3:$H$1025,MATCH($E53,学年度总表!$E$3:$E$1025,0)))</f>
        <v>63.94</v>
      </c>
      <c r="I53" s="3">
        <f>IF(INDEX(学年度总表!$I$3:$I$1025,MATCH($E53,学年度总表!$E$3:$E$1025,0))="","",INDEX(学年度总表!$I$3:$I$1025,MATCH($E53,学年度总表!$E$3:$E$1025,0)))</f>
        <v>3.3</v>
      </c>
      <c r="J53" s="3">
        <f>IF(INDEX(学年度总表!$J$3:$J$1025,MATCH($E53,学年度总表!$E$3:$E$1025,0))="","",INDEX(学年度总表!$J$3:$J$1025,MATCH($E53,学年度总表!$E$3:$E$1025,0)))</f>
        <v>77.040000000000006</v>
      </c>
      <c r="K53" s="3">
        <f>IF(INDEX(学年度总表!$K$3:$K$1025,MATCH($E53,学年度总表!$E$3:$E$1025,0))="","",INDEX(学年度总表!$K$3:$K$1025,MATCH($E53,学年度总表!$E$3:$E$1025,0)))</f>
        <v>9.8000000000000007</v>
      </c>
      <c r="L53" s="3">
        <f>IF(INDEX(学年度总表!$L$3:$L$1025,MATCH($E53,学年度总表!$E$3:$E$1025,0))="","",INDEX(学年度总表!$L$3:$L$1025,MATCH($E53,学年度总表!$E$3:$E$1025,0)))</f>
        <v>61.03</v>
      </c>
      <c r="M53" s="3">
        <f>IF(INDEX(学年度总表!$M$3:$M$1025,MATCH($E53,学年度总表!$E$3:$E$1025,0))="","",INDEX(学年度总表!$M$3:$M$1025,MATCH($E53,学年度总表!$E$3:$E$1025,0)))</f>
        <v>3.5</v>
      </c>
      <c r="N53" s="3">
        <f>IF(INDEX(学年度总表!$N$3:$N$1025,MATCH($E53,学年度总表!$E$3:$E$1025,0))="","",INDEX(学年度总表!$N$3:$N$1025,MATCH($E53,学年度总表!$E$3:$E$1025,0)))</f>
        <v>74.33</v>
      </c>
      <c r="O53" s="3">
        <f>IF(INDEX(学年度总表!$O$3:$O$1025,MATCH($E53,学年度总表!$E$3:$E$1025,0))="","",INDEX(学年度总表!$O$3:$O$1025,MATCH($E53,学年度总表!$E$3:$E$1025,0)))</f>
        <v>151.37</v>
      </c>
      <c r="P53" s="4" t="str">
        <f>IF(INDEX(学年度总表!$P$3:$P$1025,MATCH($E53,学年度总表!$E$3:$E$1025,0))="","",INDEX(学年度总表!$P$3:$P$1025,MATCH($E53,学年度总表!$E$3:$E$1025,0)))</f>
        <v>校三等</v>
      </c>
      <c r="Q53" s="5" t="str">
        <f>IF(INDEX(学年度总表!$Q$3:$Q$1025,MATCH($E53,学年度总表!$E$3:$E$1025,0))="","",INDEX(学年度总表!$Q$3:$Q$1025,MATCH($E53,学年度总表!$E$3:$E$1025,0)))</f>
        <v/>
      </c>
    </row>
    <row r="54" spans="1:17">
      <c r="A54" s="2">
        <f>IF(INDEX(学年度总表!$A$3:$A$1025,MATCH($E54,学年度总表!$E$3:$E$1025,0))="","",INDEX(学年度总表!$A$3:$A$1025,MATCH($E54,学年度总表!$E$3:$E$1025,0)))</f>
        <v>212</v>
      </c>
      <c r="B54" s="2">
        <f>IF(INDEX(学年度总表!$B$3:$B$1025,MATCH($E54,学年度总表!$E$3:$E$1025,0))="","",INDEX(学年度总表!$B$3:$B$1025,MATCH($E54,学年度总表!$E$3:$E$1025,0)))</f>
        <v>52</v>
      </c>
      <c r="C54" s="2" t="str">
        <f>IF(INDEX(学年度总表!$C$3:$C$1025,MATCH($E54,学年度总表!$E$3:$E$1025,0))="","",INDEX(学年度总表!$C$3:$C$1025,MATCH($E54,学年度总表!$E$3:$E$1025,0)))</f>
        <v>信管</v>
      </c>
      <c r="D54" s="2" t="str">
        <f>IF(INDEX(学年度总表!$D$3:$D$1025,MATCH($E54,学年度总表!$E$3:$E$1025,0))="","",INDEX(学年度总表!$D$3:$D$1025,MATCH($E54,学年度总表!$E$3:$E$1025,0)))</f>
        <v>信管24班</v>
      </c>
      <c r="E54" s="2" t="s">
        <v>483</v>
      </c>
      <c r="F54" s="2" t="str">
        <f>IF(INDEX(学年度总表!$F$3:$F$1025,MATCH($E54,学年度总表!$E$3:$E$1025,0))="","",INDEX(学年度总表!$F$3:$F$1025,MATCH($E54,学年度总表!$E$3:$E$1025,0)))</f>
        <v>窦嘉璇</v>
      </c>
      <c r="G54" s="3">
        <f>IF(INDEX(学年度总表!$G$3:$G$1025,MATCH($E54,学年度总表!$E$3:$E$1025,0))="","",INDEX(学年度总表!$G$3:$G$1025,MATCH($E54,学年度总表!$E$3:$E$1025,0)))</f>
        <v>9.8000000000000007</v>
      </c>
      <c r="H54" s="3">
        <f>IF(INDEX(学年度总表!$H$3:$H$1025,MATCH($E54,学年度总表!$E$3:$E$1025,0))="","",INDEX(学年度总表!$H$3:$H$1025,MATCH($E54,学年度总表!$E$3:$E$1025,0)))</f>
        <v>64.849999999999994</v>
      </c>
      <c r="I54" s="3">
        <f>IF(INDEX(学年度总表!$I$3:$I$1025,MATCH($E54,学年度总表!$E$3:$E$1025,0))="","",INDEX(学年度总表!$I$3:$I$1025,MATCH($E54,学年度总表!$E$3:$E$1025,0)))</f>
        <v>4.2</v>
      </c>
      <c r="J54" s="3">
        <f>IF(INDEX(学年度总表!$J$3:$J$1025,MATCH($E54,学年度总表!$E$3:$E$1025,0))="","",INDEX(学年度总表!$J$3:$J$1025,MATCH($E54,学年度总表!$E$3:$E$1025,0)))</f>
        <v>78.849999999999994</v>
      </c>
      <c r="K54" s="3">
        <f>IF(INDEX(学年度总表!$K$3:$K$1025,MATCH($E54,学年度总表!$E$3:$E$1025,0))="","",INDEX(学年度总表!$K$3:$K$1025,MATCH($E54,学年度总表!$E$3:$E$1025,0)))</f>
        <v>9.8000000000000007</v>
      </c>
      <c r="L54" s="3">
        <f>IF(INDEX(学年度总表!$L$3:$L$1025,MATCH($E54,学年度总表!$E$3:$E$1025,0))="","",INDEX(学年度总表!$L$3:$L$1025,MATCH($E54,学年度总表!$E$3:$E$1025,0)))</f>
        <v>58.71</v>
      </c>
      <c r="M54" s="3">
        <f>IF(INDEX(学年度总表!$M$3:$M$1025,MATCH($E54,学年度总表!$E$3:$E$1025,0))="","",INDEX(学年度总表!$M$3:$M$1025,MATCH($E54,学年度总表!$E$3:$E$1025,0)))</f>
        <v>4</v>
      </c>
      <c r="N54" s="3">
        <f>IF(INDEX(学年度总表!$N$3:$N$1025,MATCH($E54,学年度总表!$E$3:$E$1025,0))="","",INDEX(学年度总表!$N$3:$N$1025,MATCH($E54,学年度总表!$E$3:$E$1025,0)))</f>
        <v>72.510000000000005</v>
      </c>
      <c r="O54" s="3">
        <f>IF(INDEX(学年度总表!$O$3:$O$1025,MATCH($E54,学年度总表!$E$3:$E$1025,0))="","",INDEX(学年度总表!$O$3:$O$1025,MATCH($E54,学年度总表!$E$3:$E$1025,0)))</f>
        <v>151.36000000000001</v>
      </c>
      <c r="P54" s="4" t="str">
        <f>IF(INDEX(学年度总表!$P$3:$P$1025,MATCH($E54,学年度总表!$E$3:$E$1025,0))="","",INDEX(学年度总表!$P$3:$P$1025,MATCH($E54,学年度总表!$E$3:$E$1025,0)))</f>
        <v>校三等</v>
      </c>
      <c r="Q54" s="5" t="str">
        <f>IF(INDEX(学年度总表!$Q$3:$Q$1025,MATCH($E54,学年度总表!$E$3:$E$1025,0))="","",INDEX(学年度总表!$Q$3:$Q$1025,MATCH($E54,学年度总表!$E$3:$E$1025,0)))</f>
        <v/>
      </c>
    </row>
    <row r="55" spans="1:17">
      <c r="A55" s="2">
        <f>IF(INDEX(学年度总表!$A$3:$A$1025,MATCH($E55,学年度总表!$E$3:$E$1025,0))="","",INDEX(学年度总表!$A$3:$A$1025,MATCH($E55,学年度总表!$E$3:$E$1025,0)))</f>
        <v>215</v>
      </c>
      <c r="B55" s="2">
        <f>IF(INDEX(学年度总表!$B$3:$B$1025,MATCH($E55,学年度总表!$E$3:$E$1025,0))="","",INDEX(学年度总表!$B$3:$B$1025,MATCH($E55,学年度总表!$E$3:$E$1025,0)))</f>
        <v>53</v>
      </c>
      <c r="C55" s="2" t="str">
        <f>IF(INDEX(学年度总表!$C$3:$C$1025,MATCH($E55,学年度总表!$E$3:$E$1025,0))="","",INDEX(学年度总表!$C$3:$C$1025,MATCH($E55,学年度总表!$E$3:$E$1025,0)))</f>
        <v>信管</v>
      </c>
      <c r="D55" s="2" t="str">
        <f>IF(INDEX(学年度总表!$D$3:$D$1025,MATCH($E55,学年度总表!$E$3:$E$1025,0))="","",INDEX(学年度总表!$D$3:$D$1025,MATCH($E55,学年度总表!$E$3:$E$1025,0)))</f>
        <v>信管27班</v>
      </c>
      <c r="E55" s="2" t="s">
        <v>489</v>
      </c>
      <c r="F55" s="2" t="str">
        <f>IF(INDEX(学年度总表!$F$3:$F$1025,MATCH($E55,学年度总表!$E$3:$E$1025,0))="","",INDEX(学年度总表!$F$3:$F$1025,MATCH($E55,学年度总表!$E$3:$E$1025,0)))</f>
        <v>刘琦</v>
      </c>
      <c r="G55" s="3">
        <f>IF(INDEX(学年度总表!$G$3:$G$1025,MATCH($E55,学年度总表!$E$3:$E$1025,0))="","",INDEX(学年度总表!$G$3:$G$1025,MATCH($E55,学年度总表!$E$3:$E$1025,0)))</f>
        <v>9.8000000000000007</v>
      </c>
      <c r="H55" s="3">
        <f>IF(INDEX(学年度总表!$H$3:$H$1025,MATCH($E55,学年度总表!$E$3:$E$1025,0))="","",INDEX(学年度总表!$H$3:$H$1025,MATCH($E55,学年度总表!$E$3:$E$1025,0)))</f>
        <v>64.56</v>
      </c>
      <c r="I55" s="3">
        <f>IF(INDEX(学年度总表!$I$3:$I$1025,MATCH($E55,学年度总表!$E$3:$E$1025,0))="","",INDEX(学年度总表!$I$3:$I$1025,MATCH($E55,学年度总表!$E$3:$E$1025,0)))</f>
        <v>3</v>
      </c>
      <c r="J55" s="3">
        <f>IF(INDEX(学年度总表!$J$3:$J$1025,MATCH($E55,学年度总表!$E$3:$E$1025,0))="","",INDEX(学年度总表!$J$3:$J$1025,MATCH($E55,学年度总表!$E$3:$E$1025,0)))</f>
        <v>77.36</v>
      </c>
      <c r="K55" s="3">
        <f>IF(INDEX(学年度总表!$K$3:$K$1025,MATCH($E55,学年度总表!$E$3:$E$1025,0))="","",INDEX(学年度总表!$K$3:$K$1025,MATCH($E55,学年度总表!$E$3:$E$1025,0)))</f>
        <v>9.8000000000000007</v>
      </c>
      <c r="L55" s="3">
        <f>IF(INDEX(学年度总表!$L$3:$L$1025,MATCH($E55,学年度总表!$E$3:$E$1025,0))="","",INDEX(学年度总表!$L$3:$L$1025,MATCH($E55,学年度总表!$E$3:$E$1025,0)))</f>
        <v>60.31</v>
      </c>
      <c r="M55" s="3">
        <f>IF(INDEX(学年度总表!$M$3:$M$1025,MATCH($E55,学年度总表!$E$3:$E$1025,0))="","",INDEX(学年度总表!$M$3:$M$1025,MATCH($E55,学年度总表!$E$3:$E$1025,0)))</f>
        <v>3.7</v>
      </c>
      <c r="N55" s="3">
        <f>IF(INDEX(学年度总表!$N$3:$N$1025,MATCH($E55,学年度总表!$E$3:$E$1025,0))="","",INDEX(学年度总表!$N$3:$N$1025,MATCH($E55,学年度总表!$E$3:$E$1025,0)))</f>
        <v>73.81</v>
      </c>
      <c r="O55" s="3">
        <f>IF(INDEX(学年度总表!$O$3:$O$1025,MATCH($E55,学年度总表!$E$3:$E$1025,0))="","",INDEX(学年度总表!$O$3:$O$1025,MATCH($E55,学年度总表!$E$3:$E$1025,0)))</f>
        <v>151.16999999999999</v>
      </c>
      <c r="P55" s="4" t="str">
        <f>IF(INDEX(学年度总表!$P$3:$P$1025,MATCH($E55,学年度总表!$E$3:$E$1025,0))="","",INDEX(学年度总表!$P$3:$P$1025,MATCH($E55,学年度总表!$E$3:$E$1025,0)))</f>
        <v>校三等</v>
      </c>
      <c r="Q55" s="5" t="str">
        <f>IF(INDEX(学年度总表!$Q$3:$Q$1025,MATCH($E55,学年度总表!$E$3:$E$1025,0))="","",INDEX(学年度总表!$Q$3:$Q$1025,MATCH($E55,学年度总表!$E$3:$E$1025,0)))</f>
        <v/>
      </c>
    </row>
    <row r="56" spans="1:17">
      <c r="A56" s="2">
        <f>IF(INDEX(学年度总表!$A$3:$A$1025,MATCH($E56,学年度总表!$E$3:$E$1025,0))="","",INDEX(学年度总表!$A$3:$A$1025,MATCH($E56,学年度总表!$E$3:$E$1025,0)))</f>
        <v>220</v>
      </c>
      <c r="B56" s="2">
        <f>IF(INDEX(学年度总表!$B$3:$B$1025,MATCH($E56,学年度总表!$E$3:$E$1025,0))="","",INDEX(学年度总表!$B$3:$B$1025,MATCH($E56,学年度总表!$E$3:$E$1025,0)))</f>
        <v>54</v>
      </c>
      <c r="C56" s="2" t="str">
        <f>IF(INDEX(学年度总表!$C$3:$C$1025,MATCH($E56,学年度总表!$E$3:$E$1025,0))="","",INDEX(学年度总表!$C$3:$C$1025,MATCH($E56,学年度总表!$E$3:$E$1025,0)))</f>
        <v>信管</v>
      </c>
      <c r="D56" s="2" t="str">
        <f>IF(INDEX(学年度总表!$D$3:$D$1025,MATCH($E56,学年度总表!$E$3:$E$1025,0))="","",INDEX(学年度总表!$D$3:$D$1025,MATCH($E56,学年度总表!$E$3:$E$1025,0)))</f>
        <v>信管25班</v>
      </c>
      <c r="E56" s="2" t="s">
        <v>499</v>
      </c>
      <c r="F56" s="2" t="str">
        <f>IF(INDEX(学年度总表!$F$3:$F$1025,MATCH($E56,学年度总表!$E$3:$E$1025,0))="","",INDEX(学年度总表!$F$3:$F$1025,MATCH($E56,学年度总表!$E$3:$E$1025,0)))</f>
        <v>郎壹涵</v>
      </c>
      <c r="G56" s="3">
        <f>IF(INDEX(学年度总表!$G$3:$G$1025,MATCH($E56,学年度总表!$E$3:$E$1025,0))="","",INDEX(学年度总表!$G$3:$G$1025,MATCH($E56,学年度总表!$E$3:$E$1025,0)))</f>
        <v>10</v>
      </c>
      <c r="H56" s="3">
        <f>IF(INDEX(学年度总表!$H$3:$H$1025,MATCH($E56,学年度总表!$E$3:$E$1025,0))="","",INDEX(学年度总表!$H$3:$H$1025,MATCH($E56,学年度总表!$E$3:$E$1025,0)))</f>
        <v>63</v>
      </c>
      <c r="I56" s="3">
        <f>IF(INDEX(学年度总表!$I$3:$I$1025,MATCH($E56,学年度总表!$E$3:$E$1025,0))="","",INDEX(学年度总表!$I$3:$I$1025,MATCH($E56,学年度总表!$E$3:$E$1025,0)))</f>
        <v>4.2</v>
      </c>
      <c r="J56" s="3">
        <f>IF(INDEX(学年度总表!$J$3:$J$1025,MATCH($E56,学年度总表!$E$3:$E$1025,0))="","",INDEX(学年度总表!$J$3:$J$1025,MATCH($E56,学年度总表!$E$3:$E$1025,0)))</f>
        <v>77.2</v>
      </c>
      <c r="K56" s="3">
        <f>IF(INDEX(学年度总表!$K$3:$K$1025,MATCH($E56,学年度总表!$E$3:$E$1025,0))="","",INDEX(学年度总表!$K$3:$K$1025,MATCH($E56,学年度总表!$E$3:$E$1025,0)))</f>
        <v>10</v>
      </c>
      <c r="L56" s="3">
        <f>IF(INDEX(学年度总表!$L$3:$L$1025,MATCH($E56,学年度总表!$E$3:$E$1025,0))="","",INDEX(学年度总表!$L$3:$L$1025,MATCH($E56,学年度总表!$E$3:$E$1025,0)))</f>
        <v>59.25</v>
      </c>
      <c r="M56" s="3">
        <f>IF(INDEX(学年度总表!$M$3:$M$1025,MATCH($E56,学年度总表!$E$3:$E$1025,0))="","",INDEX(学年度总表!$M$3:$M$1025,MATCH($E56,学年度总表!$E$3:$E$1025,0)))</f>
        <v>4.5</v>
      </c>
      <c r="N56" s="3">
        <f>IF(INDEX(学年度总表!$N$3:$N$1025,MATCH($E56,学年度总表!$E$3:$E$1025,0))="","",INDEX(学年度总表!$N$3:$N$1025,MATCH($E56,学年度总表!$E$3:$E$1025,0)))</f>
        <v>73.75</v>
      </c>
      <c r="O56" s="3">
        <f>IF(INDEX(学年度总表!$O$3:$O$1025,MATCH($E56,学年度总表!$E$3:$E$1025,0))="","",INDEX(学年度总表!$O$3:$O$1025,MATCH($E56,学年度总表!$E$3:$E$1025,0)))</f>
        <v>150.94999999999999</v>
      </c>
      <c r="P56" s="4" t="str">
        <f>IF(INDEX(学年度总表!$P$3:$P$1025,MATCH($E56,学年度总表!$E$3:$E$1025,0))="","",INDEX(学年度总表!$P$3:$P$1025,MATCH($E56,学年度总表!$E$3:$E$1025,0)))</f>
        <v>校三等</v>
      </c>
      <c r="Q56" s="5" t="str">
        <f>IF(INDEX(学年度总表!$Q$3:$Q$1025,MATCH($E56,学年度总表!$E$3:$E$1025,0))="","",INDEX(学年度总表!$Q$3:$Q$1025,MATCH($E56,学年度总表!$E$3:$E$1025,0)))</f>
        <v/>
      </c>
    </row>
    <row r="57" spans="1:17">
      <c r="A57" s="2">
        <f>IF(INDEX(学年度总表!$A$3:$A$1025,MATCH($E57,学年度总表!$E$3:$E$1025,0))="","",INDEX(学年度总表!$A$3:$A$1025,MATCH($E57,学年度总表!$E$3:$E$1025,0)))</f>
        <v>222</v>
      </c>
      <c r="B57" s="2">
        <f>IF(INDEX(学年度总表!$B$3:$B$1025,MATCH($E57,学年度总表!$E$3:$E$1025,0))="","",INDEX(学年度总表!$B$3:$B$1025,MATCH($E57,学年度总表!$E$3:$E$1025,0)))</f>
        <v>55</v>
      </c>
      <c r="C57" s="2" t="str">
        <f>IF(INDEX(学年度总表!$C$3:$C$1025,MATCH($E57,学年度总表!$E$3:$E$1025,0))="","",INDEX(学年度总表!$C$3:$C$1025,MATCH($E57,学年度总表!$E$3:$E$1025,0)))</f>
        <v>信管</v>
      </c>
      <c r="D57" s="2" t="str">
        <f>IF(INDEX(学年度总表!$D$3:$D$1025,MATCH($E57,学年度总表!$E$3:$E$1025,0))="","",INDEX(学年度总表!$D$3:$D$1025,MATCH($E57,学年度总表!$E$3:$E$1025,0)))</f>
        <v>信管26班</v>
      </c>
      <c r="E57" s="2" t="s">
        <v>503</v>
      </c>
      <c r="F57" s="2" t="str">
        <f>IF(INDEX(学年度总表!$F$3:$F$1025,MATCH($E57,学年度总表!$E$3:$E$1025,0))="","",INDEX(学年度总表!$F$3:$F$1025,MATCH($E57,学年度总表!$E$3:$E$1025,0)))</f>
        <v>金美良</v>
      </c>
      <c r="G57" s="3">
        <f>IF(INDEX(学年度总表!$G$3:$G$1025,MATCH($E57,学年度总表!$E$3:$E$1025,0))="","",INDEX(学年度总表!$G$3:$G$1025,MATCH($E57,学年度总表!$E$3:$E$1025,0)))</f>
        <v>9.4</v>
      </c>
      <c r="H57" s="3">
        <f>IF(INDEX(学年度总表!$H$3:$H$1025,MATCH($E57,学年度总表!$E$3:$E$1025,0))="","",INDEX(学年度总表!$H$3:$H$1025,MATCH($E57,学年度总表!$E$3:$E$1025,0)))</f>
        <v>63.49</v>
      </c>
      <c r="I57" s="3">
        <f>IF(INDEX(学年度总表!$I$3:$I$1025,MATCH($E57,学年度总表!$E$3:$E$1025,0))="","",INDEX(学年度总表!$I$3:$I$1025,MATCH($E57,学年度总表!$E$3:$E$1025,0)))</f>
        <v>3</v>
      </c>
      <c r="J57" s="3">
        <f>IF(INDEX(学年度总表!$J$3:$J$1025,MATCH($E57,学年度总表!$E$3:$E$1025,0))="","",INDEX(学年度总表!$J$3:$J$1025,MATCH($E57,学年度总表!$E$3:$E$1025,0)))</f>
        <v>75.89</v>
      </c>
      <c r="K57" s="3">
        <f>IF(INDEX(学年度总表!$K$3:$K$1025,MATCH($E57,学年度总表!$E$3:$E$1025,0))="","",INDEX(学年度总表!$K$3:$K$1025,MATCH($E57,学年度总表!$E$3:$E$1025,0)))</f>
        <v>7.3000000000000007</v>
      </c>
      <c r="L57" s="3">
        <f>IF(INDEX(学年度总表!$L$3:$L$1025,MATCH($E57,学年度总表!$E$3:$E$1025,0))="","",INDEX(学年度总表!$L$3:$L$1025,MATCH($E57,学年度总表!$E$3:$E$1025,0)))</f>
        <v>62.52</v>
      </c>
      <c r="M57" s="3">
        <f>IF(INDEX(学年度总表!$M$3:$M$1025,MATCH($E57,学年度总表!$E$3:$E$1025,0))="","",INDEX(学年度总表!$M$3:$M$1025,MATCH($E57,学年度总表!$E$3:$E$1025,0)))</f>
        <v>5.2</v>
      </c>
      <c r="N57" s="3">
        <f>IF(INDEX(学年度总表!$N$3:$N$1025,MATCH($E57,学年度总表!$E$3:$E$1025,0))="","",INDEX(学年度总表!$N$3:$N$1025,MATCH($E57,学年度总表!$E$3:$E$1025,0)))</f>
        <v>75.02</v>
      </c>
      <c r="O57" s="3">
        <f>IF(INDEX(学年度总表!$O$3:$O$1025,MATCH($E57,学年度总表!$E$3:$E$1025,0))="","",INDEX(学年度总表!$O$3:$O$1025,MATCH($E57,学年度总表!$E$3:$E$1025,0)))</f>
        <v>150.91</v>
      </c>
      <c r="P57" s="4" t="str">
        <f>IF(INDEX(学年度总表!$P$3:$P$1025,MATCH($E57,学年度总表!$E$3:$E$1025,0))="","",INDEX(学年度总表!$P$3:$P$1025,MATCH($E57,学年度总表!$E$3:$E$1025,0)))</f>
        <v>校三等</v>
      </c>
      <c r="Q57" s="5" t="str">
        <f>IF(INDEX(学年度总表!$Q$3:$Q$1025,MATCH($E57,学年度总表!$E$3:$E$1025,0))="","",INDEX(学年度总表!$Q$3:$Q$1025,MATCH($E57,学年度总表!$E$3:$E$1025,0)))</f>
        <v/>
      </c>
    </row>
    <row r="58" spans="1:17">
      <c r="A58" s="2">
        <f>IF(INDEX(学年度总表!$A$3:$A$1025,MATCH($E58,学年度总表!$E$3:$E$1025,0))="","",INDEX(学年度总表!$A$3:$A$1025,MATCH($E58,学年度总表!$E$3:$E$1025,0)))</f>
        <v>233</v>
      </c>
      <c r="B58" s="2">
        <f>IF(INDEX(学年度总表!$B$3:$B$1025,MATCH($E58,学年度总表!$E$3:$E$1025,0))="","",INDEX(学年度总表!$B$3:$B$1025,MATCH($E58,学年度总表!$E$3:$E$1025,0)))</f>
        <v>56</v>
      </c>
      <c r="C58" s="2" t="str">
        <f>IF(INDEX(学年度总表!$C$3:$C$1025,MATCH($E58,学年度总表!$E$3:$E$1025,0))="","",INDEX(学年度总表!$C$3:$C$1025,MATCH($E58,学年度总表!$E$3:$E$1025,0)))</f>
        <v>信管</v>
      </c>
      <c r="D58" s="2" t="str">
        <f>IF(INDEX(学年度总表!$D$3:$D$1025,MATCH($E58,学年度总表!$E$3:$E$1025,0))="","",INDEX(学年度总表!$D$3:$D$1025,MATCH($E58,学年度总表!$E$3:$E$1025,0)))</f>
        <v>信管21班</v>
      </c>
      <c r="E58" s="2" t="s">
        <v>525</v>
      </c>
      <c r="F58" s="2" t="str">
        <f>IF(INDEX(学年度总表!$F$3:$F$1025,MATCH($E58,学年度总表!$E$3:$E$1025,0))="","",INDEX(学年度总表!$F$3:$F$1025,MATCH($E58,学年度总表!$E$3:$E$1025,0)))</f>
        <v>郑舒源</v>
      </c>
      <c r="G58" s="3">
        <f>IF(INDEX(学年度总表!$G$3:$G$1025,MATCH($E58,学年度总表!$E$3:$E$1025,0))="","",INDEX(学年度总表!$G$3:$G$1025,MATCH($E58,学年度总表!$E$3:$E$1025,0)))</f>
        <v>11.6</v>
      </c>
      <c r="H58" s="3">
        <f>IF(INDEX(学年度总表!$H$3:$H$1025,MATCH($E58,学年度总表!$E$3:$E$1025,0))="","",INDEX(学年度总表!$H$3:$H$1025,MATCH($E58,学年度总表!$E$3:$E$1025,0)))</f>
        <v>61.47</v>
      </c>
      <c r="I58" s="3">
        <f>IF(INDEX(学年度总表!$I$3:$I$1025,MATCH($E58,学年度总表!$E$3:$E$1025,0))="","",INDEX(学年度总表!$I$3:$I$1025,MATCH($E58,学年度总表!$E$3:$E$1025,0)))</f>
        <v>4.5999999999999996</v>
      </c>
      <c r="J58" s="3">
        <f>IF(INDEX(学年度总表!$J$3:$J$1025,MATCH($E58,学年度总表!$E$3:$E$1025,0))="","",INDEX(学年度总表!$J$3:$J$1025,MATCH($E58,学年度总表!$E$3:$E$1025,0)))</f>
        <v>77.67</v>
      </c>
      <c r="K58" s="3">
        <f>IF(INDEX(学年度总表!$K$3:$K$1025,MATCH($E58,学年度总表!$E$3:$E$1025,0))="","",INDEX(学年度总表!$K$3:$K$1025,MATCH($E58,学年度总表!$E$3:$E$1025,0)))</f>
        <v>11.3</v>
      </c>
      <c r="L58" s="3">
        <f>IF(INDEX(学年度总表!$L$3:$L$1025,MATCH($E58,学年度总表!$E$3:$E$1025,0))="","",INDEX(学年度总表!$L$3:$L$1025,MATCH($E58,学年度总表!$E$3:$E$1025,0)))</f>
        <v>53.91</v>
      </c>
      <c r="M58" s="3">
        <f>IF(INDEX(学年度总表!$M$3:$M$1025,MATCH($E58,学年度总表!$E$3:$E$1025,0))="","",INDEX(学年度总表!$M$3:$M$1025,MATCH($E58,学年度总表!$E$3:$E$1025,0)))</f>
        <v>7.6</v>
      </c>
      <c r="N58" s="3">
        <f>IF(INDEX(学年度总表!$N$3:$N$1025,MATCH($E58,学年度总表!$E$3:$E$1025,0))="","",INDEX(学年度总表!$N$3:$N$1025,MATCH($E58,学年度总表!$E$3:$E$1025,0)))</f>
        <v>72.81</v>
      </c>
      <c r="O58" s="3">
        <f>IF(INDEX(学年度总表!$O$3:$O$1025,MATCH($E58,学年度总表!$E$3:$E$1025,0))="","",INDEX(学年度总表!$O$3:$O$1025,MATCH($E58,学年度总表!$E$3:$E$1025,0)))</f>
        <v>150.47999999999999</v>
      </c>
      <c r="P58" s="2" t="str">
        <f>IF(INDEX(学年度总表!$P$3:$P$1025,MATCH($E58,学年度总表!$E$3:$E$1025,0))="","",INDEX(学年度总表!$P$3:$P$1025,MATCH($E58,学年度总表!$E$3:$E$1025,0)))</f>
        <v/>
      </c>
      <c r="Q58" s="5" t="str">
        <f>IF(INDEX(学年度总表!$Q$3:$Q$1025,MATCH($E58,学年度总表!$E$3:$E$1025,0))="","",INDEX(学年度总表!$Q$3:$Q$1025,MATCH($E58,学年度总表!$E$3:$E$1025,0)))</f>
        <v/>
      </c>
    </row>
    <row r="59" spans="1:17">
      <c r="A59" s="2">
        <f>IF(INDEX(学年度总表!$A$3:$A$1025,MATCH($E59,学年度总表!$E$3:$E$1025,0))="","",INDEX(学年度总表!$A$3:$A$1025,MATCH($E59,学年度总表!$E$3:$E$1025,0)))</f>
        <v>235</v>
      </c>
      <c r="B59" s="2">
        <f>IF(INDEX(学年度总表!$B$3:$B$1025,MATCH($E59,学年度总表!$E$3:$E$1025,0))="","",INDEX(学年度总表!$B$3:$B$1025,MATCH($E59,学年度总表!$E$3:$E$1025,0)))</f>
        <v>57</v>
      </c>
      <c r="C59" s="2" t="str">
        <f>IF(INDEX(学年度总表!$C$3:$C$1025,MATCH($E59,学年度总表!$E$3:$E$1025,0))="","",INDEX(学年度总表!$C$3:$C$1025,MATCH($E59,学年度总表!$E$3:$E$1025,0)))</f>
        <v>信管</v>
      </c>
      <c r="D59" s="2" t="str">
        <f>IF(INDEX(学年度总表!$D$3:$D$1025,MATCH($E59,学年度总表!$E$3:$E$1025,0))="","",INDEX(学年度总表!$D$3:$D$1025,MATCH($E59,学年度总表!$E$3:$E$1025,0)))</f>
        <v>信管21班</v>
      </c>
      <c r="E59" s="2" t="s">
        <v>533</v>
      </c>
      <c r="F59" s="2" t="str">
        <f>IF(INDEX(学年度总表!$F$3:$F$1025,MATCH($E59,学年度总表!$E$3:$E$1025,0))="","",INDEX(学年度总表!$F$3:$F$1025,MATCH($E59,学年度总表!$E$3:$E$1025,0)))</f>
        <v>侯权恒</v>
      </c>
      <c r="G59" s="3">
        <f>IF(INDEX(学年度总表!$G$3:$G$1025,MATCH($E59,学年度总表!$E$3:$E$1025,0))="","",INDEX(学年度总表!$G$3:$G$1025,MATCH($E59,学年度总表!$E$3:$E$1025,0)))</f>
        <v>10.8</v>
      </c>
      <c r="H59" s="3">
        <f>IF(INDEX(学年度总表!$H$3:$H$1025,MATCH($E59,学年度总表!$E$3:$E$1025,0))="","",INDEX(学年度总表!$H$3:$H$1025,MATCH($E59,学年度总表!$E$3:$E$1025,0)))</f>
        <v>61.5</v>
      </c>
      <c r="I59" s="3">
        <f>IF(INDEX(学年度总表!$I$3:$I$1025,MATCH($E59,学年度总表!$E$3:$E$1025,0))="","",INDEX(学年度总表!$I$3:$I$1025,MATCH($E59,学年度总表!$E$3:$E$1025,0)))</f>
        <v>5</v>
      </c>
      <c r="J59" s="3">
        <f>IF(INDEX(学年度总表!$J$3:$J$1025,MATCH($E59,学年度总表!$E$3:$E$1025,0))="","",INDEX(学年度总表!$J$3:$J$1025,MATCH($E59,学年度总表!$E$3:$E$1025,0)))</f>
        <v>77.3</v>
      </c>
      <c r="K59" s="3">
        <f>IF(INDEX(学年度总表!$K$3:$K$1025,MATCH($E59,学年度总表!$E$3:$E$1025,0))="","",INDEX(学年度总表!$K$3:$K$1025,MATCH($E59,学年度总表!$E$3:$E$1025,0)))</f>
        <v>10.8</v>
      </c>
      <c r="L59" s="3">
        <f>IF(INDEX(学年度总表!$L$3:$L$1025,MATCH($E59,学年度总表!$E$3:$E$1025,0))="","",INDEX(学年度总表!$L$3:$L$1025,MATCH($E59,学年度总表!$E$3:$E$1025,0)))</f>
        <v>56.28</v>
      </c>
      <c r="M59" s="3">
        <f>IF(INDEX(学年度总表!$M$3:$M$1025,MATCH($E59,学年度总表!$E$3:$E$1025,0))="","",INDEX(学年度总表!$M$3:$M$1025,MATCH($E59,学年度总表!$E$3:$E$1025,0)))</f>
        <v>6</v>
      </c>
      <c r="N59" s="3">
        <f>IF(INDEX(学年度总表!$N$3:$N$1025,MATCH($E59,学年度总表!$E$3:$E$1025,0))="","",INDEX(学年度总表!$N$3:$N$1025,MATCH($E59,学年度总表!$E$3:$E$1025,0)))</f>
        <v>73.08</v>
      </c>
      <c r="O59" s="3">
        <f>IF(INDEX(学年度总表!$O$3:$O$1025,MATCH($E59,学年度总表!$E$3:$E$1025,0))="","",INDEX(学年度总表!$O$3:$O$1025,MATCH($E59,学年度总表!$E$3:$E$1025,0)))</f>
        <v>150.38</v>
      </c>
      <c r="P59" s="2" t="str">
        <f>IF(INDEX(学年度总表!$P$3:$P$1025,MATCH($E59,学年度总表!$E$3:$E$1025,0))="","",INDEX(学年度总表!$P$3:$P$1025,MATCH($E59,学年度总表!$E$3:$E$1025,0)))</f>
        <v/>
      </c>
      <c r="Q59" s="5" t="str">
        <f>IF(INDEX(学年度总表!$Q$3:$Q$1025,MATCH($E59,学年度总表!$E$3:$E$1025,0))="","",INDEX(学年度总表!$Q$3:$Q$1025,MATCH($E59,学年度总表!$E$3:$E$1025,0)))</f>
        <v/>
      </c>
    </row>
    <row r="60" spans="1:17">
      <c r="A60" s="2">
        <f>IF(INDEX(学年度总表!$A$3:$A$1025,MATCH($E60,学年度总表!$E$3:$E$1025,0))="","",INDEX(学年度总表!$A$3:$A$1025,MATCH($E60,学年度总表!$E$3:$E$1025,0)))</f>
        <v>238</v>
      </c>
      <c r="B60" s="2">
        <f>IF(INDEX(学年度总表!$B$3:$B$1025,MATCH($E60,学年度总表!$E$3:$E$1025,0))="","",INDEX(学年度总表!$B$3:$B$1025,MATCH($E60,学年度总表!$E$3:$E$1025,0)))</f>
        <v>58</v>
      </c>
      <c r="C60" s="2" t="str">
        <f>IF(INDEX(学年度总表!$C$3:$C$1025,MATCH($E60,学年度总表!$E$3:$E$1025,0))="","",INDEX(学年度总表!$C$3:$C$1025,MATCH($E60,学年度总表!$E$3:$E$1025,0)))</f>
        <v>信管</v>
      </c>
      <c r="D60" s="2" t="str">
        <f>IF(INDEX(学年度总表!$D$3:$D$1025,MATCH($E60,学年度总表!$E$3:$E$1025,0))="","",INDEX(学年度总表!$D$3:$D$1025,MATCH($E60,学年度总表!$E$3:$E$1025,0)))</f>
        <v>信管27班</v>
      </c>
      <c r="E60" s="2" t="s">
        <v>535</v>
      </c>
      <c r="F60" s="2" t="str">
        <f>IF(INDEX(学年度总表!$F$3:$F$1025,MATCH($E60,学年度总表!$E$3:$E$1025,0))="","",INDEX(学年度总表!$F$3:$F$1025,MATCH($E60,学年度总表!$E$3:$E$1025,0)))</f>
        <v>张振浩</v>
      </c>
      <c r="G60" s="3">
        <f>IF(INDEX(学年度总表!$G$3:$G$1025,MATCH($E60,学年度总表!$E$3:$E$1025,0))="","",INDEX(学年度总表!$G$3:$G$1025,MATCH($E60,学年度总表!$E$3:$E$1025,0)))</f>
        <v>11</v>
      </c>
      <c r="H60" s="3">
        <f>IF(INDEX(学年度总表!$H$3:$H$1025,MATCH($E60,学年度总表!$E$3:$E$1025,0))="","",INDEX(学年度总表!$H$3:$H$1025,MATCH($E60,学年度总表!$E$3:$E$1025,0)))</f>
        <v>60.18</v>
      </c>
      <c r="I60" s="3">
        <f>IF(INDEX(学年度总表!$I$3:$I$1025,MATCH($E60,学年度总表!$E$3:$E$1025,0))="","",INDEX(学年度总表!$I$3:$I$1025,MATCH($E60,学年度总表!$E$3:$E$1025,0)))</f>
        <v>4.9000000000000004</v>
      </c>
      <c r="J60" s="3">
        <f>IF(INDEX(学年度总表!$J$3:$J$1025,MATCH($E60,学年度总表!$E$3:$E$1025,0))="","",INDEX(学年度总表!$J$3:$J$1025,MATCH($E60,学年度总表!$E$3:$E$1025,0)))</f>
        <v>76.08</v>
      </c>
      <c r="K60" s="3">
        <f>IF(INDEX(学年度总表!$K$3:$K$1025,MATCH($E60,学年度总表!$E$3:$E$1025,0))="","",INDEX(学年度总表!$K$3:$K$1025,MATCH($E60,学年度总表!$E$3:$E$1025,0)))</f>
        <v>10</v>
      </c>
      <c r="L60" s="3">
        <f>IF(INDEX(学年度总表!$L$3:$L$1025,MATCH($E60,学年度总表!$E$3:$E$1025,0))="","",INDEX(学年度总表!$L$3:$L$1025,MATCH($E60,学年度总表!$E$3:$E$1025,0)))</f>
        <v>58.87</v>
      </c>
      <c r="M60" s="3">
        <f>IF(INDEX(学年度总表!$M$3:$M$1025,MATCH($E60,学年度总表!$E$3:$E$1025,0))="","",INDEX(学年度总表!$M$3:$M$1025,MATCH($E60,学年度总表!$E$3:$E$1025,0)))</f>
        <v>5.4</v>
      </c>
      <c r="N60" s="3">
        <f>IF(INDEX(学年度总表!$N$3:$N$1025,MATCH($E60,学年度总表!$E$3:$E$1025,0))="","",INDEX(学年度总表!$N$3:$N$1025,MATCH($E60,学年度总表!$E$3:$E$1025,0)))</f>
        <v>74.27</v>
      </c>
      <c r="O60" s="3">
        <f>IF(INDEX(学年度总表!$O$3:$O$1025,MATCH($E60,学年度总表!$E$3:$E$1025,0))="","",INDEX(学年度总表!$O$3:$O$1025,MATCH($E60,学年度总表!$E$3:$E$1025,0)))</f>
        <v>150.35</v>
      </c>
      <c r="P60" s="4" t="str">
        <f>IF(INDEX(学年度总表!$P$3:$P$1025,MATCH($E60,学年度总表!$E$3:$E$1025,0))="","",INDEX(学年度总表!$P$3:$P$1025,MATCH($E60,学年度总表!$E$3:$E$1025,0)))</f>
        <v>校三等</v>
      </c>
      <c r="Q60" s="5" t="str">
        <f>IF(INDEX(学年度总表!$Q$3:$Q$1025,MATCH($E60,学年度总表!$E$3:$E$1025,0))="","",INDEX(学年度总表!$Q$3:$Q$1025,MATCH($E60,学年度总表!$E$3:$E$1025,0)))</f>
        <v/>
      </c>
    </row>
    <row r="61" spans="1:17">
      <c r="A61" s="2">
        <f>IF(INDEX(学年度总表!$A$3:$A$1025,MATCH($E61,学年度总表!$E$3:$E$1025,0))="","",INDEX(学年度总表!$A$3:$A$1025,MATCH($E61,学年度总表!$E$3:$E$1025,0)))</f>
        <v>241</v>
      </c>
      <c r="B61" s="2">
        <f>IF(INDEX(学年度总表!$B$3:$B$1025,MATCH($E61,学年度总表!$E$3:$E$1025,0))="","",INDEX(学年度总表!$B$3:$B$1025,MATCH($E61,学年度总表!$E$3:$E$1025,0)))</f>
        <v>59</v>
      </c>
      <c r="C61" s="2" t="str">
        <f>IF(INDEX(学年度总表!$C$3:$C$1025,MATCH($E61,学年度总表!$E$3:$E$1025,0))="","",INDEX(学年度总表!$C$3:$C$1025,MATCH($E61,学年度总表!$E$3:$E$1025,0)))</f>
        <v>信管</v>
      </c>
      <c r="D61" s="2" t="str">
        <f>IF(INDEX(学年度总表!$D$3:$D$1025,MATCH($E61,学年度总表!$E$3:$E$1025,0))="","",INDEX(学年度总表!$D$3:$D$1025,MATCH($E61,学年度总表!$E$3:$E$1025,0)))</f>
        <v>信管24班</v>
      </c>
      <c r="E61" s="2" t="s">
        <v>541</v>
      </c>
      <c r="F61" s="2" t="str">
        <f>IF(INDEX(学年度总表!$F$3:$F$1025,MATCH($E61,学年度总表!$E$3:$E$1025,0))="","",INDEX(学年度总表!$F$3:$F$1025,MATCH($E61,学年度总表!$E$3:$E$1025,0)))</f>
        <v>徐子淞</v>
      </c>
      <c r="G61" s="3">
        <f>IF(INDEX(学年度总表!$G$3:$G$1025,MATCH($E61,学年度总表!$E$3:$E$1025,0))="","",INDEX(学年度总表!$G$3:$G$1025,MATCH($E61,学年度总表!$E$3:$E$1025,0)))</f>
        <v>10.8</v>
      </c>
      <c r="H61" s="3">
        <f>IF(INDEX(学年度总表!$H$3:$H$1025,MATCH($E61,学年度总表!$E$3:$E$1025,0))="","",INDEX(学年度总表!$H$3:$H$1025,MATCH($E61,学年度总表!$E$3:$E$1025,0)))</f>
        <v>58.61</v>
      </c>
      <c r="I61" s="3">
        <f>IF(INDEX(学年度总表!$I$3:$I$1025,MATCH($E61,学年度总表!$E$3:$E$1025,0))="","",INDEX(学年度总表!$I$3:$I$1025,MATCH($E61,学年度总表!$E$3:$E$1025,0)))</f>
        <v>6.4</v>
      </c>
      <c r="J61" s="3">
        <f>IF(INDEX(学年度总表!$J$3:$J$1025,MATCH($E61,学年度总表!$E$3:$E$1025,0))="","",INDEX(学年度总表!$J$3:$J$1025,MATCH($E61,学年度总表!$E$3:$E$1025,0)))</f>
        <v>75.81</v>
      </c>
      <c r="K61" s="3">
        <f>IF(INDEX(学年度总表!$K$3:$K$1025,MATCH($E61,学年度总表!$E$3:$E$1025,0))="","",INDEX(学年度总表!$K$3:$K$1025,MATCH($E61,学年度总表!$E$3:$E$1025,0)))</f>
        <v>10</v>
      </c>
      <c r="L61" s="3">
        <f>IF(INDEX(学年度总表!$L$3:$L$1025,MATCH($E61,学年度总表!$E$3:$E$1025,0))="","",INDEX(学年度总表!$L$3:$L$1025,MATCH($E61,学年度总表!$E$3:$E$1025,0)))</f>
        <v>57.34</v>
      </c>
      <c r="M61" s="3">
        <f>IF(INDEX(学年度总表!$M$3:$M$1025,MATCH($E61,学年度总表!$E$3:$E$1025,0))="","",INDEX(学年度总表!$M$3:$M$1025,MATCH($E61,学年度总表!$E$3:$E$1025,0)))</f>
        <v>7.1</v>
      </c>
      <c r="N61" s="3">
        <f>IF(INDEX(学年度总表!$N$3:$N$1025,MATCH($E61,学年度总表!$E$3:$E$1025,0))="","",INDEX(学年度总表!$N$3:$N$1025,MATCH($E61,学年度总表!$E$3:$E$1025,0)))</f>
        <v>74.44</v>
      </c>
      <c r="O61" s="3">
        <f>IF(INDEX(学年度总表!$O$3:$O$1025,MATCH($E61,学年度总表!$E$3:$E$1025,0))="","",INDEX(学年度总表!$O$3:$O$1025,MATCH($E61,学年度总表!$E$3:$E$1025,0)))</f>
        <v>150.25</v>
      </c>
      <c r="P61" s="4" t="str">
        <f>IF(INDEX(学年度总表!$P$3:$P$1025,MATCH($E61,学年度总表!$E$3:$E$1025,0))="","",INDEX(学年度总表!$P$3:$P$1025,MATCH($E61,学年度总表!$E$3:$E$1025,0)))</f>
        <v>校三等</v>
      </c>
      <c r="Q61" s="5" t="str">
        <f>IF(INDEX(学年度总表!$Q$3:$Q$1025,MATCH($E61,学年度总表!$E$3:$E$1025,0))="","",INDEX(学年度总表!$Q$3:$Q$1025,MATCH($E61,学年度总表!$E$3:$E$1025,0)))</f>
        <v/>
      </c>
    </row>
    <row r="62" spans="1:17">
      <c r="A62" s="2">
        <f>IF(INDEX(学年度总表!$A$3:$A$1025,MATCH($E62,学年度总表!$E$3:$E$1025,0))="","",INDEX(学年度总表!$A$3:$A$1025,MATCH($E62,学年度总表!$E$3:$E$1025,0)))</f>
        <v>247</v>
      </c>
      <c r="B62" s="2">
        <f>IF(INDEX(学年度总表!$B$3:$B$1025,MATCH($E62,学年度总表!$E$3:$E$1025,0))="","",INDEX(学年度总表!$B$3:$B$1025,MATCH($E62,学年度总表!$E$3:$E$1025,0)))</f>
        <v>60</v>
      </c>
      <c r="C62" s="2" t="str">
        <f>IF(INDEX(学年度总表!$C$3:$C$1025,MATCH($E62,学年度总表!$E$3:$E$1025,0))="","",INDEX(学年度总表!$C$3:$C$1025,MATCH($E62,学年度总表!$E$3:$E$1025,0)))</f>
        <v>信管</v>
      </c>
      <c r="D62" s="2" t="str">
        <f>IF(INDEX(学年度总表!$D$3:$D$1025,MATCH($E62,学年度总表!$E$3:$E$1025,0))="","",INDEX(学年度总表!$D$3:$D$1025,MATCH($E62,学年度总表!$E$3:$E$1025,0)))</f>
        <v>信管22班</v>
      </c>
      <c r="E62" s="2" t="s">
        <v>555</v>
      </c>
      <c r="F62" s="2" t="str">
        <f>IF(INDEX(学年度总表!$F$3:$F$1025,MATCH($E62,学年度总表!$E$3:$E$1025,0))="","",INDEX(学年度总表!$F$3:$F$1025,MATCH($E62,学年度总表!$E$3:$E$1025,0)))</f>
        <v>李芷慧</v>
      </c>
      <c r="G62" s="3">
        <f>IF(INDEX(学年度总表!$G$3:$G$1025,MATCH($E62,学年度总表!$E$3:$E$1025,0))="","",INDEX(学年度总表!$G$3:$G$1025,MATCH($E62,学年度总表!$E$3:$E$1025,0)))</f>
        <v>9.8000000000000007</v>
      </c>
      <c r="H62" s="3">
        <f>IF(INDEX(学年度总表!$H$3:$H$1025,MATCH($E62,学年度总表!$E$3:$E$1025,0))="","",INDEX(学年度总表!$H$3:$H$1025,MATCH($E62,学年度总表!$E$3:$E$1025,0)))</f>
        <v>64.7</v>
      </c>
      <c r="I62" s="3">
        <f>IF(INDEX(学年度总表!$I$3:$I$1025,MATCH($E62,学年度总表!$E$3:$E$1025,0))="","",INDEX(学年度总表!$I$3:$I$1025,MATCH($E62,学年度总表!$E$3:$E$1025,0)))</f>
        <v>4</v>
      </c>
      <c r="J62" s="3">
        <f>IF(INDEX(学年度总表!$J$3:$J$1025,MATCH($E62,学年度总表!$E$3:$E$1025,0))="","",INDEX(学年度总表!$J$3:$J$1025,MATCH($E62,学年度总表!$E$3:$E$1025,0)))</f>
        <v>78.5</v>
      </c>
      <c r="K62" s="3">
        <f>IF(INDEX(学年度总表!$K$3:$K$1025,MATCH($E62,学年度总表!$E$3:$E$1025,0))="","",INDEX(学年度总表!$K$3:$K$1025,MATCH($E62,学年度总表!$E$3:$E$1025,0)))</f>
        <v>9.8000000000000007</v>
      </c>
      <c r="L62" s="3">
        <f>IF(INDEX(学年度总表!$L$3:$L$1025,MATCH($E62,学年度总表!$E$3:$E$1025,0))="","",INDEX(学年度总表!$L$3:$L$1025,MATCH($E62,学年度总表!$E$3:$E$1025,0)))</f>
        <v>57.08</v>
      </c>
      <c r="M62" s="3">
        <f>IF(INDEX(学年度总表!$M$3:$M$1025,MATCH($E62,学年度总表!$E$3:$E$1025,0))="","",INDEX(学年度总表!$M$3:$M$1025,MATCH($E62,学年度总表!$E$3:$E$1025,0)))</f>
        <v>4.5</v>
      </c>
      <c r="N62" s="3">
        <f>IF(INDEX(学年度总表!$N$3:$N$1025,MATCH($E62,学年度总表!$E$3:$E$1025,0))="","",INDEX(学年度总表!$N$3:$N$1025,MATCH($E62,学年度总表!$E$3:$E$1025,0)))</f>
        <v>71.38</v>
      </c>
      <c r="O62" s="3">
        <f>IF(INDEX(学年度总表!$O$3:$O$1025,MATCH($E62,学年度总表!$E$3:$E$1025,0))="","",INDEX(学年度总表!$O$3:$O$1025,MATCH($E62,学年度总表!$E$3:$E$1025,0)))</f>
        <v>149.88</v>
      </c>
      <c r="P62" s="4" t="str">
        <f>IF(INDEX(学年度总表!$P$3:$P$1025,MATCH($E62,学年度总表!$E$3:$E$1025,0))="","",INDEX(学年度总表!$P$3:$P$1025,MATCH($E62,学年度总表!$E$3:$E$1025,0)))</f>
        <v>校三等</v>
      </c>
      <c r="Q62" s="5" t="str">
        <f>IF(INDEX(学年度总表!$Q$3:$Q$1025,MATCH($E62,学年度总表!$E$3:$E$1025,0))="","",INDEX(学年度总表!$Q$3:$Q$1025,MATCH($E62,学年度总表!$E$3:$E$1025,0)))</f>
        <v/>
      </c>
    </row>
    <row r="63" spans="1:17">
      <c r="A63" s="2">
        <f>IF(INDEX(学年度总表!$A$3:$A$1025,MATCH($E63,学年度总表!$E$3:$E$1025,0))="","",INDEX(学年度总表!$A$3:$A$1025,MATCH($E63,学年度总表!$E$3:$E$1025,0)))</f>
        <v>251</v>
      </c>
      <c r="B63" s="2">
        <f>IF(INDEX(学年度总表!$B$3:$B$1025,MATCH($E63,学年度总表!$E$3:$E$1025,0))="","",INDEX(学年度总表!$B$3:$B$1025,MATCH($E63,学年度总表!$E$3:$E$1025,0)))</f>
        <v>61</v>
      </c>
      <c r="C63" s="2" t="str">
        <f>IF(INDEX(学年度总表!$C$3:$C$1025,MATCH($E63,学年度总表!$E$3:$E$1025,0))="","",INDEX(学年度总表!$C$3:$C$1025,MATCH($E63,学年度总表!$E$3:$E$1025,0)))</f>
        <v>信管</v>
      </c>
      <c r="D63" s="2" t="str">
        <f>IF(INDEX(学年度总表!$D$3:$D$1025,MATCH($E63,学年度总表!$E$3:$E$1025,0))="","",INDEX(学年度总表!$D$3:$D$1025,MATCH($E63,学年度总表!$E$3:$E$1025,0)))</f>
        <v>信管26班</v>
      </c>
      <c r="E63" s="2" t="s">
        <v>561</v>
      </c>
      <c r="F63" s="2" t="str">
        <f>IF(INDEX(学年度总表!$F$3:$F$1025,MATCH($E63,学年度总表!$E$3:$E$1025,0))="","",INDEX(学年度总表!$F$3:$F$1025,MATCH($E63,学年度总表!$E$3:$E$1025,0)))</f>
        <v>郑嘉瑞</v>
      </c>
      <c r="G63" s="3">
        <f>IF(INDEX(学年度总表!$G$3:$G$1025,MATCH($E63,学年度总表!$E$3:$E$1025,0))="","",INDEX(学年度总表!$G$3:$G$1025,MATCH($E63,学年度总表!$E$3:$E$1025,0)))</f>
        <v>10</v>
      </c>
      <c r="H63" s="3">
        <f>IF(INDEX(学年度总表!$H$3:$H$1025,MATCH($E63,学年度总表!$E$3:$E$1025,0))="","",INDEX(学年度总表!$H$3:$H$1025,MATCH($E63,学年度总表!$E$3:$E$1025,0)))</f>
        <v>63.71</v>
      </c>
      <c r="I63" s="3">
        <f>IF(INDEX(学年度总表!$I$3:$I$1025,MATCH($E63,学年度总表!$E$3:$E$1025,0))="","",INDEX(学年度总表!$I$3:$I$1025,MATCH($E63,学年度总表!$E$3:$E$1025,0)))</f>
        <v>3</v>
      </c>
      <c r="J63" s="3">
        <f>IF(INDEX(学年度总表!$J$3:$J$1025,MATCH($E63,学年度总表!$E$3:$E$1025,0))="","",INDEX(学年度总表!$J$3:$J$1025,MATCH($E63,学年度总表!$E$3:$E$1025,0)))</f>
        <v>76.709999999999994</v>
      </c>
      <c r="K63" s="3">
        <f>IF(INDEX(学年度总表!$K$3:$K$1025,MATCH($E63,学年度总表!$E$3:$E$1025,0))="","",INDEX(学年度总表!$K$3:$K$1025,MATCH($E63,学年度总表!$E$3:$E$1025,0)))</f>
        <v>7.5</v>
      </c>
      <c r="L63" s="3">
        <f>IF(INDEX(学年度总表!$L$3:$L$1025,MATCH($E63,学年度总表!$E$3:$E$1025,0))="","",INDEX(学年度总表!$L$3:$L$1025,MATCH($E63,学年度总表!$E$3:$E$1025,0)))</f>
        <v>61.9</v>
      </c>
      <c r="M63" s="3">
        <f>IF(INDEX(学年度总表!$M$3:$M$1025,MATCH($E63,学年度总表!$E$3:$E$1025,0))="","",INDEX(学年度总表!$M$3:$M$1025,MATCH($E63,学年度总表!$E$3:$E$1025,0)))</f>
        <v>3.7</v>
      </c>
      <c r="N63" s="3">
        <f>IF(INDEX(学年度总表!$N$3:$N$1025,MATCH($E63,学年度总表!$E$3:$E$1025,0))="","",INDEX(学年度总表!$N$3:$N$1025,MATCH($E63,学年度总表!$E$3:$E$1025,0)))</f>
        <v>73.099999999999994</v>
      </c>
      <c r="O63" s="3">
        <f>IF(INDEX(学年度总表!$O$3:$O$1025,MATCH($E63,学年度总表!$E$3:$E$1025,0))="","",INDEX(学年度总表!$O$3:$O$1025,MATCH($E63,学年度总表!$E$3:$E$1025,0)))</f>
        <v>149.81</v>
      </c>
      <c r="P63" s="4" t="str">
        <f>IF(INDEX(学年度总表!$P$3:$P$1025,MATCH($E63,学年度总表!$E$3:$E$1025,0))="","",INDEX(学年度总表!$P$3:$P$1025,MATCH($E63,学年度总表!$E$3:$E$1025,0)))</f>
        <v>校三等</v>
      </c>
      <c r="Q63" s="5" t="str">
        <f>IF(INDEX(学年度总表!$Q$3:$Q$1025,MATCH($E63,学年度总表!$E$3:$E$1025,0))="","",INDEX(学年度总表!$Q$3:$Q$1025,MATCH($E63,学年度总表!$E$3:$E$1025,0)))</f>
        <v/>
      </c>
    </row>
    <row r="64" spans="1:17">
      <c r="A64" s="2">
        <f>IF(INDEX(学年度总表!$A$3:$A$1025,MATCH($E64,学年度总表!$E$3:$E$1025,0))="","",INDEX(学年度总表!$A$3:$A$1025,MATCH($E64,学年度总表!$E$3:$E$1025,0)))</f>
        <v>252</v>
      </c>
      <c r="B64" s="2">
        <f>IF(INDEX(学年度总表!$B$3:$B$1025,MATCH($E64,学年度总表!$E$3:$E$1025,0))="","",INDEX(学年度总表!$B$3:$B$1025,MATCH($E64,学年度总表!$E$3:$E$1025,0)))</f>
        <v>62</v>
      </c>
      <c r="C64" s="2" t="str">
        <f>IF(INDEX(学年度总表!$C$3:$C$1025,MATCH($E64,学年度总表!$E$3:$E$1025,0))="","",INDEX(学年度总表!$C$3:$C$1025,MATCH($E64,学年度总表!$E$3:$E$1025,0)))</f>
        <v>信管</v>
      </c>
      <c r="D64" s="2" t="str">
        <f>IF(INDEX(学年度总表!$D$3:$D$1025,MATCH($E64,学年度总表!$E$3:$E$1025,0))="","",INDEX(学年度总表!$D$3:$D$1025,MATCH($E64,学年度总表!$E$3:$E$1025,0)))</f>
        <v>信管21班</v>
      </c>
      <c r="E64" s="2" t="s">
        <v>563</v>
      </c>
      <c r="F64" s="2" t="str">
        <f>IF(INDEX(学年度总表!$F$3:$F$1025,MATCH($E64,学年度总表!$E$3:$E$1025,0))="","",INDEX(学年度总表!$F$3:$F$1025,MATCH($E64,学年度总表!$E$3:$E$1025,0)))</f>
        <v>孙嘉忆</v>
      </c>
      <c r="G64" s="3">
        <f>IF(INDEX(学年度总表!$G$3:$G$1025,MATCH($E64,学年度总表!$E$3:$E$1025,0))="","",INDEX(学年度总表!$G$3:$G$1025,MATCH($E64,学年度总表!$E$3:$E$1025,0)))</f>
        <v>9.8000000000000007</v>
      </c>
      <c r="H64" s="3">
        <f>IF(INDEX(学年度总表!$H$3:$H$1025,MATCH($E64,学年度总表!$E$3:$E$1025,0))="","",INDEX(学年度总表!$H$3:$H$1025,MATCH($E64,学年度总表!$E$3:$E$1025,0)))</f>
        <v>64.12</v>
      </c>
      <c r="I64" s="3">
        <f>IF(INDEX(学年度总表!$I$3:$I$1025,MATCH($E64,学年度总表!$E$3:$E$1025,0))="","",INDEX(学年度总表!$I$3:$I$1025,MATCH($E64,学年度总表!$E$3:$E$1025,0)))</f>
        <v>4</v>
      </c>
      <c r="J64" s="3">
        <f>IF(INDEX(学年度总表!$J$3:$J$1025,MATCH($E64,学年度总表!$E$3:$E$1025,0))="","",INDEX(学年度总表!$J$3:$J$1025,MATCH($E64,学年度总表!$E$3:$E$1025,0)))</f>
        <v>77.92</v>
      </c>
      <c r="K64" s="3">
        <f>IF(INDEX(学年度总表!$K$3:$K$1025,MATCH($E64,学年度总表!$E$3:$E$1025,0))="","",INDEX(学年度总表!$K$3:$K$1025,MATCH($E64,学年度总表!$E$3:$E$1025,0)))</f>
        <v>9.8000000000000007</v>
      </c>
      <c r="L64" s="3">
        <f>IF(INDEX(学年度总表!$L$3:$L$1025,MATCH($E64,学年度总表!$E$3:$E$1025,0))="","",INDEX(学年度总表!$L$3:$L$1025,MATCH($E64,学年度总表!$E$3:$E$1025,0)))</f>
        <v>58.56</v>
      </c>
      <c r="M64" s="3">
        <f>IF(INDEX(学年度总表!$M$3:$M$1025,MATCH($E64,学年度总表!$E$3:$E$1025,0))="","",INDEX(学年度总表!$M$3:$M$1025,MATCH($E64,学年度总表!$E$3:$E$1025,0)))</f>
        <v>3.5</v>
      </c>
      <c r="N64" s="3">
        <f>IF(INDEX(学年度总表!$N$3:$N$1025,MATCH($E64,学年度总表!$E$3:$E$1025,0))="","",INDEX(学年度总表!$N$3:$N$1025,MATCH($E64,学年度总表!$E$3:$E$1025,0)))</f>
        <v>71.86</v>
      </c>
      <c r="O64" s="3">
        <f>IF(INDEX(学年度总表!$O$3:$O$1025,MATCH($E64,学年度总表!$E$3:$E$1025,0))="","",INDEX(学年度总表!$O$3:$O$1025,MATCH($E64,学年度总表!$E$3:$E$1025,0)))</f>
        <v>149.78</v>
      </c>
      <c r="P64" s="4" t="str">
        <f>IF(INDEX(学年度总表!$P$3:$P$1025,MATCH($E64,学年度总表!$E$3:$E$1025,0))="","",INDEX(学年度总表!$P$3:$P$1025,MATCH($E64,学年度总表!$E$3:$E$1025,0)))</f>
        <v>校三等</v>
      </c>
      <c r="Q64" s="5" t="str">
        <f>IF(INDEX(学年度总表!$Q$3:$Q$1025,MATCH($E64,学年度总表!$E$3:$E$1025,0))="","",INDEX(学年度总表!$Q$3:$Q$1025,MATCH($E64,学年度总表!$E$3:$E$1025,0)))</f>
        <v/>
      </c>
    </row>
    <row r="65" spans="1:17">
      <c r="A65" s="2">
        <f>IF(INDEX(学年度总表!$A$3:$A$1025,MATCH($E65,学年度总表!$E$3:$E$1025,0))="","",INDEX(学年度总表!$A$3:$A$1025,MATCH($E65,学年度总表!$E$3:$E$1025,0)))</f>
        <v>260</v>
      </c>
      <c r="B65" s="2">
        <f>IF(INDEX(学年度总表!$B$3:$B$1025,MATCH($E65,学年度总表!$E$3:$E$1025,0))="","",INDEX(学年度总表!$B$3:$B$1025,MATCH($E65,学年度总表!$E$3:$E$1025,0)))</f>
        <v>63</v>
      </c>
      <c r="C65" s="2" t="str">
        <f>IF(INDEX(学年度总表!$C$3:$C$1025,MATCH($E65,学年度总表!$E$3:$E$1025,0))="","",INDEX(学年度总表!$C$3:$C$1025,MATCH($E65,学年度总表!$E$3:$E$1025,0)))</f>
        <v>信管</v>
      </c>
      <c r="D65" s="2" t="str">
        <f>IF(INDEX(学年度总表!$D$3:$D$1025,MATCH($E65,学年度总表!$E$3:$E$1025,0))="","",INDEX(学年度总表!$D$3:$D$1025,MATCH($E65,学年度总表!$E$3:$E$1025,0)))</f>
        <v>信管24班</v>
      </c>
      <c r="E65" s="2" t="s">
        <v>580</v>
      </c>
      <c r="F65" s="2" t="str">
        <f>IF(INDEX(学年度总表!$F$3:$F$1025,MATCH($E65,学年度总表!$E$3:$E$1025,0))="","",INDEX(学年度总表!$F$3:$F$1025,MATCH($E65,学年度总表!$E$3:$E$1025,0)))</f>
        <v>苏绍涵</v>
      </c>
      <c r="G65" s="3">
        <f>IF(INDEX(学年度总表!$G$3:$G$1025,MATCH($E65,学年度总表!$E$3:$E$1025,0))="","",INDEX(学年度总表!$G$3:$G$1025,MATCH($E65,学年度总表!$E$3:$E$1025,0)))</f>
        <v>11</v>
      </c>
      <c r="H65" s="3">
        <f>IF(INDEX(学年度总表!$H$3:$H$1025,MATCH($E65,学年度总表!$E$3:$E$1025,0))="","",INDEX(学年度总表!$H$3:$H$1025,MATCH($E65,学年度总表!$E$3:$E$1025,0)))</f>
        <v>55.82</v>
      </c>
      <c r="I65" s="3">
        <f>IF(INDEX(学年度总表!$I$3:$I$1025,MATCH($E65,学年度总表!$E$3:$E$1025,0))="","",INDEX(学年度总表!$I$3:$I$1025,MATCH($E65,学年度总表!$E$3:$E$1025,0)))</f>
        <v>4.9000000000000004</v>
      </c>
      <c r="J65" s="3">
        <f>IF(INDEX(学年度总表!$J$3:$J$1025,MATCH($E65,学年度总表!$E$3:$E$1025,0))="","",INDEX(学年度总表!$J$3:$J$1025,MATCH($E65,学年度总表!$E$3:$E$1025,0)))</f>
        <v>71.72</v>
      </c>
      <c r="K65" s="3">
        <f>IF(INDEX(学年度总表!$K$3:$K$1025,MATCH($E65,学年度总表!$E$3:$E$1025,0))="","",INDEX(学年度总表!$K$3:$K$1025,MATCH($E65,学年度总表!$E$3:$E$1025,0)))</f>
        <v>10</v>
      </c>
      <c r="L65" s="3">
        <f>IF(INDEX(学年度总表!$L$3:$L$1025,MATCH($E65,学年度总表!$E$3:$E$1025,0))="","",INDEX(学年度总表!$L$3:$L$1025,MATCH($E65,学年度总表!$E$3:$E$1025,0)))</f>
        <v>62.64</v>
      </c>
      <c r="M65" s="3">
        <f>IF(INDEX(学年度总表!$M$3:$M$1025,MATCH($E65,学年度总表!$E$3:$E$1025,0))="","",INDEX(学年度总表!$M$3:$M$1025,MATCH($E65,学年度总表!$E$3:$E$1025,0)))</f>
        <v>5.15</v>
      </c>
      <c r="N65" s="3">
        <f>IF(INDEX(学年度总表!$N$3:$N$1025,MATCH($E65,学年度总表!$E$3:$E$1025,0))="","",INDEX(学年度总表!$N$3:$N$1025,MATCH($E65,学年度总表!$E$3:$E$1025,0)))</f>
        <v>77.790000000000006</v>
      </c>
      <c r="O65" s="3">
        <f>IF(INDEX(学年度总表!$O$3:$O$1025,MATCH($E65,学年度总表!$E$3:$E$1025,0))="","",INDEX(学年度总表!$O$3:$O$1025,MATCH($E65,学年度总表!$E$3:$E$1025,0)))</f>
        <v>149.51</v>
      </c>
      <c r="P65" s="2" t="str">
        <f>IF(INDEX(学年度总表!$P$3:$P$1025,MATCH($E65,学年度总表!$E$3:$E$1025,0))="","",INDEX(学年度总表!$P$3:$P$1025,MATCH($E65,学年度总表!$E$3:$E$1025,0)))</f>
        <v/>
      </c>
      <c r="Q65" s="5" t="str">
        <f>IF(INDEX(学年度总表!$Q$3:$Q$1025,MATCH($E65,学年度总表!$E$3:$E$1025,0))="","",INDEX(学年度总表!$Q$3:$Q$1025,MATCH($E65,学年度总表!$E$3:$E$1025,0)))</f>
        <v/>
      </c>
    </row>
    <row r="66" spans="1:17">
      <c r="A66" s="2">
        <f>IF(INDEX(学年度总表!$A$3:$A$1025,MATCH($E66,学年度总表!$E$3:$E$1025,0))="","",INDEX(学年度总表!$A$3:$A$1025,MATCH($E66,学年度总表!$E$3:$E$1025,0)))</f>
        <v>266</v>
      </c>
      <c r="B66" s="2">
        <f>IF(INDEX(学年度总表!$B$3:$B$1025,MATCH($E66,学年度总表!$E$3:$E$1025,0))="","",INDEX(学年度总表!$B$3:$B$1025,MATCH($E66,学年度总表!$E$3:$E$1025,0)))</f>
        <v>64</v>
      </c>
      <c r="C66" s="2" t="str">
        <f>IF(INDEX(学年度总表!$C$3:$C$1025,MATCH($E66,学年度总表!$E$3:$E$1025,0))="","",INDEX(学年度总表!$C$3:$C$1025,MATCH($E66,学年度总表!$E$3:$E$1025,0)))</f>
        <v>信管</v>
      </c>
      <c r="D66" s="2" t="str">
        <f>IF(INDEX(学年度总表!$D$3:$D$1025,MATCH($E66,学年度总表!$E$3:$E$1025,0))="","",INDEX(学年度总表!$D$3:$D$1025,MATCH($E66,学年度总表!$E$3:$E$1025,0)))</f>
        <v>信管24班</v>
      </c>
      <c r="E66" s="2" t="s">
        <v>592</v>
      </c>
      <c r="F66" s="2" t="str">
        <f>IF(INDEX(学年度总表!$F$3:$F$1025,MATCH($E66,学年度总表!$E$3:$E$1025,0))="","",INDEX(学年度总表!$F$3:$F$1025,MATCH($E66,学年度总表!$E$3:$E$1025,0)))</f>
        <v>张舒恺</v>
      </c>
      <c r="G66" s="3">
        <f>IF(INDEX(学年度总表!$G$3:$G$1025,MATCH($E66,学年度总表!$E$3:$E$1025,0))="","",INDEX(学年度总表!$G$3:$G$1025,MATCH($E66,学年度总表!$E$3:$E$1025,0)))</f>
        <v>9.8000000000000007</v>
      </c>
      <c r="H66" s="3">
        <f>IF(INDEX(学年度总表!$H$3:$H$1025,MATCH($E66,学年度总表!$E$3:$E$1025,0))="","",INDEX(学年度总表!$H$3:$H$1025,MATCH($E66,学年度总表!$E$3:$E$1025,0)))</f>
        <v>64.09</v>
      </c>
      <c r="I66" s="3">
        <f>IF(INDEX(学年度总表!$I$3:$I$1025,MATCH($E66,学年度总表!$E$3:$E$1025,0))="","",INDEX(学年度总表!$I$3:$I$1025,MATCH($E66,学年度总表!$E$3:$E$1025,0)))</f>
        <v>4.5</v>
      </c>
      <c r="J66" s="3">
        <f>IF(INDEX(学年度总表!$J$3:$J$1025,MATCH($E66,学年度总表!$E$3:$E$1025,0))="","",INDEX(学年度总表!$J$3:$J$1025,MATCH($E66,学年度总表!$E$3:$E$1025,0)))</f>
        <v>78.39</v>
      </c>
      <c r="K66" s="3">
        <f>IF(INDEX(学年度总表!$K$3:$K$1025,MATCH($E66,学年度总表!$E$3:$E$1025,0))="","",INDEX(学年度总表!$K$3:$K$1025,MATCH($E66,学年度总表!$E$3:$E$1025,0)))</f>
        <v>9.8000000000000007</v>
      </c>
      <c r="L66" s="3">
        <f>IF(INDEX(学年度总表!$L$3:$L$1025,MATCH($E66,学年度总表!$E$3:$E$1025,0))="","",INDEX(学年度总表!$L$3:$L$1025,MATCH($E66,学年度总表!$E$3:$E$1025,0)))</f>
        <v>57.96</v>
      </c>
      <c r="M66" s="3">
        <f>IF(INDEX(学年度总表!$M$3:$M$1025,MATCH($E66,学年度总表!$E$3:$E$1025,0))="","",INDEX(学年度总表!$M$3:$M$1025,MATCH($E66,学年度总表!$E$3:$E$1025,0)))</f>
        <v>3</v>
      </c>
      <c r="N66" s="3">
        <f>IF(INDEX(学年度总表!$N$3:$N$1025,MATCH($E66,学年度总表!$E$3:$E$1025,0))="","",INDEX(学年度总表!$N$3:$N$1025,MATCH($E66,学年度总表!$E$3:$E$1025,0)))</f>
        <v>70.760000000000005</v>
      </c>
      <c r="O66" s="3">
        <f>IF(INDEX(学年度总表!$O$3:$O$1025,MATCH($E66,学年度总表!$E$3:$E$1025,0))="","",INDEX(学年度总表!$O$3:$O$1025,MATCH($E66,学年度总表!$E$3:$E$1025,0)))</f>
        <v>149.15</v>
      </c>
      <c r="P66" s="4" t="str">
        <f>IF(INDEX(学年度总表!$P$3:$P$1025,MATCH($E66,学年度总表!$E$3:$E$1025,0))="","",INDEX(学年度总表!$P$3:$P$1025,MATCH($E66,学年度总表!$E$3:$E$1025,0)))</f>
        <v>校三等</v>
      </c>
      <c r="Q66" s="5" t="str">
        <f>IF(INDEX(学年度总表!$Q$3:$Q$1025,MATCH($E66,学年度总表!$E$3:$E$1025,0))="","",INDEX(学年度总表!$Q$3:$Q$1025,MATCH($E66,学年度总表!$E$3:$E$1025,0)))</f>
        <v/>
      </c>
    </row>
    <row r="67" spans="1:17">
      <c r="A67" s="2">
        <f>IF(INDEX(学年度总表!$A$3:$A$1025,MATCH($E67,学年度总表!$E$3:$E$1025,0))="","",INDEX(学年度总表!$A$3:$A$1025,MATCH($E67,学年度总表!$E$3:$E$1025,0)))</f>
        <v>267</v>
      </c>
      <c r="B67" s="2">
        <f>IF(INDEX(学年度总表!$B$3:$B$1025,MATCH($E67,学年度总表!$E$3:$E$1025,0))="","",INDEX(学年度总表!$B$3:$B$1025,MATCH($E67,学年度总表!$E$3:$E$1025,0)))</f>
        <v>65</v>
      </c>
      <c r="C67" s="2" t="str">
        <f>IF(INDEX(学年度总表!$C$3:$C$1025,MATCH($E67,学年度总表!$E$3:$E$1025,0))="","",INDEX(学年度总表!$C$3:$C$1025,MATCH($E67,学年度总表!$E$3:$E$1025,0)))</f>
        <v>信管</v>
      </c>
      <c r="D67" s="2" t="str">
        <f>IF(INDEX(学年度总表!$D$3:$D$1025,MATCH($E67,学年度总表!$E$3:$E$1025,0))="","",INDEX(学年度总表!$D$3:$D$1025,MATCH($E67,学年度总表!$E$3:$E$1025,0)))</f>
        <v>信管28班</v>
      </c>
      <c r="E67" s="2" t="s">
        <v>594</v>
      </c>
      <c r="F67" s="2" t="str">
        <f>IF(INDEX(学年度总表!$F$3:$F$1025,MATCH($E67,学年度总表!$E$3:$E$1025,0))="","",INDEX(学年度总表!$F$3:$F$1025,MATCH($E67,学年度总表!$E$3:$E$1025,0)))</f>
        <v>张函毓</v>
      </c>
      <c r="G67" s="3">
        <f>IF(INDEX(学年度总表!$G$3:$G$1025,MATCH($E67,学年度总表!$E$3:$E$1025,0))="","",INDEX(学年度总表!$G$3:$G$1025,MATCH($E67,学年度总表!$E$3:$E$1025,0)))</f>
        <v>9.8000000000000007</v>
      </c>
      <c r="H67" s="3">
        <f>IF(INDEX(学年度总表!$H$3:$H$1025,MATCH($E67,学年度总表!$E$3:$E$1025,0))="","",INDEX(学年度总表!$H$3:$H$1025,MATCH($E67,学年度总表!$E$3:$E$1025,0)))</f>
        <v>64.42</v>
      </c>
      <c r="I67" s="3">
        <f>IF(INDEX(学年度总表!$I$3:$I$1025,MATCH($E67,学年度总表!$E$3:$E$1025,0))="","",INDEX(学年度总表!$I$3:$I$1025,MATCH($E67,学年度总表!$E$3:$E$1025,0)))</f>
        <v>4.3</v>
      </c>
      <c r="J67" s="3">
        <f>IF(INDEX(学年度总表!$J$3:$J$1025,MATCH($E67,学年度总表!$E$3:$E$1025,0))="","",INDEX(学年度总表!$J$3:$J$1025,MATCH($E67,学年度总表!$E$3:$E$1025,0)))</f>
        <v>78.52</v>
      </c>
      <c r="K67" s="3">
        <f>IF(INDEX(学年度总表!$K$3:$K$1025,MATCH($E67,学年度总表!$E$3:$E$1025,0))="","",INDEX(学年度总表!$K$3:$K$1025,MATCH($E67,学年度总表!$E$3:$E$1025,0)))</f>
        <v>7.5</v>
      </c>
      <c r="L67" s="3">
        <f>IF(INDEX(学年度总表!$L$3:$L$1025,MATCH($E67,学年度总表!$E$3:$E$1025,0))="","",INDEX(学年度总表!$L$3:$L$1025,MATCH($E67,学年度总表!$E$3:$E$1025,0)))</f>
        <v>58.63</v>
      </c>
      <c r="M67" s="3">
        <f>IF(INDEX(学年度总表!$M$3:$M$1025,MATCH($E67,学年度总表!$E$3:$E$1025,0))="","",INDEX(学年度总表!$M$3:$M$1025,MATCH($E67,学年度总表!$E$3:$E$1025,0)))</f>
        <v>4.45</v>
      </c>
      <c r="N67" s="3">
        <f>IF(INDEX(学年度总表!$N$3:$N$1025,MATCH($E67,学年度总表!$E$3:$E$1025,0))="","",INDEX(学年度总表!$N$3:$N$1025,MATCH($E67,学年度总表!$E$3:$E$1025,0)))</f>
        <v>70.58</v>
      </c>
      <c r="O67" s="3">
        <f>IF(INDEX(学年度总表!$O$3:$O$1025,MATCH($E67,学年度总表!$E$3:$E$1025,0))="","",INDEX(学年度总表!$O$3:$O$1025,MATCH($E67,学年度总表!$E$3:$E$1025,0)))</f>
        <v>149.1</v>
      </c>
      <c r="P67" s="2" t="str">
        <f>IF(INDEX(学年度总表!$P$3:$P$1025,MATCH($E67,学年度总表!$E$3:$E$1025,0))="","",INDEX(学年度总表!$P$3:$P$1025,MATCH($E67,学年度总表!$E$3:$E$1025,0)))</f>
        <v/>
      </c>
      <c r="Q67" s="5" t="str">
        <f>IF(INDEX(学年度总表!$Q$3:$Q$1025,MATCH($E67,学年度总表!$E$3:$E$1025,0))="","",INDEX(学年度总表!$Q$3:$Q$1025,MATCH($E67,学年度总表!$E$3:$E$1025,0)))</f>
        <v/>
      </c>
    </row>
    <row r="68" spans="1:17">
      <c r="A68" s="2">
        <f>IF(INDEX(学年度总表!$A$3:$A$1025,MATCH($E68,学年度总表!$E$3:$E$1025,0))="","",INDEX(学年度总表!$A$3:$A$1025,MATCH($E68,学年度总表!$E$3:$E$1025,0)))</f>
        <v>269</v>
      </c>
      <c r="B68" s="2">
        <f>IF(INDEX(学年度总表!$B$3:$B$1025,MATCH($E68,学年度总表!$E$3:$E$1025,0))="","",INDEX(学年度总表!$B$3:$B$1025,MATCH($E68,学年度总表!$E$3:$E$1025,0)))</f>
        <v>66</v>
      </c>
      <c r="C68" s="2" t="str">
        <f>IF(INDEX(学年度总表!$C$3:$C$1025,MATCH($E68,学年度总表!$E$3:$E$1025,0))="","",INDEX(学年度总表!$C$3:$C$1025,MATCH($E68,学年度总表!$E$3:$E$1025,0)))</f>
        <v>信管</v>
      </c>
      <c r="D68" s="2" t="str">
        <f>IF(INDEX(学年度总表!$D$3:$D$1025,MATCH($E68,学年度总表!$E$3:$E$1025,0))="","",INDEX(学年度总表!$D$3:$D$1025,MATCH($E68,学年度总表!$E$3:$E$1025,0)))</f>
        <v>信管20班</v>
      </c>
      <c r="E68" s="2" t="s">
        <v>598</v>
      </c>
      <c r="F68" s="2" t="str">
        <f>IF(INDEX(学年度总表!$F$3:$F$1025,MATCH($E68,学年度总表!$E$3:$E$1025,0))="","",INDEX(学年度总表!$F$3:$F$1025,MATCH($E68,学年度总表!$E$3:$E$1025,0)))</f>
        <v>倪郝</v>
      </c>
      <c r="G68" s="3">
        <f>IF(INDEX(学年度总表!$G$3:$G$1025,MATCH($E68,学年度总表!$E$3:$E$1025,0))="","",INDEX(学年度总表!$G$3:$G$1025,MATCH($E68,学年度总表!$E$3:$E$1025,0)))</f>
        <v>9.8000000000000007</v>
      </c>
      <c r="H68" s="3">
        <f>IF(INDEX(学年度总表!$H$3:$H$1025,MATCH($E68,学年度总表!$E$3:$E$1025,0))="","",INDEX(学年度总表!$H$3:$H$1025,MATCH($E68,学年度总表!$E$3:$E$1025,0)))</f>
        <v>61.77</v>
      </c>
      <c r="I68" s="3">
        <f>IF(INDEX(学年度总表!$I$3:$I$1025,MATCH($E68,学年度总表!$E$3:$E$1025,0))="","",INDEX(学年度总表!$I$3:$I$1025,MATCH($E68,学年度总表!$E$3:$E$1025,0)))</f>
        <v>4.4000000000000004</v>
      </c>
      <c r="J68" s="3">
        <f>IF(INDEX(学年度总表!$J$3:$J$1025,MATCH($E68,学年度总表!$E$3:$E$1025,0))="","",INDEX(学年度总表!$J$3:$J$1025,MATCH($E68,学年度总表!$E$3:$E$1025,0)))</f>
        <v>75.97</v>
      </c>
      <c r="K68" s="3">
        <f>IF(INDEX(学年度总表!$K$3:$K$1025,MATCH($E68,学年度总表!$E$3:$E$1025,0))="","",INDEX(学年度总表!$K$3:$K$1025,MATCH($E68,学年度总表!$E$3:$E$1025,0)))</f>
        <v>9.8000000000000007</v>
      </c>
      <c r="L68" s="3">
        <f>IF(INDEX(学年度总表!$L$3:$L$1025,MATCH($E68,学年度总表!$E$3:$E$1025,0))="","",INDEX(学年度总表!$L$3:$L$1025,MATCH($E68,学年度总表!$E$3:$E$1025,0)))</f>
        <v>58.81</v>
      </c>
      <c r="M68" s="3">
        <f>IF(INDEX(学年度总表!$M$3:$M$1025,MATCH($E68,学年度总表!$E$3:$E$1025,0))="","",INDEX(学年度总表!$M$3:$M$1025,MATCH($E68,学年度总表!$E$3:$E$1025,0)))</f>
        <v>4.5</v>
      </c>
      <c r="N68" s="3">
        <f>IF(INDEX(学年度总表!$N$3:$N$1025,MATCH($E68,学年度总表!$E$3:$E$1025,0))="","",INDEX(学年度总表!$N$3:$N$1025,MATCH($E68,学年度总表!$E$3:$E$1025,0)))</f>
        <v>73.11</v>
      </c>
      <c r="O68" s="3">
        <f>IF(INDEX(学年度总表!$O$3:$O$1025,MATCH($E68,学年度总表!$E$3:$E$1025,0))="","",INDEX(学年度总表!$O$3:$O$1025,MATCH($E68,学年度总表!$E$3:$E$1025,0)))</f>
        <v>149.08000000000001</v>
      </c>
      <c r="P68" s="4" t="str">
        <f>IF(INDEX(学年度总表!$P$3:$P$1025,MATCH($E68,学年度总表!$E$3:$E$1025,0))="","",INDEX(学年度总表!$P$3:$P$1025,MATCH($E68,学年度总表!$E$3:$E$1025,0)))</f>
        <v>校三等</v>
      </c>
      <c r="Q68" s="5" t="str">
        <f>IF(INDEX(学年度总表!$Q$3:$Q$1025,MATCH($E68,学年度总表!$E$3:$E$1025,0))="","",INDEX(学年度总表!$Q$3:$Q$1025,MATCH($E68,学年度总表!$E$3:$E$1025,0)))</f>
        <v/>
      </c>
    </row>
    <row r="69" spans="1:17">
      <c r="A69" s="2">
        <f>IF(INDEX(学年度总表!$A$3:$A$1025,MATCH($E69,学年度总表!$E$3:$E$1025,0))="","",INDEX(学年度总表!$A$3:$A$1025,MATCH($E69,学年度总表!$E$3:$E$1025,0)))</f>
        <v>270</v>
      </c>
      <c r="B69" s="2">
        <f>IF(INDEX(学年度总表!$B$3:$B$1025,MATCH($E69,学年度总表!$E$3:$E$1025,0))="","",INDEX(学年度总表!$B$3:$B$1025,MATCH($E69,学年度总表!$E$3:$E$1025,0)))</f>
        <v>67</v>
      </c>
      <c r="C69" s="2" t="str">
        <f>IF(INDEX(学年度总表!$C$3:$C$1025,MATCH($E69,学年度总表!$E$3:$E$1025,0))="","",INDEX(学年度总表!$C$3:$C$1025,MATCH($E69,学年度总表!$E$3:$E$1025,0)))</f>
        <v>信管</v>
      </c>
      <c r="D69" s="2" t="str">
        <f>IF(INDEX(学年度总表!$D$3:$D$1025,MATCH($E69,学年度总表!$E$3:$E$1025,0))="","",INDEX(学年度总表!$D$3:$D$1025,MATCH($E69,学年度总表!$E$3:$E$1025,0)))</f>
        <v>信管28班</v>
      </c>
      <c r="E69" s="2" t="s">
        <v>600</v>
      </c>
      <c r="F69" s="2" t="str">
        <f>IF(INDEX(学年度总表!$F$3:$F$1025,MATCH($E69,学年度总表!$E$3:$E$1025,0))="","",INDEX(学年度总表!$F$3:$F$1025,MATCH($E69,学年度总表!$E$3:$E$1025,0)))</f>
        <v>房美彤</v>
      </c>
      <c r="G69" s="3">
        <f>IF(INDEX(学年度总表!$G$3:$G$1025,MATCH($E69,学年度总表!$E$3:$E$1025,0))="","",INDEX(学年度总表!$G$3:$G$1025,MATCH($E69,学年度总表!$E$3:$E$1025,0)))</f>
        <v>11.3</v>
      </c>
      <c r="H69" s="3">
        <f>IF(INDEX(学年度总表!$H$3:$H$1025,MATCH($E69,学年度总表!$E$3:$E$1025,0))="","",INDEX(学年度总表!$H$3:$H$1025,MATCH($E69,学年度总表!$E$3:$E$1025,0)))</f>
        <v>61.02</v>
      </c>
      <c r="I69" s="3">
        <f>IF(INDEX(学年度总表!$I$3:$I$1025,MATCH($E69,学年度总表!$E$3:$E$1025,0))="","",INDEX(学年度总表!$I$3:$I$1025,MATCH($E69,学年度总表!$E$3:$E$1025,0)))</f>
        <v>4</v>
      </c>
      <c r="J69" s="3">
        <f>IF(INDEX(学年度总表!$J$3:$J$1025,MATCH($E69,学年度总表!$E$3:$E$1025,0))="","",INDEX(学年度总表!$J$3:$J$1025,MATCH($E69,学年度总表!$E$3:$E$1025,0)))</f>
        <v>76.319999999999993</v>
      </c>
      <c r="K69" s="3">
        <f>IF(INDEX(学年度总表!$K$3:$K$1025,MATCH($E69,学年度总表!$E$3:$E$1025,0))="","",INDEX(学年度总表!$K$3:$K$1025,MATCH($E69,学年度总表!$E$3:$E$1025,0)))</f>
        <v>12.3</v>
      </c>
      <c r="L69" s="3">
        <f>IF(INDEX(学年度总表!$L$3:$L$1025,MATCH($E69,学年度总表!$E$3:$E$1025,0))="","",INDEX(学年度总表!$L$3:$L$1025,MATCH($E69,学年度总表!$E$3:$E$1025,0)))</f>
        <v>51.53</v>
      </c>
      <c r="M69" s="3">
        <f>IF(INDEX(学年度总表!$M$3:$M$1025,MATCH($E69,学年度总表!$E$3:$E$1025,0))="","",INDEX(学年度总表!$M$3:$M$1025,MATCH($E69,学年度总表!$E$3:$E$1025,0)))</f>
        <v>8.9</v>
      </c>
      <c r="N69" s="3">
        <f>IF(INDEX(学年度总表!$N$3:$N$1025,MATCH($E69,学年度总表!$E$3:$E$1025,0))="","",INDEX(学年度总表!$N$3:$N$1025,MATCH($E69,学年度总表!$E$3:$E$1025,0)))</f>
        <v>72.73</v>
      </c>
      <c r="O69" s="3">
        <f>IF(INDEX(学年度总表!$O$3:$O$1025,MATCH($E69,学年度总表!$E$3:$E$1025,0))="","",INDEX(学年度总表!$O$3:$O$1025,MATCH($E69,学年度总表!$E$3:$E$1025,0)))</f>
        <v>149.05000000000001</v>
      </c>
      <c r="P69" s="2" t="str">
        <f>IF(INDEX(学年度总表!$P$3:$P$1025,MATCH($E69,学年度总表!$E$3:$E$1025,0))="","",INDEX(学年度总表!$P$3:$P$1025,MATCH($E69,学年度总表!$E$3:$E$1025,0)))</f>
        <v/>
      </c>
      <c r="Q69" s="5" t="str">
        <f>IF(INDEX(学年度总表!$Q$3:$Q$1025,MATCH($E69,学年度总表!$E$3:$E$1025,0))="","",INDEX(学年度总表!$Q$3:$Q$1025,MATCH($E69,学年度总表!$E$3:$E$1025,0)))</f>
        <v/>
      </c>
    </row>
    <row r="70" spans="1:17">
      <c r="A70" s="2">
        <f>IF(INDEX(学年度总表!$A$3:$A$1025,MATCH($E70,学年度总表!$E$3:$E$1025,0))="","",INDEX(学年度总表!$A$3:$A$1025,MATCH($E70,学年度总表!$E$3:$E$1025,0)))</f>
        <v>271</v>
      </c>
      <c r="B70" s="2">
        <f>IF(INDEX(学年度总表!$B$3:$B$1025,MATCH($E70,学年度总表!$E$3:$E$1025,0))="","",INDEX(学年度总表!$B$3:$B$1025,MATCH($E70,学年度总表!$E$3:$E$1025,0)))</f>
        <v>68</v>
      </c>
      <c r="C70" s="2" t="str">
        <f>IF(INDEX(学年度总表!$C$3:$C$1025,MATCH($E70,学年度总表!$E$3:$E$1025,0))="","",INDEX(学年度总表!$C$3:$C$1025,MATCH($E70,学年度总表!$E$3:$E$1025,0)))</f>
        <v>信管</v>
      </c>
      <c r="D70" s="2" t="str">
        <f>IF(INDEX(学年度总表!$D$3:$D$1025,MATCH($E70,学年度总表!$E$3:$E$1025,0))="","",INDEX(学年度总表!$D$3:$D$1025,MATCH($E70,学年度总表!$E$3:$E$1025,0)))</f>
        <v>信管19班</v>
      </c>
      <c r="E70" s="2" t="s">
        <v>602</v>
      </c>
      <c r="F70" s="2" t="str">
        <f>IF(INDEX(学年度总表!$F$3:$F$1025,MATCH($E70,学年度总表!$E$3:$E$1025,0))="","",INDEX(学年度总表!$F$3:$F$1025,MATCH($E70,学年度总表!$E$3:$E$1025,0)))</f>
        <v>盛馨乐</v>
      </c>
      <c r="G70" s="3">
        <f>IF(INDEX(学年度总表!$G$3:$G$1025,MATCH($E70,学年度总表!$E$3:$E$1025,0))="","",INDEX(学年度总表!$G$3:$G$1025,MATCH($E70,学年度总表!$E$3:$E$1025,0)))</f>
        <v>9.8000000000000007</v>
      </c>
      <c r="H70" s="3">
        <f>IF(INDEX(学年度总表!$H$3:$H$1025,MATCH($E70,学年度总表!$E$3:$E$1025,0))="","",INDEX(学年度总表!$H$3:$H$1025,MATCH($E70,学年度总表!$E$3:$E$1025,0)))</f>
        <v>63.71</v>
      </c>
      <c r="I70" s="3">
        <f>IF(INDEX(学年度总表!$I$3:$I$1025,MATCH($E70,学年度总表!$E$3:$E$1025,0))="","",INDEX(学年度总表!$I$3:$I$1025,MATCH($E70,学年度总表!$E$3:$E$1025,0)))</f>
        <v>4.2</v>
      </c>
      <c r="J70" s="3">
        <f>IF(INDEX(学年度总表!$J$3:$J$1025,MATCH($E70,学年度总表!$E$3:$E$1025,0))="","",INDEX(学年度总表!$J$3:$J$1025,MATCH($E70,学年度总表!$E$3:$E$1025,0)))</f>
        <v>77.709999999999994</v>
      </c>
      <c r="K70" s="3">
        <f>IF(INDEX(学年度总表!$K$3:$K$1025,MATCH($E70,学年度总表!$E$3:$E$1025,0))="","",INDEX(学年度总表!$K$3:$K$1025,MATCH($E70,学年度总表!$E$3:$E$1025,0)))</f>
        <v>9.8000000000000007</v>
      </c>
      <c r="L70" s="3">
        <f>IF(INDEX(学年度总表!$L$3:$L$1025,MATCH($E70,学年度总表!$E$3:$E$1025,0))="","",INDEX(学年度总表!$L$3:$L$1025,MATCH($E70,学年度总表!$E$3:$E$1025,0)))</f>
        <v>56.37</v>
      </c>
      <c r="M70" s="3">
        <f>IF(INDEX(学年度总表!$M$3:$M$1025,MATCH($E70,学年度总表!$E$3:$E$1025,0))="","",INDEX(学年度总表!$M$3:$M$1025,MATCH($E70,学年度总表!$E$3:$E$1025,0)))</f>
        <v>5.0999999999999996</v>
      </c>
      <c r="N70" s="3">
        <f>IF(INDEX(学年度总表!$N$3:$N$1025,MATCH($E70,学年度总表!$E$3:$E$1025,0))="","",INDEX(学年度总表!$N$3:$N$1025,MATCH($E70,学年度总表!$E$3:$E$1025,0)))</f>
        <v>71.27</v>
      </c>
      <c r="O70" s="3">
        <f>IF(INDEX(学年度总表!$O$3:$O$1025,MATCH($E70,学年度总表!$E$3:$E$1025,0))="","",INDEX(学年度总表!$O$3:$O$1025,MATCH($E70,学年度总表!$E$3:$E$1025,0)))</f>
        <v>148.97999999999999</v>
      </c>
      <c r="P70" s="2" t="str">
        <f>IF(INDEX(学年度总表!$P$3:$P$1025,MATCH($E70,学年度总表!$E$3:$E$1025,0))="","",INDEX(学年度总表!$P$3:$P$1025,MATCH($E70,学年度总表!$E$3:$E$1025,0)))</f>
        <v/>
      </c>
      <c r="Q70" s="5" t="str">
        <f>IF(INDEX(学年度总表!$Q$3:$Q$1025,MATCH($E70,学年度总表!$E$3:$E$1025,0))="","",INDEX(学年度总表!$Q$3:$Q$1025,MATCH($E70,学年度总表!$E$3:$E$1025,0)))</f>
        <v/>
      </c>
    </row>
    <row r="71" spans="1:17">
      <c r="A71" s="2">
        <f>IF(INDEX(学年度总表!$A$3:$A$1025,MATCH($E71,学年度总表!$E$3:$E$1025,0))="","",INDEX(学年度总表!$A$3:$A$1025,MATCH($E71,学年度总表!$E$3:$E$1025,0)))</f>
        <v>274</v>
      </c>
      <c r="B71" s="2">
        <f>IF(INDEX(学年度总表!$B$3:$B$1025,MATCH($E71,学年度总表!$E$3:$E$1025,0))="","",INDEX(学年度总表!$B$3:$B$1025,MATCH($E71,学年度总表!$E$3:$E$1025,0)))</f>
        <v>69</v>
      </c>
      <c r="C71" s="2" t="str">
        <f>IF(INDEX(学年度总表!$C$3:$C$1025,MATCH($E71,学年度总表!$E$3:$E$1025,0))="","",INDEX(学年度总表!$C$3:$C$1025,MATCH($E71,学年度总表!$E$3:$E$1025,0)))</f>
        <v>信管</v>
      </c>
      <c r="D71" s="2" t="str">
        <f>IF(INDEX(学年度总表!$D$3:$D$1025,MATCH($E71,学年度总表!$E$3:$E$1025,0))="","",INDEX(学年度总表!$D$3:$D$1025,MATCH($E71,学年度总表!$E$3:$E$1025,0)))</f>
        <v>信管28班</v>
      </c>
      <c r="E71" s="2" t="s">
        <v>610</v>
      </c>
      <c r="F71" s="2" t="str">
        <f>IF(INDEX(学年度总表!$F$3:$F$1025,MATCH($E71,学年度总表!$E$3:$E$1025,0))="","",INDEX(学年度总表!$F$3:$F$1025,MATCH($E71,学年度总表!$E$3:$E$1025,0)))</f>
        <v>林展旭</v>
      </c>
      <c r="G71" s="3">
        <f>IF(INDEX(学年度总表!$G$3:$G$1025,MATCH($E71,学年度总表!$E$3:$E$1025,0))="","",INDEX(学年度总表!$G$3:$G$1025,MATCH($E71,学年度总表!$E$3:$E$1025,0)))</f>
        <v>9.8000000000000007</v>
      </c>
      <c r="H71" s="3">
        <f>IF(INDEX(学年度总表!$H$3:$H$1025,MATCH($E71,学年度总表!$E$3:$E$1025,0))="","",INDEX(学年度总表!$H$3:$H$1025,MATCH($E71,学年度总表!$E$3:$E$1025,0)))</f>
        <v>62.86</v>
      </c>
      <c r="I71" s="3">
        <f>IF(INDEX(学年度总表!$I$3:$I$1025,MATCH($E71,学年度总表!$E$3:$E$1025,0))="","",INDEX(学年度总表!$I$3:$I$1025,MATCH($E71,学年度总表!$E$3:$E$1025,0)))</f>
        <v>3.6</v>
      </c>
      <c r="J71" s="3">
        <f>IF(INDEX(学年度总表!$J$3:$J$1025,MATCH($E71,学年度总表!$E$3:$E$1025,0))="","",INDEX(学年度总表!$J$3:$J$1025,MATCH($E71,学年度总表!$E$3:$E$1025,0)))</f>
        <v>76.260000000000005</v>
      </c>
      <c r="K71" s="3">
        <f>IF(INDEX(学年度总表!$K$3:$K$1025,MATCH($E71,学年度总表!$E$3:$E$1025,0))="","",INDEX(学年度总表!$K$3:$K$1025,MATCH($E71,学年度总表!$E$3:$E$1025,0)))</f>
        <v>7.3000000000000007</v>
      </c>
      <c r="L71" s="3">
        <f>IF(INDEX(学年度总表!$L$3:$L$1025,MATCH($E71,学年度总表!$E$3:$E$1025,0))="","",INDEX(学年度总表!$L$3:$L$1025,MATCH($E71,学年度总表!$E$3:$E$1025,0)))</f>
        <v>60.91</v>
      </c>
      <c r="M71" s="3">
        <f>IF(INDEX(学年度总表!$M$3:$M$1025,MATCH($E71,学年度总表!$E$3:$E$1025,0))="","",INDEX(学年度总表!$M$3:$M$1025,MATCH($E71,学年度总表!$E$3:$E$1025,0)))</f>
        <v>4.3</v>
      </c>
      <c r="N71" s="3">
        <f>IF(INDEX(学年度总表!$N$3:$N$1025,MATCH($E71,学年度总表!$E$3:$E$1025,0))="","",INDEX(学年度总表!$N$3:$N$1025,MATCH($E71,学年度总表!$E$3:$E$1025,0)))</f>
        <v>72.510000000000005</v>
      </c>
      <c r="O71" s="3">
        <f>IF(INDEX(学年度总表!$O$3:$O$1025,MATCH($E71,学年度总表!$E$3:$E$1025,0))="","",INDEX(学年度总表!$O$3:$O$1025,MATCH($E71,学年度总表!$E$3:$E$1025,0)))</f>
        <v>148.77000000000001</v>
      </c>
      <c r="P71" s="2" t="str">
        <f>IF(INDEX(学年度总表!$P$3:$P$1025,MATCH($E71,学年度总表!$E$3:$E$1025,0))="","",INDEX(学年度总表!$P$3:$P$1025,MATCH($E71,学年度总表!$E$3:$E$1025,0)))</f>
        <v/>
      </c>
      <c r="Q71" s="5" t="str">
        <f>IF(INDEX(学年度总表!$Q$3:$Q$1025,MATCH($E71,学年度总表!$E$3:$E$1025,0))="","",INDEX(学年度总表!$Q$3:$Q$1025,MATCH($E71,学年度总表!$E$3:$E$1025,0)))</f>
        <v/>
      </c>
    </row>
    <row r="72" spans="1:17">
      <c r="A72" s="2">
        <f>IF(INDEX(学年度总表!$A$3:$A$1025,MATCH($E72,学年度总表!$E$3:$E$1025,0))="","",INDEX(学年度总表!$A$3:$A$1025,MATCH($E72,学年度总表!$E$3:$E$1025,0)))</f>
        <v>278</v>
      </c>
      <c r="B72" s="2">
        <f>IF(INDEX(学年度总表!$B$3:$B$1025,MATCH($E72,学年度总表!$E$3:$E$1025,0))="","",INDEX(学年度总表!$B$3:$B$1025,MATCH($E72,学年度总表!$E$3:$E$1025,0)))</f>
        <v>70</v>
      </c>
      <c r="C72" s="2" t="str">
        <f>IF(INDEX(学年度总表!$C$3:$C$1025,MATCH($E72,学年度总表!$E$3:$E$1025,0))="","",INDEX(学年度总表!$C$3:$C$1025,MATCH($E72,学年度总表!$E$3:$E$1025,0)))</f>
        <v>信管</v>
      </c>
      <c r="D72" s="2" t="str">
        <f>IF(INDEX(学年度总表!$D$3:$D$1025,MATCH($E72,学年度总表!$E$3:$E$1025,0))="","",INDEX(学年度总表!$D$3:$D$1025,MATCH($E72,学年度总表!$E$3:$E$1025,0)))</f>
        <v>信管24班</v>
      </c>
      <c r="E72" s="2" t="s">
        <v>616</v>
      </c>
      <c r="F72" s="2" t="str">
        <f>IF(INDEX(学年度总表!$F$3:$F$1025,MATCH($E72,学年度总表!$E$3:$E$1025,0))="","",INDEX(学年度总表!$F$3:$F$1025,MATCH($E72,学年度总表!$E$3:$E$1025,0)))</f>
        <v>王诗怡</v>
      </c>
      <c r="G72" s="3">
        <f>IF(INDEX(学年度总表!$G$3:$G$1025,MATCH($E72,学年度总表!$E$3:$E$1025,0))="","",INDEX(学年度总表!$G$3:$G$1025,MATCH($E72,学年度总表!$E$3:$E$1025,0)))</f>
        <v>10.8</v>
      </c>
      <c r="H72" s="3">
        <f>IF(INDEX(学年度总表!$H$3:$H$1025,MATCH($E72,学年度总表!$E$3:$E$1025,0))="","",INDEX(学年度总表!$H$3:$H$1025,MATCH($E72,学年度总表!$E$3:$E$1025,0)))</f>
        <v>60.6</v>
      </c>
      <c r="I72" s="3">
        <f>IF(INDEX(学年度总表!$I$3:$I$1025,MATCH($E72,学年度总表!$E$3:$E$1025,0))="","",INDEX(学年度总表!$I$3:$I$1025,MATCH($E72,学年度总表!$E$3:$E$1025,0)))</f>
        <v>3</v>
      </c>
      <c r="J72" s="3">
        <f>IF(INDEX(学年度总表!$J$3:$J$1025,MATCH($E72,学年度总表!$E$3:$E$1025,0))="","",INDEX(学年度总表!$J$3:$J$1025,MATCH($E72,学年度总表!$E$3:$E$1025,0)))</f>
        <v>74.400000000000006</v>
      </c>
      <c r="K72" s="3">
        <f>IF(INDEX(学年度总表!$K$3:$K$1025,MATCH($E72,学年度总表!$E$3:$E$1025,0))="","",INDEX(学年度总表!$K$3:$K$1025,MATCH($E72,学年度总表!$E$3:$E$1025,0)))</f>
        <v>9.8000000000000007</v>
      </c>
      <c r="L72" s="3">
        <f>IF(INDEX(学年度总表!$L$3:$L$1025,MATCH($E72,学年度总表!$E$3:$E$1025,0))="","",INDEX(学年度总表!$L$3:$L$1025,MATCH($E72,学年度总表!$E$3:$E$1025,0)))</f>
        <v>59.42</v>
      </c>
      <c r="M72" s="3">
        <f>IF(INDEX(学年度总表!$M$3:$M$1025,MATCH($E72,学年度总表!$E$3:$E$1025,0))="","",INDEX(学年度总表!$M$3:$M$1025,MATCH($E72,学年度总表!$E$3:$E$1025,0)))</f>
        <v>5</v>
      </c>
      <c r="N72" s="3">
        <f>IF(INDEX(学年度总表!$N$3:$N$1025,MATCH($E72,学年度总表!$E$3:$E$1025,0))="","",INDEX(学年度总表!$N$3:$N$1025,MATCH($E72,学年度总表!$E$3:$E$1025,0)))</f>
        <v>74.22</v>
      </c>
      <c r="O72" s="3">
        <f>IF(INDEX(学年度总表!$O$3:$O$1025,MATCH($E72,学年度总表!$E$3:$E$1025,0))="","",INDEX(学年度总表!$O$3:$O$1025,MATCH($E72,学年度总表!$E$3:$E$1025,0)))</f>
        <v>148.62</v>
      </c>
      <c r="P72" s="2" t="str">
        <f>IF(INDEX(学年度总表!$P$3:$P$1025,MATCH($E72,学年度总表!$E$3:$E$1025,0))="","",INDEX(学年度总表!$P$3:$P$1025,MATCH($E72,学年度总表!$E$3:$E$1025,0)))</f>
        <v/>
      </c>
      <c r="Q72" s="5" t="str">
        <f>IF(INDEX(学年度总表!$Q$3:$Q$1025,MATCH($E72,学年度总表!$E$3:$E$1025,0))="","",INDEX(学年度总表!$Q$3:$Q$1025,MATCH($E72,学年度总表!$E$3:$E$1025,0)))</f>
        <v/>
      </c>
    </row>
    <row r="73" spans="1:17">
      <c r="A73" s="2">
        <f>IF(INDEX(学年度总表!$A$3:$A$1025,MATCH($E73,学年度总表!$E$3:$E$1025,0))="","",INDEX(学年度总表!$A$3:$A$1025,MATCH($E73,学年度总表!$E$3:$E$1025,0)))</f>
        <v>281</v>
      </c>
      <c r="B73" s="2">
        <f>IF(INDEX(学年度总表!$B$3:$B$1025,MATCH($E73,学年度总表!$E$3:$E$1025,0))="","",INDEX(学年度总表!$B$3:$B$1025,MATCH($E73,学年度总表!$E$3:$E$1025,0)))</f>
        <v>71</v>
      </c>
      <c r="C73" s="2" t="str">
        <f>IF(INDEX(学年度总表!$C$3:$C$1025,MATCH($E73,学年度总表!$E$3:$E$1025,0))="","",INDEX(学年度总表!$C$3:$C$1025,MATCH($E73,学年度总表!$E$3:$E$1025,0)))</f>
        <v>信管</v>
      </c>
      <c r="D73" s="2" t="str">
        <f>IF(INDEX(学年度总表!$D$3:$D$1025,MATCH($E73,学年度总表!$E$3:$E$1025,0))="","",INDEX(学年度总表!$D$3:$D$1025,MATCH($E73,学年度总表!$E$3:$E$1025,0)))</f>
        <v>信管19班</v>
      </c>
      <c r="E73" s="2" t="s">
        <v>622</v>
      </c>
      <c r="F73" s="2" t="str">
        <f>IF(INDEX(学年度总表!$F$3:$F$1025,MATCH($E73,学年度总表!$E$3:$E$1025,0))="","",INDEX(学年度总表!$F$3:$F$1025,MATCH($E73,学年度总表!$E$3:$E$1025,0)))</f>
        <v>卜嘉怡</v>
      </c>
      <c r="G73" s="3">
        <f>IF(INDEX(学年度总表!$G$3:$G$1025,MATCH($E73,学年度总表!$E$3:$E$1025,0))="","",INDEX(学年度总表!$G$3:$G$1025,MATCH($E73,学年度总表!$E$3:$E$1025,0)))</f>
        <v>10</v>
      </c>
      <c r="H73" s="3">
        <f>IF(INDEX(学年度总表!$H$3:$H$1025,MATCH($E73,学年度总表!$E$3:$E$1025,0))="","",INDEX(学年度总表!$H$3:$H$1025,MATCH($E73,学年度总表!$E$3:$E$1025,0)))</f>
        <v>63.54</v>
      </c>
      <c r="I73" s="3">
        <f>IF(INDEX(学年度总表!$I$3:$I$1025,MATCH($E73,学年度总表!$E$3:$E$1025,0))="","",INDEX(学年度总表!$I$3:$I$1025,MATCH($E73,学年度总表!$E$3:$E$1025,0)))</f>
        <v>4.2</v>
      </c>
      <c r="J73" s="3">
        <f>IF(INDEX(学年度总表!$J$3:$J$1025,MATCH($E73,学年度总表!$E$3:$E$1025,0))="","",INDEX(学年度总表!$J$3:$J$1025,MATCH($E73,学年度总表!$E$3:$E$1025,0)))</f>
        <v>77.739999999999995</v>
      </c>
      <c r="K73" s="3">
        <f>IF(INDEX(学年度总表!$K$3:$K$1025,MATCH($E73,学年度总表!$E$3:$E$1025,0))="","",INDEX(学年度总表!$K$3:$K$1025,MATCH($E73,学年度总表!$E$3:$E$1025,0)))</f>
        <v>7.3000000000000007</v>
      </c>
      <c r="L73" s="3">
        <f>IF(INDEX(学年度总表!$L$3:$L$1025,MATCH($E73,学年度总表!$E$3:$E$1025,0))="","",INDEX(学年度总表!$L$3:$L$1025,MATCH($E73,学年度总表!$E$3:$E$1025,0)))</f>
        <v>58.37</v>
      </c>
      <c r="M73" s="3">
        <f>IF(INDEX(学年度总表!$M$3:$M$1025,MATCH($E73,学年度总表!$E$3:$E$1025,0))="","",INDEX(学年度总表!$M$3:$M$1025,MATCH($E73,学年度总表!$E$3:$E$1025,0)))</f>
        <v>5.0999999999999996</v>
      </c>
      <c r="N73" s="3">
        <f>IF(INDEX(学年度总表!$N$3:$N$1025,MATCH($E73,学年度总表!$E$3:$E$1025,0))="","",INDEX(学年度总表!$N$3:$N$1025,MATCH($E73,学年度总表!$E$3:$E$1025,0)))</f>
        <v>70.77</v>
      </c>
      <c r="O73" s="3">
        <f>IF(INDEX(学年度总表!$O$3:$O$1025,MATCH($E73,学年度总表!$E$3:$E$1025,0))="","",INDEX(学年度总表!$O$3:$O$1025,MATCH($E73,学年度总表!$E$3:$E$1025,0)))</f>
        <v>148.51</v>
      </c>
      <c r="P73" s="2" t="str">
        <f>IF(INDEX(学年度总表!$P$3:$P$1025,MATCH($E73,学年度总表!$E$3:$E$1025,0))="","",INDEX(学年度总表!$P$3:$P$1025,MATCH($E73,学年度总表!$E$3:$E$1025,0)))</f>
        <v/>
      </c>
      <c r="Q73" s="5" t="str">
        <f>IF(INDEX(学年度总表!$Q$3:$Q$1025,MATCH($E73,学年度总表!$E$3:$E$1025,0))="","",INDEX(学年度总表!$Q$3:$Q$1025,MATCH($E73,学年度总表!$E$3:$E$1025,0)))</f>
        <v/>
      </c>
    </row>
    <row r="74" spans="1:17">
      <c r="A74" s="2">
        <f>IF(INDEX(学年度总表!$A$3:$A$1025,MATCH($E74,学年度总表!$E$3:$E$1025,0))="","",INDEX(学年度总表!$A$3:$A$1025,MATCH($E74,学年度总表!$E$3:$E$1025,0)))</f>
        <v>282</v>
      </c>
      <c r="B74" s="2">
        <f>IF(INDEX(学年度总表!$B$3:$B$1025,MATCH($E74,学年度总表!$E$3:$E$1025,0))="","",INDEX(学年度总表!$B$3:$B$1025,MATCH($E74,学年度总表!$E$3:$E$1025,0)))</f>
        <v>72</v>
      </c>
      <c r="C74" s="2" t="str">
        <f>IF(INDEX(学年度总表!$C$3:$C$1025,MATCH($E74,学年度总表!$E$3:$E$1025,0))="","",INDEX(学年度总表!$C$3:$C$1025,MATCH($E74,学年度总表!$E$3:$E$1025,0)))</f>
        <v>信管</v>
      </c>
      <c r="D74" s="2" t="str">
        <f>IF(INDEX(学年度总表!$D$3:$D$1025,MATCH($E74,学年度总表!$E$3:$E$1025,0))="","",INDEX(学年度总表!$D$3:$D$1025,MATCH($E74,学年度总表!$E$3:$E$1025,0)))</f>
        <v>信管27班</v>
      </c>
      <c r="E74" s="2" t="s">
        <v>624</v>
      </c>
      <c r="F74" s="2" t="str">
        <f>IF(INDEX(学年度总表!$F$3:$F$1025,MATCH($E74,学年度总表!$E$3:$E$1025,0))="","",INDEX(学年度总表!$F$3:$F$1025,MATCH($E74,学年度总表!$E$3:$E$1025,0)))</f>
        <v>李文越</v>
      </c>
      <c r="G74" s="3">
        <f>IF(INDEX(学年度总表!$G$3:$G$1025,MATCH($E74,学年度总表!$E$3:$E$1025,0))="","",INDEX(学年度总表!$G$3:$G$1025,MATCH($E74,学年度总表!$E$3:$E$1025,0)))</f>
        <v>9.8000000000000007</v>
      </c>
      <c r="H74" s="3">
        <f>IF(INDEX(学年度总表!$H$3:$H$1025,MATCH($E74,学年度总表!$E$3:$E$1025,0))="","",INDEX(学年度总表!$H$3:$H$1025,MATCH($E74,学年度总表!$E$3:$E$1025,0)))</f>
        <v>64.959999999999994</v>
      </c>
      <c r="I74" s="3">
        <f>IF(INDEX(学年度总表!$I$3:$I$1025,MATCH($E74,学年度总表!$E$3:$E$1025,0))="","",INDEX(学年度总表!$I$3:$I$1025,MATCH($E74,学年度总表!$E$3:$E$1025,0)))</f>
        <v>3.2</v>
      </c>
      <c r="J74" s="3">
        <f>IF(INDEX(学年度总表!$J$3:$J$1025,MATCH($E74,学年度总表!$E$3:$E$1025,0))="","",INDEX(学年度总表!$J$3:$J$1025,MATCH($E74,学年度总表!$E$3:$E$1025,0)))</f>
        <v>77.959999999999994</v>
      </c>
      <c r="K74" s="3">
        <f>IF(INDEX(学年度总表!$K$3:$K$1025,MATCH($E74,学年度总表!$E$3:$E$1025,0))="","",INDEX(学年度总表!$K$3:$K$1025,MATCH($E74,学年度总表!$E$3:$E$1025,0)))</f>
        <v>9.8000000000000007</v>
      </c>
      <c r="L74" s="3">
        <f>IF(INDEX(学年度总表!$L$3:$L$1025,MATCH($E74,学年度总表!$E$3:$E$1025,0))="","",INDEX(学年度总表!$L$3:$L$1025,MATCH($E74,学年度总表!$E$3:$E$1025,0)))</f>
        <v>57.21</v>
      </c>
      <c r="M74" s="3">
        <f>IF(INDEX(学年度总表!$M$3:$M$1025,MATCH($E74,学年度总表!$E$3:$E$1025,0))="","",INDEX(学年度总表!$M$3:$M$1025,MATCH($E74,学年度总表!$E$3:$E$1025,0)))</f>
        <v>3.5</v>
      </c>
      <c r="N74" s="3">
        <f>IF(INDEX(学年度总表!$N$3:$N$1025,MATCH($E74,学年度总表!$E$3:$E$1025,0))="","",INDEX(学年度总表!$N$3:$N$1025,MATCH($E74,学年度总表!$E$3:$E$1025,0)))</f>
        <v>70.510000000000005</v>
      </c>
      <c r="O74" s="3">
        <f>IF(INDEX(学年度总表!$O$3:$O$1025,MATCH($E74,学年度总表!$E$3:$E$1025,0))="","",INDEX(学年度总表!$O$3:$O$1025,MATCH($E74,学年度总表!$E$3:$E$1025,0)))</f>
        <v>148.47</v>
      </c>
      <c r="P74" s="2" t="str">
        <f>IF(INDEX(学年度总表!$P$3:$P$1025,MATCH($E74,学年度总表!$E$3:$E$1025,0))="","",INDEX(学年度总表!$P$3:$P$1025,MATCH($E74,学年度总表!$E$3:$E$1025,0)))</f>
        <v/>
      </c>
      <c r="Q74" s="5" t="str">
        <f>IF(INDEX(学年度总表!$Q$3:$Q$1025,MATCH($E74,学年度总表!$E$3:$E$1025,0))="","",INDEX(学年度总表!$Q$3:$Q$1025,MATCH($E74,学年度总表!$E$3:$E$1025,0)))</f>
        <v/>
      </c>
    </row>
    <row r="75" spans="1:17">
      <c r="A75" s="2">
        <f>IF(INDEX(学年度总表!$A$3:$A$1025,MATCH($E75,学年度总表!$E$3:$E$1025,0))="","",INDEX(学年度总表!$A$3:$A$1025,MATCH($E75,学年度总表!$E$3:$E$1025,0)))</f>
        <v>283</v>
      </c>
      <c r="B75" s="2">
        <f>IF(INDEX(学年度总表!$B$3:$B$1025,MATCH($E75,学年度总表!$E$3:$E$1025,0))="","",INDEX(学年度总表!$B$3:$B$1025,MATCH($E75,学年度总表!$E$3:$E$1025,0)))</f>
        <v>73</v>
      </c>
      <c r="C75" s="2" t="str">
        <f>IF(INDEX(学年度总表!$C$3:$C$1025,MATCH($E75,学年度总表!$E$3:$E$1025,0))="","",INDEX(学年度总表!$C$3:$C$1025,MATCH($E75,学年度总表!$E$3:$E$1025,0)))</f>
        <v>信管</v>
      </c>
      <c r="D75" s="2" t="str">
        <f>IF(INDEX(学年度总表!$D$3:$D$1025,MATCH($E75,学年度总表!$E$3:$E$1025,0))="","",INDEX(学年度总表!$D$3:$D$1025,MATCH($E75,学年度总表!$E$3:$E$1025,0)))</f>
        <v>信管26班</v>
      </c>
      <c r="E75" s="2" t="s">
        <v>626</v>
      </c>
      <c r="F75" s="2" t="str">
        <f>IF(INDEX(学年度总表!$F$3:$F$1025,MATCH($E75,学年度总表!$E$3:$E$1025,0))="","",INDEX(学年度总表!$F$3:$F$1025,MATCH($E75,学年度总表!$E$3:$E$1025,0)))</f>
        <v>寇栩萌</v>
      </c>
      <c r="G75" s="3">
        <f>IF(INDEX(学年度总表!$G$3:$G$1025,MATCH($E75,学年度总表!$E$3:$E$1025,0))="","",INDEX(学年度总表!$G$3:$G$1025,MATCH($E75,学年度总表!$E$3:$E$1025,0)))</f>
        <v>10</v>
      </c>
      <c r="H75" s="3">
        <f>IF(INDEX(学年度总表!$H$3:$H$1025,MATCH($E75,学年度总表!$E$3:$E$1025,0))="","",INDEX(学年度总表!$H$3:$H$1025,MATCH($E75,学年度总表!$E$3:$E$1025,0)))</f>
        <v>55.92</v>
      </c>
      <c r="I75" s="3">
        <f>IF(INDEX(学年度总表!$I$3:$I$1025,MATCH($E75,学年度总表!$E$3:$E$1025,0))="","",INDEX(学年度总表!$I$3:$I$1025,MATCH($E75,学年度总表!$E$3:$E$1025,0)))</f>
        <v>5.4</v>
      </c>
      <c r="J75" s="3">
        <f>IF(INDEX(学年度总表!$J$3:$J$1025,MATCH($E75,学年度总表!$E$3:$E$1025,0))="","",INDEX(学年度总表!$J$3:$J$1025,MATCH($E75,学年度总表!$E$3:$E$1025,0)))</f>
        <v>71.319999999999993</v>
      </c>
      <c r="K75" s="3">
        <f>IF(INDEX(学年度总表!$K$3:$K$1025,MATCH($E75,学年度总表!$E$3:$E$1025,0))="","",INDEX(学年度总表!$K$3:$K$1025,MATCH($E75,学年度总表!$E$3:$E$1025,0)))</f>
        <v>10</v>
      </c>
      <c r="L75" s="3">
        <f>IF(INDEX(学年度总表!$L$3:$L$1025,MATCH($E75,学年度总表!$E$3:$E$1025,0))="","",INDEX(学年度总表!$L$3:$L$1025,MATCH($E75,学年度总表!$E$3:$E$1025,0)))</f>
        <v>59.09</v>
      </c>
      <c r="M75" s="3">
        <f>IF(INDEX(学年度总表!$M$3:$M$1025,MATCH($E75,学年度总表!$E$3:$E$1025,0))="","",INDEX(学年度总表!$M$3:$M$1025,MATCH($E75,学年度总表!$E$3:$E$1025,0)))</f>
        <v>8</v>
      </c>
      <c r="N75" s="3">
        <f>IF(INDEX(学年度总表!$N$3:$N$1025,MATCH($E75,学年度总表!$E$3:$E$1025,0))="","",INDEX(学年度总表!$N$3:$N$1025,MATCH($E75,学年度总表!$E$3:$E$1025,0)))</f>
        <v>77.09</v>
      </c>
      <c r="O75" s="3">
        <f>IF(INDEX(学年度总表!$O$3:$O$1025,MATCH($E75,学年度总表!$E$3:$E$1025,0))="","",INDEX(学年度总表!$O$3:$O$1025,MATCH($E75,学年度总表!$E$3:$E$1025,0)))</f>
        <v>148.41</v>
      </c>
      <c r="P75" s="2" t="str">
        <f>IF(INDEX(学年度总表!$P$3:$P$1025,MATCH($E75,学年度总表!$E$3:$E$1025,0))="","",INDEX(学年度总表!$P$3:$P$1025,MATCH($E75,学年度总表!$E$3:$E$1025,0)))</f>
        <v/>
      </c>
      <c r="Q75" s="5" t="str">
        <f>IF(INDEX(学年度总表!$Q$3:$Q$1025,MATCH($E75,学年度总表!$E$3:$E$1025,0))="","",INDEX(学年度总表!$Q$3:$Q$1025,MATCH($E75,学年度总表!$E$3:$E$1025,0)))</f>
        <v/>
      </c>
    </row>
    <row r="76" spans="1:17">
      <c r="A76" s="2">
        <f>IF(INDEX(学年度总表!$A$3:$A$1025,MATCH($E76,学年度总表!$E$3:$E$1025,0))="","",INDEX(学年度总表!$A$3:$A$1025,MATCH($E76,学年度总表!$E$3:$E$1025,0)))</f>
        <v>287</v>
      </c>
      <c r="B76" s="2">
        <f>IF(INDEX(学年度总表!$B$3:$B$1025,MATCH($E76,学年度总表!$E$3:$E$1025,0))="","",INDEX(学年度总表!$B$3:$B$1025,MATCH($E76,学年度总表!$E$3:$E$1025,0)))</f>
        <v>74</v>
      </c>
      <c r="C76" s="2" t="str">
        <f>IF(INDEX(学年度总表!$C$3:$C$1025,MATCH($E76,学年度总表!$E$3:$E$1025,0))="","",INDEX(学年度总表!$C$3:$C$1025,MATCH($E76,学年度总表!$E$3:$E$1025,0)))</f>
        <v>信管</v>
      </c>
      <c r="D76" s="2" t="str">
        <f>IF(INDEX(学年度总表!$D$3:$D$1025,MATCH($E76,学年度总表!$E$3:$E$1025,0))="","",INDEX(学年度总表!$D$3:$D$1025,MATCH($E76,学年度总表!$E$3:$E$1025,0)))</f>
        <v>信管27班</v>
      </c>
      <c r="E76" s="2" t="s">
        <v>634</v>
      </c>
      <c r="F76" s="2" t="str">
        <f>IF(INDEX(学年度总表!$F$3:$F$1025,MATCH($E76,学年度总表!$E$3:$E$1025,0))="","",INDEX(学年度总表!$F$3:$F$1025,MATCH($E76,学年度总表!$E$3:$E$1025,0)))</f>
        <v>史妮可</v>
      </c>
      <c r="G76" s="3">
        <f>IF(INDEX(学年度总表!$G$3:$G$1025,MATCH($E76,学年度总表!$E$3:$E$1025,0))="","",INDEX(学年度总表!$G$3:$G$1025,MATCH($E76,学年度总表!$E$3:$E$1025,0)))</f>
        <v>9.8000000000000007</v>
      </c>
      <c r="H76" s="3">
        <f>IF(INDEX(学年度总表!$H$3:$H$1025,MATCH($E76,学年度总表!$E$3:$E$1025,0))="","",INDEX(学年度总表!$H$3:$H$1025,MATCH($E76,学年度总表!$E$3:$E$1025,0)))</f>
        <v>63.11</v>
      </c>
      <c r="I76" s="3">
        <f>IF(INDEX(学年度总表!$I$3:$I$1025,MATCH($E76,学年度总表!$E$3:$E$1025,0))="","",INDEX(学年度总表!$I$3:$I$1025,MATCH($E76,学年度总表!$E$3:$E$1025,0)))</f>
        <v>3.6</v>
      </c>
      <c r="J76" s="3">
        <f>IF(INDEX(学年度总表!$J$3:$J$1025,MATCH($E76,学年度总表!$E$3:$E$1025,0))="","",INDEX(学年度总表!$J$3:$J$1025,MATCH($E76,学年度总表!$E$3:$E$1025,0)))</f>
        <v>76.510000000000005</v>
      </c>
      <c r="K76" s="3">
        <f>IF(INDEX(学年度总表!$K$3:$K$1025,MATCH($E76,学年度总表!$E$3:$E$1025,0))="","",INDEX(学年度总表!$K$3:$K$1025,MATCH($E76,学年度总表!$E$3:$E$1025,0)))</f>
        <v>7.3000000000000007</v>
      </c>
      <c r="L76" s="3">
        <f>IF(INDEX(学年度总表!$L$3:$L$1025,MATCH($E76,学年度总表!$E$3:$E$1025,0))="","",INDEX(学年度总表!$L$3:$L$1025,MATCH($E76,学年度总表!$E$3:$E$1025,0)))</f>
        <v>60.31</v>
      </c>
      <c r="M76" s="3">
        <f>IF(INDEX(学年度总表!$M$3:$M$1025,MATCH($E76,学年度总表!$E$3:$E$1025,0))="","",INDEX(学年度总表!$M$3:$M$1025,MATCH($E76,学年度总表!$E$3:$E$1025,0)))</f>
        <v>4.0999999999999996</v>
      </c>
      <c r="N76" s="3">
        <f>IF(INDEX(学年度总表!$N$3:$N$1025,MATCH($E76,学年度总表!$E$3:$E$1025,0))="","",INDEX(学年度总表!$N$3:$N$1025,MATCH($E76,学年度总表!$E$3:$E$1025,0)))</f>
        <v>71.709999999999994</v>
      </c>
      <c r="O76" s="3">
        <f>IF(INDEX(学年度总表!$O$3:$O$1025,MATCH($E76,学年度总表!$E$3:$E$1025,0))="","",INDEX(学年度总表!$O$3:$O$1025,MATCH($E76,学年度总表!$E$3:$E$1025,0)))</f>
        <v>148.22</v>
      </c>
      <c r="P76" s="2" t="str">
        <f>IF(INDEX(学年度总表!$P$3:$P$1025,MATCH($E76,学年度总表!$E$3:$E$1025,0))="","",INDEX(学年度总表!$P$3:$P$1025,MATCH($E76,学年度总表!$E$3:$E$1025,0)))</f>
        <v/>
      </c>
      <c r="Q76" s="5" t="str">
        <f>IF(INDEX(学年度总表!$Q$3:$Q$1025,MATCH($E76,学年度总表!$E$3:$E$1025,0))="","",INDEX(学年度总表!$Q$3:$Q$1025,MATCH($E76,学年度总表!$E$3:$E$1025,0)))</f>
        <v/>
      </c>
    </row>
    <row r="77" spans="1:17">
      <c r="A77" s="2">
        <f>IF(INDEX(学年度总表!$A$3:$A$1025,MATCH($E77,学年度总表!$E$3:$E$1025,0))="","",INDEX(学年度总表!$A$3:$A$1025,MATCH($E77,学年度总表!$E$3:$E$1025,0)))</f>
        <v>289</v>
      </c>
      <c r="B77" s="2">
        <f>IF(INDEX(学年度总表!$B$3:$B$1025,MATCH($E77,学年度总表!$E$3:$E$1025,0))="","",INDEX(学年度总表!$B$3:$B$1025,MATCH($E77,学年度总表!$E$3:$E$1025,0)))</f>
        <v>75</v>
      </c>
      <c r="C77" s="2" t="str">
        <f>IF(INDEX(学年度总表!$C$3:$C$1025,MATCH($E77,学年度总表!$E$3:$E$1025,0))="","",INDEX(学年度总表!$C$3:$C$1025,MATCH($E77,学年度总表!$E$3:$E$1025,0)))</f>
        <v>信管</v>
      </c>
      <c r="D77" s="2" t="str">
        <f>IF(INDEX(学年度总表!$D$3:$D$1025,MATCH($E77,学年度总表!$E$3:$E$1025,0))="","",INDEX(学年度总表!$D$3:$D$1025,MATCH($E77,学年度总表!$E$3:$E$1025,0)))</f>
        <v>信管26班</v>
      </c>
      <c r="E77" s="2" t="s">
        <v>638</v>
      </c>
      <c r="F77" s="2" t="str">
        <f>IF(INDEX(学年度总表!$F$3:$F$1025,MATCH($E77,学年度总表!$E$3:$E$1025,0))="","",INDEX(学年度总表!$F$3:$F$1025,MATCH($E77,学年度总表!$E$3:$E$1025,0)))</f>
        <v>吴济含</v>
      </c>
      <c r="G77" s="3">
        <f>IF(INDEX(学年度总表!$G$3:$G$1025,MATCH($E77,学年度总表!$E$3:$E$1025,0))="","",INDEX(学年度总表!$G$3:$G$1025,MATCH($E77,学年度总表!$E$3:$E$1025,0)))</f>
        <v>10.3</v>
      </c>
      <c r="H77" s="3">
        <f>IF(INDEX(学年度总表!$H$3:$H$1025,MATCH($E77,学年度总表!$E$3:$E$1025,0))="","",INDEX(学年度总表!$H$3:$H$1025,MATCH($E77,学年度总表!$E$3:$E$1025,0)))</f>
        <v>60.92</v>
      </c>
      <c r="I77" s="3">
        <f>IF(INDEX(学年度总表!$I$3:$I$1025,MATCH($E77,学年度总表!$E$3:$E$1025,0))="","",INDEX(学年度总表!$I$3:$I$1025,MATCH($E77,学年度总表!$E$3:$E$1025,0)))</f>
        <v>3</v>
      </c>
      <c r="J77" s="3">
        <f>IF(INDEX(学年度总表!$J$3:$J$1025,MATCH($E77,学年度总表!$E$3:$E$1025,0))="","",INDEX(学年度总表!$J$3:$J$1025,MATCH($E77,学年度总表!$E$3:$E$1025,0)))</f>
        <v>74.22</v>
      </c>
      <c r="K77" s="3">
        <f>IF(INDEX(学年度总表!$K$3:$K$1025,MATCH($E77,学年度总表!$E$3:$E$1025,0))="","",INDEX(学年度总表!$K$3:$K$1025,MATCH($E77,学年度总表!$E$3:$E$1025,0)))</f>
        <v>9.8000000000000007</v>
      </c>
      <c r="L77" s="3">
        <f>IF(INDEX(学年度总表!$L$3:$L$1025,MATCH($E77,学年度总表!$E$3:$E$1025,0))="","",INDEX(学年度总表!$L$3:$L$1025,MATCH($E77,学年度总表!$E$3:$E$1025,0)))</f>
        <v>60.17</v>
      </c>
      <c r="M77" s="3">
        <f>IF(INDEX(学年度总表!$M$3:$M$1025,MATCH($E77,学年度总表!$E$3:$E$1025,0))="","",INDEX(学年度总表!$M$3:$M$1025,MATCH($E77,学年度总表!$E$3:$E$1025,0)))</f>
        <v>3.9</v>
      </c>
      <c r="N77" s="3">
        <f>IF(INDEX(学年度总表!$N$3:$N$1025,MATCH($E77,学年度总表!$E$3:$E$1025,0))="","",INDEX(学年度总表!$N$3:$N$1025,MATCH($E77,学年度总表!$E$3:$E$1025,0)))</f>
        <v>73.87</v>
      </c>
      <c r="O77" s="3">
        <f>IF(INDEX(学年度总表!$O$3:$O$1025,MATCH($E77,学年度总表!$E$3:$E$1025,0))="","",INDEX(学年度总表!$O$3:$O$1025,MATCH($E77,学年度总表!$E$3:$E$1025,0)))</f>
        <v>148.09</v>
      </c>
      <c r="P77" s="2" t="str">
        <f>IF(INDEX(学年度总表!$P$3:$P$1025,MATCH($E77,学年度总表!$E$3:$E$1025,0))="","",INDEX(学年度总表!$P$3:$P$1025,MATCH($E77,学年度总表!$E$3:$E$1025,0)))</f>
        <v/>
      </c>
      <c r="Q77" s="5" t="str">
        <f>IF(INDEX(学年度总表!$Q$3:$Q$1025,MATCH($E77,学年度总表!$E$3:$E$1025,0))="","",INDEX(学年度总表!$Q$3:$Q$1025,MATCH($E77,学年度总表!$E$3:$E$1025,0)))</f>
        <v/>
      </c>
    </row>
    <row r="78" spans="1:17">
      <c r="A78" s="2">
        <f>IF(INDEX(学年度总表!$A$3:$A$1025,MATCH($E78,学年度总表!$E$3:$E$1025,0))="","",INDEX(学年度总表!$A$3:$A$1025,MATCH($E78,学年度总表!$E$3:$E$1025,0)))</f>
        <v>290</v>
      </c>
      <c r="B78" s="2">
        <f>IF(INDEX(学年度总表!$B$3:$B$1025,MATCH($E78,学年度总表!$E$3:$E$1025,0))="","",INDEX(学年度总表!$B$3:$B$1025,MATCH($E78,学年度总表!$E$3:$E$1025,0)))</f>
        <v>76</v>
      </c>
      <c r="C78" s="2" t="str">
        <f>IF(INDEX(学年度总表!$C$3:$C$1025,MATCH($E78,学年度总表!$E$3:$E$1025,0))="","",INDEX(学年度总表!$C$3:$C$1025,MATCH($E78,学年度总表!$E$3:$E$1025,0)))</f>
        <v>信管</v>
      </c>
      <c r="D78" s="2" t="str">
        <f>IF(INDEX(学年度总表!$D$3:$D$1025,MATCH($E78,学年度总表!$E$3:$E$1025,0))="","",INDEX(学年度总表!$D$3:$D$1025,MATCH($E78,学年度总表!$E$3:$E$1025,0)))</f>
        <v>信管19班</v>
      </c>
      <c r="E78" s="2" t="s">
        <v>640</v>
      </c>
      <c r="F78" s="2" t="str">
        <f>IF(INDEX(学年度总表!$F$3:$F$1025,MATCH($E78,学年度总表!$E$3:$E$1025,0))="","",INDEX(学年度总表!$F$3:$F$1025,MATCH($E78,学年度总表!$E$3:$E$1025,0)))</f>
        <v>沈佳</v>
      </c>
      <c r="G78" s="3">
        <f>IF(INDEX(学年度总表!$G$3:$G$1025,MATCH($E78,学年度总表!$E$3:$E$1025,0))="","",INDEX(学年度总表!$G$3:$G$1025,MATCH($E78,学年度总表!$E$3:$E$1025,0)))</f>
        <v>9.8000000000000007</v>
      </c>
      <c r="H78" s="3">
        <f>IF(INDEX(学年度总表!$H$3:$H$1025,MATCH($E78,学年度总表!$E$3:$E$1025,0))="","",INDEX(学年度总表!$H$3:$H$1025,MATCH($E78,学年度总表!$E$3:$E$1025,0)))</f>
        <v>64.680000000000007</v>
      </c>
      <c r="I78" s="3">
        <f>IF(INDEX(学年度总表!$I$3:$I$1025,MATCH($E78,学年度总表!$E$3:$E$1025,0))="","",INDEX(学年度总表!$I$3:$I$1025,MATCH($E78,学年度总表!$E$3:$E$1025,0)))</f>
        <v>3</v>
      </c>
      <c r="J78" s="3">
        <f>IF(INDEX(学年度总表!$J$3:$J$1025,MATCH($E78,学年度总表!$E$3:$E$1025,0))="","",INDEX(学年度总表!$J$3:$J$1025,MATCH($E78,学年度总表!$E$3:$E$1025,0)))</f>
        <v>77.48</v>
      </c>
      <c r="K78" s="3">
        <f>IF(INDEX(学年度总表!$K$3:$K$1025,MATCH($E78,学年度总表!$E$3:$E$1025,0))="","",INDEX(学年度总表!$K$3:$K$1025,MATCH($E78,学年度总表!$E$3:$E$1025,0)))</f>
        <v>9.8000000000000007</v>
      </c>
      <c r="L78" s="3">
        <f>IF(INDEX(学年度总表!$L$3:$L$1025,MATCH($E78,学年度总表!$E$3:$E$1025,0))="","",INDEX(学年度总表!$L$3:$L$1025,MATCH($E78,学年度总表!$E$3:$E$1025,0)))</f>
        <v>57.8</v>
      </c>
      <c r="M78" s="3">
        <f>IF(INDEX(学年度总表!$M$3:$M$1025,MATCH($E78,学年度总表!$E$3:$E$1025,0))="","",INDEX(学年度总表!$M$3:$M$1025,MATCH($E78,学年度总表!$E$3:$E$1025,0)))</f>
        <v>3</v>
      </c>
      <c r="N78" s="3">
        <f>IF(INDEX(学年度总表!$N$3:$N$1025,MATCH($E78,学年度总表!$E$3:$E$1025,0))="","",INDEX(学年度总表!$N$3:$N$1025,MATCH($E78,学年度总表!$E$3:$E$1025,0)))</f>
        <v>70.599999999999994</v>
      </c>
      <c r="O78" s="3">
        <f>IF(INDEX(学年度总表!$O$3:$O$1025,MATCH($E78,学年度总表!$E$3:$E$1025,0))="","",INDEX(学年度总表!$O$3:$O$1025,MATCH($E78,学年度总表!$E$3:$E$1025,0)))</f>
        <v>148.08000000000001</v>
      </c>
      <c r="P78" s="2" t="str">
        <f>IF(INDEX(学年度总表!$P$3:$P$1025,MATCH($E78,学年度总表!$E$3:$E$1025,0))="","",INDEX(学年度总表!$P$3:$P$1025,MATCH($E78,学年度总表!$E$3:$E$1025,0)))</f>
        <v/>
      </c>
      <c r="Q78" s="5" t="str">
        <f>IF(INDEX(学年度总表!$Q$3:$Q$1025,MATCH($E78,学年度总表!$E$3:$E$1025,0))="","",INDEX(学年度总表!$Q$3:$Q$1025,MATCH($E78,学年度总表!$E$3:$E$1025,0)))</f>
        <v/>
      </c>
    </row>
    <row r="79" spans="1:17">
      <c r="A79" s="2">
        <f>IF(INDEX(学年度总表!$A$3:$A$1025,MATCH($E79,学年度总表!$E$3:$E$1025,0))="","",INDEX(学年度总表!$A$3:$A$1025,MATCH($E79,学年度总表!$E$3:$E$1025,0)))</f>
        <v>292</v>
      </c>
      <c r="B79" s="2">
        <f>IF(INDEX(学年度总表!$B$3:$B$1025,MATCH($E79,学年度总表!$E$3:$E$1025,0))="","",INDEX(学年度总表!$B$3:$B$1025,MATCH($E79,学年度总表!$E$3:$E$1025,0)))</f>
        <v>77</v>
      </c>
      <c r="C79" s="2" t="str">
        <f>IF(INDEX(学年度总表!$C$3:$C$1025,MATCH($E79,学年度总表!$E$3:$E$1025,0))="","",INDEX(学年度总表!$C$3:$C$1025,MATCH($E79,学年度总表!$E$3:$E$1025,0)))</f>
        <v>信管</v>
      </c>
      <c r="D79" s="2" t="str">
        <f>IF(INDEX(学年度总表!$D$3:$D$1025,MATCH($E79,学年度总表!$E$3:$E$1025,0))="","",INDEX(学年度总表!$D$3:$D$1025,MATCH($E79,学年度总表!$E$3:$E$1025,0)))</f>
        <v>信管19班</v>
      </c>
      <c r="E79" s="2" t="s">
        <v>644</v>
      </c>
      <c r="F79" s="2" t="str">
        <f>IF(INDEX(学年度总表!$F$3:$F$1025,MATCH($E79,学年度总表!$E$3:$E$1025,0))="","",INDEX(学年度总表!$F$3:$F$1025,MATCH($E79,学年度总表!$E$3:$E$1025,0)))</f>
        <v>陈瑞雪</v>
      </c>
      <c r="G79" s="3">
        <f>IF(INDEX(学年度总表!$G$3:$G$1025,MATCH($E79,学年度总表!$E$3:$E$1025,0))="","",INDEX(学年度总表!$G$3:$G$1025,MATCH($E79,学年度总表!$E$3:$E$1025,0)))</f>
        <v>9.8000000000000007</v>
      </c>
      <c r="H79" s="3">
        <f>IF(INDEX(学年度总表!$H$3:$H$1025,MATCH($E79,学年度总表!$E$3:$E$1025,0))="","",INDEX(学年度总表!$H$3:$H$1025,MATCH($E79,学年度总表!$E$3:$E$1025,0)))</f>
        <v>60.29</v>
      </c>
      <c r="I79" s="3">
        <f>IF(INDEX(学年度总表!$I$3:$I$1025,MATCH($E79,学年度总表!$E$3:$E$1025,0))="","",INDEX(学年度总表!$I$3:$I$1025,MATCH($E79,学年度总表!$E$3:$E$1025,0)))</f>
        <v>3.8</v>
      </c>
      <c r="J79" s="3">
        <f>IF(INDEX(学年度总表!$J$3:$J$1025,MATCH($E79,学年度总表!$E$3:$E$1025,0))="","",INDEX(学年度总表!$J$3:$J$1025,MATCH($E79,学年度总表!$E$3:$E$1025,0)))</f>
        <v>73.89</v>
      </c>
      <c r="K79" s="3">
        <f>IF(INDEX(学年度总表!$K$3:$K$1025,MATCH($E79,学年度总表!$E$3:$E$1025,0))="","",INDEX(学年度总表!$K$3:$K$1025,MATCH($E79,学年度总表!$E$3:$E$1025,0)))</f>
        <v>9.8000000000000007</v>
      </c>
      <c r="L79" s="3">
        <f>IF(INDEX(学年度总表!$L$3:$L$1025,MATCH($E79,学年度总表!$E$3:$E$1025,0))="","",INDEX(学年度总表!$L$3:$L$1025,MATCH($E79,学年度总表!$E$3:$E$1025,0)))</f>
        <v>60.02</v>
      </c>
      <c r="M79" s="3">
        <f>IF(INDEX(学年度总表!$M$3:$M$1025,MATCH($E79,学年度总表!$E$3:$E$1025,0))="","",INDEX(学年度总表!$M$3:$M$1025,MATCH($E79,学年度总表!$E$3:$E$1025,0)))</f>
        <v>4.3</v>
      </c>
      <c r="N79" s="3">
        <f>IF(INDEX(学年度总表!$N$3:$N$1025,MATCH($E79,学年度总表!$E$3:$E$1025,0))="","",INDEX(学年度总表!$N$3:$N$1025,MATCH($E79,学年度总表!$E$3:$E$1025,0)))</f>
        <v>74.12</v>
      </c>
      <c r="O79" s="3">
        <f>IF(INDEX(学年度总表!$O$3:$O$1025,MATCH($E79,学年度总表!$E$3:$E$1025,0))="","",INDEX(学年度总表!$O$3:$O$1025,MATCH($E79,学年度总表!$E$3:$E$1025,0)))</f>
        <v>148.01</v>
      </c>
      <c r="P79" s="2" t="str">
        <f>IF(INDEX(学年度总表!$P$3:$P$1025,MATCH($E79,学年度总表!$E$3:$E$1025,0))="","",INDEX(学年度总表!$P$3:$P$1025,MATCH($E79,学年度总表!$E$3:$E$1025,0)))</f>
        <v/>
      </c>
      <c r="Q79" s="5" t="str">
        <f>IF(INDEX(学年度总表!$Q$3:$Q$1025,MATCH($E79,学年度总表!$E$3:$E$1025,0))="","",INDEX(学年度总表!$Q$3:$Q$1025,MATCH($E79,学年度总表!$E$3:$E$1025,0)))</f>
        <v/>
      </c>
    </row>
    <row r="80" spans="1:17">
      <c r="A80" s="2">
        <f>IF(INDEX(学年度总表!$A$3:$A$1025,MATCH($E80,学年度总表!$E$3:$E$1025,0))="","",INDEX(学年度总表!$A$3:$A$1025,MATCH($E80,学年度总表!$E$3:$E$1025,0)))</f>
        <v>293</v>
      </c>
      <c r="B80" s="2">
        <f>IF(INDEX(学年度总表!$B$3:$B$1025,MATCH($E80,学年度总表!$E$3:$E$1025,0))="","",INDEX(学年度总表!$B$3:$B$1025,MATCH($E80,学年度总表!$E$3:$E$1025,0)))</f>
        <v>78</v>
      </c>
      <c r="C80" s="2" t="str">
        <f>IF(INDEX(学年度总表!$C$3:$C$1025,MATCH($E80,学年度总表!$E$3:$E$1025,0))="","",INDEX(学年度总表!$C$3:$C$1025,MATCH($E80,学年度总表!$E$3:$E$1025,0)))</f>
        <v>信管</v>
      </c>
      <c r="D80" s="2" t="str">
        <f>IF(INDEX(学年度总表!$D$3:$D$1025,MATCH($E80,学年度总表!$E$3:$E$1025,0))="","",INDEX(学年度总表!$D$3:$D$1025,MATCH($E80,学年度总表!$E$3:$E$1025,0)))</f>
        <v>信管22班</v>
      </c>
      <c r="E80" s="2" t="s">
        <v>646</v>
      </c>
      <c r="F80" s="2" t="str">
        <f>IF(INDEX(学年度总表!$F$3:$F$1025,MATCH($E80,学年度总表!$E$3:$E$1025,0))="","",INDEX(学年度总表!$F$3:$F$1025,MATCH($E80,学年度总表!$E$3:$E$1025,0)))</f>
        <v>李凌薇</v>
      </c>
      <c r="G80" s="3">
        <f>IF(INDEX(学年度总表!$G$3:$G$1025,MATCH($E80,学年度总表!$E$3:$E$1025,0))="","",INDEX(学年度总表!$G$3:$G$1025,MATCH($E80,学年度总表!$E$3:$E$1025,0)))</f>
        <v>10</v>
      </c>
      <c r="H80" s="3">
        <f>IF(INDEX(学年度总表!$H$3:$H$1025,MATCH($E80,学年度总表!$E$3:$E$1025,0))="","",INDEX(学年度总表!$H$3:$H$1025,MATCH($E80,学年度总表!$E$3:$E$1025,0)))</f>
        <v>60.98</v>
      </c>
      <c r="I80" s="3">
        <f>IF(INDEX(学年度总表!$I$3:$I$1025,MATCH($E80,学年度总表!$E$3:$E$1025,0))="","",INDEX(学年度总表!$I$3:$I$1025,MATCH($E80,学年度总表!$E$3:$E$1025,0)))</f>
        <v>3.8</v>
      </c>
      <c r="J80" s="3">
        <f>IF(INDEX(学年度总表!$J$3:$J$1025,MATCH($E80,学年度总表!$E$3:$E$1025,0))="","",INDEX(学年度总表!$J$3:$J$1025,MATCH($E80,学年度总表!$E$3:$E$1025,0)))</f>
        <v>74.78</v>
      </c>
      <c r="K80" s="3">
        <f>IF(INDEX(学年度总表!$K$3:$K$1025,MATCH($E80,学年度总表!$E$3:$E$1025,0))="","",INDEX(学年度总表!$K$3:$K$1025,MATCH($E80,学年度总表!$E$3:$E$1025,0)))</f>
        <v>10</v>
      </c>
      <c r="L80" s="3">
        <f>IF(INDEX(学年度总表!$L$3:$L$1025,MATCH($E80,学年度总表!$E$3:$E$1025,0))="","",INDEX(学年度总表!$L$3:$L$1025,MATCH($E80,学年度总表!$E$3:$E$1025,0)))</f>
        <v>59.66</v>
      </c>
      <c r="M80" s="3">
        <f>IF(INDEX(学年度总表!$M$3:$M$1025,MATCH($E80,学年度总表!$E$3:$E$1025,0))="","",INDEX(学年度总表!$M$3:$M$1025,MATCH($E80,学年度总表!$E$3:$E$1025,0)))</f>
        <v>3.5</v>
      </c>
      <c r="N80" s="3">
        <f>IF(INDEX(学年度总表!$N$3:$N$1025,MATCH($E80,学年度总表!$E$3:$E$1025,0))="","",INDEX(学年度总表!$N$3:$N$1025,MATCH($E80,学年度总表!$E$3:$E$1025,0)))</f>
        <v>73.16</v>
      </c>
      <c r="O80" s="3">
        <f>IF(INDEX(学年度总表!$O$3:$O$1025,MATCH($E80,学年度总表!$E$3:$E$1025,0))="","",INDEX(学年度总表!$O$3:$O$1025,MATCH($E80,学年度总表!$E$3:$E$1025,0)))</f>
        <v>147.94</v>
      </c>
      <c r="P80" s="2" t="str">
        <f>IF(INDEX(学年度总表!$P$3:$P$1025,MATCH($E80,学年度总表!$E$3:$E$1025,0))="","",INDEX(学年度总表!$P$3:$P$1025,MATCH($E80,学年度总表!$E$3:$E$1025,0)))</f>
        <v/>
      </c>
      <c r="Q80" s="5" t="str">
        <f>IF(INDEX(学年度总表!$Q$3:$Q$1025,MATCH($E80,学年度总表!$E$3:$E$1025,0))="","",INDEX(学年度总表!$Q$3:$Q$1025,MATCH($E80,学年度总表!$E$3:$E$1025,0)))</f>
        <v/>
      </c>
    </row>
    <row r="81" spans="1:17">
      <c r="A81" s="2">
        <f>IF(INDEX(学年度总表!$A$3:$A$1025,MATCH($E81,学年度总表!$E$3:$E$1025,0))="","",INDEX(学年度总表!$A$3:$A$1025,MATCH($E81,学年度总表!$E$3:$E$1025,0)))</f>
        <v>294</v>
      </c>
      <c r="B81" s="2">
        <f>IF(INDEX(学年度总表!$B$3:$B$1025,MATCH($E81,学年度总表!$E$3:$E$1025,0))="","",INDEX(学年度总表!$B$3:$B$1025,MATCH($E81,学年度总表!$E$3:$E$1025,0)))</f>
        <v>79</v>
      </c>
      <c r="C81" s="2" t="str">
        <f>IF(INDEX(学年度总表!$C$3:$C$1025,MATCH($E81,学年度总表!$E$3:$E$1025,0))="","",INDEX(学年度总表!$C$3:$C$1025,MATCH($E81,学年度总表!$E$3:$E$1025,0)))</f>
        <v>信管</v>
      </c>
      <c r="D81" s="2" t="str">
        <f>IF(INDEX(学年度总表!$D$3:$D$1025,MATCH($E81,学年度总表!$E$3:$E$1025,0))="","",INDEX(学年度总表!$D$3:$D$1025,MATCH($E81,学年度总表!$E$3:$E$1025,0)))</f>
        <v>信管25班</v>
      </c>
      <c r="E81" s="2" t="s">
        <v>648</v>
      </c>
      <c r="F81" s="2" t="str">
        <f>IF(INDEX(学年度总表!$F$3:$F$1025,MATCH($E81,学年度总表!$E$3:$E$1025,0))="","",INDEX(学年度总表!$F$3:$F$1025,MATCH($E81,学年度总表!$E$3:$E$1025,0)))</f>
        <v>刘梦涵</v>
      </c>
      <c r="G81" s="3">
        <f>IF(INDEX(学年度总表!$G$3:$G$1025,MATCH($E81,学年度总表!$E$3:$E$1025,0))="","",INDEX(学年度总表!$G$3:$G$1025,MATCH($E81,学年度总表!$E$3:$E$1025,0)))</f>
        <v>9.8000000000000007</v>
      </c>
      <c r="H81" s="3">
        <f>IF(INDEX(学年度总表!$H$3:$H$1025,MATCH($E81,学年度总表!$E$3:$E$1025,0))="","",INDEX(学年度总表!$H$3:$H$1025,MATCH($E81,学年度总表!$E$3:$E$1025,0)))</f>
        <v>60.46</v>
      </c>
      <c r="I81" s="3">
        <f>IF(INDEX(学年度总表!$I$3:$I$1025,MATCH($E81,学年度总表!$E$3:$E$1025,0))="","",INDEX(学年度总表!$I$3:$I$1025,MATCH($E81,学年度总表!$E$3:$E$1025,0)))</f>
        <v>4.5</v>
      </c>
      <c r="J81" s="3">
        <f>IF(INDEX(学年度总表!$J$3:$J$1025,MATCH($E81,学年度总表!$E$3:$E$1025,0))="","",INDEX(学年度总表!$J$3:$J$1025,MATCH($E81,学年度总表!$E$3:$E$1025,0)))</f>
        <v>74.760000000000005</v>
      </c>
      <c r="K81" s="3">
        <f>IF(INDEX(学年度总表!$K$3:$K$1025,MATCH($E81,学年度总表!$E$3:$E$1025,0))="","",INDEX(学年度总表!$K$3:$K$1025,MATCH($E81,学年度总表!$E$3:$E$1025,0)))</f>
        <v>7.3000000000000007</v>
      </c>
      <c r="L81" s="3">
        <f>IF(INDEX(学年度总表!$L$3:$L$1025,MATCH($E81,学年度总表!$E$3:$E$1025,0))="","",INDEX(学年度总表!$L$3:$L$1025,MATCH($E81,学年度总表!$E$3:$E$1025,0)))</f>
        <v>60.05</v>
      </c>
      <c r="M81" s="3">
        <f>IF(INDEX(学年度总表!$M$3:$M$1025,MATCH($E81,学年度总表!$E$3:$E$1025,0))="","",INDEX(学年度总表!$M$3:$M$1025,MATCH($E81,学年度总表!$E$3:$E$1025,0)))</f>
        <v>5.8</v>
      </c>
      <c r="N81" s="3">
        <f>IF(INDEX(学年度总表!$N$3:$N$1025,MATCH($E81,学年度总表!$E$3:$E$1025,0))="","",INDEX(学年度总表!$N$3:$N$1025,MATCH($E81,学年度总表!$E$3:$E$1025,0)))</f>
        <v>73.150000000000006</v>
      </c>
      <c r="O81" s="3">
        <f>IF(INDEX(学年度总表!$O$3:$O$1025,MATCH($E81,学年度总表!$E$3:$E$1025,0))="","",INDEX(学年度总表!$O$3:$O$1025,MATCH($E81,学年度总表!$E$3:$E$1025,0)))</f>
        <v>147.91</v>
      </c>
      <c r="P81" s="2" t="str">
        <f>IF(INDEX(学年度总表!$P$3:$P$1025,MATCH($E81,学年度总表!$E$3:$E$1025,0))="","",INDEX(学年度总表!$P$3:$P$1025,MATCH($E81,学年度总表!$E$3:$E$1025,0)))</f>
        <v/>
      </c>
      <c r="Q81" s="5" t="str">
        <f>IF(INDEX(学年度总表!$Q$3:$Q$1025,MATCH($E81,学年度总表!$E$3:$E$1025,0))="","",INDEX(学年度总表!$Q$3:$Q$1025,MATCH($E81,学年度总表!$E$3:$E$1025,0)))</f>
        <v/>
      </c>
    </row>
    <row r="82" spans="1:17">
      <c r="A82" s="2">
        <f>IF(INDEX(学年度总表!$A$3:$A$1025,MATCH($E82,学年度总表!$E$3:$E$1025,0))="","",INDEX(学年度总表!$A$3:$A$1025,MATCH($E82,学年度总表!$E$3:$E$1025,0)))</f>
        <v>296</v>
      </c>
      <c r="B82" s="2">
        <f>IF(INDEX(学年度总表!$B$3:$B$1025,MATCH($E82,学年度总表!$E$3:$E$1025,0))="","",INDEX(学年度总表!$B$3:$B$1025,MATCH($E82,学年度总表!$E$3:$E$1025,0)))</f>
        <v>80</v>
      </c>
      <c r="C82" s="2" t="str">
        <f>IF(INDEX(学年度总表!$C$3:$C$1025,MATCH($E82,学年度总表!$E$3:$E$1025,0))="","",INDEX(学年度总表!$C$3:$C$1025,MATCH($E82,学年度总表!$E$3:$E$1025,0)))</f>
        <v>信管</v>
      </c>
      <c r="D82" s="2" t="str">
        <f>IF(INDEX(学年度总表!$D$3:$D$1025,MATCH($E82,学年度总表!$E$3:$E$1025,0))="","",INDEX(学年度总表!$D$3:$D$1025,MATCH($E82,学年度总表!$E$3:$E$1025,0)))</f>
        <v>信管23班</v>
      </c>
      <c r="E82" s="2" t="s">
        <v>652</v>
      </c>
      <c r="F82" s="2" t="str">
        <f>IF(INDEX(学年度总表!$F$3:$F$1025,MATCH($E82,学年度总表!$E$3:$E$1025,0))="","",INDEX(学年度总表!$F$3:$F$1025,MATCH($E82,学年度总表!$E$3:$E$1025,0)))</f>
        <v>张睿思</v>
      </c>
      <c r="G82" s="3">
        <f>IF(INDEX(学年度总表!$G$3:$G$1025,MATCH($E82,学年度总表!$E$3:$E$1025,0))="","",INDEX(学年度总表!$G$3:$G$1025,MATCH($E82,学年度总表!$E$3:$E$1025,0)))</f>
        <v>10.5</v>
      </c>
      <c r="H82" s="3">
        <f>IF(INDEX(学年度总表!$H$3:$H$1025,MATCH($E82,学年度总表!$E$3:$E$1025,0))="","",INDEX(学年度总表!$H$3:$H$1025,MATCH($E82,学年度总表!$E$3:$E$1025,0)))</f>
        <v>61.95</v>
      </c>
      <c r="I82" s="3">
        <f>IF(INDEX(学年度总表!$I$3:$I$1025,MATCH($E82,学年度总表!$E$3:$E$1025,0))="","",INDEX(学年度总表!$I$3:$I$1025,MATCH($E82,学年度总表!$E$3:$E$1025,0)))</f>
        <v>4.4000000000000004</v>
      </c>
      <c r="J82" s="3">
        <f>IF(INDEX(学年度总表!$J$3:$J$1025,MATCH($E82,学年度总表!$E$3:$E$1025,0))="","",INDEX(学年度总表!$J$3:$J$1025,MATCH($E82,学年度总表!$E$3:$E$1025,0)))</f>
        <v>76.849999999999994</v>
      </c>
      <c r="K82" s="3">
        <f>IF(INDEX(学年度总表!$K$3:$K$1025,MATCH($E82,学年度总表!$E$3:$E$1025,0))="","",INDEX(学年度总表!$K$3:$K$1025,MATCH($E82,学年度总表!$E$3:$E$1025,0)))</f>
        <v>10</v>
      </c>
      <c r="L82" s="3">
        <f>IF(INDEX(学年度总表!$L$3:$L$1025,MATCH($E82,学年度总表!$E$3:$E$1025,0))="","",INDEX(学年度总表!$L$3:$L$1025,MATCH($E82,学年度总表!$E$3:$E$1025,0)))</f>
        <v>56.69</v>
      </c>
      <c r="M82" s="3">
        <f>IF(INDEX(学年度总表!$M$3:$M$1025,MATCH($E82,学年度总表!$E$3:$E$1025,0))="","",INDEX(学年度总表!$M$3:$M$1025,MATCH($E82,学年度总表!$E$3:$E$1025,0)))</f>
        <v>4.2</v>
      </c>
      <c r="N82" s="3">
        <f>IF(INDEX(学年度总表!$N$3:$N$1025,MATCH($E82,学年度总表!$E$3:$E$1025,0))="","",INDEX(学年度总表!$N$3:$N$1025,MATCH($E82,学年度总表!$E$3:$E$1025,0)))</f>
        <v>70.89</v>
      </c>
      <c r="O82" s="3">
        <f>IF(INDEX(学年度总表!$O$3:$O$1025,MATCH($E82,学年度总表!$E$3:$E$1025,0))="","",INDEX(学年度总表!$O$3:$O$1025,MATCH($E82,学年度总表!$E$3:$E$1025,0)))</f>
        <v>147.74</v>
      </c>
      <c r="P82" s="2" t="str">
        <f>IF(INDEX(学年度总表!$P$3:$P$1025,MATCH($E82,学年度总表!$E$3:$E$1025,0))="","",INDEX(学年度总表!$P$3:$P$1025,MATCH($E82,学年度总表!$E$3:$E$1025,0)))</f>
        <v/>
      </c>
      <c r="Q82" s="5" t="str">
        <f>IF(INDEX(学年度总表!$Q$3:$Q$1025,MATCH($E82,学年度总表!$E$3:$E$1025,0))="","",INDEX(学年度总表!$Q$3:$Q$1025,MATCH($E82,学年度总表!$E$3:$E$1025,0)))</f>
        <v/>
      </c>
    </row>
    <row r="83" spans="1:17">
      <c r="A83" s="2">
        <f>IF(INDEX(学年度总表!$A$3:$A$1025,MATCH($E83,学年度总表!$E$3:$E$1025,0))="","",INDEX(学年度总表!$A$3:$A$1025,MATCH($E83,学年度总表!$E$3:$E$1025,0)))</f>
        <v>299</v>
      </c>
      <c r="B83" s="2">
        <f>IF(INDEX(学年度总表!$B$3:$B$1025,MATCH($E83,学年度总表!$E$3:$E$1025,0))="","",INDEX(学年度总表!$B$3:$B$1025,MATCH($E83,学年度总表!$E$3:$E$1025,0)))</f>
        <v>81</v>
      </c>
      <c r="C83" s="2" t="str">
        <f>IF(INDEX(学年度总表!$C$3:$C$1025,MATCH($E83,学年度总表!$E$3:$E$1025,0))="","",INDEX(学年度总表!$C$3:$C$1025,MATCH($E83,学年度总表!$E$3:$E$1025,0)))</f>
        <v>信管</v>
      </c>
      <c r="D83" s="2" t="str">
        <f>IF(INDEX(学年度总表!$D$3:$D$1025,MATCH($E83,学年度总表!$E$3:$E$1025,0))="","",INDEX(学年度总表!$D$3:$D$1025,MATCH($E83,学年度总表!$E$3:$E$1025,0)))</f>
        <v>信管19班</v>
      </c>
      <c r="E83" s="2" t="s">
        <v>658</v>
      </c>
      <c r="F83" s="2" t="str">
        <f>IF(INDEX(学年度总表!$F$3:$F$1025,MATCH($E83,学年度总表!$E$3:$E$1025,0))="","",INDEX(学年度总表!$F$3:$F$1025,MATCH($E83,学年度总表!$E$3:$E$1025,0)))</f>
        <v>侯玥</v>
      </c>
      <c r="G83" s="3">
        <f>IF(INDEX(学年度总表!$G$3:$G$1025,MATCH($E83,学年度总表!$E$3:$E$1025,0))="","",INDEX(学年度总表!$G$3:$G$1025,MATCH($E83,学年度总表!$E$3:$E$1025,0)))</f>
        <v>10.6</v>
      </c>
      <c r="H83" s="3">
        <f>IF(INDEX(学年度总表!$H$3:$H$1025,MATCH($E83,学年度总表!$E$3:$E$1025,0))="","",INDEX(学年度总表!$H$3:$H$1025,MATCH($E83,学年度总表!$E$3:$E$1025,0)))</f>
        <v>60.18</v>
      </c>
      <c r="I83" s="3">
        <f>IF(INDEX(学年度总表!$I$3:$I$1025,MATCH($E83,学年度总表!$E$3:$E$1025,0))="","",INDEX(学年度总表!$I$3:$I$1025,MATCH($E83,学年度总表!$E$3:$E$1025,0)))</f>
        <v>3.2</v>
      </c>
      <c r="J83" s="3">
        <f>IF(INDEX(学年度总表!$J$3:$J$1025,MATCH($E83,学年度总表!$E$3:$E$1025,0))="","",INDEX(学年度总表!$J$3:$J$1025,MATCH($E83,学年度总表!$E$3:$E$1025,0)))</f>
        <v>73.98</v>
      </c>
      <c r="K83" s="3">
        <f>IF(INDEX(学年度总表!$K$3:$K$1025,MATCH($E83,学年度总表!$E$3:$E$1025,0))="","",INDEX(学年度总表!$K$3:$K$1025,MATCH($E83,学年度总表!$E$3:$E$1025,0)))</f>
        <v>9.8000000000000007</v>
      </c>
      <c r="L83" s="3">
        <f>IF(INDEX(学年度总表!$L$3:$L$1025,MATCH($E83,学年度总表!$E$3:$E$1025,0))="","",INDEX(学年度总表!$L$3:$L$1025,MATCH($E83,学年度总表!$E$3:$E$1025,0)))</f>
        <v>60.4</v>
      </c>
      <c r="M83" s="3">
        <f>IF(INDEX(学年度总表!$M$3:$M$1025,MATCH($E83,学年度总表!$E$3:$E$1025,0))="","",INDEX(学年度总表!$M$3:$M$1025,MATCH($E83,学年度总表!$E$3:$E$1025,0)))</f>
        <v>3.5</v>
      </c>
      <c r="N83" s="3">
        <f>IF(INDEX(学年度总表!$N$3:$N$1025,MATCH($E83,学年度总表!$E$3:$E$1025,0))="","",INDEX(学年度总表!$N$3:$N$1025,MATCH($E83,学年度总表!$E$3:$E$1025,0)))</f>
        <v>73.7</v>
      </c>
      <c r="O83" s="3">
        <f>IF(INDEX(学年度总表!$O$3:$O$1025,MATCH($E83,学年度总表!$E$3:$E$1025,0))="","",INDEX(学年度总表!$O$3:$O$1025,MATCH($E83,学年度总表!$E$3:$E$1025,0)))</f>
        <v>147.68</v>
      </c>
      <c r="P83" s="2" t="str">
        <f>IF(INDEX(学年度总表!$P$3:$P$1025,MATCH($E83,学年度总表!$E$3:$E$1025,0))="","",INDEX(学年度总表!$P$3:$P$1025,MATCH($E83,学年度总表!$E$3:$E$1025,0)))</f>
        <v/>
      </c>
      <c r="Q83" s="5" t="str">
        <f>IF(INDEX(学年度总表!$Q$3:$Q$1025,MATCH($E83,学年度总表!$E$3:$E$1025,0))="","",INDEX(学年度总表!$Q$3:$Q$1025,MATCH($E83,学年度总表!$E$3:$E$1025,0)))</f>
        <v/>
      </c>
    </row>
    <row r="84" spans="1:17">
      <c r="A84" s="2">
        <f>IF(INDEX(学年度总表!$A$3:$A$1025,MATCH($E84,学年度总表!$E$3:$E$1025,0))="","",INDEX(学年度总表!$A$3:$A$1025,MATCH($E84,学年度总表!$E$3:$E$1025,0)))</f>
        <v>300</v>
      </c>
      <c r="B84" s="2">
        <f>IF(INDEX(学年度总表!$B$3:$B$1025,MATCH($E84,学年度总表!$E$3:$E$1025,0))="","",INDEX(学年度总表!$B$3:$B$1025,MATCH($E84,学年度总表!$E$3:$E$1025,0)))</f>
        <v>82</v>
      </c>
      <c r="C84" s="2" t="str">
        <f>IF(INDEX(学年度总表!$C$3:$C$1025,MATCH($E84,学年度总表!$E$3:$E$1025,0))="","",INDEX(学年度总表!$C$3:$C$1025,MATCH($E84,学年度总表!$E$3:$E$1025,0)))</f>
        <v>信管</v>
      </c>
      <c r="D84" s="2" t="str">
        <f>IF(INDEX(学年度总表!$D$3:$D$1025,MATCH($E84,学年度总表!$E$3:$E$1025,0))="","",INDEX(学年度总表!$D$3:$D$1025,MATCH($E84,学年度总表!$E$3:$E$1025,0)))</f>
        <v>信管27班</v>
      </c>
      <c r="E84" s="2" t="s">
        <v>660</v>
      </c>
      <c r="F84" s="2" t="str">
        <f>IF(INDEX(学年度总表!$F$3:$F$1025,MATCH($E84,学年度总表!$E$3:$E$1025,0))="","",INDEX(学年度总表!$F$3:$F$1025,MATCH($E84,学年度总表!$E$3:$E$1025,0)))</f>
        <v>刘宇轩</v>
      </c>
      <c r="G84" s="3">
        <f>IF(INDEX(学年度总表!$G$3:$G$1025,MATCH($E84,学年度总表!$E$3:$E$1025,0))="","",INDEX(学年度总表!$G$3:$G$1025,MATCH($E84,学年度总表!$E$3:$E$1025,0)))</f>
        <v>11</v>
      </c>
      <c r="H84" s="3">
        <f>IF(INDEX(学年度总表!$H$3:$H$1025,MATCH($E84,学年度总表!$E$3:$E$1025,0))="","",INDEX(学年度总表!$H$3:$H$1025,MATCH($E84,学年度总表!$E$3:$E$1025,0)))</f>
        <v>62.66</v>
      </c>
      <c r="I84" s="3">
        <f>IF(INDEX(学年度总表!$I$3:$I$1025,MATCH($E84,学年度总表!$E$3:$E$1025,0))="","",INDEX(学年度总表!$I$3:$I$1025,MATCH($E84,学年度总表!$E$3:$E$1025,0)))</f>
        <v>5</v>
      </c>
      <c r="J84" s="3">
        <f>IF(INDEX(学年度总表!$J$3:$J$1025,MATCH($E84,学年度总表!$E$3:$E$1025,0))="","",INDEX(学年度总表!$J$3:$J$1025,MATCH($E84,学年度总表!$E$3:$E$1025,0)))</f>
        <v>78.66</v>
      </c>
      <c r="K84" s="3">
        <f>IF(INDEX(学年度总表!$K$3:$K$1025,MATCH($E84,学年度总表!$E$3:$E$1025,0))="","",INDEX(学年度总表!$K$3:$K$1025,MATCH($E84,学年度总表!$E$3:$E$1025,0)))</f>
        <v>10</v>
      </c>
      <c r="L84" s="3">
        <f>IF(INDEX(学年度总表!$L$3:$L$1025,MATCH($E84,学年度总表!$E$3:$E$1025,0))="","",INDEX(学年度总表!$L$3:$L$1025,MATCH($E84,学年度总表!$E$3:$E$1025,0)))</f>
        <v>53.29</v>
      </c>
      <c r="M84" s="3">
        <f>IF(INDEX(学年度总表!$M$3:$M$1025,MATCH($E84,学年度总表!$E$3:$E$1025,0))="","",INDEX(学年度总表!$M$3:$M$1025,MATCH($E84,学年度总表!$E$3:$E$1025,0)))</f>
        <v>5.7</v>
      </c>
      <c r="N84" s="3">
        <f>IF(INDEX(学年度总表!$N$3:$N$1025,MATCH($E84,学年度总表!$E$3:$E$1025,0))="","",INDEX(学年度总表!$N$3:$N$1025,MATCH($E84,学年度总表!$E$3:$E$1025,0)))</f>
        <v>68.989999999999995</v>
      </c>
      <c r="O84" s="3">
        <f>IF(INDEX(学年度总表!$O$3:$O$1025,MATCH($E84,学年度总表!$E$3:$E$1025,0))="","",INDEX(学年度总表!$O$3:$O$1025,MATCH($E84,学年度总表!$E$3:$E$1025,0)))</f>
        <v>147.65</v>
      </c>
      <c r="P84" s="4" t="str">
        <f>IF(INDEX(学年度总表!$P$3:$P$1025,MATCH($E84,学年度总表!$E$3:$E$1025,0))="","",INDEX(学年度总表!$P$3:$P$1025,MATCH($E84,学年度总表!$E$3:$E$1025,0)))</f>
        <v>国励</v>
      </c>
      <c r="Q84" s="5" t="str">
        <f>IF(INDEX(学年度总表!$Q$3:$Q$1025,MATCH($E84,学年度总表!$E$3:$E$1025,0))="","",INDEX(学年度总表!$Q$3:$Q$1025,MATCH($E84,学年度总表!$E$3:$E$1025,0)))</f>
        <v/>
      </c>
    </row>
    <row r="85" spans="1:17">
      <c r="A85" s="2">
        <f>IF(INDEX(学年度总表!$A$3:$A$1025,MATCH($E85,学年度总表!$E$3:$E$1025,0))="","",INDEX(学年度总表!$A$3:$A$1025,MATCH($E85,学年度总表!$E$3:$E$1025,0)))</f>
        <v>301</v>
      </c>
      <c r="B85" s="2">
        <f>IF(INDEX(学年度总表!$B$3:$B$1025,MATCH($E85,学年度总表!$E$3:$E$1025,0))="","",INDEX(学年度总表!$B$3:$B$1025,MATCH($E85,学年度总表!$E$3:$E$1025,0)))</f>
        <v>83</v>
      </c>
      <c r="C85" s="2" t="str">
        <f>IF(INDEX(学年度总表!$C$3:$C$1025,MATCH($E85,学年度总表!$E$3:$E$1025,0))="","",INDEX(学年度总表!$C$3:$C$1025,MATCH($E85,学年度总表!$E$3:$E$1025,0)))</f>
        <v>信管</v>
      </c>
      <c r="D85" s="2" t="str">
        <f>IF(INDEX(学年度总表!$D$3:$D$1025,MATCH($E85,学年度总表!$E$3:$E$1025,0))="","",INDEX(学年度总表!$D$3:$D$1025,MATCH($E85,学年度总表!$E$3:$E$1025,0)))</f>
        <v>信管26班</v>
      </c>
      <c r="E85" s="2" t="s">
        <v>664</v>
      </c>
      <c r="F85" s="2" t="str">
        <f>IF(INDEX(学年度总表!$F$3:$F$1025,MATCH($E85,学年度总表!$E$3:$E$1025,0))="","",INDEX(学年度总表!$F$3:$F$1025,MATCH($E85,学年度总表!$E$3:$E$1025,0)))</f>
        <v>陶怡然</v>
      </c>
      <c r="G85" s="3">
        <f>IF(INDEX(学年度总表!$G$3:$G$1025,MATCH($E85,学年度总表!$E$3:$E$1025,0))="","",INDEX(学年度总表!$G$3:$G$1025,MATCH($E85,学年度总表!$E$3:$E$1025,0)))</f>
        <v>9.8000000000000007</v>
      </c>
      <c r="H85" s="3">
        <f>IF(INDEX(学年度总表!$H$3:$H$1025,MATCH($E85,学年度总表!$E$3:$E$1025,0))="","",INDEX(学年度总表!$H$3:$H$1025,MATCH($E85,学年度总表!$E$3:$E$1025,0)))</f>
        <v>62.54</v>
      </c>
      <c r="I85" s="3">
        <f>IF(INDEX(学年度总表!$I$3:$I$1025,MATCH($E85,学年度总表!$E$3:$E$1025,0))="","",INDEX(学年度总表!$I$3:$I$1025,MATCH($E85,学年度总表!$E$3:$E$1025,0)))</f>
        <v>3</v>
      </c>
      <c r="J85" s="3">
        <f>IF(INDEX(学年度总表!$J$3:$J$1025,MATCH($E85,学年度总表!$E$3:$E$1025,0))="","",INDEX(学年度总表!$J$3:$J$1025,MATCH($E85,学年度总表!$E$3:$E$1025,0)))</f>
        <v>75.34</v>
      </c>
      <c r="K85" s="3">
        <f>IF(INDEX(学年度总表!$K$3:$K$1025,MATCH($E85,学年度总表!$E$3:$E$1025,0))="","",INDEX(学年度总表!$K$3:$K$1025,MATCH($E85,学年度总表!$E$3:$E$1025,0)))</f>
        <v>9.8000000000000007</v>
      </c>
      <c r="L85" s="3">
        <f>IF(INDEX(学年度总表!$L$3:$L$1025,MATCH($E85,学年度总表!$E$3:$E$1025,0))="","",INDEX(学年度总表!$L$3:$L$1025,MATCH($E85,学年度总表!$E$3:$E$1025,0)))</f>
        <v>59.37</v>
      </c>
      <c r="M85" s="3">
        <f>IF(INDEX(学年度总表!$M$3:$M$1025,MATCH($E85,学年度总表!$E$3:$E$1025,0))="","",INDEX(学年度总表!$M$3:$M$1025,MATCH($E85,学年度总表!$E$3:$E$1025,0)))</f>
        <v>3</v>
      </c>
      <c r="N85" s="3">
        <f>IF(INDEX(学年度总表!$N$3:$N$1025,MATCH($E85,学年度总表!$E$3:$E$1025,0))="","",INDEX(学年度总表!$N$3:$N$1025,MATCH($E85,学年度总表!$E$3:$E$1025,0)))</f>
        <v>72.17</v>
      </c>
      <c r="O85" s="3">
        <f>IF(INDEX(学年度总表!$O$3:$O$1025,MATCH($E85,学年度总表!$E$3:$E$1025,0))="","",INDEX(学年度总表!$O$3:$O$1025,MATCH($E85,学年度总表!$E$3:$E$1025,0)))</f>
        <v>147.51</v>
      </c>
      <c r="P85" s="2" t="str">
        <f>IF(INDEX(学年度总表!$P$3:$P$1025,MATCH($E85,学年度总表!$E$3:$E$1025,0))="","",INDEX(学年度总表!$P$3:$P$1025,MATCH($E85,学年度总表!$E$3:$E$1025,0)))</f>
        <v/>
      </c>
      <c r="Q85" s="5" t="str">
        <f>IF(INDEX(学年度总表!$Q$3:$Q$1025,MATCH($E85,学年度总表!$E$3:$E$1025,0))="","",INDEX(学年度总表!$Q$3:$Q$1025,MATCH($E85,学年度总表!$E$3:$E$1025,0)))</f>
        <v/>
      </c>
    </row>
    <row r="86" spans="1:17">
      <c r="A86" s="2">
        <f>IF(INDEX(学年度总表!$A$3:$A$1025,MATCH($E86,学年度总表!$E$3:$E$1025,0))="","",INDEX(学年度总表!$A$3:$A$1025,MATCH($E86,学年度总表!$E$3:$E$1025,0)))</f>
        <v>303</v>
      </c>
      <c r="B86" s="2">
        <f>IF(INDEX(学年度总表!$B$3:$B$1025,MATCH($E86,学年度总表!$E$3:$E$1025,0))="","",INDEX(学年度总表!$B$3:$B$1025,MATCH($E86,学年度总表!$E$3:$E$1025,0)))</f>
        <v>84</v>
      </c>
      <c r="C86" s="2" t="str">
        <f>IF(INDEX(学年度总表!$C$3:$C$1025,MATCH($E86,学年度总表!$E$3:$E$1025,0))="","",INDEX(学年度总表!$C$3:$C$1025,MATCH($E86,学年度总表!$E$3:$E$1025,0)))</f>
        <v>信管</v>
      </c>
      <c r="D86" s="2" t="str">
        <f>IF(INDEX(学年度总表!$D$3:$D$1025,MATCH($E86,学年度总表!$E$3:$E$1025,0))="","",INDEX(学年度总表!$D$3:$D$1025,MATCH($E86,学年度总表!$E$3:$E$1025,0)))</f>
        <v>信管22班</v>
      </c>
      <c r="E86" s="2" t="s">
        <v>666</v>
      </c>
      <c r="F86" s="2" t="str">
        <f>IF(INDEX(学年度总表!$F$3:$F$1025,MATCH($E86,学年度总表!$E$3:$E$1025,0))="","",INDEX(学年度总表!$F$3:$F$1025,MATCH($E86,学年度总表!$E$3:$E$1025,0)))</f>
        <v>孙皓阳</v>
      </c>
      <c r="G86" s="3">
        <f>IF(INDEX(学年度总表!$G$3:$G$1025,MATCH($E86,学年度总表!$E$3:$E$1025,0))="","",INDEX(学年度总表!$G$3:$G$1025,MATCH($E86,学年度总表!$E$3:$E$1025,0)))</f>
        <v>9.8000000000000007</v>
      </c>
      <c r="H86" s="3">
        <f>IF(INDEX(学年度总表!$H$3:$H$1025,MATCH($E86,学年度总表!$E$3:$E$1025,0))="","",INDEX(学年度总表!$H$3:$H$1025,MATCH($E86,学年度总表!$E$3:$E$1025,0)))</f>
        <v>61.56</v>
      </c>
      <c r="I86" s="3">
        <f>IF(INDEX(学年度总表!$I$3:$I$1025,MATCH($E86,学年度总表!$E$3:$E$1025,0))="","",INDEX(学年度总表!$I$3:$I$1025,MATCH($E86,学年度总表!$E$3:$E$1025,0)))</f>
        <v>3</v>
      </c>
      <c r="J86" s="3">
        <f>IF(INDEX(学年度总表!$J$3:$J$1025,MATCH($E86,学年度总表!$E$3:$E$1025,0))="","",INDEX(学年度总表!$J$3:$J$1025,MATCH($E86,学年度总表!$E$3:$E$1025,0)))</f>
        <v>74.36</v>
      </c>
      <c r="K86" s="3">
        <f>IF(INDEX(学年度总表!$K$3:$K$1025,MATCH($E86,学年度总表!$E$3:$E$1025,0))="","",INDEX(学年度总表!$K$3:$K$1025,MATCH($E86,学年度总表!$E$3:$E$1025,0)))</f>
        <v>9.8000000000000007</v>
      </c>
      <c r="L86" s="3">
        <f>IF(INDEX(学年度总表!$L$3:$L$1025,MATCH($E86,学年度总表!$E$3:$E$1025,0))="","",INDEX(学年度总表!$L$3:$L$1025,MATCH($E86,学年度总表!$E$3:$E$1025,0)))</f>
        <v>60.33</v>
      </c>
      <c r="M86" s="3">
        <f>IF(INDEX(学年度总表!$M$3:$M$1025,MATCH($E86,学年度总表!$E$3:$E$1025,0))="","",INDEX(学年度总表!$M$3:$M$1025,MATCH($E86,学年度总表!$E$3:$E$1025,0)))</f>
        <v>3</v>
      </c>
      <c r="N86" s="3">
        <f>IF(INDEX(学年度总表!$N$3:$N$1025,MATCH($E86,学年度总表!$E$3:$E$1025,0))="","",INDEX(学年度总表!$N$3:$N$1025,MATCH($E86,学年度总表!$E$3:$E$1025,0)))</f>
        <v>73.13</v>
      </c>
      <c r="O86" s="3">
        <f>IF(INDEX(学年度总表!$O$3:$O$1025,MATCH($E86,学年度总表!$E$3:$E$1025,0))="","",INDEX(学年度总表!$O$3:$O$1025,MATCH($E86,学年度总表!$E$3:$E$1025,0)))</f>
        <v>147.49</v>
      </c>
      <c r="P86" s="2" t="str">
        <f>IF(INDEX(学年度总表!$P$3:$P$1025,MATCH($E86,学年度总表!$E$3:$E$1025,0))="","",INDEX(学年度总表!$P$3:$P$1025,MATCH($E86,学年度总表!$E$3:$E$1025,0)))</f>
        <v/>
      </c>
      <c r="Q86" s="5" t="str">
        <f>IF(INDEX(学年度总表!$Q$3:$Q$1025,MATCH($E86,学年度总表!$E$3:$E$1025,0))="","",INDEX(学年度总表!$Q$3:$Q$1025,MATCH($E86,学年度总表!$E$3:$E$1025,0)))</f>
        <v/>
      </c>
    </row>
    <row r="87" spans="1:17">
      <c r="A87" s="2">
        <f>IF(INDEX(学年度总表!$A$3:$A$1025,MATCH($E87,学年度总表!$E$3:$E$1025,0))="","",INDEX(学年度总表!$A$3:$A$1025,MATCH($E87,学年度总表!$E$3:$E$1025,0)))</f>
        <v>311</v>
      </c>
      <c r="B87" s="2">
        <f>IF(INDEX(学年度总表!$B$3:$B$1025,MATCH($E87,学年度总表!$E$3:$E$1025,0))="","",INDEX(学年度总表!$B$3:$B$1025,MATCH($E87,学年度总表!$E$3:$E$1025,0)))</f>
        <v>85</v>
      </c>
      <c r="C87" s="2" t="str">
        <f>IF(INDEX(学年度总表!$C$3:$C$1025,MATCH($E87,学年度总表!$E$3:$E$1025,0))="","",INDEX(学年度总表!$C$3:$C$1025,MATCH($E87,学年度总表!$E$3:$E$1025,0)))</f>
        <v>信管</v>
      </c>
      <c r="D87" s="2" t="str">
        <f>IF(INDEX(学年度总表!$D$3:$D$1025,MATCH($E87,学年度总表!$E$3:$E$1025,0))="","",INDEX(学年度总表!$D$3:$D$1025,MATCH($E87,学年度总表!$E$3:$E$1025,0)))</f>
        <v>信管25班</v>
      </c>
      <c r="E87" s="2" t="s">
        <v>682</v>
      </c>
      <c r="F87" s="2" t="str">
        <f>IF(INDEX(学年度总表!$F$3:$F$1025,MATCH($E87,学年度总表!$E$3:$E$1025,0))="","",INDEX(学年度总表!$F$3:$F$1025,MATCH($E87,学年度总表!$E$3:$E$1025,0)))</f>
        <v>李宛澳</v>
      </c>
      <c r="G87" s="3">
        <f>IF(INDEX(学年度总表!$G$3:$G$1025,MATCH($E87,学年度总表!$E$3:$E$1025,0))="","",INDEX(学年度总表!$G$3:$G$1025,MATCH($E87,学年度总表!$E$3:$E$1025,0)))</f>
        <v>9.8000000000000007</v>
      </c>
      <c r="H87" s="3">
        <f>IF(INDEX(学年度总表!$H$3:$H$1025,MATCH($E87,学年度总表!$E$3:$E$1025,0))="","",INDEX(学年度总表!$H$3:$H$1025,MATCH($E87,学年度总表!$E$3:$E$1025,0)))</f>
        <v>63.76</v>
      </c>
      <c r="I87" s="3">
        <f>IF(INDEX(学年度总表!$I$3:$I$1025,MATCH($E87,学年度总表!$E$3:$E$1025,0))="","",INDEX(学年度总表!$I$3:$I$1025,MATCH($E87,学年度总表!$E$3:$E$1025,0)))</f>
        <v>3</v>
      </c>
      <c r="J87" s="3">
        <f>IF(INDEX(学年度总表!$J$3:$J$1025,MATCH($E87,学年度总表!$E$3:$E$1025,0))="","",INDEX(学年度总表!$J$3:$J$1025,MATCH($E87,学年度总表!$E$3:$E$1025,0)))</f>
        <v>76.56</v>
      </c>
      <c r="K87" s="3">
        <f>IF(INDEX(学年度总表!$K$3:$K$1025,MATCH($E87,学年度总表!$E$3:$E$1025,0))="","",INDEX(学年度总表!$K$3:$K$1025,MATCH($E87,学年度总表!$E$3:$E$1025,0)))</f>
        <v>9.8000000000000007</v>
      </c>
      <c r="L87" s="3">
        <f>IF(INDEX(学年度总表!$L$3:$L$1025,MATCH($E87,学年度总表!$E$3:$E$1025,0))="","",INDEX(学年度总表!$L$3:$L$1025,MATCH($E87,学年度总表!$E$3:$E$1025,0)))</f>
        <v>57.4</v>
      </c>
      <c r="M87" s="3">
        <f>IF(INDEX(学年度总表!$M$3:$M$1025,MATCH($E87,学年度总表!$E$3:$E$1025,0))="","",INDEX(学年度总表!$M$3:$M$1025,MATCH($E87,学年度总表!$E$3:$E$1025,0)))</f>
        <v>3.45</v>
      </c>
      <c r="N87" s="3">
        <f>IF(INDEX(学年度总表!$N$3:$N$1025,MATCH($E87,学年度总表!$E$3:$E$1025,0))="","",INDEX(学年度总表!$N$3:$N$1025,MATCH($E87,学年度总表!$E$3:$E$1025,0)))</f>
        <v>70.650000000000006</v>
      </c>
      <c r="O87" s="3">
        <f>IF(INDEX(学年度总表!$O$3:$O$1025,MATCH($E87,学年度总表!$E$3:$E$1025,0))="","",INDEX(学年度总表!$O$3:$O$1025,MATCH($E87,学年度总表!$E$3:$E$1025,0)))</f>
        <v>147.21</v>
      </c>
      <c r="P87" s="2" t="str">
        <f>IF(INDEX(学年度总表!$P$3:$P$1025,MATCH($E87,学年度总表!$E$3:$E$1025,0))="","",INDEX(学年度总表!$P$3:$P$1025,MATCH($E87,学年度总表!$E$3:$E$1025,0)))</f>
        <v/>
      </c>
      <c r="Q87" s="5" t="str">
        <f>IF(INDEX(学年度总表!$Q$3:$Q$1025,MATCH($E87,学年度总表!$E$3:$E$1025,0))="","",INDEX(学年度总表!$Q$3:$Q$1025,MATCH($E87,学年度总表!$E$3:$E$1025,0)))</f>
        <v/>
      </c>
    </row>
    <row r="88" spans="1:17">
      <c r="A88" s="2">
        <f>IF(INDEX(学年度总表!$A$3:$A$1025,MATCH($E88,学年度总表!$E$3:$E$1025,0))="","",INDEX(学年度总表!$A$3:$A$1025,MATCH($E88,学年度总表!$E$3:$E$1025,0)))</f>
        <v>313</v>
      </c>
      <c r="B88" s="2">
        <f>IF(INDEX(学年度总表!$B$3:$B$1025,MATCH($E88,学年度总表!$E$3:$E$1025,0))="","",INDEX(学年度总表!$B$3:$B$1025,MATCH($E88,学年度总表!$E$3:$E$1025,0)))</f>
        <v>86</v>
      </c>
      <c r="C88" s="2" t="str">
        <f>IF(INDEX(学年度总表!$C$3:$C$1025,MATCH($E88,学年度总表!$E$3:$E$1025,0))="","",INDEX(学年度总表!$C$3:$C$1025,MATCH($E88,学年度总表!$E$3:$E$1025,0)))</f>
        <v>信管</v>
      </c>
      <c r="D88" s="2" t="str">
        <f>IF(INDEX(学年度总表!$D$3:$D$1025,MATCH($E88,学年度总表!$E$3:$E$1025,0))="","",INDEX(学年度总表!$D$3:$D$1025,MATCH($E88,学年度总表!$E$3:$E$1025,0)))</f>
        <v>信管20班</v>
      </c>
      <c r="E88" s="2" t="s">
        <v>686</v>
      </c>
      <c r="F88" s="2" t="str">
        <f>IF(INDEX(学年度总表!$F$3:$F$1025,MATCH($E88,学年度总表!$E$3:$E$1025,0))="","",INDEX(学年度总表!$F$3:$F$1025,MATCH($E88,学年度总表!$E$3:$E$1025,0)))</f>
        <v>张明珠</v>
      </c>
      <c r="G88" s="3">
        <f>IF(INDEX(学年度总表!$G$3:$G$1025,MATCH($E88,学年度总表!$E$3:$E$1025,0))="","",INDEX(学年度总表!$G$3:$G$1025,MATCH($E88,学年度总表!$E$3:$E$1025,0)))</f>
        <v>9.8000000000000007</v>
      </c>
      <c r="H88" s="3">
        <f>IF(INDEX(学年度总表!$H$3:$H$1025,MATCH($E88,学年度总表!$E$3:$E$1025,0))="","",INDEX(学年度总表!$H$3:$H$1025,MATCH($E88,学年度总表!$E$3:$E$1025,0)))</f>
        <v>63</v>
      </c>
      <c r="I88" s="3">
        <f>IF(INDEX(学年度总表!$I$3:$I$1025,MATCH($E88,学年度总表!$E$3:$E$1025,0))="","",INDEX(学年度总表!$I$3:$I$1025,MATCH($E88,学年度总表!$E$3:$E$1025,0)))</f>
        <v>4</v>
      </c>
      <c r="J88" s="3">
        <f>IF(INDEX(学年度总表!$J$3:$J$1025,MATCH($E88,学年度总表!$E$3:$E$1025,0))="","",INDEX(学年度总表!$J$3:$J$1025,MATCH($E88,学年度总表!$E$3:$E$1025,0)))</f>
        <v>76.8</v>
      </c>
      <c r="K88" s="3">
        <f>IF(INDEX(学年度总表!$K$3:$K$1025,MATCH($E88,学年度总表!$E$3:$E$1025,0))="","",INDEX(学年度总表!$K$3:$K$1025,MATCH($E88,学年度总表!$E$3:$E$1025,0)))</f>
        <v>7.3000000000000007</v>
      </c>
      <c r="L88" s="3">
        <f>IF(INDEX(学年度总表!$L$3:$L$1025,MATCH($E88,学年度总表!$E$3:$E$1025,0))="","",INDEX(学年度总表!$L$3:$L$1025,MATCH($E88,学年度总表!$E$3:$E$1025,0)))</f>
        <v>57.13</v>
      </c>
      <c r="M88" s="3">
        <f>IF(INDEX(学年度总表!$M$3:$M$1025,MATCH($E88,学年度总表!$E$3:$E$1025,0))="","",INDEX(学年度总表!$M$3:$M$1025,MATCH($E88,学年度总表!$E$3:$E$1025,0)))</f>
        <v>5.9</v>
      </c>
      <c r="N88" s="3">
        <f>IF(INDEX(学年度总表!$N$3:$N$1025,MATCH($E88,学年度总表!$E$3:$E$1025,0))="","",INDEX(学年度总表!$N$3:$N$1025,MATCH($E88,学年度总表!$E$3:$E$1025,0)))</f>
        <v>70.33</v>
      </c>
      <c r="O88" s="3">
        <f>IF(INDEX(学年度总表!$O$3:$O$1025,MATCH($E88,学年度总表!$E$3:$E$1025,0))="","",INDEX(学年度总表!$O$3:$O$1025,MATCH($E88,学年度总表!$E$3:$E$1025,0)))</f>
        <v>147.13</v>
      </c>
      <c r="P88" s="2" t="str">
        <f>IF(INDEX(学年度总表!$P$3:$P$1025,MATCH($E88,学年度总表!$E$3:$E$1025,0))="","",INDEX(学年度总表!$P$3:$P$1025,MATCH($E88,学年度总表!$E$3:$E$1025,0)))</f>
        <v/>
      </c>
      <c r="Q88" s="5" t="str">
        <f>IF(INDEX(学年度总表!$Q$3:$Q$1025,MATCH($E88,学年度总表!$E$3:$E$1025,0))="","",INDEX(学年度总表!$Q$3:$Q$1025,MATCH($E88,学年度总表!$E$3:$E$1025,0)))</f>
        <v/>
      </c>
    </row>
    <row r="89" spans="1:17">
      <c r="A89" s="2">
        <f>IF(INDEX(学年度总表!$A$3:$A$1025,MATCH($E89,学年度总表!$E$3:$E$1025,0))="","",INDEX(学年度总表!$A$3:$A$1025,MATCH($E89,学年度总表!$E$3:$E$1025,0)))</f>
        <v>316</v>
      </c>
      <c r="B89" s="2">
        <f>IF(INDEX(学年度总表!$B$3:$B$1025,MATCH($E89,学年度总表!$E$3:$E$1025,0))="","",INDEX(学年度总表!$B$3:$B$1025,MATCH($E89,学年度总表!$E$3:$E$1025,0)))</f>
        <v>87</v>
      </c>
      <c r="C89" s="2" t="str">
        <f>IF(INDEX(学年度总表!$C$3:$C$1025,MATCH($E89,学年度总表!$E$3:$E$1025,0))="","",INDEX(学年度总表!$C$3:$C$1025,MATCH($E89,学年度总表!$E$3:$E$1025,0)))</f>
        <v>信管</v>
      </c>
      <c r="D89" s="2" t="str">
        <f>IF(INDEX(学年度总表!$D$3:$D$1025,MATCH($E89,学年度总表!$E$3:$E$1025,0))="","",INDEX(学年度总表!$D$3:$D$1025,MATCH($E89,学年度总表!$E$3:$E$1025,0)))</f>
        <v>信管24班</v>
      </c>
      <c r="E89" s="2" t="s">
        <v>692</v>
      </c>
      <c r="F89" s="2" t="str">
        <f>IF(INDEX(学年度总表!$F$3:$F$1025,MATCH($E89,学年度总表!$E$3:$E$1025,0))="","",INDEX(学年度总表!$F$3:$F$1025,MATCH($E89,学年度总表!$E$3:$E$1025,0)))</f>
        <v>韩周延</v>
      </c>
      <c r="G89" s="3">
        <f>IF(INDEX(学年度总表!$G$3:$G$1025,MATCH($E89,学年度总表!$E$3:$E$1025,0))="","",INDEX(学年度总表!$G$3:$G$1025,MATCH($E89,学年度总表!$E$3:$E$1025,0)))</f>
        <v>9.8000000000000007</v>
      </c>
      <c r="H89" s="3">
        <f>IF(INDEX(学年度总表!$H$3:$H$1025,MATCH($E89,学年度总表!$E$3:$E$1025,0))="","",INDEX(学年度总表!$H$3:$H$1025,MATCH($E89,学年度总表!$E$3:$E$1025,0)))</f>
        <v>60.78</v>
      </c>
      <c r="I89" s="3">
        <f>IF(INDEX(学年度总表!$I$3:$I$1025,MATCH($E89,学年度总表!$E$3:$E$1025,0))="","",INDEX(学年度总表!$I$3:$I$1025,MATCH($E89,学年度总表!$E$3:$E$1025,0)))</f>
        <v>5.05</v>
      </c>
      <c r="J89" s="3">
        <f>IF(INDEX(学年度总表!$J$3:$J$1025,MATCH($E89,学年度总表!$E$3:$E$1025,0))="","",INDEX(学年度总表!$J$3:$J$1025,MATCH($E89,学年度总表!$E$3:$E$1025,0)))</f>
        <v>75.63</v>
      </c>
      <c r="K89" s="3">
        <f>IF(INDEX(学年度总表!$K$3:$K$1025,MATCH($E89,学年度总表!$E$3:$E$1025,0))="","",INDEX(学年度总表!$K$3:$K$1025,MATCH($E89,学年度总表!$E$3:$E$1025,0)))</f>
        <v>9.8000000000000007</v>
      </c>
      <c r="L89" s="3">
        <f>IF(INDEX(学年度总表!$L$3:$L$1025,MATCH($E89,学年度总表!$E$3:$E$1025,0))="","",INDEX(学年度总表!$L$3:$L$1025,MATCH($E89,学年度总表!$E$3:$E$1025,0)))</f>
        <v>57.58</v>
      </c>
      <c r="M89" s="3">
        <f>IF(INDEX(学年度总表!$M$3:$M$1025,MATCH($E89,学年度总表!$E$3:$E$1025,0))="","",INDEX(学年度总表!$M$3:$M$1025,MATCH($E89,学年度总表!$E$3:$E$1025,0)))</f>
        <v>4</v>
      </c>
      <c r="N89" s="3">
        <f>IF(INDEX(学年度总表!$N$3:$N$1025,MATCH($E89,学年度总表!$E$3:$E$1025,0))="","",INDEX(学年度总表!$N$3:$N$1025,MATCH($E89,学年度总表!$E$3:$E$1025,0)))</f>
        <v>71.38</v>
      </c>
      <c r="O89" s="3">
        <f>IF(INDEX(学年度总表!$O$3:$O$1025,MATCH($E89,学年度总表!$E$3:$E$1025,0))="","",INDEX(学年度总表!$O$3:$O$1025,MATCH($E89,学年度总表!$E$3:$E$1025,0)))</f>
        <v>147.01</v>
      </c>
      <c r="P89" s="2" t="str">
        <f>IF(INDEX(学年度总表!$P$3:$P$1025,MATCH($E89,学年度总表!$E$3:$E$1025,0))="","",INDEX(学年度总表!$P$3:$P$1025,MATCH($E89,学年度总表!$E$3:$E$1025,0)))</f>
        <v/>
      </c>
      <c r="Q89" s="5" t="str">
        <f>IF(INDEX(学年度总表!$Q$3:$Q$1025,MATCH($E89,学年度总表!$E$3:$E$1025,0))="","",INDEX(学年度总表!$Q$3:$Q$1025,MATCH($E89,学年度总表!$E$3:$E$1025,0)))</f>
        <v/>
      </c>
    </row>
    <row r="90" spans="1:17">
      <c r="A90" s="2">
        <f>IF(INDEX(学年度总表!$A$3:$A$1025,MATCH($E90,学年度总表!$E$3:$E$1025,0))="","",INDEX(学年度总表!$A$3:$A$1025,MATCH($E90,学年度总表!$E$3:$E$1025,0)))</f>
        <v>317</v>
      </c>
      <c r="B90" s="2">
        <f>IF(INDEX(学年度总表!$B$3:$B$1025,MATCH($E90,学年度总表!$E$3:$E$1025,0))="","",INDEX(学年度总表!$B$3:$B$1025,MATCH($E90,学年度总表!$E$3:$E$1025,0)))</f>
        <v>88</v>
      </c>
      <c r="C90" s="2" t="str">
        <f>IF(INDEX(学年度总表!$C$3:$C$1025,MATCH($E90,学年度总表!$E$3:$E$1025,0))="","",INDEX(学年度总表!$C$3:$C$1025,MATCH($E90,学年度总表!$E$3:$E$1025,0)))</f>
        <v>信管</v>
      </c>
      <c r="D90" s="2" t="str">
        <f>IF(INDEX(学年度总表!$D$3:$D$1025,MATCH($E90,学年度总表!$E$3:$E$1025,0))="","",INDEX(学年度总表!$D$3:$D$1025,MATCH($E90,学年度总表!$E$3:$E$1025,0)))</f>
        <v>信管21班</v>
      </c>
      <c r="E90" s="2" t="s">
        <v>694</v>
      </c>
      <c r="F90" s="2" t="str">
        <f>IF(INDEX(学年度总表!$F$3:$F$1025,MATCH($E90,学年度总表!$E$3:$E$1025,0))="","",INDEX(学年度总表!$F$3:$F$1025,MATCH($E90,学年度总表!$E$3:$E$1025,0)))</f>
        <v>李芷萱</v>
      </c>
      <c r="G90" s="3">
        <f>IF(INDEX(学年度总表!$G$3:$G$1025,MATCH($E90,学年度总表!$E$3:$E$1025,0))="","",INDEX(学年度总表!$G$3:$G$1025,MATCH($E90,学年度总表!$E$3:$E$1025,0)))</f>
        <v>9.8000000000000007</v>
      </c>
      <c r="H90" s="3">
        <f>IF(INDEX(学年度总表!$H$3:$H$1025,MATCH($E90,学年度总表!$E$3:$E$1025,0))="","",INDEX(学年度总表!$H$3:$H$1025,MATCH($E90,学年度总表!$E$3:$E$1025,0)))</f>
        <v>61.06</v>
      </c>
      <c r="I90" s="3">
        <f>IF(INDEX(学年度总表!$I$3:$I$1025,MATCH($E90,学年度总表!$E$3:$E$1025,0))="","",INDEX(学年度总表!$I$3:$I$1025,MATCH($E90,学年度总表!$E$3:$E$1025,0)))</f>
        <v>3.9</v>
      </c>
      <c r="J90" s="3">
        <f>IF(INDEX(学年度总表!$J$3:$J$1025,MATCH($E90,学年度总表!$E$3:$E$1025,0))="","",INDEX(学年度总表!$J$3:$J$1025,MATCH($E90,学年度总表!$E$3:$E$1025,0)))</f>
        <v>74.760000000000005</v>
      </c>
      <c r="K90" s="3">
        <f>IF(INDEX(学年度总表!$K$3:$K$1025,MATCH($E90,学年度总表!$E$3:$E$1025,0))="","",INDEX(学年度总表!$K$3:$K$1025,MATCH($E90,学年度总表!$E$3:$E$1025,0)))</f>
        <v>9.8000000000000007</v>
      </c>
      <c r="L90" s="3">
        <f>IF(INDEX(学年度总表!$L$3:$L$1025,MATCH($E90,学年度总表!$E$3:$E$1025,0))="","",INDEX(学年度总表!$L$3:$L$1025,MATCH($E90,学年度总表!$E$3:$E$1025,0)))</f>
        <v>58.21</v>
      </c>
      <c r="M90" s="3">
        <f>IF(INDEX(学年度总表!$M$3:$M$1025,MATCH($E90,学年度总表!$E$3:$E$1025,0))="","",INDEX(学年度总表!$M$3:$M$1025,MATCH($E90,学年度总表!$E$3:$E$1025,0)))</f>
        <v>4.2</v>
      </c>
      <c r="N90" s="3">
        <f>IF(INDEX(学年度总表!$N$3:$N$1025,MATCH($E90,学年度总表!$E$3:$E$1025,0))="","",INDEX(学年度总表!$N$3:$N$1025,MATCH($E90,学年度总表!$E$3:$E$1025,0)))</f>
        <v>72.209999999999994</v>
      </c>
      <c r="O90" s="3">
        <f>IF(INDEX(学年度总表!$O$3:$O$1025,MATCH($E90,学年度总表!$E$3:$E$1025,0))="","",INDEX(学年度总表!$O$3:$O$1025,MATCH($E90,学年度总表!$E$3:$E$1025,0)))</f>
        <v>146.97</v>
      </c>
      <c r="P90" s="2" t="str">
        <f>IF(INDEX(学年度总表!$P$3:$P$1025,MATCH($E90,学年度总表!$E$3:$E$1025,0))="","",INDEX(学年度总表!$P$3:$P$1025,MATCH($E90,学年度总表!$E$3:$E$1025,0)))</f>
        <v/>
      </c>
      <c r="Q90" s="5" t="str">
        <f>IF(INDEX(学年度总表!$Q$3:$Q$1025,MATCH($E90,学年度总表!$E$3:$E$1025,0))="","",INDEX(学年度总表!$Q$3:$Q$1025,MATCH($E90,学年度总表!$E$3:$E$1025,0)))</f>
        <v/>
      </c>
    </row>
    <row r="91" spans="1:17">
      <c r="A91" s="2">
        <f>IF(INDEX(学年度总表!$A$3:$A$1025,MATCH($E91,学年度总表!$E$3:$E$1025,0))="","",INDEX(学年度总表!$A$3:$A$1025,MATCH($E91,学年度总表!$E$3:$E$1025,0)))</f>
        <v>318</v>
      </c>
      <c r="B91" s="2">
        <f>IF(INDEX(学年度总表!$B$3:$B$1025,MATCH($E91,学年度总表!$E$3:$E$1025,0))="","",INDEX(学年度总表!$B$3:$B$1025,MATCH($E91,学年度总表!$E$3:$E$1025,0)))</f>
        <v>89</v>
      </c>
      <c r="C91" s="2" t="str">
        <f>IF(INDEX(学年度总表!$C$3:$C$1025,MATCH($E91,学年度总表!$E$3:$E$1025,0))="","",INDEX(学年度总表!$C$3:$C$1025,MATCH($E91,学年度总表!$E$3:$E$1025,0)))</f>
        <v>信管</v>
      </c>
      <c r="D91" s="2" t="str">
        <f>IF(INDEX(学年度总表!$D$3:$D$1025,MATCH($E91,学年度总表!$E$3:$E$1025,0))="","",INDEX(学年度总表!$D$3:$D$1025,MATCH($E91,学年度总表!$E$3:$E$1025,0)))</f>
        <v>信管22班</v>
      </c>
      <c r="E91" s="2" t="s">
        <v>696</v>
      </c>
      <c r="F91" s="2" t="str">
        <f>IF(INDEX(学年度总表!$F$3:$F$1025,MATCH($E91,学年度总表!$E$3:$E$1025,0))="","",INDEX(学年度总表!$F$3:$F$1025,MATCH($E91,学年度总表!$E$3:$E$1025,0)))</f>
        <v>张博宇</v>
      </c>
      <c r="G91" s="3">
        <f>IF(INDEX(学年度总表!$G$3:$G$1025,MATCH($E91,学年度总表!$E$3:$E$1025,0))="","",INDEX(学年度总表!$G$3:$G$1025,MATCH($E91,学年度总表!$E$3:$E$1025,0)))</f>
        <v>9.8000000000000007</v>
      </c>
      <c r="H91" s="3">
        <f>IF(INDEX(学年度总表!$H$3:$H$1025,MATCH($E91,学年度总表!$E$3:$E$1025,0))="","",INDEX(学年度总表!$H$3:$H$1025,MATCH($E91,学年度总表!$E$3:$E$1025,0)))</f>
        <v>56.94</v>
      </c>
      <c r="I91" s="3">
        <f>IF(INDEX(学年度总表!$I$3:$I$1025,MATCH($E91,学年度总表!$E$3:$E$1025,0))="","",INDEX(学年度总表!$I$3:$I$1025,MATCH($E91,学年度总表!$E$3:$E$1025,0)))</f>
        <v>5.4</v>
      </c>
      <c r="J91" s="3">
        <f>IF(INDEX(学年度总表!$J$3:$J$1025,MATCH($E91,学年度总表!$E$3:$E$1025,0))="","",INDEX(学年度总表!$J$3:$J$1025,MATCH($E91,学年度总表!$E$3:$E$1025,0)))</f>
        <v>72.14</v>
      </c>
      <c r="K91" s="3">
        <f>IF(INDEX(学年度总表!$K$3:$K$1025,MATCH($E91,学年度总表!$E$3:$E$1025,0))="","",INDEX(学年度总表!$K$3:$K$1025,MATCH($E91,学年度总表!$E$3:$E$1025,0)))</f>
        <v>11.3</v>
      </c>
      <c r="L91" s="3">
        <f>IF(INDEX(学年度总表!$L$3:$L$1025,MATCH($E91,学年度总表!$E$3:$E$1025,0))="","",INDEX(学年度总表!$L$3:$L$1025,MATCH($E91,学年度总表!$E$3:$E$1025,0)))</f>
        <v>57.06</v>
      </c>
      <c r="M91" s="3">
        <f>IF(INDEX(学年度总表!$M$3:$M$1025,MATCH($E91,学年度总表!$E$3:$E$1025,0))="","",INDEX(学年度总表!$M$3:$M$1025,MATCH($E91,学年度总表!$E$3:$E$1025,0)))</f>
        <v>6.4</v>
      </c>
      <c r="N91" s="3">
        <f>IF(INDEX(学年度总表!$N$3:$N$1025,MATCH($E91,学年度总表!$E$3:$E$1025,0))="","",INDEX(学年度总表!$N$3:$N$1025,MATCH($E91,学年度总表!$E$3:$E$1025,0)))</f>
        <v>74.760000000000005</v>
      </c>
      <c r="O91" s="3">
        <f>IF(INDEX(学年度总表!$O$3:$O$1025,MATCH($E91,学年度总表!$E$3:$E$1025,0))="","",INDEX(学年度总表!$O$3:$O$1025,MATCH($E91,学年度总表!$E$3:$E$1025,0)))</f>
        <v>146.9</v>
      </c>
      <c r="P91" s="4" t="str">
        <f>IF(INDEX(学年度总表!$P$3:$P$1025,MATCH($E91,学年度总表!$E$3:$E$1025,0))="","",INDEX(学年度总表!$P$3:$P$1025,MATCH($E91,学年度总表!$E$3:$E$1025,0)))</f>
        <v>校三等</v>
      </c>
      <c r="Q91" s="5" t="str">
        <f>IF(INDEX(学年度总表!$Q$3:$Q$1025,MATCH($E91,学年度总表!$E$3:$E$1025,0))="","",INDEX(学年度总表!$Q$3:$Q$1025,MATCH($E91,学年度总表!$E$3:$E$1025,0)))</f>
        <v/>
      </c>
    </row>
    <row r="92" spans="1:17">
      <c r="A92" s="2">
        <f>IF(INDEX(学年度总表!$A$3:$A$1025,MATCH($E92,学年度总表!$E$3:$E$1025,0))="","",INDEX(学年度总表!$A$3:$A$1025,MATCH($E92,学年度总表!$E$3:$E$1025,0)))</f>
        <v>319</v>
      </c>
      <c r="B92" s="2">
        <f>IF(INDEX(学年度总表!$B$3:$B$1025,MATCH($E92,学年度总表!$E$3:$E$1025,0))="","",INDEX(学年度总表!$B$3:$B$1025,MATCH($E92,学年度总表!$E$3:$E$1025,0)))</f>
        <v>90</v>
      </c>
      <c r="C92" s="2" t="str">
        <f>IF(INDEX(学年度总表!$C$3:$C$1025,MATCH($E92,学年度总表!$E$3:$E$1025,0))="","",INDEX(学年度总表!$C$3:$C$1025,MATCH($E92,学年度总表!$E$3:$E$1025,0)))</f>
        <v>信管</v>
      </c>
      <c r="D92" s="2" t="str">
        <f>IF(INDEX(学年度总表!$D$3:$D$1025,MATCH($E92,学年度总表!$E$3:$E$1025,0))="","",INDEX(学年度总表!$D$3:$D$1025,MATCH($E92,学年度总表!$E$3:$E$1025,0)))</f>
        <v>信管20班</v>
      </c>
      <c r="E92" s="2" t="s">
        <v>698</v>
      </c>
      <c r="F92" s="2" t="str">
        <f>IF(INDEX(学年度总表!$F$3:$F$1025,MATCH($E92,学年度总表!$E$3:$E$1025,0))="","",INDEX(学年度总表!$F$3:$F$1025,MATCH($E92,学年度总表!$E$3:$E$1025,0)))</f>
        <v>刘畅</v>
      </c>
      <c r="G92" s="3">
        <f>IF(INDEX(学年度总表!$G$3:$G$1025,MATCH($E92,学年度总表!$E$3:$E$1025,0))="","",INDEX(学年度总表!$G$3:$G$1025,MATCH($E92,学年度总表!$E$3:$E$1025,0)))</f>
        <v>10.8</v>
      </c>
      <c r="H92" s="3">
        <f>IF(INDEX(学年度总表!$H$3:$H$1025,MATCH($E92,学年度总表!$E$3:$E$1025,0))="","",INDEX(学年度总表!$H$3:$H$1025,MATCH($E92,学年度总表!$E$3:$E$1025,0)))</f>
        <v>60.02</v>
      </c>
      <c r="I92" s="3">
        <f>IF(INDEX(学年度总表!$I$3:$I$1025,MATCH($E92,学年度总表!$E$3:$E$1025,0))="","",INDEX(学年度总表!$I$3:$I$1025,MATCH($E92,学年度总表!$E$3:$E$1025,0)))</f>
        <v>5.4</v>
      </c>
      <c r="J92" s="3">
        <f>IF(INDEX(学年度总表!$J$3:$J$1025,MATCH($E92,学年度总表!$E$3:$E$1025,0))="","",INDEX(学年度总表!$J$3:$J$1025,MATCH($E92,学年度总表!$E$3:$E$1025,0)))</f>
        <v>76.22</v>
      </c>
      <c r="K92" s="3">
        <f>IF(INDEX(学年度总表!$K$3:$K$1025,MATCH($E92,学年度总表!$E$3:$E$1025,0))="","",INDEX(学年度总表!$K$3:$K$1025,MATCH($E92,学年度总表!$E$3:$E$1025,0)))</f>
        <v>9.8000000000000007</v>
      </c>
      <c r="L92" s="3">
        <f>IF(INDEX(学年度总表!$L$3:$L$1025,MATCH($E92,学年度总表!$E$3:$E$1025,0))="","",INDEX(学年度总表!$L$3:$L$1025,MATCH($E92,学年度总表!$E$3:$E$1025,0)))</f>
        <v>53.86</v>
      </c>
      <c r="M92" s="3">
        <f>IF(INDEX(学年度总表!$M$3:$M$1025,MATCH($E92,学年度总表!$E$3:$E$1025,0))="","",INDEX(学年度总表!$M$3:$M$1025,MATCH($E92,学年度总表!$E$3:$E$1025,0)))</f>
        <v>6.9</v>
      </c>
      <c r="N92" s="3">
        <f>IF(INDEX(学年度总表!$N$3:$N$1025,MATCH($E92,学年度总表!$E$3:$E$1025,0))="","",INDEX(学年度总表!$N$3:$N$1025,MATCH($E92,学年度总表!$E$3:$E$1025,0)))</f>
        <v>70.56</v>
      </c>
      <c r="O92" s="3">
        <f>IF(INDEX(学年度总表!$O$3:$O$1025,MATCH($E92,学年度总表!$E$3:$E$1025,0))="","",INDEX(学年度总表!$O$3:$O$1025,MATCH($E92,学年度总表!$E$3:$E$1025,0)))</f>
        <v>146.78</v>
      </c>
      <c r="P92" s="2" t="str">
        <f>IF(INDEX(学年度总表!$P$3:$P$1025,MATCH($E92,学年度总表!$E$3:$E$1025,0))="","",INDEX(学年度总表!$P$3:$P$1025,MATCH($E92,学年度总表!$E$3:$E$1025,0)))</f>
        <v/>
      </c>
      <c r="Q92" s="5" t="str">
        <f>IF(INDEX(学年度总表!$Q$3:$Q$1025,MATCH($E92,学年度总表!$E$3:$E$1025,0))="","",INDEX(学年度总表!$Q$3:$Q$1025,MATCH($E92,学年度总表!$E$3:$E$1025,0)))</f>
        <v/>
      </c>
    </row>
    <row r="93" spans="1:17">
      <c r="A93" s="2">
        <f>IF(INDEX(学年度总表!$A$3:$A$1025,MATCH($E93,学年度总表!$E$3:$E$1025,0))="","",INDEX(学年度总表!$A$3:$A$1025,MATCH($E93,学年度总表!$E$3:$E$1025,0)))</f>
        <v>322</v>
      </c>
      <c r="B93" s="2">
        <f>IF(INDEX(学年度总表!$B$3:$B$1025,MATCH($E93,学年度总表!$E$3:$E$1025,0))="","",INDEX(学年度总表!$B$3:$B$1025,MATCH($E93,学年度总表!$E$3:$E$1025,0)))</f>
        <v>91</v>
      </c>
      <c r="C93" s="2" t="str">
        <f>IF(INDEX(学年度总表!$C$3:$C$1025,MATCH($E93,学年度总表!$E$3:$E$1025,0))="","",INDEX(学年度总表!$C$3:$C$1025,MATCH($E93,学年度总表!$E$3:$E$1025,0)))</f>
        <v>信管</v>
      </c>
      <c r="D93" s="2" t="str">
        <f>IF(INDEX(学年度总表!$D$3:$D$1025,MATCH($E93,学年度总表!$E$3:$E$1025,0))="","",INDEX(学年度总表!$D$3:$D$1025,MATCH($E93,学年度总表!$E$3:$E$1025,0)))</f>
        <v>信管25班</v>
      </c>
      <c r="E93" s="2" t="s">
        <v>704</v>
      </c>
      <c r="F93" s="2" t="str">
        <f>IF(INDEX(学年度总表!$F$3:$F$1025,MATCH($E93,学年度总表!$E$3:$E$1025,0))="","",INDEX(学年度总表!$F$3:$F$1025,MATCH($E93,学年度总表!$E$3:$E$1025,0)))</f>
        <v>国嘉仪</v>
      </c>
      <c r="G93" s="3">
        <f>IF(INDEX(学年度总表!$G$3:$G$1025,MATCH($E93,学年度总表!$E$3:$E$1025,0))="","",INDEX(学年度总表!$G$3:$G$1025,MATCH($E93,学年度总表!$E$3:$E$1025,0)))</f>
        <v>10</v>
      </c>
      <c r="H93" s="3">
        <f>IF(INDEX(学年度总表!$H$3:$H$1025,MATCH($E93,学年度总表!$E$3:$E$1025,0))="","",INDEX(学年度总表!$H$3:$H$1025,MATCH($E93,学年度总表!$E$3:$E$1025,0)))</f>
        <v>61.53</v>
      </c>
      <c r="I93" s="3">
        <f>IF(INDEX(学年度总表!$I$3:$I$1025,MATCH($E93,学年度总表!$E$3:$E$1025,0))="","",INDEX(学年度总表!$I$3:$I$1025,MATCH($E93,学年度总表!$E$3:$E$1025,0)))</f>
        <v>4.3499999999999996</v>
      </c>
      <c r="J93" s="3">
        <f>IF(INDEX(学年度总表!$J$3:$J$1025,MATCH($E93,学年度总表!$E$3:$E$1025,0))="","",INDEX(学年度总表!$J$3:$J$1025,MATCH($E93,学年度总表!$E$3:$E$1025,0)))</f>
        <v>75.88</v>
      </c>
      <c r="K93" s="3">
        <f>IF(INDEX(学年度总表!$K$3:$K$1025,MATCH($E93,学年度总表!$E$3:$E$1025,0))="","",INDEX(学年度总表!$K$3:$K$1025,MATCH($E93,学年度总表!$E$3:$E$1025,0)))</f>
        <v>10</v>
      </c>
      <c r="L93" s="3">
        <f>IF(INDEX(学年度总表!$L$3:$L$1025,MATCH($E93,学年度总表!$E$3:$E$1025,0))="","",INDEX(学年度总表!$L$3:$L$1025,MATCH($E93,学年度总表!$E$3:$E$1025,0)))</f>
        <v>56.92</v>
      </c>
      <c r="M93" s="3">
        <f>IF(INDEX(学年度总表!$M$3:$M$1025,MATCH($E93,学年度总表!$E$3:$E$1025,0))="","",INDEX(学年度总表!$M$3:$M$1025,MATCH($E93,学年度总表!$E$3:$E$1025,0)))</f>
        <v>3.7</v>
      </c>
      <c r="N93" s="3">
        <f>IF(INDEX(学年度总表!$N$3:$N$1025,MATCH($E93,学年度总表!$E$3:$E$1025,0))="","",INDEX(学年度总表!$N$3:$N$1025,MATCH($E93,学年度总表!$E$3:$E$1025,0)))</f>
        <v>70.62</v>
      </c>
      <c r="O93" s="3">
        <f>IF(INDEX(学年度总表!$O$3:$O$1025,MATCH($E93,学年度总表!$E$3:$E$1025,0))="","",INDEX(学年度总表!$O$3:$O$1025,MATCH($E93,学年度总表!$E$3:$E$1025,0)))</f>
        <v>146.5</v>
      </c>
      <c r="P93" s="2" t="str">
        <f>IF(INDEX(学年度总表!$P$3:$P$1025,MATCH($E93,学年度总表!$E$3:$E$1025,0))="","",INDEX(学年度总表!$P$3:$P$1025,MATCH($E93,学年度总表!$E$3:$E$1025,0)))</f>
        <v/>
      </c>
      <c r="Q93" s="5" t="str">
        <f>IF(INDEX(学年度总表!$Q$3:$Q$1025,MATCH($E93,学年度总表!$E$3:$E$1025,0))="","",INDEX(学年度总表!$Q$3:$Q$1025,MATCH($E93,学年度总表!$E$3:$E$1025,0)))</f>
        <v/>
      </c>
    </row>
    <row r="94" spans="1:17">
      <c r="A94" s="2">
        <f>IF(INDEX(学年度总表!$A$3:$A$1025,MATCH($E94,学年度总表!$E$3:$E$1025,0))="","",INDEX(学年度总表!$A$3:$A$1025,MATCH($E94,学年度总表!$E$3:$E$1025,0)))</f>
        <v>326</v>
      </c>
      <c r="B94" s="2">
        <f>IF(INDEX(学年度总表!$B$3:$B$1025,MATCH($E94,学年度总表!$E$3:$E$1025,0))="","",INDEX(学年度总表!$B$3:$B$1025,MATCH($E94,学年度总表!$E$3:$E$1025,0)))</f>
        <v>92</v>
      </c>
      <c r="C94" s="2" t="str">
        <f>IF(INDEX(学年度总表!$C$3:$C$1025,MATCH($E94,学年度总表!$E$3:$E$1025,0))="","",INDEX(学年度总表!$C$3:$C$1025,MATCH($E94,学年度总表!$E$3:$E$1025,0)))</f>
        <v>信管</v>
      </c>
      <c r="D94" s="2" t="str">
        <f>IF(INDEX(学年度总表!$D$3:$D$1025,MATCH($E94,学年度总表!$E$3:$E$1025,0))="","",INDEX(学年度总表!$D$3:$D$1025,MATCH($E94,学年度总表!$E$3:$E$1025,0)))</f>
        <v>信管28班</v>
      </c>
      <c r="E94" s="2" t="s">
        <v>712</v>
      </c>
      <c r="F94" s="2" t="str">
        <f>IF(INDEX(学年度总表!$F$3:$F$1025,MATCH($E94,学年度总表!$E$3:$E$1025,0))="","",INDEX(学年度总表!$F$3:$F$1025,MATCH($E94,学年度总表!$E$3:$E$1025,0)))</f>
        <v>杨熙美</v>
      </c>
      <c r="G94" s="3">
        <f>IF(INDEX(学年度总表!$G$3:$G$1025,MATCH($E94,学年度总表!$E$3:$E$1025,0))="","",INDEX(学年度总表!$G$3:$G$1025,MATCH($E94,学年度总表!$E$3:$E$1025,0)))</f>
        <v>9.8000000000000007</v>
      </c>
      <c r="H94" s="3">
        <f>IF(INDEX(学年度总表!$H$3:$H$1025,MATCH($E94,学年度总表!$E$3:$E$1025,0))="","",INDEX(学年度总表!$H$3:$H$1025,MATCH($E94,学年度总表!$E$3:$E$1025,0)))</f>
        <v>64.239999999999995</v>
      </c>
      <c r="I94" s="3">
        <f>IF(INDEX(学年度总表!$I$3:$I$1025,MATCH($E94,学年度总表!$E$3:$E$1025,0))="","",INDEX(学年度总表!$I$3:$I$1025,MATCH($E94,学年度总表!$E$3:$E$1025,0)))</f>
        <v>4.2</v>
      </c>
      <c r="J94" s="3">
        <f>IF(INDEX(学年度总表!$J$3:$J$1025,MATCH($E94,学年度总表!$E$3:$E$1025,0))="","",INDEX(学年度总表!$J$3:$J$1025,MATCH($E94,学年度总表!$E$3:$E$1025,0)))</f>
        <v>78.239999999999995</v>
      </c>
      <c r="K94" s="3">
        <f>IF(INDEX(学年度总表!$K$3:$K$1025,MATCH($E94,学年度总表!$E$3:$E$1025,0))="","",INDEX(学年度总表!$K$3:$K$1025,MATCH($E94,学年度总表!$E$3:$E$1025,0)))</f>
        <v>7.3000000000000007</v>
      </c>
      <c r="L94" s="3">
        <f>IF(INDEX(学年度总表!$L$3:$L$1025,MATCH($E94,学年度总表!$E$3:$E$1025,0))="","",INDEX(学年度总表!$L$3:$L$1025,MATCH($E94,学年度总表!$E$3:$E$1025,0)))</f>
        <v>55.65</v>
      </c>
      <c r="M94" s="3">
        <f>IF(INDEX(学年度总表!$M$3:$M$1025,MATCH($E94,学年度总表!$E$3:$E$1025,0))="","",INDEX(学年度总表!$M$3:$M$1025,MATCH($E94,学年度总表!$E$3:$E$1025,0)))</f>
        <v>5.0999999999999996</v>
      </c>
      <c r="N94" s="3">
        <f>IF(INDEX(学年度总表!$N$3:$N$1025,MATCH($E94,学年度总表!$E$3:$E$1025,0))="","",INDEX(学年度总表!$N$3:$N$1025,MATCH($E94,学年度总表!$E$3:$E$1025,0)))</f>
        <v>68.05</v>
      </c>
      <c r="O94" s="3">
        <f>IF(INDEX(学年度总表!$O$3:$O$1025,MATCH($E94,学年度总表!$E$3:$E$1025,0))="","",INDEX(学年度总表!$O$3:$O$1025,MATCH($E94,学年度总表!$E$3:$E$1025,0)))</f>
        <v>146.29</v>
      </c>
      <c r="P94" s="2" t="str">
        <f>IF(INDEX(学年度总表!$P$3:$P$1025,MATCH($E94,学年度总表!$E$3:$E$1025,0))="","",INDEX(学年度总表!$P$3:$P$1025,MATCH($E94,学年度总表!$E$3:$E$1025,0)))</f>
        <v/>
      </c>
      <c r="Q94" s="5" t="str">
        <f>IF(INDEX(学年度总表!$Q$3:$Q$1025,MATCH($E94,学年度总表!$E$3:$E$1025,0))="","",INDEX(学年度总表!$Q$3:$Q$1025,MATCH($E94,学年度总表!$E$3:$E$1025,0)))</f>
        <v/>
      </c>
    </row>
    <row r="95" spans="1:17">
      <c r="A95" s="2">
        <f>IF(INDEX(学年度总表!$A$3:$A$1025,MATCH($E95,学年度总表!$E$3:$E$1025,0))="","",INDEX(学年度总表!$A$3:$A$1025,MATCH($E95,学年度总表!$E$3:$E$1025,0)))</f>
        <v>335</v>
      </c>
      <c r="B95" s="2">
        <f>IF(INDEX(学年度总表!$B$3:$B$1025,MATCH($E95,学年度总表!$E$3:$E$1025,0))="","",INDEX(学年度总表!$B$3:$B$1025,MATCH($E95,学年度总表!$E$3:$E$1025,0)))</f>
        <v>93</v>
      </c>
      <c r="C95" s="2" t="str">
        <f>IF(INDEX(学年度总表!$C$3:$C$1025,MATCH($E95,学年度总表!$E$3:$E$1025,0))="","",INDEX(学年度总表!$C$3:$C$1025,MATCH($E95,学年度总表!$E$3:$E$1025,0)))</f>
        <v>信管</v>
      </c>
      <c r="D95" s="2" t="str">
        <f>IF(INDEX(学年度总表!$D$3:$D$1025,MATCH($E95,学年度总表!$E$3:$E$1025,0))="","",INDEX(学年度总表!$D$3:$D$1025,MATCH($E95,学年度总表!$E$3:$E$1025,0)))</f>
        <v>信管23班</v>
      </c>
      <c r="E95" s="2" t="s">
        <v>730</v>
      </c>
      <c r="F95" s="2" t="str">
        <f>IF(INDEX(学年度总表!$F$3:$F$1025,MATCH($E95,学年度总表!$E$3:$E$1025,0))="","",INDEX(学年度总表!$F$3:$F$1025,MATCH($E95,学年度总表!$E$3:$E$1025,0)))</f>
        <v>葛子嫣</v>
      </c>
      <c r="G95" s="3">
        <f>IF(INDEX(学年度总表!$G$3:$G$1025,MATCH($E95,学年度总表!$E$3:$E$1025,0))="","",INDEX(学年度总表!$G$3:$G$1025,MATCH($E95,学年度总表!$E$3:$E$1025,0)))</f>
        <v>9.8000000000000007</v>
      </c>
      <c r="H95" s="3">
        <f>IF(INDEX(学年度总表!$H$3:$H$1025,MATCH($E95,学年度总表!$E$3:$E$1025,0))="","",INDEX(学年度总表!$H$3:$H$1025,MATCH($E95,学年度总表!$E$3:$E$1025,0)))</f>
        <v>61.49</v>
      </c>
      <c r="I95" s="3">
        <f>IF(INDEX(学年度总表!$I$3:$I$1025,MATCH($E95,学年度总表!$E$3:$E$1025,0))="","",INDEX(学年度总表!$I$3:$I$1025,MATCH($E95,学年度总表!$E$3:$E$1025,0)))</f>
        <v>3</v>
      </c>
      <c r="J95" s="3">
        <f>IF(INDEX(学年度总表!$J$3:$J$1025,MATCH($E95,学年度总表!$E$3:$E$1025,0))="","",INDEX(学年度总表!$J$3:$J$1025,MATCH($E95,学年度总表!$E$3:$E$1025,0)))</f>
        <v>74.290000000000006</v>
      </c>
      <c r="K95" s="3">
        <f>IF(INDEX(学年度总表!$K$3:$K$1025,MATCH($E95,学年度总表!$E$3:$E$1025,0))="","",INDEX(学年度总表!$K$3:$K$1025,MATCH($E95,学年度总表!$E$3:$E$1025,0)))</f>
        <v>9.8000000000000007</v>
      </c>
      <c r="L95" s="3">
        <f>IF(INDEX(学年度总表!$L$3:$L$1025,MATCH($E95,学年度总表!$E$3:$E$1025,0))="","",INDEX(学年度总表!$L$3:$L$1025,MATCH($E95,学年度总表!$E$3:$E$1025,0)))</f>
        <v>58.18</v>
      </c>
      <c r="M95" s="3">
        <f>IF(INDEX(学年度总表!$M$3:$M$1025,MATCH($E95,学年度总表!$E$3:$E$1025,0))="","",INDEX(学年度总表!$M$3:$M$1025,MATCH($E95,学年度总表!$E$3:$E$1025,0)))</f>
        <v>3.7</v>
      </c>
      <c r="N95" s="3">
        <f>IF(INDEX(学年度总表!$N$3:$N$1025,MATCH($E95,学年度总表!$E$3:$E$1025,0))="","",INDEX(学年度总表!$N$3:$N$1025,MATCH($E95,学年度总表!$E$3:$E$1025,0)))</f>
        <v>71.680000000000007</v>
      </c>
      <c r="O95" s="3">
        <f>IF(INDEX(学年度总表!$O$3:$O$1025,MATCH($E95,学年度总表!$E$3:$E$1025,0))="","",INDEX(学年度总表!$O$3:$O$1025,MATCH($E95,学年度总表!$E$3:$E$1025,0)))</f>
        <v>145.97</v>
      </c>
      <c r="P95" s="2" t="str">
        <f>IF(INDEX(学年度总表!$P$3:$P$1025,MATCH($E95,学年度总表!$E$3:$E$1025,0))="","",INDEX(学年度总表!$P$3:$P$1025,MATCH($E95,学年度总表!$E$3:$E$1025,0)))</f>
        <v/>
      </c>
      <c r="Q95" s="5" t="str">
        <f>IF(INDEX(学年度总表!$Q$3:$Q$1025,MATCH($E95,学年度总表!$E$3:$E$1025,0))="","",INDEX(学年度总表!$Q$3:$Q$1025,MATCH($E95,学年度总表!$E$3:$E$1025,0)))</f>
        <v/>
      </c>
    </row>
    <row r="96" spans="1:17">
      <c r="A96" s="2">
        <f>IF(INDEX(学年度总表!$A$3:$A$1025,MATCH($E96,学年度总表!$E$3:$E$1025,0))="","",INDEX(学年度总表!$A$3:$A$1025,MATCH($E96,学年度总表!$E$3:$E$1025,0)))</f>
        <v>336</v>
      </c>
      <c r="B96" s="2">
        <f>IF(INDEX(学年度总表!$B$3:$B$1025,MATCH($E96,学年度总表!$E$3:$E$1025,0))="","",INDEX(学年度总表!$B$3:$B$1025,MATCH($E96,学年度总表!$E$3:$E$1025,0)))</f>
        <v>94</v>
      </c>
      <c r="C96" s="2" t="str">
        <f>IF(INDEX(学年度总表!$C$3:$C$1025,MATCH($E96,学年度总表!$E$3:$E$1025,0))="","",INDEX(学年度总表!$C$3:$C$1025,MATCH($E96,学年度总表!$E$3:$E$1025,0)))</f>
        <v>信管</v>
      </c>
      <c r="D96" s="2" t="str">
        <f>IF(INDEX(学年度总表!$D$3:$D$1025,MATCH($E96,学年度总表!$E$3:$E$1025,0))="","",INDEX(学年度总表!$D$3:$D$1025,MATCH($E96,学年度总表!$E$3:$E$1025,0)))</f>
        <v>信管19班</v>
      </c>
      <c r="E96" s="2" t="s">
        <v>732</v>
      </c>
      <c r="F96" s="2" t="str">
        <f>IF(INDEX(学年度总表!$F$3:$F$1025,MATCH($E96,学年度总表!$E$3:$E$1025,0))="","",INDEX(学年度总表!$F$3:$F$1025,MATCH($E96,学年度总表!$E$3:$E$1025,0)))</f>
        <v>路焓杨</v>
      </c>
      <c r="G96" s="3">
        <f>IF(INDEX(学年度总表!$G$3:$G$1025,MATCH($E96,学年度总表!$E$3:$E$1025,0))="","",INDEX(学年度总表!$G$3:$G$1025,MATCH($E96,学年度总表!$E$3:$E$1025,0)))</f>
        <v>13.8</v>
      </c>
      <c r="H96" s="3">
        <f>IF(INDEX(学年度总表!$H$3:$H$1025,MATCH($E96,学年度总表!$E$3:$E$1025,0))="","",INDEX(学年度总表!$H$3:$H$1025,MATCH($E96,学年度总表!$E$3:$E$1025,0)))</f>
        <v>52.46</v>
      </c>
      <c r="I96" s="3">
        <f>IF(INDEX(学年度总表!$I$3:$I$1025,MATCH($E96,学年度总表!$E$3:$E$1025,0))="","",INDEX(学年度总表!$I$3:$I$1025,MATCH($E96,学年度总表!$E$3:$E$1025,0)))</f>
        <v>4.5999999999999996</v>
      </c>
      <c r="J96" s="3">
        <f>IF(INDEX(学年度总表!$J$3:$J$1025,MATCH($E96,学年度总表!$E$3:$E$1025,0))="","",INDEX(学年度总表!$J$3:$J$1025,MATCH($E96,学年度总表!$E$3:$E$1025,0)))</f>
        <v>70.86</v>
      </c>
      <c r="K96" s="3">
        <f>IF(INDEX(学年度总表!$K$3:$K$1025,MATCH($E96,学年度总表!$E$3:$E$1025,0))="","",INDEX(学年度总表!$K$3:$K$1025,MATCH($E96,学年度总表!$E$3:$E$1025,0)))</f>
        <v>11.8</v>
      </c>
      <c r="L96" s="3">
        <f>IF(INDEX(学年度总表!$L$3:$L$1025,MATCH($E96,学年度总表!$E$3:$E$1025,0))="","",INDEX(学年度总表!$L$3:$L$1025,MATCH($E96,学年度总表!$E$3:$E$1025,0)))</f>
        <v>56.99</v>
      </c>
      <c r="M96" s="3">
        <f>IF(INDEX(学年度总表!$M$3:$M$1025,MATCH($E96,学年度总表!$E$3:$E$1025,0))="","",INDEX(学年度总表!$M$3:$M$1025,MATCH($E96,学年度总表!$E$3:$E$1025,0)))</f>
        <v>6.3</v>
      </c>
      <c r="N96" s="3">
        <f>IF(INDEX(学年度总表!$N$3:$N$1025,MATCH($E96,学年度总表!$E$3:$E$1025,0))="","",INDEX(学年度总表!$N$3:$N$1025,MATCH($E96,学年度总表!$E$3:$E$1025,0)))</f>
        <v>75.09</v>
      </c>
      <c r="O96" s="3">
        <f>IF(INDEX(学年度总表!$O$3:$O$1025,MATCH($E96,学年度总表!$E$3:$E$1025,0))="","",INDEX(学年度总表!$O$3:$O$1025,MATCH($E96,学年度总表!$E$3:$E$1025,0)))</f>
        <v>145.94999999999999</v>
      </c>
      <c r="P96" s="2" t="str">
        <f>IF(INDEX(学年度总表!$P$3:$P$1025,MATCH($E96,学年度总表!$E$3:$E$1025,0))="","",INDEX(学年度总表!$P$3:$P$1025,MATCH($E96,学年度总表!$E$3:$E$1025,0)))</f>
        <v/>
      </c>
      <c r="Q96" s="5" t="str">
        <f>IF(INDEX(学年度总表!$Q$3:$Q$1025,MATCH($E96,学年度总表!$E$3:$E$1025,0))="","",INDEX(学年度总表!$Q$3:$Q$1025,MATCH($E96,学年度总表!$E$3:$E$1025,0)))</f>
        <v/>
      </c>
    </row>
    <row r="97" spans="1:17">
      <c r="A97" s="2">
        <f>IF(INDEX(学年度总表!$A$3:$A$1025,MATCH($E97,学年度总表!$E$3:$E$1025,0))="","",INDEX(学年度总表!$A$3:$A$1025,MATCH($E97,学年度总表!$E$3:$E$1025,0)))</f>
        <v>337</v>
      </c>
      <c r="B97" s="2">
        <f>IF(INDEX(学年度总表!$B$3:$B$1025,MATCH($E97,学年度总表!$E$3:$E$1025,0))="","",INDEX(学年度总表!$B$3:$B$1025,MATCH($E97,学年度总表!$E$3:$E$1025,0)))</f>
        <v>95</v>
      </c>
      <c r="C97" s="2" t="str">
        <f>IF(INDEX(学年度总表!$C$3:$C$1025,MATCH($E97,学年度总表!$E$3:$E$1025,0))="","",INDEX(学年度总表!$C$3:$C$1025,MATCH($E97,学年度总表!$E$3:$E$1025,0)))</f>
        <v>信管</v>
      </c>
      <c r="D97" s="2" t="str">
        <f>IF(INDEX(学年度总表!$D$3:$D$1025,MATCH($E97,学年度总表!$E$3:$E$1025,0))="","",INDEX(学年度总表!$D$3:$D$1025,MATCH($E97,学年度总表!$E$3:$E$1025,0)))</f>
        <v>信管22班</v>
      </c>
      <c r="E97" s="2" t="s">
        <v>734</v>
      </c>
      <c r="F97" s="2" t="str">
        <f>IF(INDEX(学年度总表!$F$3:$F$1025,MATCH($E97,学年度总表!$E$3:$E$1025,0))="","",INDEX(学年度总表!$F$3:$F$1025,MATCH($E97,学年度总表!$E$3:$E$1025,0)))</f>
        <v>王夕丹</v>
      </c>
      <c r="G97" s="3">
        <f>IF(INDEX(学年度总表!$G$3:$G$1025,MATCH($E97,学年度总表!$E$3:$E$1025,0))="","",INDEX(学年度总表!$G$3:$G$1025,MATCH($E97,学年度总表!$E$3:$E$1025,0)))</f>
        <v>9.8000000000000007</v>
      </c>
      <c r="H97" s="3">
        <f>IF(INDEX(学年度总表!$H$3:$H$1025,MATCH($E97,学年度总表!$E$3:$E$1025,0))="","",INDEX(学年度总表!$H$3:$H$1025,MATCH($E97,学年度总表!$E$3:$E$1025,0)))</f>
        <v>61.34</v>
      </c>
      <c r="I97" s="3">
        <f>IF(INDEX(学年度总表!$I$3:$I$1025,MATCH($E97,学年度总表!$E$3:$E$1025,0))="","",INDEX(学年度总表!$I$3:$I$1025,MATCH($E97,学年度总表!$E$3:$E$1025,0)))</f>
        <v>4.2</v>
      </c>
      <c r="J97" s="3">
        <f>IF(INDEX(学年度总表!$J$3:$J$1025,MATCH($E97,学年度总表!$E$3:$E$1025,0))="","",INDEX(学年度总表!$J$3:$J$1025,MATCH($E97,学年度总表!$E$3:$E$1025,0)))</f>
        <v>75.34</v>
      </c>
      <c r="K97" s="3">
        <f>IF(INDEX(学年度总表!$K$3:$K$1025,MATCH($E97,学年度总表!$E$3:$E$1025,0))="","",INDEX(学年度总表!$K$3:$K$1025,MATCH($E97,学年度总表!$E$3:$E$1025,0)))</f>
        <v>9.8000000000000007</v>
      </c>
      <c r="L97" s="3">
        <f>IF(INDEX(学年度总表!$L$3:$L$1025,MATCH($E97,学年度总表!$E$3:$E$1025,0))="","",INDEX(学年度总表!$L$3:$L$1025,MATCH($E97,学年度总表!$E$3:$E$1025,0)))</f>
        <v>56.27</v>
      </c>
      <c r="M97" s="3">
        <f>IF(INDEX(学年度总表!$M$3:$M$1025,MATCH($E97,学年度总表!$E$3:$E$1025,0))="","",INDEX(学年度总表!$M$3:$M$1025,MATCH($E97,学年度总表!$E$3:$E$1025,0)))</f>
        <v>4.5</v>
      </c>
      <c r="N97" s="3">
        <f>IF(INDEX(学年度总表!$N$3:$N$1025,MATCH($E97,学年度总表!$E$3:$E$1025,0))="","",INDEX(学年度总表!$N$3:$N$1025,MATCH($E97,学年度总表!$E$3:$E$1025,0)))</f>
        <v>70.569999999999993</v>
      </c>
      <c r="O97" s="3">
        <f>IF(INDEX(学年度总表!$O$3:$O$1025,MATCH($E97,学年度总表!$E$3:$E$1025,0))="","",INDEX(学年度总表!$O$3:$O$1025,MATCH($E97,学年度总表!$E$3:$E$1025,0)))</f>
        <v>145.91</v>
      </c>
      <c r="P97" s="2" t="str">
        <f>IF(INDEX(学年度总表!$P$3:$P$1025,MATCH($E97,学年度总表!$E$3:$E$1025,0))="","",INDEX(学年度总表!$P$3:$P$1025,MATCH($E97,学年度总表!$E$3:$E$1025,0)))</f>
        <v/>
      </c>
      <c r="Q97" s="5" t="str">
        <f>IF(INDEX(学年度总表!$Q$3:$Q$1025,MATCH($E97,学年度总表!$E$3:$E$1025,0))="","",INDEX(学年度总表!$Q$3:$Q$1025,MATCH($E97,学年度总表!$E$3:$E$1025,0)))</f>
        <v/>
      </c>
    </row>
    <row r="98" spans="1:17">
      <c r="A98" s="2">
        <f>IF(INDEX(学年度总表!$A$3:$A$1025,MATCH($E98,学年度总表!$E$3:$E$1025,0))="","",INDEX(学年度总表!$A$3:$A$1025,MATCH($E98,学年度总表!$E$3:$E$1025,0)))</f>
        <v>340</v>
      </c>
      <c r="B98" s="2">
        <f>IF(INDEX(学年度总表!$B$3:$B$1025,MATCH($E98,学年度总表!$E$3:$E$1025,0))="","",INDEX(学年度总表!$B$3:$B$1025,MATCH($E98,学年度总表!$E$3:$E$1025,0)))</f>
        <v>96</v>
      </c>
      <c r="C98" s="2" t="str">
        <f>IF(INDEX(学年度总表!$C$3:$C$1025,MATCH($E98,学年度总表!$E$3:$E$1025,0))="","",INDEX(学年度总表!$C$3:$C$1025,MATCH($E98,学年度总表!$E$3:$E$1025,0)))</f>
        <v>信管</v>
      </c>
      <c r="D98" s="2" t="str">
        <f>IF(INDEX(学年度总表!$D$3:$D$1025,MATCH($E98,学年度总表!$E$3:$E$1025,0))="","",INDEX(学年度总表!$D$3:$D$1025,MATCH($E98,学年度总表!$E$3:$E$1025,0)))</f>
        <v>信管25班</v>
      </c>
      <c r="E98" s="2" t="s">
        <v>740</v>
      </c>
      <c r="F98" s="2" t="str">
        <f>IF(INDEX(学年度总表!$F$3:$F$1025,MATCH($E98,学年度总表!$E$3:$E$1025,0))="","",INDEX(学年度总表!$F$3:$F$1025,MATCH($E98,学年度总表!$E$3:$E$1025,0)))</f>
        <v>王淇</v>
      </c>
      <c r="G98" s="3">
        <f>IF(INDEX(学年度总表!$G$3:$G$1025,MATCH($E98,学年度总表!$E$3:$E$1025,0))="","",INDEX(学年度总表!$G$3:$G$1025,MATCH($E98,学年度总表!$E$3:$E$1025,0)))</f>
        <v>9.4</v>
      </c>
      <c r="H98" s="3">
        <f>IF(INDEX(学年度总表!$H$3:$H$1025,MATCH($E98,学年度总表!$E$3:$E$1025,0))="","",INDEX(学年度总表!$H$3:$H$1025,MATCH($E98,学年度总表!$E$3:$E$1025,0)))</f>
        <v>63.61</v>
      </c>
      <c r="I98" s="3">
        <f>IF(INDEX(学年度总表!$I$3:$I$1025,MATCH($E98,学年度总表!$E$3:$E$1025,0))="","",INDEX(学年度总表!$I$3:$I$1025,MATCH($E98,学年度总表!$E$3:$E$1025,0)))</f>
        <v>3</v>
      </c>
      <c r="J98" s="3">
        <f>IF(INDEX(学年度总表!$J$3:$J$1025,MATCH($E98,学年度总表!$E$3:$E$1025,0))="","",INDEX(学年度总表!$J$3:$J$1025,MATCH($E98,学年度总表!$E$3:$E$1025,0)))</f>
        <v>76.010000000000005</v>
      </c>
      <c r="K98" s="3">
        <f>IF(INDEX(学年度总表!$K$3:$K$1025,MATCH($E98,学年度总表!$E$3:$E$1025,0))="","",INDEX(学年度总表!$K$3:$K$1025,MATCH($E98,学年度总表!$E$3:$E$1025,0)))</f>
        <v>7.3000000000000007</v>
      </c>
      <c r="L98" s="3">
        <f>IF(INDEX(学年度总表!$L$3:$L$1025,MATCH($E98,学年度总表!$E$3:$E$1025,0))="","",INDEX(学年度总表!$L$3:$L$1025,MATCH($E98,学年度总表!$E$3:$E$1025,0)))</f>
        <v>59.18</v>
      </c>
      <c r="M98" s="3">
        <f>IF(INDEX(学年度总表!$M$3:$M$1025,MATCH($E98,学年度总表!$E$3:$E$1025,0))="","",INDEX(学年度总表!$M$3:$M$1025,MATCH($E98,学年度总表!$E$3:$E$1025,0)))</f>
        <v>3</v>
      </c>
      <c r="N98" s="3">
        <f>IF(INDEX(学年度总表!$N$3:$N$1025,MATCH($E98,学年度总表!$E$3:$E$1025,0))="","",INDEX(学年度总表!$N$3:$N$1025,MATCH($E98,学年度总表!$E$3:$E$1025,0)))</f>
        <v>69.48</v>
      </c>
      <c r="O98" s="3">
        <f>IF(INDEX(学年度总表!$O$3:$O$1025,MATCH($E98,学年度总表!$E$3:$E$1025,0))="","",INDEX(学年度总表!$O$3:$O$1025,MATCH($E98,学年度总表!$E$3:$E$1025,0)))</f>
        <v>145.49</v>
      </c>
      <c r="P98" s="2" t="str">
        <f>IF(INDEX(学年度总表!$P$3:$P$1025,MATCH($E98,学年度总表!$E$3:$E$1025,0))="","",INDEX(学年度总表!$P$3:$P$1025,MATCH($E98,学年度总表!$E$3:$E$1025,0)))</f>
        <v/>
      </c>
      <c r="Q98" s="5" t="str">
        <f>IF(INDEX(学年度总表!$Q$3:$Q$1025,MATCH($E98,学年度总表!$E$3:$E$1025,0))="","",INDEX(学年度总表!$Q$3:$Q$1025,MATCH($E98,学年度总表!$E$3:$E$1025,0)))</f>
        <v/>
      </c>
    </row>
    <row r="99" spans="1:17">
      <c r="A99" s="2">
        <f>IF(INDEX(学年度总表!$A$3:$A$1025,MATCH($E99,学年度总表!$E$3:$E$1025,0))="","",INDEX(学年度总表!$A$3:$A$1025,MATCH($E99,学年度总表!$E$3:$E$1025,0)))</f>
        <v>344</v>
      </c>
      <c r="B99" s="2">
        <f>IF(INDEX(学年度总表!$B$3:$B$1025,MATCH($E99,学年度总表!$E$3:$E$1025,0))="","",INDEX(学年度总表!$B$3:$B$1025,MATCH($E99,学年度总表!$E$3:$E$1025,0)))</f>
        <v>97</v>
      </c>
      <c r="C99" s="2" t="str">
        <f>IF(INDEX(学年度总表!$C$3:$C$1025,MATCH($E99,学年度总表!$E$3:$E$1025,0))="","",INDEX(学年度总表!$C$3:$C$1025,MATCH($E99,学年度总表!$E$3:$E$1025,0)))</f>
        <v>信管</v>
      </c>
      <c r="D99" s="2" t="str">
        <f>IF(INDEX(学年度总表!$D$3:$D$1025,MATCH($E99,学年度总表!$E$3:$E$1025,0))="","",INDEX(学年度总表!$D$3:$D$1025,MATCH($E99,学年度总表!$E$3:$E$1025,0)))</f>
        <v>信管24班</v>
      </c>
      <c r="E99" s="2" t="s">
        <v>748</v>
      </c>
      <c r="F99" s="2" t="str">
        <f>IF(INDEX(学年度总表!$F$3:$F$1025,MATCH($E99,学年度总表!$E$3:$E$1025,0))="","",INDEX(学年度总表!$F$3:$F$1025,MATCH($E99,学年度总表!$E$3:$E$1025,0)))</f>
        <v>郑羽鑫</v>
      </c>
      <c r="G99" s="3">
        <f>IF(INDEX(学年度总表!$G$3:$G$1025,MATCH($E99,学年度总表!$E$3:$E$1025,0))="","",INDEX(学年度总表!$G$3:$G$1025,MATCH($E99,学年度总表!$E$3:$E$1025,0)))</f>
        <v>12</v>
      </c>
      <c r="H99" s="3">
        <f>IF(INDEX(学年度总表!$H$3:$H$1025,MATCH($E99,学年度总表!$E$3:$E$1025,0))="","",INDEX(学年度总表!$H$3:$H$1025,MATCH($E99,学年度总表!$E$3:$E$1025,0)))</f>
        <v>59.14</v>
      </c>
      <c r="I99" s="3">
        <f>IF(INDEX(学年度总表!$I$3:$I$1025,MATCH($E99,学年度总表!$E$3:$E$1025,0))="","",INDEX(学年度总表!$I$3:$I$1025,MATCH($E99,学年度总表!$E$3:$E$1025,0)))</f>
        <v>3</v>
      </c>
      <c r="J99" s="3">
        <f>IF(INDEX(学年度总表!$J$3:$J$1025,MATCH($E99,学年度总表!$E$3:$E$1025,0))="","",INDEX(学年度总表!$J$3:$J$1025,MATCH($E99,学年度总表!$E$3:$E$1025,0)))</f>
        <v>74.14</v>
      </c>
      <c r="K99" s="3">
        <f>IF(INDEX(学年度总表!$K$3:$K$1025,MATCH($E99,学年度总表!$E$3:$E$1025,0))="","",INDEX(学年度总表!$K$3:$K$1025,MATCH($E99,学年度总表!$E$3:$E$1025,0)))</f>
        <v>9.3000000000000007</v>
      </c>
      <c r="L99" s="3">
        <f>IF(INDEX(学年度总表!$L$3:$L$1025,MATCH($E99,学年度总表!$E$3:$E$1025,0))="","",INDEX(学年度总表!$L$3:$L$1025,MATCH($E99,学年度总表!$E$3:$E$1025,0)))</f>
        <v>58.16</v>
      </c>
      <c r="M99" s="3">
        <f>IF(INDEX(学年度总表!$M$3:$M$1025,MATCH($E99,学年度总表!$E$3:$E$1025,0))="","",INDEX(学年度总表!$M$3:$M$1025,MATCH($E99,学年度总表!$E$3:$E$1025,0)))</f>
        <v>3.8</v>
      </c>
      <c r="N99" s="3">
        <f>IF(INDEX(学年度总表!$N$3:$N$1025,MATCH($E99,学年度总表!$E$3:$E$1025,0))="","",INDEX(学年度总表!$N$3:$N$1025,MATCH($E99,学年度总表!$E$3:$E$1025,0)))</f>
        <v>71.260000000000005</v>
      </c>
      <c r="O99" s="3">
        <f>IF(INDEX(学年度总表!$O$3:$O$1025,MATCH($E99,学年度总表!$E$3:$E$1025,0))="","",INDEX(学年度总表!$O$3:$O$1025,MATCH($E99,学年度总表!$E$3:$E$1025,0)))</f>
        <v>145.4</v>
      </c>
      <c r="P99" s="2" t="str">
        <f>IF(INDEX(学年度总表!$P$3:$P$1025,MATCH($E99,学年度总表!$E$3:$E$1025,0))="","",INDEX(学年度总表!$P$3:$P$1025,MATCH($E99,学年度总表!$E$3:$E$1025,0)))</f>
        <v/>
      </c>
      <c r="Q99" s="5" t="str">
        <f>IF(INDEX(学年度总表!$Q$3:$Q$1025,MATCH($E99,学年度总表!$E$3:$E$1025,0))="","",INDEX(学年度总表!$Q$3:$Q$1025,MATCH($E99,学年度总表!$E$3:$E$1025,0)))</f>
        <v/>
      </c>
    </row>
    <row r="100" spans="1:17">
      <c r="A100" s="2">
        <f>IF(INDEX(学年度总表!$A$3:$A$1025,MATCH($E100,学年度总表!$E$3:$E$1025,0))="","",INDEX(学年度总表!$A$3:$A$1025,MATCH($E100,学年度总表!$E$3:$E$1025,0)))</f>
        <v>347</v>
      </c>
      <c r="B100" s="2">
        <f>IF(INDEX(学年度总表!$B$3:$B$1025,MATCH($E100,学年度总表!$E$3:$E$1025,0))="","",INDEX(学年度总表!$B$3:$B$1025,MATCH($E100,学年度总表!$E$3:$E$1025,0)))</f>
        <v>98</v>
      </c>
      <c r="C100" s="2" t="str">
        <f>IF(INDEX(学年度总表!$C$3:$C$1025,MATCH($E100,学年度总表!$E$3:$E$1025,0))="","",INDEX(学年度总表!$C$3:$C$1025,MATCH($E100,学年度总表!$E$3:$E$1025,0)))</f>
        <v>信管</v>
      </c>
      <c r="D100" s="2" t="str">
        <f>IF(INDEX(学年度总表!$D$3:$D$1025,MATCH($E100,学年度总表!$E$3:$E$1025,0))="","",INDEX(学年度总表!$D$3:$D$1025,MATCH($E100,学年度总表!$E$3:$E$1025,0)))</f>
        <v>信管22班</v>
      </c>
      <c r="E100" s="2" t="s">
        <v>754</v>
      </c>
      <c r="F100" s="2" t="str">
        <f>IF(INDEX(学年度总表!$F$3:$F$1025,MATCH($E100,学年度总表!$E$3:$E$1025,0))="","",INDEX(学年度总表!$F$3:$F$1025,MATCH($E100,学年度总表!$E$3:$E$1025,0)))</f>
        <v>李欣岩</v>
      </c>
      <c r="G100" s="3">
        <f>IF(INDEX(学年度总表!$G$3:$G$1025,MATCH($E100,学年度总表!$E$3:$E$1025,0))="","",INDEX(学年度总表!$G$3:$G$1025,MATCH($E100,学年度总表!$E$3:$E$1025,0)))</f>
        <v>9.8000000000000007</v>
      </c>
      <c r="H100" s="3">
        <f>IF(INDEX(学年度总表!$H$3:$H$1025,MATCH($E100,学年度总表!$E$3:$E$1025,0))="","",INDEX(学年度总表!$H$3:$H$1025,MATCH($E100,学年度总表!$E$3:$E$1025,0)))</f>
        <v>60.55</v>
      </c>
      <c r="I100" s="3">
        <f>IF(INDEX(学年度总表!$I$3:$I$1025,MATCH($E100,学年度总表!$E$3:$E$1025,0))="","",INDEX(学年度总表!$I$3:$I$1025,MATCH($E100,学年度总表!$E$3:$E$1025,0)))</f>
        <v>3</v>
      </c>
      <c r="J100" s="3">
        <f>IF(INDEX(学年度总表!$J$3:$J$1025,MATCH($E100,学年度总表!$E$3:$E$1025,0))="","",INDEX(学年度总表!$J$3:$J$1025,MATCH($E100,学年度总表!$E$3:$E$1025,0)))</f>
        <v>73.349999999999994</v>
      </c>
      <c r="K100" s="3">
        <f>IF(INDEX(学年度总表!$K$3:$K$1025,MATCH($E100,学年度总表!$E$3:$E$1025,0))="","",INDEX(学年度总表!$K$3:$K$1025,MATCH($E100,学年度总表!$E$3:$E$1025,0)))</f>
        <v>9.8000000000000007</v>
      </c>
      <c r="L100" s="3">
        <f>IF(INDEX(学年度总表!$L$3:$L$1025,MATCH($E100,学年度总表!$E$3:$E$1025,0))="","",INDEX(学年度总表!$L$3:$L$1025,MATCH($E100,学年度总表!$E$3:$E$1025,0)))</f>
        <v>58.6</v>
      </c>
      <c r="M100" s="3">
        <f>IF(INDEX(学年度总表!$M$3:$M$1025,MATCH($E100,学年度总表!$E$3:$E$1025,0))="","",INDEX(学年度总表!$M$3:$M$1025,MATCH($E100,学年度总表!$E$3:$E$1025,0)))</f>
        <v>3.5</v>
      </c>
      <c r="N100" s="3">
        <f>IF(INDEX(学年度总表!$N$3:$N$1025,MATCH($E100,学年度总表!$E$3:$E$1025,0))="","",INDEX(学年度总表!$N$3:$N$1025,MATCH($E100,学年度总表!$E$3:$E$1025,0)))</f>
        <v>71.900000000000006</v>
      </c>
      <c r="O100" s="3">
        <f>IF(INDEX(学年度总表!$O$3:$O$1025,MATCH($E100,学年度总表!$E$3:$E$1025,0))="","",INDEX(学年度总表!$O$3:$O$1025,MATCH($E100,学年度总表!$E$3:$E$1025,0)))</f>
        <v>145.25</v>
      </c>
      <c r="P100" s="2" t="str">
        <f>IF(INDEX(学年度总表!$P$3:$P$1025,MATCH($E100,学年度总表!$E$3:$E$1025,0))="","",INDEX(学年度总表!$P$3:$P$1025,MATCH($E100,学年度总表!$E$3:$E$1025,0)))</f>
        <v/>
      </c>
      <c r="Q100" s="5" t="str">
        <f>IF(INDEX(学年度总表!$Q$3:$Q$1025,MATCH($E100,学年度总表!$E$3:$E$1025,0))="","",INDEX(学年度总表!$Q$3:$Q$1025,MATCH($E100,学年度总表!$E$3:$E$1025,0)))</f>
        <v/>
      </c>
    </row>
    <row r="101" spans="1:17">
      <c r="A101" s="2">
        <f>IF(INDEX(学年度总表!$A$3:$A$1025,MATCH($E101,学年度总表!$E$3:$E$1025,0))="","",INDEX(学年度总表!$A$3:$A$1025,MATCH($E101,学年度总表!$E$3:$E$1025,0)))</f>
        <v>352</v>
      </c>
      <c r="B101" s="2">
        <f>IF(INDEX(学年度总表!$B$3:$B$1025,MATCH($E101,学年度总表!$E$3:$E$1025,0))="","",INDEX(学年度总表!$B$3:$B$1025,MATCH($E101,学年度总表!$E$3:$E$1025,0)))</f>
        <v>99</v>
      </c>
      <c r="C101" s="2" t="str">
        <f>IF(INDEX(学年度总表!$C$3:$C$1025,MATCH($E101,学年度总表!$E$3:$E$1025,0))="","",INDEX(学年度总表!$C$3:$C$1025,MATCH($E101,学年度总表!$E$3:$E$1025,0)))</f>
        <v>信管</v>
      </c>
      <c r="D101" s="2" t="str">
        <f>IF(INDEX(学年度总表!$D$3:$D$1025,MATCH($E101,学年度总表!$E$3:$E$1025,0))="","",INDEX(学年度总表!$D$3:$D$1025,MATCH($E101,学年度总表!$E$3:$E$1025,0)))</f>
        <v>信管28班</v>
      </c>
      <c r="E101" s="2" t="s">
        <v>765</v>
      </c>
      <c r="F101" s="2" t="str">
        <f>IF(INDEX(学年度总表!$F$3:$F$1025,MATCH($E101,学年度总表!$E$3:$E$1025,0))="","",INDEX(学年度总表!$F$3:$F$1025,MATCH($E101,学年度总表!$E$3:$E$1025,0)))</f>
        <v>刘昊函</v>
      </c>
      <c r="G101" s="3">
        <f>IF(INDEX(学年度总表!$G$3:$G$1025,MATCH($E101,学年度总表!$E$3:$E$1025,0))="","",INDEX(学年度总表!$G$3:$G$1025,MATCH($E101,学年度总表!$E$3:$E$1025,0)))</f>
        <v>9.8000000000000007</v>
      </c>
      <c r="H101" s="3">
        <f>IF(INDEX(学年度总表!$H$3:$H$1025,MATCH($E101,学年度总表!$E$3:$E$1025,0))="","",INDEX(学年度总表!$H$3:$H$1025,MATCH($E101,学年度总表!$E$3:$E$1025,0)))</f>
        <v>62.64</v>
      </c>
      <c r="I101" s="3">
        <f>IF(INDEX(学年度总表!$I$3:$I$1025,MATCH($E101,学年度总表!$E$3:$E$1025,0))="","",INDEX(学年度总表!$I$3:$I$1025,MATCH($E101,学年度总表!$E$3:$E$1025,0)))</f>
        <v>3</v>
      </c>
      <c r="J101" s="3">
        <f>IF(INDEX(学年度总表!$J$3:$J$1025,MATCH($E101,学年度总表!$E$3:$E$1025,0))="","",INDEX(学年度总表!$J$3:$J$1025,MATCH($E101,学年度总表!$E$3:$E$1025,0)))</f>
        <v>75.44</v>
      </c>
      <c r="K101" s="3">
        <f>IF(INDEX(学年度总表!$K$3:$K$1025,MATCH($E101,学年度总表!$E$3:$E$1025,0))="","",INDEX(学年度总表!$K$3:$K$1025,MATCH($E101,学年度总表!$E$3:$E$1025,0)))</f>
        <v>7.5</v>
      </c>
      <c r="L101" s="3">
        <f>IF(INDEX(学年度总表!$L$3:$L$1025,MATCH($E101,学年度总表!$E$3:$E$1025,0))="","",INDEX(学年度总表!$L$3:$L$1025,MATCH($E101,学年度总表!$E$3:$E$1025,0)))</f>
        <v>58.65</v>
      </c>
      <c r="M101" s="3">
        <f>IF(INDEX(学年度总表!$M$3:$M$1025,MATCH($E101,学年度总表!$E$3:$E$1025,0))="","",INDEX(学年度总表!$M$3:$M$1025,MATCH($E101,学年度总表!$E$3:$E$1025,0)))</f>
        <v>3.5</v>
      </c>
      <c r="N101" s="3">
        <f>IF(INDEX(学年度总表!$N$3:$N$1025,MATCH($E101,学年度总表!$E$3:$E$1025,0))="","",INDEX(学年度总表!$N$3:$N$1025,MATCH($E101,学年度总表!$E$3:$E$1025,0)))</f>
        <v>69.650000000000006</v>
      </c>
      <c r="O101" s="3">
        <f>IF(INDEX(学年度总表!$O$3:$O$1025,MATCH($E101,学年度总表!$E$3:$E$1025,0))="","",INDEX(学年度总表!$O$3:$O$1025,MATCH($E101,学年度总表!$E$3:$E$1025,0)))</f>
        <v>145.09</v>
      </c>
      <c r="P101" s="2" t="str">
        <f>IF(INDEX(学年度总表!$P$3:$P$1025,MATCH($E101,学年度总表!$E$3:$E$1025,0))="","",INDEX(学年度总表!$P$3:$P$1025,MATCH($E101,学年度总表!$E$3:$E$1025,0)))</f>
        <v/>
      </c>
      <c r="Q101" s="5" t="str">
        <f>IF(INDEX(学年度总表!$Q$3:$Q$1025,MATCH($E101,学年度总表!$E$3:$E$1025,0))="","",INDEX(学年度总表!$Q$3:$Q$1025,MATCH($E101,学年度总表!$E$3:$E$1025,0)))</f>
        <v/>
      </c>
    </row>
    <row r="102" spans="1:17">
      <c r="A102" s="2">
        <f>IF(INDEX(学年度总表!$A$3:$A$1025,MATCH($E102,学年度总表!$E$3:$E$1025,0))="","",INDEX(学年度总表!$A$3:$A$1025,MATCH($E102,学年度总表!$E$3:$E$1025,0)))</f>
        <v>353</v>
      </c>
      <c r="B102" s="2">
        <f>IF(INDEX(学年度总表!$B$3:$B$1025,MATCH($E102,学年度总表!$E$3:$E$1025,0))="","",INDEX(学年度总表!$B$3:$B$1025,MATCH($E102,学年度总表!$E$3:$E$1025,0)))</f>
        <v>100</v>
      </c>
      <c r="C102" s="2" t="str">
        <f>IF(INDEX(学年度总表!$C$3:$C$1025,MATCH($E102,学年度总表!$E$3:$E$1025,0))="","",INDEX(学年度总表!$C$3:$C$1025,MATCH($E102,学年度总表!$E$3:$E$1025,0)))</f>
        <v>信管</v>
      </c>
      <c r="D102" s="2" t="str">
        <f>IF(INDEX(学年度总表!$D$3:$D$1025,MATCH($E102,学年度总表!$E$3:$E$1025,0))="","",INDEX(学年度总表!$D$3:$D$1025,MATCH($E102,学年度总表!$E$3:$E$1025,0)))</f>
        <v>信管27班</v>
      </c>
      <c r="E102" s="2" t="s">
        <v>767</v>
      </c>
      <c r="F102" s="2" t="str">
        <f>IF(INDEX(学年度总表!$F$3:$F$1025,MATCH($E102,学年度总表!$E$3:$E$1025,0))="","",INDEX(学年度总表!$F$3:$F$1025,MATCH($E102,学年度总表!$E$3:$E$1025,0)))</f>
        <v>马雨嘉</v>
      </c>
      <c r="G102" s="3">
        <f>IF(INDEX(学年度总表!$G$3:$G$1025,MATCH($E102,学年度总表!$E$3:$E$1025,0))="","",INDEX(学年度总表!$G$3:$G$1025,MATCH($E102,学年度总表!$E$3:$E$1025,0)))</f>
        <v>9.8000000000000007</v>
      </c>
      <c r="H102" s="3">
        <f>IF(INDEX(学年度总表!$H$3:$H$1025,MATCH($E102,学年度总表!$E$3:$E$1025,0))="","",INDEX(学年度总表!$H$3:$H$1025,MATCH($E102,学年度总表!$E$3:$E$1025,0)))</f>
        <v>62.29</v>
      </c>
      <c r="I102" s="3">
        <f>IF(INDEX(学年度总表!$I$3:$I$1025,MATCH($E102,学年度总表!$E$3:$E$1025,0))="","",INDEX(学年度总表!$I$3:$I$1025,MATCH($E102,学年度总表!$E$3:$E$1025,0)))</f>
        <v>3</v>
      </c>
      <c r="J102" s="3">
        <f>IF(INDEX(学年度总表!$J$3:$J$1025,MATCH($E102,学年度总表!$E$3:$E$1025,0))="","",INDEX(学年度总表!$J$3:$J$1025,MATCH($E102,学年度总表!$E$3:$E$1025,0)))</f>
        <v>75.09</v>
      </c>
      <c r="K102" s="3">
        <f>IF(INDEX(学年度总表!$K$3:$K$1025,MATCH($E102,学年度总表!$E$3:$E$1025,0))="","",INDEX(学年度总表!$K$3:$K$1025,MATCH($E102,学年度总表!$E$3:$E$1025,0)))</f>
        <v>7.3000000000000007</v>
      </c>
      <c r="L102" s="3">
        <f>IF(INDEX(学年度总表!$L$3:$L$1025,MATCH($E102,学年度总表!$E$3:$E$1025,0))="","",INDEX(学年度总表!$L$3:$L$1025,MATCH($E102,学年度总表!$E$3:$E$1025,0)))</f>
        <v>59.18</v>
      </c>
      <c r="M102" s="3">
        <f>IF(INDEX(学年度总表!$M$3:$M$1025,MATCH($E102,学年度总表!$E$3:$E$1025,0))="","",INDEX(学年度总表!$M$3:$M$1025,MATCH($E102,学年度总表!$E$3:$E$1025,0)))</f>
        <v>3.5</v>
      </c>
      <c r="N102" s="3">
        <f>IF(INDEX(学年度总表!$N$3:$N$1025,MATCH($E102,学年度总表!$E$3:$E$1025,0))="","",INDEX(学年度总表!$N$3:$N$1025,MATCH($E102,学年度总表!$E$3:$E$1025,0)))</f>
        <v>69.98</v>
      </c>
      <c r="O102" s="3">
        <f>IF(INDEX(学年度总表!$O$3:$O$1025,MATCH($E102,学年度总表!$E$3:$E$1025,0))="","",INDEX(学年度总表!$O$3:$O$1025,MATCH($E102,学年度总表!$E$3:$E$1025,0)))</f>
        <v>145.07</v>
      </c>
      <c r="P102" s="2" t="str">
        <f>IF(INDEX(学年度总表!$P$3:$P$1025,MATCH($E102,学年度总表!$E$3:$E$1025,0))="","",INDEX(学年度总表!$P$3:$P$1025,MATCH($E102,学年度总表!$E$3:$E$1025,0)))</f>
        <v/>
      </c>
      <c r="Q102" s="5" t="str">
        <f>IF(INDEX(学年度总表!$Q$3:$Q$1025,MATCH($E102,学年度总表!$E$3:$E$1025,0))="","",INDEX(学年度总表!$Q$3:$Q$1025,MATCH($E102,学年度总表!$E$3:$E$1025,0)))</f>
        <v/>
      </c>
    </row>
    <row r="103" spans="1:17">
      <c r="A103" s="2">
        <f>IF(INDEX(学年度总表!$A$3:$A$1025,MATCH($E103,学年度总表!$E$3:$E$1025,0))="","",INDEX(学年度总表!$A$3:$A$1025,MATCH($E103,学年度总表!$E$3:$E$1025,0)))</f>
        <v>356</v>
      </c>
      <c r="B103" s="2">
        <f>IF(INDEX(学年度总表!$B$3:$B$1025,MATCH($E103,学年度总表!$E$3:$E$1025,0))="","",INDEX(学年度总表!$B$3:$B$1025,MATCH($E103,学年度总表!$E$3:$E$1025,0)))</f>
        <v>101</v>
      </c>
      <c r="C103" s="2" t="str">
        <f>IF(INDEX(学年度总表!$C$3:$C$1025,MATCH($E103,学年度总表!$E$3:$E$1025,0))="","",INDEX(学年度总表!$C$3:$C$1025,MATCH($E103,学年度总表!$E$3:$E$1025,0)))</f>
        <v>信管</v>
      </c>
      <c r="D103" s="2" t="str">
        <f>IF(INDEX(学年度总表!$D$3:$D$1025,MATCH($E103,学年度总表!$E$3:$E$1025,0))="","",INDEX(学年度总表!$D$3:$D$1025,MATCH($E103,学年度总表!$E$3:$E$1025,0)))</f>
        <v>信管19班</v>
      </c>
      <c r="E103" s="2" t="s">
        <v>773</v>
      </c>
      <c r="F103" s="2" t="str">
        <f>IF(INDEX(学年度总表!$F$3:$F$1025,MATCH($E103,学年度总表!$E$3:$E$1025,0))="","",INDEX(学年度总表!$F$3:$F$1025,MATCH($E103,学年度总表!$E$3:$E$1025,0)))</f>
        <v>曲媛苑</v>
      </c>
      <c r="G103" s="3">
        <f>IF(INDEX(学年度总表!$G$3:$G$1025,MATCH($E103,学年度总表!$E$3:$E$1025,0))="","",INDEX(学年度总表!$G$3:$G$1025,MATCH($E103,学年度总表!$E$3:$E$1025,0)))</f>
        <v>9.8000000000000007</v>
      </c>
      <c r="H103" s="3">
        <f>IF(INDEX(学年度总表!$H$3:$H$1025,MATCH($E103,学年度总表!$E$3:$E$1025,0))="","",INDEX(学年度总表!$H$3:$H$1025,MATCH($E103,学年度总表!$E$3:$E$1025,0)))</f>
        <v>62.25</v>
      </c>
      <c r="I103" s="3">
        <f>IF(INDEX(学年度总表!$I$3:$I$1025,MATCH($E103,学年度总表!$E$3:$E$1025,0))="","",INDEX(学年度总表!$I$3:$I$1025,MATCH($E103,学年度总表!$E$3:$E$1025,0)))</f>
        <v>3.2</v>
      </c>
      <c r="J103" s="3">
        <f>IF(INDEX(学年度总表!$J$3:$J$1025,MATCH($E103,学年度总表!$E$3:$E$1025,0))="","",INDEX(学年度总表!$J$3:$J$1025,MATCH($E103,学年度总表!$E$3:$E$1025,0)))</f>
        <v>75.25</v>
      </c>
      <c r="K103" s="3">
        <f>IF(INDEX(学年度总表!$K$3:$K$1025,MATCH($E103,学年度总表!$E$3:$E$1025,0))="","",INDEX(学年度总表!$K$3:$K$1025,MATCH($E103,学年度总表!$E$3:$E$1025,0)))</f>
        <v>7.3000000000000007</v>
      </c>
      <c r="L103" s="3">
        <f>IF(INDEX(学年度总表!$L$3:$L$1025,MATCH($E103,学年度总表!$E$3:$E$1025,0))="","",INDEX(学年度总表!$L$3:$L$1025,MATCH($E103,学年度总表!$E$3:$E$1025,0)))</f>
        <v>58.62</v>
      </c>
      <c r="M103" s="3">
        <f>IF(INDEX(学年度总表!$M$3:$M$1025,MATCH($E103,学年度总表!$E$3:$E$1025,0))="","",INDEX(学年度总表!$M$3:$M$1025,MATCH($E103,学年度总表!$E$3:$E$1025,0)))</f>
        <v>3.8</v>
      </c>
      <c r="N103" s="3">
        <f>IF(INDEX(学年度总表!$N$3:$N$1025,MATCH($E103,学年度总表!$E$3:$E$1025,0))="","",INDEX(学年度总表!$N$3:$N$1025,MATCH($E103,学年度总表!$E$3:$E$1025,0)))</f>
        <v>69.72</v>
      </c>
      <c r="O103" s="3">
        <f>IF(INDEX(学年度总表!$O$3:$O$1025,MATCH($E103,学年度总表!$E$3:$E$1025,0))="","",INDEX(学年度总表!$O$3:$O$1025,MATCH($E103,学年度总表!$E$3:$E$1025,0)))</f>
        <v>144.97</v>
      </c>
      <c r="P103" s="2" t="str">
        <f>IF(INDEX(学年度总表!$P$3:$P$1025,MATCH($E103,学年度总表!$E$3:$E$1025,0))="","",INDEX(学年度总表!$P$3:$P$1025,MATCH($E103,学年度总表!$E$3:$E$1025,0)))</f>
        <v/>
      </c>
      <c r="Q103" s="5" t="str">
        <f>IF(INDEX(学年度总表!$Q$3:$Q$1025,MATCH($E103,学年度总表!$E$3:$E$1025,0))="","",INDEX(学年度总表!$Q$3:$Q$1025,MATCH($E103,学年度总表!$E$3:$E$1025,0)))</f>
        <v/>
      </c>
    </row>
    <row r="104" spans="1:17">
      <c r="A104" s="2">
        <f>IF(INDEX(学年度总表!$A$3:$A$1025,MATCH($E104,学年度总表!$E$3:$E$1025,0))="","",INDEX(学年度总表!$A$3:$A$1025,MATCH($E104,学年度总表!$E$3:$E$1025,0)))</f>
        <v>358</v>
      </c>
      <c r="B104" s="2">
        <f>IF(INDEX(学年度总表!$B$3:$B$1025,MATCH($E104,学年度总表!$E$3:$E$1025,0))="","",INDEX(学年度总表!$B$3:$B$1025,MATCH($E104,学年度总表!$E$3:$E$1025,0)))</f>
        <v>102</v>
      </c>
      <c r="C104" s="2" t="str">
        <f>IF(INDEX(学年度总表!$C$3:$C$1025,MATCH($E104,学年度总表!$E$3:$E$1025,0))="","",INDEX(学年度总表!$C$3:$C$1025,MATCH($E104,学年度总表!$E$3:$E$1025,0)))</f>
        <v>信管</v>
      </c>
      <c r="D104" s="2" t="str">
        <f>IF(INDEX(学年度总表!$D$3:$D$1025,MATCH($E104,学年度总表!$E$3:$E$1025,0))="","",INDEX(学年度总表!$D$3:$D$1025,MATCH($E104,学年度总表!$E$3:$E$1025,0)))</f>
        <v>信管21班</v>
      </c>
      <c r="E104" s="2" t="s">
        <v>777</v>
      </c>
      <c r="F104" s="2" t="str">
        <f>IF(INDEX(学年度总表!$F$3:$F$1025,MATCH($E104,学年度总表!$E$3:$E$1025,0))="","",INDEX(学年度总表!$F$3:$F$1025,MATCH($E104,学年度总表!$E$3:$E$1025,0)))</f>
        <v>曲祉萤</v>
      </c>
      <c r="G104" s="3">
        <f>IF(INDEX(学年度总表!$G$3:$G$1025,MATCH($E104,学年度总表!$E$3:$E$1025,0))="","",INDEX(学年度总表!$G$3:$G$1025,MATCH($E104,学年度总表!$E$3:$E$1025,0)))</f>
        <v>9.8000000000000007</v>
      </c>
      <c r="H104" s="3">
        <f>IF(INDEX(学年度总表!$H$3:$H$1025,MATCH($E104,学年度总表!$E$3:$E$1025,0))="","",INDEX(学年度总表!$H$3:$H$1025,MATCH($E104,学年度总表!$E$3:$E$1025,0)))</f>
        <v>62.23</v>
      </c>
      <c r="I104" s="3">
        <f>IF(INDEX(学年度总表!$I$3:$I$1025,MATCH($E104,学年度总表!$E$3:$E$1025,0))="","",INDEX(学年度总表!$I$3:$I$1025,MATCH($E104,学年度总表!$E$3:$E$1025,0)))</f>
        <v>4.5</v>
      </c>
      <c r="J104" s="3">
        <f>IF(INDEX(学年度总表!$J$3:$J$1025,MATCH($E104,学年度总表!$E$3:$E$1025,0))="","",INDEX(学年度总表!$J$3:$J$1025,MATCH($E104,学年度总表!$E$3:$E$1025,0)))</f>
        <v>76.53</v>
      </c>
      <c r="K104" s="3">
        <f>IF(INDEX(学年度总表!$K$3:$K$1025,MATCH($E104,学年度总表!$E$3:$E$1025,0))="","",INDEX(学年度总表!$K$3:$K$1025,MATCH($E104,学年度总表!$E$3:$E$1025,0)))</f>
        <v>9.8000000000000007</v>
      </c>
      <c r="L104" s="3">
        <f>IF(INDEX(学年度总表!$L$3:$L$1025,MATCH($E104,学年度总表!$E$3:$E$1025,0))="","",INDEX(学年度总表!$L$3:$L$1025,MATCH($E104,学年度总表!$E$3:$E$1025,0)))</f>
        <v>52.42</v>
      </c>
      <c r="M104" s="3">
        <f>IF(INDEX(学年度总表!$M$3:$M$1025,MATCH($E104,学年度总表!$E$3:$E$1025,0))="","",INDEX(学年度总表!$M$3:$M$1025,MATCH($E104,学年度总表!$E$3:$E$1025,0)))</f>
        <v>6.1</v>
      </c>
      <c r="N104" s="3">
        <f>IF(INDEX(学年度总表!$N$3:$N$1025,MATCH($E104,学年度总表!$E$3:$E$1025,0))="","",INDEX(学年度总表!$N$3:$N$1025,MATCH($E104,学年度总表!$E$3:$E$1025,0)))</f>
        <v>68.319999999999993</v>
      </c>
      <c r="O104" s="3">
        <f>IF(INDEX(学年度总表!$O$3:$O$1025,MATCH($E104,学年度总表!$E$3:$E$1025,0))="","",INDEX(学年度总表!$O$3:$O$1025,MATCH($E104,学年度总表!$E$3:$E$1025,0)))</f>
        <v>144.85</v>
      </c>
      <c r="P104" s="2" t="str">
        <f>IF(INDEX(学年度总表!$P$3:$P$1025,MATCH($E104,学年度总表!$E$3:$E$1025,0))="","",INDEX(学年度总表!$P$3:$P$1025,MATCH($E104,学年度总表!$E$3:$E$1025,0)))</f>
        <v/>
      </c>
      <c r="Q104" s="5" t="str">
        <f>IF(INDEX(学年度总表!$Q$3:$Q$1025,MATCH($E104,学年度总表!$E$3:$E$1025,0))="","",INDEX(学年度总表!$Q$3:$Q$1025,MATCH($E104,学年度总表!$E$3:$E$1025,0)))</f>
        <v/>
      </c>
    </row>
    <row r="105" spans="1:17">
      <c r="A105" s="2">
        <f>IF(INDEX(学年度总表!$A$3:$A$1025,MATCH($E105,学年度总表!$E$3:$E$1025,0))="","",INDEX(学年度总表!$A$3:$A$1025,MATCH($E105,学年度总表!$E$3:$E$1025,0)))</f>
        <v>360</v>
      </c>
      <c r="B105" s="2">
        <f>IF(INDEX(学年度总表!$B$3:$B$1025,MATCH($E105,学年度总表!$E$3:$E$1025,0))="","",INDEX(学年度总表!$B$3:$B$1025,MATCH($E105,学年度总表!$E$3:$E$1025,0)))</f>
        <v>103</v>
      </c>
      <c r="C105" s="2" t="str">
        <f>IF(INDEX(学年度总表!$C$3:$C$1025,MATCH($E105,学年度总表!$E$3:$E$1025,0))="","",INDEX(学年度总表!$C$3:$C$1025,MATCH($E105,学年度总表!$E$3:$E$1025,0)))</f>
        <v>信管</v>
      </c>
      <c r="D105" s="2" t="str">
        <f>IF(INDEX(学年度总表!$D$3:$D$1025,MATCH($E105,学年度总表!$E$3:$E$1025,0))="","",INDEX(学年度总表!$D$3:$D$1025,MATCH($E105,学年度总表!$E$3:$E$1025,0)))</f>
        <v>信管22班</v>
      </c>
      <c r="E105" s="2" t="s">
        <v>783</v>
      </c>
      <c r="F105" s="2" t="str">
        <f>IF(INDEX(学年度总表!$F$3:$F$1025,MATCH($E105,学年度总表!$E$3:$E$1025,0))="","",INDEX(学年度总表!$F$3:$F$1025,MATCH($E105,学年度总表!$E$3:$E$1025,0)))</f>
        <v>刘语桐</v>
      </c>
      <c r="G105" s="3">
        <f>IF(INDEX(学年度总表!$G$3:$G$1025,MATCH($E105,学年度总表!$E$3:$E$1025,0))="","",INDEX(学年度总表!$G$3:$G$1025,MATCH($E105,学年度总表!$E$3:$E$1025,0)))</f>
        <v>10.8</v>
      </c>
      <c r="H105" s="3">
        <f>IF(INDEX(学年度总表!$H$3:$H$1025,MATCH($E105,学年度总表!$E$3:$E$1025,0))="","",INDEX(学年度总表!$H$3:$H$1025,MATCH($E105,学年度总表!$E$3:$E$1025,0)))</f>
        <v>56.48</v>
      </c>
      <c r="I105" s="3">
        <f>IF(INDEX(学年度总表!$I$3:$I$1025,MATCH($E105,学年度总表!$E$3:$E$1025,0))="","",INDEX(学年度总表!$I$3:$I$1025,MATCH($E105,学年度总表!$E$3:$E$1025,0)))</f>
        <v>3.8</v>
      </c>
      <c r="J105" s="3">
        <f>IF(INDEX(学年度总表!$J$3:$J$1025,MATCH($E105,学年度总表!$E$3:$E$1025,0))="","",INDEX(学年度总表!$J$3:$J$1025,MATCH($E105,学年度总表!$E$3:$E$1025,0)))</f>
        <v>71.08</v>
      </c>
      <c r="K105" s="3">
        <f>IF(INDEX(学年度总表!$K$3:$K$1025,MATCH($E105,学年度总表!$E$3:$E$1025,0))="","",INDEX(学年度总表!$K$3:$K$1025,MATCH($E105,学年度总表!$E$3:$E$1025,0)))</f>
        <v>10</v>
      </c>
      <c r="L105" s="3">
        <f>IF(INDEX(学年度总表!$L$3:$L$1025,MATCH($E105,学年度总表!$E$3:$E$1025,0))="","",INDEX(学年度总表!$L$3:$L$1025,MATCH($E105,学年度总表!$E$3:$E$1025,0)))</f>
        <v>59.44</v>
      </c>
      <c r="M105" s="3">
        <f>IF(INDEX(学年度总表!$M$3:$M$1025,MATCH($E105,学年度总表!$E$3:$E$1025,0))="","",INDEX(学年度总表!$M$3:$M$1025,MATCH($E105,学年度总表!$E$3:$E$1025,0)))</f>
        <v>4.3</v>
      </c>
      <c r="N105" s="3">
        <f>IF(INDEX(学年度总表!$N$3:$N$1025,MATCH($E105,学年度总表!$E$3:$E$1025,0))="","",INDEX(学年度总表!$N$3:$N$1025,MATCH($E105,学年度总表!$E$3:$E$1025,0)))</f>
        <v>73.739999999999995</v>
      </c>
      <c r="O105" s="3">
        <f>IF(INDEX(学年度总表!$O$3:$O$1025,MATCH($E105,学年度总表!$E$3:$E$1025,0))="","",INDEX(学年度总表!$O$3:$O$1025,MATCH($E105,学年度总表!$E$3:$E$1025,0)))</f>
        <v>144.82</v>
      </c>
      <c r="P105" s="2" t="str">
        <f>IF(INDEX(学年度总表!$P$3:$P$1025,MATCH($E105,学年度总表!$E$3:$E$1025,0))="","",INDEX(学年度总表!$P$3:$P$1025,MATCH($E105,学年度总表!$E$3:$E$1025,0)))</f>
        <v/>
      </c>
      <c r="Q105" s="5" t="str">
        <f>IF(INDEX(学年度总表!$Q$3:$Q$1025,MATCH($E105,学年度总表!$E$3:$E$1025,0))="","",INDEX(学年度总表!$Q$3:$Q$1025,MATCH($E105,学年度总表!$E$3:$E$1025,0)))</f>
        <v/>
      </c>
    </row>
    <row r="106" spans="1:17">
      <c r="A106" s="2">
        <f>IF(INDEX(学年度总表!$A$3:$A$1025,MATCH($E106,学年度总表!$E$3:$E$1025,0))="","",INDEX(学年度总表!$A$3:$A$1025,MATCH($E106,学年度总表!$E$3:$E$1025,0)))</f>
        <v>363</v>
      </c>
      <c r="B106" s="2">
        <f>IF(INDEX(学年度总表!$B$3:$B$1025,MATCH($E106,学年度总表!$E$3:$E$1025,0))="","",INDEX(学年度总表!$B$3:$B$1025,MATCH($E106,学年度总表!$E$3:$E$1025,0)))</f>
        <v>104</v>
      </c>
      <c r="C106" s="2" t="str">
        <f>IF(INDEX(学年度总表!$C$3:$C$1025,MATCH($E106,学年度总表!$E$3:$E$1025,0))="","",INDEX(学年度总表!$C$3:$C$1025,MATCH($E106,学年度总表!$E$3:$E$1025,0)))</f>
        <v>信管</v>
      </c>
      <c r="D106" s="2" t="str">
        <f>IF(INDEX(学年度总表!$D$3:$D$1025,MATCH($E106,学年度总表!$E$3:$E$1025,0))="","",INDEX(学年度总表!$D$3:$D$1025,MATCH($E106,学年度总表!$E$3:$E$1025,0)))</f>
        <v>信管27班</v>
      </c>
      <c r="E106" s="2" t="s">
        <v>787</v>
      </c>
      <c r="F106" s="2" t="str">
        <f>IF(INDEX(学年度总表!$F$3:$F$1025,MATCH($E106,学年度总表!$E$3:$E$1025,0))="","",INDEX(学年度总表!$F$3:$F$1025,MATCH($E106,学年度总表!$E$3:$E$1025,0)))</f>
        <v>赵诗涵</v>
      </c>
      <c r="G106" s="3">
        <f>IF(INDEX(学年度总表!$G$3:$G$1025,MATCH($E106,学年度总表!$E$3:$E$1025,0))="","",INDEX(学年度总表!$G$3:$G$1025,MATCH($E106,学年度总表!$E$3:$E$1025,0)))</f>
        <v>9.8000000000000007</v>
      </c>
      <c r="H106" s="3">
        <f>IF(INDEX(学年度总表!$H$3:$H$1025,MATCH($E106,学年度总表!$E$3:$E$1025,0))="","",INDEX(学年度总表!$H$3:$H$1025,MATCH($E106,学年度总表!$E$3:$E$1025,0)))</f>
        <v>57.67</v>
      </c>
      <c r="I106" s="3">
        <f>IF(INDEX(学年度总表!$I$3:$I$1025,MATCH($E106,学年度总表!$E$3:$E$1025,0))="","",INDEX(学年度总表!$I$3:$I$1025,MATCH($E106,学年度总表!$E$3:$E$1025,0)))</f>
        <v>4.7</v>
      </c>
      <c r="J106" s="3">
        <f>IF(INDEX(学年度总表!$J$3:$J$1025,MATCH($E106,学年度总表!$E$3:$E$1025,0))="","",INDEX(学年度总表!$J$3:$J$1025,MATCH($E106,学年度总表!$E$3:$E$1025,0)))</f>
        <v>72.17</v>
      </c>
      <c r="K106" s="3">
        <f>IF(INDEX(学年度总表!$K$3:$K$1025,MATCH($E106,学年度总表!$E$3:$E$1025,0))="","",INDEX(学年度总表!$K$3:$K$1025,MATCH($E106,学年度总表!$E$3:$E$1025,0)))</f>
        <v>9.8000000000000007</v>
      </c>
      <c r="L106" s="3">
        <f>IF(INDEX(学年度总表!$L$3:$L$1025,MATCH($E106,学年度总表!$E$3:$E$1025,0))="","",INDEX(学年度总表!$L$3:$L$1025,MATCH($E106,学年度总表!$E$3:$E$1025,0)))</f>
        <v>58.32</v>
      </c>
      <c r="M106" s="3">
        <f>IF(INDEX(学年度总表!$M$3:$M$1025,MATCH($E106,学年度总表!$E$3:$E$1025,0))="","",INDEX(学年度总表!$M$3:$M$1025,MATCH($E106,学年度总表!$E$3:$E$1025,0)))</f>
        <v>4.5</v>
      </c>
      <c r="N106" s="3">
        <f>IF(INDEX(学年度总表!$N$3:$N$1025,MATCH($E106,学年度总表!$E$3:$E$1025,0))="","",INDEX(学年度总表!$N$3:$N$1025,MATCH($E106,学年度总表!$E$3:$E$1025,0)))</f>
        <v>72.62</v>
      </c>
      <c r="O106" s="3">
        <f>IF(INDEX(学年度总表!$O$3:$O$1025,MATCH($E106,学年度总表!$E$3:$E$1025,0))="","",INDEX(学年度总表!$O$3:$O$1025,MATCH($E106,学年度总表!$E$3:$E$1025,0)))</f>
        <v>144.79</v>
      </c>
      <c r="P106" s="2" t="str">
        <f>IF(INDEX(学年度总表!$P$3:$P$1025,MATCH($E106,学年度总表!$E$3:$E$1025,0))="","",INDEX(学年度总表!$P$3:$P$1025,MATCH($E106,学年度总表!$E$3:$E$1025,0)))</f>
        <v/>
      </c>
      <c r="Q106" s="5" t="str">
        <f>IF(INDEX(学年度总表!$Q$3:$Q$1025,MATCH($E106,学年度总表!$E$3:$E$1025,0))="","",INDEX(学年度总表!$Q$3:$Q$1025,MATCH($E106,学年度总表!$E$3:$E$1025,0)))</f>
        <v/>
      </c>
    </row>
    <row r="107" spans="1:17">
      <c r="A107" s="2">
        <f>IF(INDEX(学年度总表!$A$3:$A$1025,MATCH($E107,学年度总表!$E$3:$E$1025,0))="","",INDEX(学年度总表!$A$3:$A$1025,MATCH($E107,学年度总表!$E$3:$E$1025,0)))</f>
        <v>366</v>
      </c>
      <c r="B107" s="2">
        <f>IF(INDEX(学年度总表!$B$3:$B$1025,MATCH($E107,学年度总表!$E$3:$E$1025,0))="","",INDEX(学年度总表!$B$3:$B$1025,MATCH($E107,学年度总表!$E$3:$E$1025,0)))</f>
        <v>105</v>
      </c>
      <c r="C107" s="2" t="str">
        <f>IF(INDEX(学年度总表!$C$3:$C$1025,MATCH($E107,学年度总表!$E$3:$E$1025,0))="","",INDEX(学年度总表!$C$3:$C$1025,MATCH($E107,学年度总表!$E$3:$E$1025,0)))</f>
        <v>信管</v>
      </c>
      <c r="D107" s="2" t="str">
        <f>IF(INDEX(学年度总表!$D$3:$D$1025,MATCH($E107,学年度总表!$E$3:$E$1025,0))="","",INDEX(学年度总表!$D$3:$D$1025,MATCH($E107,学年度总表!$E$3:$E$1025,0)))</f>
        <v>信管23班</v>
      </c>
      <c r="E107" s="2" t="s">
        <v>793</v>
      </c>
      <c r="F107" s="2" t="str">
        <f>IF(INDEX(学年度总表!$F$3:$F$1025,MATCH($E107,学年度总表!$E$3:$E$1025,0))="","",INDEX(学年度总表!$F$3:$F$1025,MATCH($E107,学年度总表!$E$3:$E$1025,0)))</f>
        <v>于梦瑶</v>
      </c>
      <c r="G107" s="3">
        <f>IF(INDEX(学年度总表!$G$3:$G$1025,MATCH($E107,学年度总表!$E$3:$E$1025,0))="","",INDEX(学年度总表!$G$3:$G$1025,MATCH($E107,学年度总表!$E$3:$E$1025,0)))</f>
        <v>10</v>
      </c>
      <c r="H107" s="3">
        <f>IF(INDEX(学年度总表!$H$3:$H$1025,MATCH($E107,学年度总表!$E$3:$E$1025,0))="","",INDEX(学年度总表!$H$3:$H$1025,MATCH($E107,学年度总表!$E$3:$E$1025,0)))</f>
        <v>57.03</v>
      </c>
      <c r="I107" s="3">
        <f>IF(INDEX(学年度总表!$I$3:$I$1025,MATCH($E107,学年度总表!$E$3:$E$1025,0))="","",INDEX(学年度总表!$I$3:$I$1025,MATCH($E107,学年度总表!$E$3:$E$1025,0)))</f>
        <v>3</v>
      </c>
      <c r="J107" s="3">
        <f>IF(INDEX(学年度总表!$J$3:$J$1025,MATCH($E107,学年度总表!$E$3:$E$1025,0))="","",INDEX(学年度总表!$J$3:$J$1025,MATCH($E107,学年度总表!$E$3:$E$1025,0)))</f>
        <v>70.03</v>
      </c>
      <c r="K107" s="3">
        <f>IF(INDEX(学年度总表!$K$3:$K$1025,MATCH($E107,学年度总表!$E$3:$E$1025,0))="","",INDEX(学年度总表!$K$3:$K$1025,MATCH($E107,学年度总表!$E$3:$E$1025,0)))</f>
        <v>10</v>
      </c>
      <c r="L107" s="3">
        <f>IF(INDEX(学年度总表!$L$3:$L$1025,MATCH($E107,学年度总表!$E$3:$E$1025,0))="","",INDEX(学年度总表!$L$3:$L$1025,MATCH($E107,学年度总表!$E$3:$E$1025,0)))</f>
        <v>61.68</v>
      </c>
      <c r="M107" s="3">
        <f>IF(INDEX(学年度总表!$M$3:$M$1025,MATCH($E107,学年度总表!$E$3:$E$1025,0))="","",INDEX(学年度总表!$M$3:$M$1025,MATCH($E107,学年度总表!$E$3:$E$1025,0)))</f>
        <v>3</v>
      </c>
      <c r="N107" s="3">
        <f>IF(INDEX(学年度总表!$N$3:$N$1025,MATCH($E107,学年度总表!$E$3:$E$1025,0))="","",INDEX(学年度总表!$N$3:$N$1025,MATCH($E107,学年度总表!$E$3:$E$1025,0)))</f>
        <v>74.680000000000007</v>
      </c>
      <c r="O107" s="3">
        <f>IF(INDEX(学年度总表!$O$3:$O$1025,MATCH($E107,学年度总表!$E$3:$E$1025,0))="","",INDEX(学年度总表!$O$3:$O$1025,MATCH($E107,学年度总表!$E$3:$E$1025,0)))</f>
        <v>144.71</v>
      </c>
      <c r="P107" s="2" t="str">
        <f>IF(INDEX(学年度总表!$P$3:$P$1025,MATCH($E107,学年度总表!$E$3:$E$1025,0))="","",INDEX(学年度总表!$P$3:$P$1025,MATCH($E107,学年度总表!$E$3:$E$1025,0)))</f>
        <v/>
      </c>
      <c r="Q107" s="5" t="str">
        <f>IF(INDEX(学年度总表!$Q$3:$Q$1025,MATCH($E107,学年度总表!$E$3:$E$1025,0))="","",INDEX(学年度总表!$Q$3:$Q$1025,MATCH($E107,学年度总表!$E$3:$E$1025,0)))</f>
        <v/>
      </c>
    </row>
    <row r="108" spans="1:17">
      <c r="A108" s="2">
        <f>IF(INDEX(学年度总表!$A$3:$A$1025,MATCH($E108,学年度总表!$E$3:$E$1025,0))="","",INDEX(学年度总表!$A$3:$A$1025,MATCH($E108,学年度总表!$E$3:$E$1025,0)))</f>
        <v>366</v>
      </c>
      <c r="B108" s="2">
        <f>IF(INDEX(学年度总表!$B$3:$B$1025,MATCH($E108,学年度总表!$E$3:$E$1025,0))="","",INDEX(学年度总表!$B$3:$B$1025,MATCH($E108,学年度总表!$E$3:$E$1025,0)))</f>
        <v>105</v>
      </c>
      <c r="C108" s="2" t="str">
        <f>IF(INDEX(学年度总表!$C$3:$C$1025,MATCH($E108,学年度总表!$E$3:$E$1025,0))="","",INDEX(学年度总表!$C$3:$C$1025,MATCH($E108,学年度总表!$E$3:$E$1025,0)))</f>
        <v>信管</v>
      </c>
      <c r="D108" s="2" t="str">
        <f>IF(INDEX(学年度总表!$D$3:$D$1025,MATCH($E108,学年度总表!$E$3:$E$1025,0))="","",INDEX(学年度总表!$D$3:$D$1025,MATCH($E108,学年度总表!$E$3:$E$1025,0)))</f>
        <v>信管26班</v>
      </c>
      <c r="E108" s="2" t="s">
        <v>795</v>
      </c>
      <c r="F108" s="2" t="str">
        <f>IF(INDEX(学年度总表!$F$3:$F$1025,MATCH($E108,学年度总表!$E$3:$E$1025,0))="","",INDEX(学年度总表!$F$3:$F$1025,MATCH($E108,学年度总表!$E$3:$E$1025,0)))</f>
        <v>高旭阳</v>
      </c>
      <c r="G108" s="3">
        <f>IF(INDEX(学年度总表!$G$3:$G$1025,MATCH($E108,学年度总表!$E$3:$E$1025,0))="","",INDEX(学年度总表!$G$3:$G$1025,MATCH($E108,学年度总表!$E$3:$E$1025,0)))</f>
        <v>9.8000000000000007</v>
      </c>
      <c r="H108" s="3">
        <f>IF(INDEX(学年度总表!$H$3:$H$1025,MATCH($E108,学年度总表!$E$3:$E$1025,0))="","",INDEX(学年度总表!$H$3:$H$1025,MATCH($E108,学年度总表!$E$3:$E$1025,0)))</f>
        <v>59.05</v>
      </c>
      <c r="I108" s="3">
        <f>IF(INDEX(学年度总表!$I$3:$I$1025,MATCH($E108,学年度总表!$E$3:$E$1025,0))="","",INDEX(学年度总表!$I$3:$I$1025,MATCH($E108,学年度总表!$E$3:$E$1025,0)))</f>
        <v>3.4</v>
      </c>
      <c r="J108" s="3">
        <f>IF(INDEX(学年度总表!$J$3:$J$1025,MATCH($E108,学年度总表!$E$3:$E$1025,0))="","",INDEX(学年度总表!$J$3:$J$1025,MATCH($E108,学年度总表!$E$3:$E$1025,0)))</f>
        <v>72.25</v>
      </c>
      <c r="K108" s="3">
        <f>IF(INDEX(学年度总表!$K$3:$K$1025,MATCH($E108,学年度总表!$E$3:$E$1025,0))="","",INDEX(学年度总表!$K$3:$K$1025,MATCH($E108,学年度总表!$E$3:$E$1025,0)))</f>
        <v>9.8000000000000007</v>
      </c>
      <c r="L108" s="3">
        <f>IF(INDEX(学年度总表!$L$3:$L$1025,MATCH($E108,学年度总表!$E$3:$E$1025,0))="","",INDEX(学年度总表!$L$3:$L$1025,MATCH($E108,学年度总表!$E$3:$E$1025,0)))</f>
        <v>59.66</v>
      </c>
      <c r="M108" s="3">
        <f>IF(INDEX(学年度总表!$M$3:$M$1025,MATCH($E108,学年度总表!$E$3:$E$1025,0))="","",INDEX(学年度总表!$M$3:$M$1025,MATCH($E108,学年度总表!$E$3:$E$1025,0)))</f>
        <v>3</v>
      </c>
      <c r="N108" s="3">
        <f>IF(INDEX(学年度总表!$N$3:$N$1025,MATCH($E108,学年度总表!$E$3:$E$1025,0))="","",INDEX(学年度总表!$N$3:$N$1025,MATCH($E108,学年度总表!$E$3:$E$1025,0)))</f>
        <v>72.459999999999994</v>
      </c>
      <c r="O108" s="3">
        <f>IF(INDEX(学年度总表!$O$3:$O$1025,MATCH($E108,学年度总表!$E$3:$E$1025,0))="","",INDEX(学年度总表!$O$3:$O$1025,MATCH($E108,学年度总表!$E$3:$E$1025,0)))</f>
        <v>144.71</v>
      </c>
      <c r="P108" s="2" t="str">
        <f>IF(INDEX(学年度总表!$P$3:$P$1025,MATCH($E108,学年度总表!$E$3:$E$1025,0))="","",INDEX(学年度总表!$P$3:$P$1025,MATCH($E108,学年度总表!$E$3:$E$1025,0)))</f>
        <v/>
      </c>
      <c r="Q108" s="5" t="str">
        <f>IF(INDEX(学年度总表!$Q$3:$Q$1025,MATCH($E108,学年度总表!$E$3:$E$1025,0))="","",INDEX(学年度总表!$Q$3:$Q$1025,MATCH($E108,学年度总表!$E$3:$E$1025,0)))</f>
        <v/>
      </c>
    </row>
    <row r="109" spans="1:17">
      <c r="A109" s="2">
        <f>IF(INDEX(学年度总表!$A$3:$A$1025,MATCH($E109,学年度总表!$E$3:$E$1025,0))="","",INDEX(学年度总表!$A$3:$A$1025,MATCH($E109,学年度总表!$E$3:$E$1025,0)))</f>
        <v>371</v>
      </c>
      <c r="B109" s="2">
        <f>IF(INDEX(学年度总表!$B$3:$B$1025,MATCH($E109,学年度总表!$E$3:$E$1025,0))="","",INDEX(学年度总表!$B$3:$B$1025,MATCH($E109,学年度总表!$E$3:$E$1025,0)))</f>
        <v>107</v>
      </c>
      <c r="C109" s="2" t="str">
        <f>IF(INDEX(学年度总表!$C$3:$C$1025,MATCH($E109,学年度总表!$E$3:$E$1025,0))="","",INDEX(学年度总表!$C$3:$C$1025,MATCH($E109,学年度总表!$E$3:$E$1025,0)))</f>
        <v>信管</v>
      </c>
      <c r="D109" s="2" t="str">
        <f>IF(INDEX(学年度总表!$D$3:$D$1025,MATCH($E109,学年度总表!$E$3:$E$1025,0))="","",INDEX(学年度总表!$D$3:$D$1025,MATCH($E109,学年度总表!$E$3:$E$1025,0)))</f>
        <v>信管28班</v>
      </c>
      <c r="E109" s="2" t="s">
        <v>804</v>
      </c>
      <c r="F109" s="2" t="str">
        <f>IF(INDEX(学年度总表!$F$3:$F$1025,MATCH($E109,学年度总表!$E$3:$E$1025,0))="","",INDEX(学年度总表!$F$3:$F$1025,MATCH($E109,学年度总表!$E$3:$E$1025,0)))</f>
        <v>王楚怡</v>
      </c>
      <c r="G109" s="3">
        <f>IF(INDEX(学年度总表!$G$3:$G$1025,MATCH($E109,学年度总表!$E$3:$E$1025,0))="","",INDEX(学年度总表!$G$3:$G$1025,MATCH($E109,学年度总表!$E$3:$E$1025,0)))</f>
        <v>9.8000000000000007</v>
      </c>
      <c r="H109" s="3">
        <f>IF(INDEX(学年度总表!$H$3:$H$1025,MATCH($E109,学年度总表!$E$3:$E$1025,0))="","",INDEX(学年度总表!$H$3:$H$1025,MATCH($E109,学年度总表!$E$3:$E$1025,0)))</f>
        <v>61.65</v>
      </c>
      <c r="I109" s="3">
        <f>IF(INDEX(学年度总表!$I$3:$I$1025,MATCH($E109,学年度总表!$E$3:$E$1025,0))="","",INDEX(学年度总表!$I$3:$I$1025,MATCH($E109,学年度总表!$E$3:$E$1025,0)))</f>
        <v>3.2</v>
      </c>
      <c r="J109" s="3">
        <f>IF(INDEX(学年度总表!$J$3:$J$1025,MATCH($E109,学年度总表!$E$3:$E$1025,0))="","",INDEX(学年度总表!$J$3:$J$1025,MATCH($E109,学年度总表!$E$3:$E$1025,0)))</f>
        <v>74.650000000000006</v>
      </c>
      <c r="K109" s="3">
        <f>IF(INDEX(学年度总表!$K$3:$K$1025,MATCH($E109,学年度总表!$E$3:$E$1025,0))="","",INDEX(学年度总表!$K$3:$K$1025,MATCH($E109,学年度总表!$E$3:$E$1025,0)))</f>
        <v>7.3000000000000007</v>
      </c>
      <c r="L109" s="3">
        <f>IF(INDEX(学年度总表!$L$3:$L$1025,MATCH($E109,学年度总表!$E$3:$E$1025,0))="","",INDEX(学年度总表!$L$3:$L$1025,MATCH($E109,学年度总表!$E$3:$E$1025,0)))</f>
        <v>59.11</v>
      </c>
      <c r="M109" s="3">
        <f>IF(INDEX(学年度总表!$M$3:$M$1025,MATCH($E109,学年度总表!$E$3:$E$1025,0))="","",INDEX(学年度总表!$M$3:$M$1025,MATCH($E109,学年度总表!$E$3:$E$1025,0)))</f>
        <v>3.5</v>
      </c>
      <c r="N109" s="3">
        <f>IF(INDEX(学年度总表!$N$3:$N$1025,MATCH($E109,学年度总表!$E$3:$E$1025,0))="","",INDEX(学年度总表!$N$3:$N$1025,MATCH($E109,学年度总表!$E$3:$E$1025,0)))</f>
        <v>69.91</v>
      </c>
      <c r="O109" s="3">
        <f>IF(INDEX(学年度总表!$O$3:$O$1025,MATCH($E109,学年度总表!$E$3:$E$1025,0))="","",INDEX(学年度总表!$O$3:$O$1025,MATCH($E109,学年度总表!$E$3:$E$1025,0)))</f>
        <v>144.56</v>
      </c>
      <c r="P109" s="2" t="str">
        <f>IF(INDEX(学年度总表!$P$3:$P$1025,MATCH($E109,学年度总表!$E$3:$E$1025,0))="","",INDEX(学年度总表!$P$3:$P$1025,MATCH($E109,学年度总表!$E$3:$E$1025,0)))</f>
        <v/>
      </c>
      <c r="Q109" s="5" t="str">
        <f>IF(INDEX(学年度总表!$Q$3:$Q$1025,MATCH($E109,学年度总表!$E$3:$E$1025,0))="","",INDEX(学年度总表!$Q$3:$Q$1025,MATCH($E109,学年度总表!$E$3:$E$1025,0)))</f>
        <v/>
      </c>
    </row>
    <row r="110" spans="1:17">
      <c r="A110" s="2">
        <f>IF(INDEX(学年度总表!$A$3:$A$1025,MATCH($E110,学年度总表!$E$3:$E$1025,0))="","",INDEX(学年度总表!$A$3:$A$1025,MATCH($E110,学年度总表!$E$3:$E$1025,0)))</f>
        <v>372</v>
      </c>
      <c r="B110" s="2">
        <f>IF(INDEX(学年度总表!$B$3:$B$1025,MATCH($E110,学年度总表!$E$3:$E$1025,0))="","",INDEX(学年度总表!$B$3:$B$1025,MATCH($E110,学年度总表!$E$3:$E$1025,0)))</f>
        <v>108</v>
      </c>
      <c r="C110" s="2" t="str">
        <f>IF(INDEX(学年度总表!$C$3:$C$1025,MATCH($E110,学年度总表!$E$3:$E$1025,0))="","",INDEX(学年度总表!$C$3:$C$1025,MATCH($E110,学年度总表!$E$3:$E$1025,0)))</f>
        <v>信管</v>
      </c>
      <c r="D110" s="2" t="str">
        <f>IF(INDEX(学年度总表!$D$3:$D$1025,MATCH($E110,学年度总表!$E$3:$E$1025,0))="","",INDEX(学年度总表!$D$3:$D$1025,MATCH($E110,学年度总表!$E$3:$E$1025,0)))</f>
        <v>信管19班</v>
      </c>
      <c r="E110" s="2" t="s">
        <v>806</v>
      </c>
      <c r="F110" s="2" t="str">
        <f>IF(INDEX(学年度总表!$F$3:$F$1025,MATCH($E110,学年度总表!$E$3:$E$1025,0))="","",INDEX(学年度总表!$F$3:$F$1025,MATCH($E110,学年度总表!$E$3:$E$1025,0)))</f>
        <v>田心竹</v>
      </c>
      <c r="G110" s="3">
        <f>IF(INDEX(学年度总表!$G$3:$G$1025,MATCH($E110,学年度总表!$E$3:$E$1025,0))="","",INDEX(学年度总表!$G$3:$G$1025,MATCH($E110,学年度总表!$E$3:$E$1025,0)))</f>
        <v>9.8000000000000007</v>
      </c>
      <c r="H110" s="3">
        <f>IF(INDEX(学年度总表!$H$3:$H$1025,MATCH($E110,学年度总表!$E$3:$E$1025,0))="","",INDEX(学年度总表!$H$3:$H$1025,MATCH($E110,学年度总表!$E$3:$E$1025,0)))</f>
        <v>59.04</v>
      </c>
      <c r="I110" s="3">
        <f>IF(INDEX(学年度总表!$I$3:$I$1025,MATCH($E110,学年度总表!$E$3:$E$1025,0))="","",INDEX(学年度总表!$I$3:$I$1025,MATCH($E110,学年度总表!$E$3:$E$1025,0)))</f>
        <v>3.9</v>
      </c>
      <c r="J110" s="3">
        <f>IF(INDEX(学年度总表!$J$3:$J$1025,MATCH($E110,学年度总表!$E$3:$E$1025,0))="","",INDEX(学年度总表!$J$3:$J$1025,MATCH($E110,学年度总表!$E$3:$E$1025,0)))</f>
        <v>72.739999999999995</v>
      </c>
      <c r="K110" s="3">
        <f>IF(INDEX(学年度总表!$K$3:$K$1025,MATCH($E110,学年度总表!$E$3:$E$1025,0))="","",INDEX(学年度总表!$K$3:$K$1025,MATCH($E110,学年度总表!$E$3:$E$1025,0)))</f>
        <v>9.8000000000000007</v>
      </c>
      <c r="L110" s="3">
        <f>IF(INDEX(学年度总表!$L$3:$L$1025,MATCH($E110,学年度总表!$E$3:$E$1025,0))="","",INDEX(学年度总表!$L$3:$L$1025,MATCH($E110,学年度总表!$E$3:$E$1025,0)))</f>
        <v>57.72</v>
      </c>
      <c r="M110" s="3">
        <f>IF(INDEX(学年度总表!$M$3:$M$1025,MATCH($E110,学年度总表!$E$3:$E$1025,0))="","",INDEX(学年度总表!$M$3:$M$1025,MATCH($E110,学年度总表!$E$3:$E$1025,0)))</f>
        <v>4.2</v>
      </c>
      <c r="N110" s="3">
        <f>IF(INDEX(学年度总表!$N$3:$N$1025,MATCH($E110,学年度总表!$E$3:$E$1025,0))="","",INDEX(学年度总表!$N$3:$N$1025,MATCH($E110,学年度总表!$E$3:$E$1025,0)))</f>
        <v>71.72</v>
      </c>
      <c r="O110" s="3">
        <f>IF(INDEX(学年度总表!$O$3:$O$1025,MATCH($E110,学年度总表!$E$3:$E$1025,0))="","",INDEX(学年度总表!$O$3:$O$1025,MATCH($E110,学年度总表!$E$3:$E$1025,0)))</f>
        <v>144.46</v>
      </c>
      <c r="P110" s="2" t="str">
        <f>IF(INDEX(学年度总表!$P$3:$P$1025,MATCH($E110,学年度总表!$E$3:$E$1025,0))="","",INDEX(学年度总表!$P$3:$P$1025,MATCH($E110,学年度总表!$E$3:$E$1025,0)))</f>
        <v/>
      </c>
      <c r="Q110" s="5" t="str">
        <f>IF(INDEX(学年度总表!$Q$3:$Q$1025,MATCH($E110,学年度总表!$E$3:$E$1025,0))="","",INDEX(学年度总表!$Q$3:$Q$1025,MATCH($E110,学年度总表!$E$3:$E$1025,0)))</f>
        <v/>
      </c>
    </row>
    <row r="111" spans="1:17">
      <c r="A111" s="2">
        <f>IF(INDEX(学年度总表!$A$3:$A$1025,MATCH($E111,学年度总表!$E$3:$E$1025,0))="","",INDEX(学年度总表!$A$3:$A$1025,MATCH($E111,学年度总表!$E$3:$E$1025,0)))</f>
        <v>373</v>
      </c>
      <c r="B111" s="2">
        <f>IF(INDEX(学年度总表!$B$3:$B$1025,MATCH($E111,学年度总表!$E$3:$E$1025,0))="","",INDEX(学年度总表!$B$3:$B$1025,MATCH($E111,学年度总表!$E$3:$E$1025,0)))</f>
        <v>109</v>
      </c>
      <c r="C111" s="2" t="str">
        <f>IF(INDEX(学年度总表!$C$3:$C$1025,MATCH($E111,学年度总表!$E$3:$E$1025,0))="","",INDEX(学年度总表!$C$3:$C$1025,MATCH($E111,学年度总表!$E$3:$E$1025,0)))</f>
        <v>信管</v>
      </c>
      <c r="D111" s="2" t="str">
        <f>IF(INDEX(学年度总表!$D$3:$D$1025,MATCH($E111,学年度总表!$E$3:$E$1025,0))="","",INDEX(学年度总表!$D$3:$D$1025,MATCH($E111,学年度总表!$E$3:$E$1025,0)))</f>
        <v>信管27班</v>
      </c>
      <c r="E111" s="2" t="s">
        <v>808</v>
      </c>
      <c r="F111" s="2" t="str">
        <f>IF(INDEX(学年度总表!$F$3:$F$1025,MATCH($E111,学年度总表!$E$3:$E$1025,0))="","",INDEX(学年度总表!$F$3:$F$1025,MATCH($E111,学年度总表!$E$3:$E$1025,0)))</f>
        <v>于晟龙</v>
      </c>
      <c r="G111" s="3">
        <f>IF(INDEX(学年度总表!$G$3:$G$1025,MATCH($E111,学年度总表!$E$3:$E$1025,0))="","",INDEX(学年度总表!$G$3:$G$1025,MATCH($E111,学年度总表!$E$3:$E$1025,0)))</f>
        <v>7.5</v>
      </c>
      <c r="H111" s="3">
        <f>IF(INDEX(学年度总表!$H$3:$H$1025,MATCH($E111,学年度总表!$E$3:$E$1025,0))="","",INDEX(学年度总表!$H$3:$H$1025,MATCH($E111,学年度总表!$E$3:$E$1025,0)))</f>
        <v>60.8</v>
      </c>
      <c r="I111" s="3">
        <f>IF(INDEX(学年度总表!$I$3:$I$1025,MATCH($E111,学年度总表!$E$3:$E$1025,0))="","",INDEX(学年度总表!$I$3:$I$1025,MATCH($E111,学年度总表!$E$3:$E$1025,0)))</f>
        <v>6.3</v>
      </c>
      <c r="J111" s="3">
        <f>IF(INDEX(学年度总表!$J$3:$J$1025,MATCH($E111,学年度总表!$E$3:$E$1025,0))="","",INDEX(学年度总表!$J$3:$J$1025,MATCH($E111,学年度总表!$E$3:$E$1025,0)))</f>
        <v>74.599999999999994</v>
      </c>
      <c r="K111" s="3">
        <f>IF(INDEX(学年度总表!$K$3:$K$1025,MATCH($E111,学年度总表!$E$3:$E$1025,0))="","",INDEX(学年度总表!$K$3:$K$1025,MATCH($E111,学年度总表!$E$3:$E$1025,0)))</f>
        <v>10</v>
      </c>
      <c r="L111" s="3">
        <f>IF(INDEX(学年度总表!$L$3:$L$1025,MATCH($E111,学年度总表!$E$3:$E$1025,0))="","",INDEX(学年度总表!$L$3:$L$1025,MATCH($E111,学年度总表!$E$3:$E$1025,0)))</f>
        <v>55.44</v>
      </c>
      <c r="M111" s="3">
        <f>IF(INDEX(学年度总表!$M$3:$M$1025,MATCH($E111,学年度总表!$E$3:$E$1025,0))="","",INDEX(学年度总表!$M$3:$M$1025,MATCH($E111,学年度总表!$E$3:$E$1025,0)))</f>
        <v>4.4000000000000004</v>
      </c>
      <c r="N111" s="3">
        <f>IF(INDEX(学年度总表!$N$3:$N$1025,MATCH($E111,学年度总表!$E$3:$E$1025,0))="","",INDEX(学年度总表!$N$3:$N$1025,MATCH($E111,学年度总表!$E$3:$E$1025,0)))</f>
        <v>69.84</v>
      </c>
      <c r="O111" s="3">
        <f>IF(INDEX(学年度总表!$O$3:$O$1025,MATCH($E111,学年度总表!$E$3:$E$1025,0))="","",INDEX(学年度总表!$O$3:$O$1025,MATCH($E111,学年度总表!$E$3:$E$1025,0)))</f>
        <v>144.44</v>
      </c>
      <c r="P111" s="2" t="str">
        <f>IF(INDEX(学年度总表!$P$3:$P$1025,MATCH($E111,学年度总表!$E$3:$E$1025,0))="","",INDEX(学年度总表!$P$3:$P$1025,MATCH($E111,学年度总表!$E$3:$E$1025,0)))</f>
        <v/>
      </c>
      <c r="Q111" s="5" t="str">
        <f>IF(INDEX(学年度总表!$Q$3:$Q$1025,MATCH($E111,学年度总表!$E$3:$E$1025,0))="","",INDEX(学年度总表!$Q$3:$Q$1025,MATCH($E111,学年度总表!$E$3:$E$1025,0)))</f>
        <v/>
      </c>
    </row>
    <row r="112" spans="1:17">
      <c r="A112" s="2">
        <f>IF(INDEX(学年度总表!$A$3:$A$1025,MATCH($E112,学年度总表!$E$3:$E$1025,0))="","",INDEX(学年度总表!$A$3:$A$1025,MATCH($E112,学年度总表!$E$3:$E$1025,0)))</f>
        <v>374</v>
      </c>
      <c r="B112" s="2">
        <f>IF(INDEX(学年度总表!$B$3:$B$1025,MATCH($E112,学年度总表!$E$3:$E$1025,0))="","",INDEX(学年度总表!$B$3:$B$1025,MATCH($E112,学年度总表!$E$3:$E$1025,0)))</f>
        <v>110</v>
      </c>
      <c r="C112" s="2" t="str">
        <f>IF(INDEX(学年度总表!$C$3:$C$1025,MATCH($E112,学年度总表!$E$3:$E$1025,0))="","",INDEX(学年度总表!$C$3:$C$1025,MATCH($E112,学年度总表!$E$3:$E$1025,0)))</f>
        <v>信管</v>
      </c>
      <c r="D112" s="2" t="str">
        <f>IF(INDEX(学年度总表!$D$3:$D$1025,MATCH($E112,学年度总表!$E$3:$E$1025,0))="","",INDEX(学年度总表!$D$3:$D$1025,MATCH($E112,学年度总表!$E$3:$E$1025,0)))</f>
        <v>信管26班</v>
      </c>
      <c r="E112" s="2" t="s">
        <v>810</v>
      </c>
      <c r="F112" s="2" t="str">
        <f>IF(INDEX(学年度总表!$F$3:$F$1025,MATCH($E112,学年度总表!$E$3:$E$1025,0))="","",INDEX(学年度总表!$F$3:$F$1025,MATCH($E112,学年度总表!$E$3:$E$1025,0)))</f>
        <v>王晓晗</v>
      </c>
      <c r="G112" s="3">
        <f>IF(INDEX(学年度总表!$G$3:$G$1025,MATCH($E112,学年度总表!$E$3:$E$1025,0))="","",INDEX(学年度总表!$G$3:$G$1025,MATCH($E112,学年度总表!$E$3:$E$1025,0)))</f>
        <v>10</v>
      </c>
      <c r="H112" s="3">
        <f>IF(INDEX(学年度总表!$H$3:$H$1025,MATCH($E112,学年度总表!$E$3:$E$1025,0))="","",INDEX(学年度总表!$H$3:$H$1025,MATCH($E112,学年度总表!$E$3:$E$1025,0)))</f>
        <v>61.84</v>
      </c>
      <c r="I112" s="3">
        <f>IF(INDEX(学年度总表!$I$3:$I$1025,MATCH($E112,学年度总表!$E$3:$E$1025,0))="","",INDEX(学年度总表!$I$3:$I$1025,MATCH($E112,学年度总表!$E$3:$E$1025,0)))</f>
        <v>3</v>
      </c>
      <c r="J112" s="3">
        <f>IF(INDEX(学年度总表!$J$3:$J$1025,MATCH($E112,学年度总表!$E$3:$E$1025,0))="","",INDEX(学年度总表!$J$3:$J$1025,MATCH($E112,学年度总表!$E$3:$E$1025,0)))</f>
        <v>74.84</v>
      </c>
      <c r="K112" s="3">
        <f>IF(INDEX(学年度总表!$K$3:$K$1025,MATCH($E112,学年度总表!$E$3:$E$1025,0))="","",INDEX(学年度总表!$K$3:$K$1025,MATCH($E112,学年度总表!$E$3:$E$1025,0)))</f>
        <v>7.5</v>
      </c>
      <c r="L112" s="3">
        <f>IF(INDEX(学年度总表!$L$3:$L$1025,MATCH($E112,学年度总表!$E$3:$E$1025,0))="","",INDEX(学年度总表!$L$3:$L$1025,MATCH($E112,学年度总表!$E$3:$E$1025,0)))</f>
        <v>58.87</v>
      </c>
      <c r="M112" s="3">
        <f>IF(INDEX(学年度总表!$M$3:$M$1025,MATCH($E112,学年度总表!$E$3:$E$1025,0))="","",INDEX(学年度总表!$M$3:$M$1025,MATCH($E112,学年度总表!$E$3:$E$1025,0)))</f>
        <v>3.2</v>
      </c>
      <c r="N112" s="3">
        <f>IF(INDEX(学年度总表!$N$3:$N$1025,MATCH($E112,学年度总表!$E$3:$E$1025,0))="","",INDEX(学年度总表!$N$3:$N$1025,MATCH($E112,学年度总表!$E$3:$E$1025,0)))</f>
        <v>69.569999999999993</v>
      </c>
      <c r="O112" s="3">
        <f>IF(INDEX(学年度总表!$O$3:$O$1025,MATCH($E112,学年度总表!$E$3:$E$1025,0))="","",INDEX(学年度总表!$O$3:$O$1025,MATCH($E112,学年度总表!$E$3:$E$1025,0)))</f>
        <v>144.41</v>
      </c>
      <c r="P112" s="2" t="str">
        <f>IF(INDEX(学年度总表!$P$3:$P$1025,MATCH($E112,学年度总表!$E$3:$E$1025,0))="","",INDEX(学年度总表!$P$3:$P$1025,MATCH($E112,学年度总表!$E$3:$E$1025,0)))</f>
        <v/>
      </c>
      <c r="Q112" s="5" t="str">
        <f>IF(INDEX(学年度总表!$Q$3:$Q$1025,MATCH($E112,学年度总表!$E$3:$E$1025,0))="","",INDEX(学年度总表!$Q$3:$Q$1025,MATCH($E112,学年度总表!$E$3:$E$1025,0)))</f>
        <v/>
      </c>
    </row>
    <row r="113" spans="1:17">
      <c r="A113" s="2">
        <f>IF(INDEX(学年度总表!$A$3:$A$1025,MATCH($E113,学年度总表!$E$3:$E$1025,0))="","",INDEX(学年度总表!$A$3:$A$1025,MATCH($E113,学年度总表!$E$3:$E$1025,0)))</f>
        <v>381</v>
      </c>
      <c r="B113" s="2">
        <f>IF(INDEX(学年度总表!$B$3:$B$1025,MATCH($E113,学年度总表!$E$3:$E$1025,0))="","",INDEX(学年度总表!$B$3:$B$1025,MATCH($E113,学年度总表!$E$3:$E$1025,0)))</f>
        <v>111</v>
      </c>
      <c r="C113" s="2" t="str">
        <f>IF(INDEX(学年度总表!$C$3:$C$1025,MATCH($E113,学年度总表!$E$3:$E$1025,0))="","",INDEX(学年度总表!$C$3:$C$1025,MATCH($E113,学年度总表!$E$3:$E$1025,0)))</f>
        <v>信管</v>
      </c>
      <c r="D113" s="2" t="str">
        <f>IF(INDEX(学年度总表!$D$3:$D$1025,MATCH($E113,学年度总表!$E$3:$E$1025,0))="","",INDEX(学年度总表!$D$3:$D$1025,MATCH($E113,学年度总表!$E$3:$E$1025,0)))</f>
        <v>信管25班</v>
      </c>
      <c r="E113" s="2" t="s">
        <v>824</v>
      </c>
      <c r="F113" s="2" t="str">
        <f>IF(INDEX(学年度总表!$F$3:$F$1025,MATCH($E113,学年度总表!$E$3:$E$1025,0))="","",INDEX(学年度总表!$F$3:$F$1025,MATCH($E113,学年度总表!$E$3:$E$1025,0)))</f>
        <v>张浩源</v>
      </c>
      <c r="G113" s="3">
        <f>IF(INDEX(学年度总表!$G$3:$G$1025,MATCH($E113,学年度总表!$E$3:$E$1025,0))="","",INDEX(学年度总表!$G$3:$G$1025,MATCH($E113,学年度总表!$E$3:$E$1025,0)))</f>
        <v>10.8</v>
      </c>
      <c r="H113" s="3">
        <f>IF(INDEX(学年度总表!$H$3:$H$1025,MATCH($E113,学年度总表!$E$3:$E$1025,0))="","",INDEX(学年度总表!$H$3:$H$1025,MATCH($E113,学年度总表!$E$3:$E$1025,0)))</f>
        <v>62.58</v>
      </c>
      <c r="I113" s="3">
        <f>IF(INDEX(学年度总表!$I$3:$I$1025,MATCH($E113,学年度总表!$E$3:$E$1025,0))="","",INDEX(学年度总表!$I$3:$I$1025,MATCH($E113,学年度总表!$E$3:$E$1025,0)))</f>
        <v>3</v>
      </c>
      <c r="J113" s="3">
        <f>IF(INDEX(学年度总表!$J$3:$J$1025,MATCH($E113,学年度总表!$E$3:$E$1025,0))="","",INDEX(学年度总表!$J$3:$J$1025,MATCH($E113,学年度总表!$E$3:$E$1025,0)))</f>
        <v>76.38</v>
      </c>
      <c r="K113" s="3">
        <f>IF(INDEX(学年度总表!$K$3:$K$1025,MATCH($E113,学年度总表!$E$3:$E$1025,0))="","",INDEX(学年度总表!$K$3:$K$1025,MATCH($E113,学年度总表!$E$3:$E$1025,0)))</f>
        <v>9.8000000000000007</v>
      </c>
      <c r="L113" s="3">
        <f>IF(INDEX(学年度总表!$L$3:$L$1025,MATCH($E113,学年度总表!$E$3:$E$1025,0))="","",INDEX(学年度总表!$L$3:$L$1025,MATCH($E113,学年度总表!$E$3:$E$1025,0)))</f>
        <v>54.46</v>
      </c>
      <c r="M113" s="3">
        <f>IF(INDEX(学年度总表!$M$3:$M$1025,MATCH($E113,学年度总表!$E$3:$E$1025,0))="","",INDEX(学年度总表!$M$3:$M$1025,MATCH($E113,学年度总表!$E$3:$E$1025,0)))</f>
        <v>3.5</v>
      </c>
      <c r="N113" s="3">
        <f>IF(INDEX(学年度总表!$N$3:$N$1025,MATCH($E113,学年度总表!$E$3:$E$1025,0))="","",INDEX(学年度总表!$N$3:$N$1025,MATCH($E113,学年度总表!$E$3:$E$1025,0)))</f>
        <v>67.760000000000005</v>
      </c>
      <c r="O113" s="3">
        <f>IF(INDEX(学年度总表!$O$3:$O$1025,MATCH($E113,学年度总表!$E$3:$E$1025,0))="","",INDEX(学年度总表!$O$3:$O$1025,MATCH($E113,学年度总表!$E$3:$E$1025,0)))</f>
        <v>144.13999999999999</v>
      </c>
      <c r="P113" s="2" t="str">
        <f>IF(INDEX(学年度总表!$P$3:$P$1025,MATCH($E113,学年度总表!$E$3:$E$1025,0))="","",INDEX(学年度总表!$P$3:$P$1025,MATCH($E113,学年度总表!$E$3:$E$1025,0)))</f>
        <v/>
      </c>
      <c r="Q113" s="5" t="str">
        <f>IF(INDEX(学年度总表!$Q$3:$Q$1025,MATCH($E113,学年度总表!$E$3:$E$1025,0))="","",INDEX(学年度总表!$Q$3:$Q$1025,MATCH($E113,学年度总表!$E$3:$E$1025,0)))</f>
        <v/>
      </c>
    </row>
    <row r="114" spans="1:17">
      <c r="A114" s="2">
        <f>IF(INDEX(学年度总表!$A$3:$A$1025,MATCH($E114,学年度总表!$E$3:$E$1025,0))="","",INDEX(学年度总表!$A$3:$A$1025,MATCH($E114,学年度总表!$E$3:$E$1025,0)))</f>
        <v>383</v>
      </c>
      <c r="B114" s="2">
        <f>IF(INDEX(学年度总表!$B$3:$B$1025,MATCH($E114,学年度总表!$E$3:$E$1025,0))="","",INDEX(学年度总表!$B$3:$B$1025,MATCH($E114,学年度总表!$E$3:$E$1025,0)))</f>
        <v>112</v>
      </c>
      <c r="C114" s="2" t="str">
        <f>IF(INDEX(学年度总表!$C$3:$C$1025,MATCH($E114,学年度总表!$E$3:$E$1025,0))="","",INDEX(学年度总表!$C$3:$C$1025,MATCH($E114,学年度总表!$E$3:$E$1025,0)))</f>
        <v>信管</v>
      </c>
      <c r="D114" s="2" t="str">
        <f>IF(INDEX(学年度总表!$D$3:$D$1025,MATCH($E114,学年度总表!$E$3:$E$1025,0))="","",INDEX(学年度总表!$D$3:$D$1025,MATCH($E114,学年度总表!$E$3:$E$1025,0)))</f>
        <v>信管19班</v>
      </c>
      <c r="E114" s="2" t="s">
        <v>828</v>
      </c>
      <c r="F114" s="2" t="str">
        <f>IF(INDEX(学年度总表!$F$3:$F$1025,MATCH($E114,学年度总表!$E$3:$E$1025,0))="","",INDEX(学年度总表!$F$3:$F$1025,MATCH($E114,学年度总表!$E$3:$E$1025,0)))</f>
        <v>张诗瑶</v>
      </c>
      <c r="G114" s="3">
        <f>IF(INDEX(学年度总表!$G$3:$G$1025,MATCH($E114,学年度总表!$E$3:$E$1025,0))="","",INDEX(学年度总表!$G$3:$G$1025,MATCH($E114,学年度总表!$E$3:$E$1025,0)))</f>
        <v>10</v>
      </c>
      <c r="H114" s="3">
        <f>IF(INDEX(学年度总表!$H$3:$H$1025,MATCH($E114,学年度总表!$E$3:$E$1025,0))="","",INDEX(学年度总表!$H$3:$H$1025,MATCH($E114,学年度总表!$E$3:$E$1025,0)))</f>
        <v>59</v>
      </c>
      <c r="I114" s="3">
        <f>IF(INDEX(学年度总表!$I$3:$I$1025,MATCH($E114,学年度总表!$E$3:$E$1025,0))="","",INDEX(学年度总表!$I$3:$I$1025,MATCH($E114,学年度总表!$E$3:$E$1025,0)))</f>
        <v>4.2</v>
      </c>
      <c r="J114" s="3">
        <f>IF(INDEX(学年度总表!$J$3:$J$1025,MATCH($E114,学年度总表!$E$3:$E$1025,0))="","",INDEX(学年度总表!$J$3:$J$1025,MATCH($E114,学年度总表!$E$3:$E$1025,0)))</f>
        <v>73.2</v>
      </c>
      <c r="K114" s="3">
        <f>IF(INDEX(学年度总表!$K$3:$K$1025,MATCH($E114,学年度总表!$E$3:$E$1025,0))="","",INDEX(学年度总表!$K$3:$K$1025,MATCH($E114,学年度总表!$E$3:$E$1025,0)))</f>
        <v>10</v>
      </c>
      <c r="L114" s="3">
        <f>IF(INDEX(学年度总表!$L$3:$L$1025,MATCH($E114,学年度总表!$E$3:$E$1025,0))="","",INDEX(学年度总表!$L$3:$L$1025,MATCH($E114,学年度总表!$E$3:$E$1025,0)))</f>
        <v>56.66</v>
      </c>
      <c r="M114" s="3">
        <f>IF(INDEX(学年度总表!$M$3:$M$1025,MATCH($E114,学年度总表!$E$3:$E$1025,0))="","",INDEX(学年度总表!$M$3:$M$1025,MATCH($E114,学年度总表!$E$3:$E$1025,0)))</f>
        <v>4.2</v>
      </c>
      <c r="N114" s="3">
        <f>IF(INDEX(学年度总表!$N$3:$N$1025,MATCH($E114,学年度总表!$E$3:$E$1025,0))="","",INDEX(学年度总表!$N$3:$N$1025,MATCH($E114,学年度总表!$E$3:$E$1025,0)))</f>
        <v>70.86</v>
      </c>
      <c r="O114" s="3">
        <f>IF(INDEX(学年度总表!$O$3:$O$1025,MATCH($E114,学年度总表!$E$3:$E$1025,0))="","",INDEX(学年度总表!$O$3:$O$1025,MATCH($E114,学年度总表!$E$3:$E$1025,0)))</f>
        <v>144.06</v>
      </c>
      <c r="P114" s="2" t="str">
        <f>IF(INDEX(学年度总表!$P$3:$P$1025,MATCH($E114,学年度总表!$E$3:$E$1025,0))="","",INDEX(学年度总表!$P$3:$P$1025,MATCH($E114,学年度总表!$E$3:$E$1025,0)))</f>
        <v/>
      </c>
      <c r="Q114" s="5" t="str">
        <f>IF(INDEX(学年度总表!$Q$3:$Q$1025,MATCH($E114,学年度总表!$E$3:$E$1025,0))="","",INDEX(学年度总表!$Q$3:$Q$1025,MATCH($E114,学年度总表!$E$3:$E$1025,0)))</f>
        <v/>
      </c>
    </row>
    <row r="115" spans="1:17">
      <c r="A115" s="2">
        <f>IF(INDEX(学年度总表!$A$3:$A$1025,MATCH($E115,学年度总表!$E$3:$E$1025,0))="","",INDEX(学年度总表!$A$3:$A$1025,MATCH($E115,学年度总表!$E$3:$E$1025,0)))</f>
        <v>385</v>
      </c>
      <c r="B115" s="2">
        <f>IF(INDEX(学年度总表!$B$3:$B$1025,MATCH($E115,学年度总表!$E$3:$E$1025,0))="","",INDEX(学年度总表!$B$3:$B$1025,MATCH($E115,学年度总表!$E$3:$E$1025,0)))</f>
        <v>113</v>
      </c>
      <c r="C115" s="2" t="str">
        <f>IF(INDEX(学年度总表!$C$3:$C$1025,MATCH($E115,学年度总表!$E$3:$E$1025,0))="","",INDEX(学年度总表!$C$3:$C$1025,MATCH($E115,学年度总表!$E$3:$E$1025,0)))</f>
        <v>信管</v>
      </c>
      <c r="D115" s="2" t="str">
        <f>IF(INDEX(学年度总表!$D$3:$D$1025,MATCH($E115,学年度总表!$E$3:$E$1025,0))="","",INDEX(学年度总表!$D$3:$D$1025,MATCH($E115,学年度总表!$E$3:$E$1025,0)))</f>
        <v>信管25班</v>
      </c>
      <c r="E115" s="2" t="s">
        <v>832</v>
      </c>
      <c r="F115" s="2" t="str">
        <f>IF(INDEX(学年度总表!$F$3:$F$1025,MATCH($E115,学年度总表!$E$3:$E$1025,0))="","",INDEX(学年度总表!$F$3:$F$1025,MATCH($E115,学年度总表!$E$3:$E$1025,0)))</f>
        <v>伊恩雪</v>
      </c>
      <c r="G115" s="3">
        <f>IF(INDEX(学年度总表!$G$3:$G$1025,MATCH($E115,学年度总表!$E$3:$E$1025,0))="","",INDEX(学年度总表!$G$3:$G$1025,MATCH($E115,学年度总表!$E$3:$E$1025,0)))</f>
        <v>10</v>
      </c>
      <c r="H115" s="3">
        <f>IF(INDEX(学年度总表!$H$3:$H$1025,MATCH($E115,学年度总表!$E$3:$E$1025,0))="","",INDEX(学年度总表!$H$3:$H$1025,MATCH($E115,学年度总表!$E$3:$E$1025,0)))</f>
        <v>58.38</v>
      </c>
      <c r="I115" s="3">
        <f>IF(INDEX(学年度总表!$I$3:$I$1025,MATCH($E115,学年度总表!$E$3:$E$1025,0))="","",INDEX(学年度总表!$I$3:$I$1025,MATCH($E115,学年度总表!$E$3:$E$1025,0)))</f>
        <v>4.5</v>
      </c>
      <c r="J115" s="3">
        <f>IF(INDEX(学年度总表!$J$3:$J$1025,MATCH($E115,学年度总表!$E$3:$E$1025,0))="","",INDEX(学年度总表!$J$3:$J$1025,MATCH($E115,学年度总表!$E$3:$E$1025,0)))</f>
        <v>72.88</v>
      </c>
      <c r="K115" s="3">
        <f>IF(INDEX(学年度总表!$K$3:$K$1025,MATCH($E115,学年度总表!$E$3:$E$1025,0))="","",INDEX(学年度总表!$K$3:$K$1025,MATCH($E115,学年度总表!$E$3:$E$1025,0)))</f>
        <v>10</v>
      </c>
      <c r="L115" s="3">
        <f>IF(INDEX(学年度总表!$L$3:$L$1025,MATCH($E115,学年度总表!$E$3:$E$1025,0))="","",INDEX(学年度总表!$L$3:$L$1025,MATCH($E115,学年度总表!$E$3:$E$1025,0)))</f>
        <v>55.97</v>
      </c>
      <c r="M115" s="3">
        <f>IF(INDEX(学年度总表!$M$3:$M$1025,MATCH($E115,学年度总表!$E$3:$E$1025,0))="","",INDEX(学年度总表!$M$3:$M$1025,MATCH($E115,学年度总表!$E$3:$E$1025,0)))</f>
        <v>5.0999999999999996</v>
      </c>
      <c r="N115" s="3">
        <f>IF(INDEX(学年度总表!$N$3:$N$1025,MATCH($E115,学年度总表!$E$3:$E$1025,0))="","",INDEX(学年度总表!$N$3:$N$1025,MATCH($E115,学年度总表!$E$3:$E$1025,0)))</f>
        <v>71.069999999999993</v>
      </c>
      <c r="O115" s="3">
        <f>IF(INDEX(学年度总表!$O$3:$O$1025,MATCH($E115,学年度总表!$E$3:$E$1025,0))="","",INDEX(学年度总表!$O$3:$O$1025,MATCH($E115,学年度总表!$E$3:$E$1025,0)))</f>
        <v>143.94999999999999</v>
      </c>
      <c r="P115" s="2" t="str">
        <f>IF(INDEX(学年度总表!$P$3:$P$1025,MATCH($E115,学年度总表!$E$3:$E$1025,0))="","",INDEX(学年度总表!$P$3:$P$1025,MATCH($E115,学年度总表!$E$3:$E$1025,0)))</f>
        <v/>
      </c>
      <c r="Q115" s="5" t="str">
        <f>IF(INDEX(学年度总表!$Q$3:$Q$1025,MATCH($E115,学年度总表!$E$3:$E$1025,0))="","",INDEX(学年度总表!$Q$3:$Q$1025,MATCH($E115,学年度总表!$E$3:$E$1025,0)))</f>
        <v/>
      </c>
    </row>
    <row r="116" spans="1:17">
      <c r="A116" s="2">
        <f>IF(INDEX(学年度总表!$A$3:$A$1025,MATCH($E116,学年度总表!$E$3:$E$1025,0))="","",INDEX(学年度总表!$A$3:$A$1025,MATCH($E116,学年度总表!$E$3:$E$1025,0)))</f>
        <v>386</v>
      </c>
      <c r="B116" s="2">
        <f>IF(INDEX(学年度总表!$B$3:$B$1025,MATCH($E116,学年度总表!$E$3:$E$1025,0))="","",INDEX(学年度总表!$B$3:$B$1025,MATCH($E116,学年度总表!$E$3:$E$1025,0)))</f>
        <v>114</v>
      </c>
      <c r="C116" s="2" t="str">
        <f>IF(INDEX(学年度总表!$C$3:$C$1025,MATCH($E116,学年度总表!$E$3:$E$1025,0))="","",INDEX(学年度总表!$C$3:$C$1025,MATCH($E116,学年度总表!$E$3:$E$1025,0)))</f>
        <v>信管</v>
      </c>
      <c r="D116" s="2" t="str">
        <f>IF(INDEX(学年度总表!$D$3:$D$1025,MATCH($E116,学年度总表!$E$3:$E$1025,0))="","",INDEX(学年度总表!$D$3:$D$1025,MATCH($E116,学年度总表!$E$3:$E$1025,0)))</f>
        <v>信管21班</v>
      </c>
      <c r="E116" s="2" t="s">
        <v>836</v>
      </c>
      <c r="F116" s="2" t="str">
        <f>IF(INDEX(学年度总表!$F$3:$F$1025,MATCH($E116,学年度总表!$E$3:$E$1025,0))="","",INDEX(学年度总表!$F$3:$F$1025,MATCH($E116,学年度总表!$E$3:$E$1025,0)))</f>
        <v>张昕睿</v>
      </c>
      <c r="G116" s="3">
        <f>IF(INDEX(学年度总表!$G$3:$G$1025,MATCH($E116,学年度总表!$E$3:$E$1025,0))="","",INDEX(学年度总表!$G$3:$G$1025,MATCH($E116,学年度总表!$E$3:$E$1025,0)))</f>
        <v>9.8000000000000007</v>
      </c>
      <c r="H116" s="3">
        <f>IF(INDEX(学年度总表!$H$3:$H$1025,MATCH($E116,学年度总表!$E$3:$E$1025,0))="","",INDEX(学年度总表!$H$3:$H$1025,MATCH($E116,学年度总表!$E$3:$E$1025,0)))</f>
        <v>55.71</v>
      </c>
      <c r="I116" s="3">
        <f>IF(INDEX(学年度总表!$I$3:$I$1025,MATCH($E116,学年度总表!$E$3:$E$1025,0))="","",INDEX(学年度总表!$I$3:$I$1025,MATCH($E116,学年度总表!$E$3:$E$1025,0)))</f>
        <v>5.2</v>
      </c>
      <c r="J116" s="3">
        <f>IF(INDEX(学年度总表!$J$3:$J$1025,MATCH($E116,学年度总表!$E$3:$E$1025,0))="","",INDEX(学年度总表!$J$3:$J$1025,MATCH($E116,学年度总表!$E$3:$E$1025,0)))</f>
        <v>70.709999999999994</v>
      </c>
      <c r="K116" s="3">
        <f>IF(INDEX(学年度总表!$K$3:$K$1025,MATCH($E116,学年度总表!$E$3:$E$1025,0))="","",INDEX(学年度总表!$K$3:$K$1025,MATCH($E116,学年度总表!$E$3:$E$1025,0)))</f>
        <v>9.8000000000000007</v>
      </c>
      <c r="L116" s="3">
        <f>IF(INDEX(学年度总表!$L$3:$L$1025,MATCH($E116,学年度总表!$E$3:$E$1025,0))="","",INDEX(学年度总表!$L$3:$L$1025,MATCH($E116,学年度总表!$E$3:$E$1025,0)))</f>
        <v>58.34</v>
      </c>
      <c r="M116" s="3">
        <f>IF(INDEX(学年度总表!$M$3:$M$1025,MATCH($E116,学年度总表!$E$3:$E$1025,0))="","",INDEX(学年度总表!$M$3:$M$1025,MATCH($E116,学年度总表!$E$3:$E$1025,0)))</f>
        <v>5</v>
      </c>
      <c r="N116" s="3">
        <f>IF(INDEX(学年度总表!$N$3:$N$1025,MATCH($E116,学年度总表!$E$3:$E$1025,0))="","",INDEX(学年度总表!$N$3:$N$1025,MATCH($E116,学年度总表!$E$3:$E$1025,0)))</f>
        <v>73.14</v>
      </c>
      <c r="O116" s="3">
        <f>IF(INDEX(学年度总表!$O$3:$O$1025,MATCH($E116,学年度总表!$E$3:$E$1025,0))="","",INDEX(学年度总表!$O$3:$O$1025,MATCH($E116,学年度总表!$E$3:$E$1025,0)))</f>
        <v>143.85</v>
      </c>
      <c r="P116" s="2" t="str">
        <f>IF(INDEX(学年度总表!$P$3:$P$1025,MATCH($E116,学年度总表!$E$3:$E$1025,0))="","",INDEX(学年度总表!$P$3:$P$1025,MATCH($E116,学年度总表!$E$3:$E$1025,0)))</f>
        <v/>
      </c>
      <c r="Q116" s="5" t="str">
        <f>IF(INDEX(学年度总表!$Q$3:$Q$1025,MATCH($E116,学年度总表!$E$3:$E$1025,0))="","",INDEX(学年度总表!$Q$3:$Q$1025,MATCH($E116,学年度总表!$E$3:$E$1025,0)))</f>
        <v/>
      </c>
    </row>
    <row r="117" spans="1:17">
      <c r="A117" s="2">
        <f>IF(INDEX(学年度总表!$A$3:$A$1025,MATCH($E117,学年度总表!$E$3:$E$1025,0))="","",INDEX(学年度总表!$A$3:$A$1025,MATCH($E117,学年度总表!$E$3:$E$1025,0)))</f>
        <v>389</v>
      </c>
      <c r="B117" s="2">
        <f>IF(INDEX(学年度总表!$B$3:$B$1025,MATCH($E117,学年度总表!$E$3:$E$1025,0))="","",INDEX(学年度总表!$B$3:$B$1025,MATCH($E117,学年度总表!$E$3:$E$1025,0)))</f>
        <v>115</v>
      </c>
      <c r="C117" s="2" t="str">
        <f>IF(INDEX(学年度总表!$C$3:$C$1025,MATCH($E117,学年度总表!$E$3:$E$1025,0))="","",INDEX(学年度总表!$C$3:$C$1025,MATCH($E117,学年度总表!$E$3:$E$1025,0)))</f>
        <v>信管</v>
      </c>
      <c r="D117" s="2" t="str">
        <f>IF(INDEX(学年度总表!$D$3:$D$1025,MATCH($E117,学年度总表!$E$3:$E$1025,0))="","",INDEX(学年度总表!$D$3:$D$1025,MATCH($E117,学年度总表!$E$3:$E$1025,0)))</f>
        <v>信管21班</v>
      </c>
      <c r="E117" s="2" t="s">
        <v>840</v>
      </c>
      <c r="F117" s="2" t="str">
        <f>IF(INDEX(学年度总表!$F$3:$F$1025,MATCH($E117,学年度总表!$E$3:$E$1025,0))="","",INDEX(学年度总表!$F$3:$F$1025,MATCH($E117,学年度总表!$E$3:$E$1025,0)))</f>
        <v>曹嘉依</v>
      </c>
      <c r="G117" s="3">
        <f>IF(INDEX(学年度总表!$G$3:$G$1025,MATCH($E117,学年度总表!$E$3:$E$1025,0))="","",INDEX(学年度总表!$G$3:$G$1025,MATCH($E117,学年度总表!$E$3:$E$1025,0)))</f>
        <v>10.5</v>
      </c>
      <c r="H117" s="3">
        <f>IF(INDEX(学年度总表!$H$3:$H$1025,MATCH($E117,学年度总表!$E$3:$E$1025,0))="","",INDEX(学年度总表!$H$3:$H$1025,MATCH($E117,学年度总表!$E$3:$E$1025,0)))</f>
        <v>59.2</v>
      </c>
      <c r="I117" s="3">
        <f>IF(INDEX(学年度总表!$I$3:$I$1025,MATCH($E117,学年度总表!$E$3:$E$1025,0))="","",INDEX(学年度总表!$I$3:$I$1025,MATCH($E117,学年度总表!$E$3:$E$1025,0)))</f>
        <v>3</v>
      </c>
      <c r="J117" s="3">
        <f>IF(INDEX(学年度总表!$J$3:$J$1025,MATCH($E117,学年度总表!$E$3:$E$1025,0))="","",INDEX(学年度总表!$J$3:$J$1025,MATCH($E117,学年度总表!$E$3:$E$1025,0)))</f>
        <v>72.7</v>
      </c>
      <c r="K117" s="3">
        <f>IF(INDEX(学年度总表!$K$3:$K$1025,MATCH($E117,学年度总表!$E$3:$E$1025,0))="","",INDEX(学年度总表!$K$3:$K$1025,MATCH($E117,学年度总表!$E$3:$E$1025,0)))</f>
        <v>10</v>
      </c>
      <c r="L117" s="3">
        <f>IF(INDEX(学年度总表!$L$3:$L$1025,MATCH($E117,学年度总表!$E$3:$E$1025,0))="","",INDEX(学年度总表!$L$3:$L$1025,MATCH($E117,学年度总表!$E$3:$E$1025,0)))</f>
        <v>57.41</v>
      </c>
      <c r="M117" s="3">
        <f>IF(INDEX(学年度总表!$M$3:$M$1025,MATCH($E117,学年度总表!$E$3:$E$1025,0))="","",INDEX(学年度总表!$M$3:$M$1025,MATCH($E117,学年度总表!$E$3:$E$1025,0)))</f>
        <v>3.5</v>
      </c>
      <c r="N117" s="3">
        <f>IF(INDEX(学年度总表!$N$3:$N$1025,MATCH($E117,学年度总表!$E$3:$E$1025,0))="","",INDEX(学年度总表!$N$3:$N$1025,MATCH($E117,学年度总表!$E$3:$E$1025,0)))</f>
        <v>70.91</v>
      </c>
      <c r="O117" s="3">
        <f>IF(INDEX(学年度总表!$O$3:$O$1025,MATCH($E117,学年度总表!$E$3:$E$1025,0))="","",INDEX(学年度总表!$O$3:$O$1025,MATCH($E117,学年度总表!$E$3:$E$1025,0)))</f>
        <v>143.61000000000001</v>
      </c>
      <c r="P117" s="2" t="str">
        <f>IF(INDEX(学年度总表!$P$3:$P$1025,MATCH($E117,学年度总表!$E$3:$E$1025,0))="","",INDEX(学年度总表!$P$3:$P$1025,MATCH($E117,学年度总表!$E$3:$E$1025,0)))</f>
        <v/>
      </c>
      <c r="Q117" s="5" t="str">
        <f>IF(INDEX(学年度总表!$Q$3:$Q$1025,MATCH($E117,学年度总表!$E$3:$E$1025,0))="","",INDEX(学年度总表!$Q$3:$Q$1025,MATCH($E117,学年度总表!$E$3:$E$1025,0)))</f>
        <v/>
      </c>
    </row>
    <row r="118" spans="1:17">
      <c r="A118" s="2">
        <f>IF(INDEX(学年度总表!$A$3:$A$1025,MATCH($E118,学年度总表!$E$3:$E$1025,0))="","",INDEX(学年度总表!$A$3:$A$1025,MATCH($E118,学年度总表!$E$3:$E$1025,0)))</f>
        <v>392</v>
      </c>
      <c r="B118" s="2">
        <f>IF(INDEX(学年度总表!$B$3:$B$1025,MATCH($E118,学年度总表!$E$3:$E$1025,0))="","",INDEX(学年度总表!$B$3:$B$1025,MATCH($E118,学年度总表!$E$3:$E$1025,0)))</f>
        <v>116</v>
      </c>
      <c r="C118" s="2" t="str">
        <f>IF(INDEX(学年度总表!$C$3:$C$1025,MATCH($E118,学年度总表!$E$3:$E$1025,0))="","",INDEX(学年度总表!$C$3:$C$1025,MATCH($E118,学年度总表!$E$3:$E$1025,0)))</f>
        <v>信管</v>
      </c>
      <c r="D118" s="2" t="str">
        <f>IF(INDEX(学年度总表!$D$3:$D$1025,MATCH($E118,学年度总表!$E$3:$E$1025,0))="","",INDEX(学年度总表!$D$3:$D$1025,MATCH($E118,学年度总表!$E$3:$E$1025,0)))</f>
        <v>信管25班</v>
      </c>
      <c r="E118" s="2" t="s">
        <v>846</v>
      </c>
      <c r="F118" s="2" t="str">
        <f>IF(INDEX(学年度总表!$F$3:$F$1025,MATCH($E118,学年度总表!$E$3:$E$1025,0))="","",INDEX(学年度总表!$F$3:$F$1025,MATCH($E118,学年度总表!$E$3:$E$1025,0)))</f>
        <v>王志晨</v>
      </c>
      <c r="G118" s="3">
        <f>IF(INDEX(学年度总表!$G$3:$G$1025,MATCH($E118,学年度总表!$E$3:$E$1025,0))="","",INDEX(学年度总表!$G$3:$G$1025,MATCH($E118,学年度总表!$E$3:$E$1025,0)))</f>
        <v>12</v>
      </c>
      <c r="H118" s="3">
        <f>IF(INDEX(学年度总表!$H$3:$H$1025,MATCH($E118,学年度总表!$E$3:$E$1025,0))="","",INDEX(学年度总表!$H$3:$H$1025,MATCH($E118,学年度总表!$E$3:$E$1025,0)))</f>
        <v>60.4</v>
      </c>
      <c r="I118" s="3">
        <f>IF(INDEX(学年度总表!$I$3:$I$1025,MATCH($E118,学年度总表!$E$3:$E$1025,0))="","",INDEX(学年度总表!$I$3:$I$1025,MATCH($E118,学年度总表!$E$3:$E$1025,0)))</f>
        <v>6.7</v>
      </c>
      <c r="J118" s="3">
        <f>IF(INDEX(学年度总表!$J$3:$J$1025,MATCH($E118,学年度总表!$E$3:$E$1025,0))="","",INDEX(学年度总表!$J$3:$J$1025,MATCH($E118,学年度总表!$E$3:$E$1025,0)))</f>
        <v>79.099999999999994</v>
      </c>
      <c r="K118" s="3">
        <f>IF(INDEX(学年度总表!$K$3:$K$1025,MATCH($E118,学年度总表!$E$3:$E$1025,0))="","",INDEX(学年度总表!$K$3:$K$1025,MATCH($E118,学年度总表!$E$3:$E$1025,0)))</f>
        <v>10</v>
      </c>
      <c r="L118" s="3">
        <f>IF(INDEX(学年度总表!$L$3:$L$1025,MATCH($E118,学年度总表!$E$3:$E$1025,0))="","",INDEX(学年度总表!$L$3:$L$1025,MATCH($E118,学年度总表!$E$3:$E$1025,0)))</f>
        <v>47.64</v>
      </c>
      <c r="M118" s="3">
        <f>IF(INDEX(学年度总表!$M$3:$M$1025,MATCH($E118,学年度总表!$E$3:$E$1025,0))="","",INDEX(学年度总表!$M$3:$M$1025,MATCH($E118,学年度总表!$E$3:$E$1025,0)))</f>
        <v>6.8</v>
      </c>
      <c r="N118" s="3">
        <f>IF(INDEX(学年度总表!$N$3:$N$1025,MATCH($E118,学年度总表!$E$3:$E$1025,0))="","",INDEX(学年度总表!$N$3:$N$1025,MATCH($E118,学年度总表!$E$3:$E$1025,0)))</f>
        <v>64.44</v>
      </c>
      <c r="O118" s="3">
        <f>IF(INDEX(学年度总表!$O$3:$O$1025,MATCH($E118,学年度总表!$E$3:$E$1025,0))="","",INDEX(学年度总表!$O$3:$O$1025,MATCH($E118,学年度总表!$E$3:$E$1025,0)))</f>
        <v>143.54</v>
      </c>
      <c r="P118" s="2" t="str">
        <f>IF(INDEX(学年度总表!$P$3:$P$1025,MATCH($E118,学年度总表!$E$3:$E$1025,0))="","",INDEX(学年度总表!$P$3:$P$1025,MATCH($E118,学年度总表!$E$3:$E$1025,0)))</f>
        <v/>
      </c>
      <c r="Q118" s="5" t="str">
        <f>IF(INDEX(学年度总表!$Q$3:$Q$1025,MATCH($E118,学年度总表!$E$3:$E$1025,0))="","",INDEX(学年度总表!$Q$3:$Q$1025,MATCH($E118,学年度总表!$E$3:$E$1025,0)))</f>
        <v/>
      </c>
    </row>
    <row r="119" spans="1:17">
      <c r="A119" s="2">
        <f>IF(INDEX(学年度总表!$A$3:$A$1025,MATCH($E119,学年度总表!$E$3:$E$1025,0))="","",INDEX(学年度总表!$A$3:$A$1025,MATCH($E119,学年度总表!$E$3:$E$1025,0)))</f>
        <v>398</v>
      </c>
      <c r="B119" s="2">
        <f>IF(INDEX(学年度总表!$B$3:$B$1025,MATCH($E119,学年度总表!$E$3:$E$1025,0))="","",INDEX(学年度总表!$B$3:$B$1025,MATCH($E119,学年度总表!$E$3:$E$1025,0)))</f>
        <v>117</v>
      </c>
      <c r="C119" s="2" t="str">
        <f>IF(INDEX(学年度总表!$C$3:$C$1025,MATCH($E119,学年度总表!$E$3:$E$1025,0))="","",INDEX(学年度总表!$C$3:$C$1025,MATCH($E119,学年度总表!$E$3:$E$1025,0)))</f>
        <v>信管</v>
      </c>
      <c r="D119" s="2" t="str">
        <f>IF(INDEX(学年度总表!$D$3:$D$1025,MATCH($E119,学年度总表!$E$3:$E$1025,0))="","",INDEX(学年度总表!$D$3:$D$1025,MATCH($E119,学年度总表!$E$3:$E$1025,0)))</f>
        <v>信管26班</v>
      </c>
      <c r="E119" s="2" t="s">
        <v>858</v>
      </c>
      <c r="F119" s="2" t="str">
        <f>IF(INDEX(学年度总表!$F$3:$F$1025,MATCH($E119,学年度总表!$E$3:$E$1025,0))="","",INDEX(学年度总表!$F$3:$F$1025,MATCH($E119,学年度总表!$E$3:$E$1025,0)))</f>
        <v>周镜沂</v>
      </c>
      <c r="G119" s="3">
        <f>IF(INDEX(学年度总表!$G$3:$G$1025,MATCH($E119,学年度总表!$E$3:$E$1025,0))="","",INDEX(学年度总表!$G$3:$G$1025,MATCH($E119,学年度总表!$E$3:$E$1025,0)))</f>
        <v>9.8000000000000007</v>
      </c>
      <c r="H119" s="3">
        <f>IF(INDEX(学年度总表!$H$3:$H$1025,MATCH($E119,学年度总表!$E$3:$E$1025,0))="","",INDEX(学年度总表!$H$3:$H$1025,MATCH($E119,学年度总表!$E$3:$E$1025,0)))</f>
        <v>58.8</v>
      </c>
      <c r="I119" s="3">
        <f>IF(INDEX(学年度总表!$I$3:$I$1025,MATCH($E119,学年度总表!$E$3:$E$1025,0))="","",INDEX(学年度总表!$I$3:$I$1025,MATCH($E119,学年度总表!$E$3:$E$1025,0)))</f>
        <v>4.2</v>
      </c>
      <c r="J119" s="3">
        <f>IF(INDEX(学年度总表!$J$3:$J$1025,MATCH($E119,学年度总表!$E$3:$E$1025,0))="","",INDEX(学年度总表!$J$3:$J$1025,MATCH($E119,学年度总表!$E$3:$E$1025,0)))</f>
        <v>72.8</v>
      </c>
      <c r="K119" s="3">
        <f>IF(INDEX(学年度总表!$K$3:$K$1025,MATCH($E119,学年度总表!$E$3:$E$1025,0))="","",INDEX(学年度总表!$K$3:$K$1025,MATCH($E119,学年度总表!$E$3:$E$1025,0)))</f>
        <v>7.3000000000000007</v>
      </c>
      <c r="L119" s="3">
        <f>IF(INDEX(学年度总表!$L$3:$L$1025,MATCH($E119,学年度总表!$E$3:$E$1025,0))="","",INDEX(学年度总表!$L$3:$L$1025,MATCH($E119,学年度总表!$E$3:$E$1025,0)))</f>
        <v>57.62</v>
      </c>
      <c r="M119" s="3">
        <f>IF(INDEX(学年度总表!$M$3:$M$1025,MATCH($E119,学年度总表!$E$3:$E$1025,0))="","",INDEX(学年度总表!$M$3:$M$1025,MATCH($E119,学年度总表!$E$3:$E$1025,0)))</f>
        <v>5.7</v>
      </c>
      <c r="N119" s="3">
        <f>IF(INDEX(学年度总表!$N$3:$N$1025,MATCH($E119,学年度总表!$E$3:$E$1025,0))="","",INDEX(学年度总表!$N$3:$N$1025,MATCH($E119,学年度总表!$E$3:$E$1025,0)))</f>
        <v>70.62</v>
      </c>
      <c r="O119" s="3">
        <f>IF(INDEX(学年度总表!$O$3:$O$1025,MATCH($E119,学年度总表!$E$3:$E$1025,0))="","",INDEX(学年度总表!$O$3:$O$1025,MATCH($E119,学年度总表!$E$3:$E$1025,0)))</f>
        <v>143.41999999999999</v>
      </c>
      <c r="P119" s="2" t="str">
        <f>IF(INDEX(学年度总表!$P$3:$P$1025,MATCH($E119,学年度总表!$E$3:$E$1025,0))="","",INDEX(学年度总表!$P$3:$P$1025,MATCH($E119,学年度总表!$E$3:$E$1025,0)))</f>
        <v/>
      </c>
      <c r="Q119" s="5" t="str">
        <f>IF(INDEX(学年度总表!$Q$3:$Q$1025,MATCH($E119,学年度总表!$E$3:$E$1025,0))="","",INDEX(学年度总表!$Q$3:$Q$1025,MATCH($E119,学年度总表!$E$3:$E$1025,0)))</f>
        <v/>
      </c>
    </row>
    <row r="120" spans="1:17">
      <c r="A120" s="2">
        <f>IF(INDEX(学年度总表!$A$3:$A$1025,MATCH($E120,学年度总表!$E$3:$E$1025,0))="","",INDEX(学年度总表!$A$3:$A$1025,MATCH($E120,学年度总表!$E$3:$E$1025,0)))</f>
        <v>401</v>
      </c>
      <c r="B120" s="2">
        <f>IF(INDEX(学年度总表!$B$3:$B$1025,MATCH($E120,学年度总表!$E$3:$E$1025,0))="","",INDEX(学年度总表!$B$3:$B$1025,MATCH($E120,学年度总表!$E$3:$E$1025,0)))</f>
        <v>118</v>
      </c>
      <c r="C120" s="2" t="str">
        <f>IF(INDEX(学年度总表!$C$3:$C$1025,MATCH($E120,学年度总表!$E$3:$E$1025,0))="","",INDEX(学年度总表!$C$3:$C$1025,MATCH($E120,学年度总表!$E$3:$E$1025,0)))</f>
        <v>信管</v>
      </c>
      <c r="D120" s="2" t="str">
        <f>IF(INDEX(学年度总表!$D$3:$D$1025,MATCH($E120,学年度总表!$E$3:$E$1025,0))="","",INDEX(学年度总表!$D$3:$D$1025,MATCH($E120,学年度总表!$E$3:$E$1025,0)))</f>
        <v>信管27班</v>
      </c>
      <c r="E120" s="2" t="s">
        <v>864</v>
      </c>
      <c r="F120" s="2" t="str">
        <f>IF(INDEX(学年度总表!$F$3:$F$1025,MATCH($E120,学年度总表!$E$3:$E$1025,0))="","",INDEX(学年度总表!$F$3:$F$1025,MATCH($E120,学年度总表!$E$3:$E$1025,0)))</f>
        <v>石家慧</v>
      </c>
      <c r="G120" s="3">
        <f>IF(INDEX(学年度总表!$G$3:$G$1025,MATCH($E120,学年度总表!$E$3:$E$1025,0))="","",INDEX(学年度总表!$G$3:$G$1025,MATCH($E120,学年度总表!$E$3:$E$1025,0)))</f>
        <v>9.8000000000000007</v>
      </c>
      <c r="H120" s="3">
        <f>IF(INDEX(学年度总表!$H$3:$H$1025,MATCH($E120,学年度总表!$E$3:$E$1025,0))="","",INDEX(学年度总表!$H$3:$H$1025,MATCH($E120,学年度总表!$E$3:$E$1025,0)))</f>
        <v>59.5</v>
      </c>
      <c r="I120" s="3">
        <f>IF(INDEX(学年度总表!$I$3:$I$1025,MATCH($E120,学年度总表!$E$3:$E$1025,0))="","",INDEX(学年度总表!$I$3:$I$1025,MATCH($E120,学年度总表!$E$3:$E$1025,0)))</f>
        <v>4</v>
      </c>
      <c r="J120" s="3">
        <f>IF(INDEX(学年度总表!$J$3:$J$1025,MATCH($E120,学年度总表!$E$3:$E$1025,0))="","",INDEX(学年度总表!$J$3:$J$1025,MATCH($E120,学年度总表!$E$3:$E$1025,0)))</f>
        <v>73.3</v>
      </c>
      <c r="K120" s="3">
        <f>IF(INDEX(学年度总表!$K$3:$K$1025,MATCH($E120,学年度总表!$E$3:$E$1025,0))="","",INDEX(学年度总表!$K$3:$K$1025,MATCH($E120,学年度总表!$E$3:$E$1025,0)))</f>
        <v>9.8000000000000007</v>
      </c>
      <c r="L120" s="3">
        <f>IF(INDEX(学年度总表!$L$3:$L$1025,MATCH($E120,学年度总表!$E$3:$E$1025,0))="","",INDEX(学年度总表!$L$3:$L$1025,MATCH($E120,学年度总表!$E$3:$E$1025,0)))</f>
        <v>55.88</v>
      </c>
      <c r="M120" s="3">
        <f>IF(INDEX(学年度总表!$M$3:$M$1025,MATCH($E120,学年度总表!$E$3:$E$1025,0))="","",INDEX(学年度总表!$M$3:$M$1025,MATCH($E120,学年度总表!$E$3:$E$1025,0)))</f>
        <v>4.4000000000000004</v>
      </c>
      <c r="N120" s="3">
        <f>IF(INDEX(学年度总表!$N$3:$N$1025,MATCH($E120,学年度总表!$E$3:$E$1025,0))="","",INDEX(学年度总表!$N$3:$N$1025,MATCH($E120,学年度总表!$E$3:$E$1025,0)))</f>
        <v>70.08</v>
      </c>
      <c r="O120" s="3">
        <f>IF(INDEX(学年度总表!$O$3:$O$1025,MATCH($E120,学年度总表!$E$3:$E$1025,0))="","",INDEX(学年度总表!$O$3:$O$1025,MATCH($E120,学年度总表!$E$3:$E$1025,0)))</f>
        <v>143.38</v>
      </c>
      <c r="P120" s="2" t="str">
        <f>IF(INDEX(学年度总表!$P$3:$P$1025,MATCH($E120,学年度总表!$E$3:$E$1025,0))="","",INDEX(学年度总表!$P$3:$P$1025,MATCH($E120,学年度总表!$E$3:$E$1025,0)))</f>
        <v/>
      </c>
      <c r="Q120" s="5" t="str">
        <f>IF(INDEX(学年度总表!$Q$3:$Q$1025,MATCH($E120,学年度总表!$E$3:$E$1025,0))="","",INDEX(学年度总表!$Q$3:$Q$1025,MATCH($E120,学年度总表!$E$3:$E$1025,0)))</f>
        <v/>
      </c>
    </row>
    <row r="121" spans="1:17">
      <c r="A121" s="2">
        <f>IF(INDEX(学年度总表!$A$3:$A$1025,MATCH($E121,学年度总表!$E$3:$E$1025,0))="","",INDEX(学年度总表!$A$3:$A$1025,MATCH($E121,学年度总表!$E$3:$E$1025,0)))</f>
        <v>403</v>
      </c>
      <c r="B121" s="2">
        <f>IF(INDEX(学年度总表!$B$3:$B$1025,MATCH($E121,学年度总表!$E$3:$E$1025,0))="","",INDEX(学年度总表!$B$3:$B$1025,MATCH($E121,学年度总表!$E$3:$E$1025,0)))</f>
        <v>119</v>
      </c>
      <c r="C121" s="2" t="str">
        <f>IF(INDEX(学年度总表!$C$3:$C$1025,MATCH($E121,学年度总表!$E$3:$E$1025,0))="","",INDEX(学年度总表!$C$3:$C$1025,MATCH($E121,学年度总表!$E$3:$E$1025,0)))</f>
        <v>信管</v>
      </c>
      <c r="D121" s="2" t="str">
        <f>IF(INDEX(学年度总表!$D$3:$D$1025,MATCH($E121,学年度总表!$E$3:$E$1025,0))="","",INDEX(学年度总表!$D$3:$D$1025,MATCH($E121,学年度总表!$E$3:$E$1025,0)))</f>
        <v>信管25班</v>
      </c>
      <c r="E121" s="2" t="s">
        <v>868</v>
      </c>
      <c r="F121" s="2" t="str">
        <f>IF(INDEX(学年度总表!$F$3:$F$1025,MATCH($E121,学年度总表!$E$3:$E$1025,0))="","",INDEX(学年度总表!$F$3:$F$1025,MATCH($E121,学年度总表!$E$3:$E$1025,0)))</f>
        <v>袁欣祎</v>
      </c>
      <c r="G121" s="3">
        <f>IF(INDEX(学年度总表!$G$3:$G$1025,MATCH($E121,学年度总表!$E$3:$E$1025,0))="","",INDEX(学年度总表!$G$3:$G$1025,MATCH($E121,学年度总表!$E$3:$E$1025,0)))</f>
        <v>10.3</v>
      </c>
      <c r="H121" s="3">
        <f>IF(INDEX(学年度总表!$H$3:$H$1025,MATCH($E121,学年度总表!$E$3:$E$1025,0))="","",INDEX(学年度总表!$H$3:$H$1025,MATCH($E121,学年度总表!$E$3:$E$1025,0)))</f>
        <v>61.13</v>
      </c>
      <c r="I121" s="3">
        <f>IF(INDEX(学年度总表!$I$3:$I$1025,MATCH($E121,学年度总表!$E$3:$E$1025,0))="","",INDEX(学年度总表!$I$3:$I$1025,MATCH($E121,学年度总表!$E$3:$E$1025,0)))</f>
        <v>4.2</v>
      </c>
      <c r="J121" s="3">
        <f>IF(INDEX(学年度总表!$J$3:$J$1025,MATCH($E121,学年度总表!$E$3:$E$1025,0))="","",INDEX(学年度总表!$J$3:$J$1025,MATCH($E121,学年度总表!$E$3:$E$1025,0)))</f>
        <v>75.63</v>
      </c>
      <c r="K121" s="3">
        <f>IF(INDEX(学年度总表!$K$3:$K$1025,MATCH($E121,学年度总表!$E$3:$E$1025,0))="","",INDEX(学年度总表!$K$3:$K$1025,MATCH($E121,学年度总表!$E$3:$E$1025,0)))</f>
        <v>7.3000000000000007</v>
      </c>
      <c r="L121" s="3">
        <f>IF(INDEX(学年度总表!$L$3:$L$1025,MATCH($E121,学年度总表!$E$3:$E$1025,0))="","",INDEX(学年度总表!$L$3:$L$1025,MATCH($E121,学年度总表!$E$3:$E$1025,0)))</f>
        <v>57.39</v>
      </c>
      <c r="M121" s="3">
        <f>IF(INDEX(学年度总表!$M$3:$M$1025,MATCH($E121,学年度总表!$E$3:$E$1025,0))="","",INDEX(学年度总表!$M$3:$M$1025,MATCH($E121,学年度总表!$E$3:$E$1025,0)))</f>
        <v>3</v>
      </c>
      <c r="N121" s="3">
        <f>IF(INDEX(学年度总表!$N$3:$N$1025,MATCH($E121,学年度总表!$E$3:$E$1025,0))="","",INDEX(学年度总表!$N$3:$N$1025,MATCH($E121,学年度总表!$E$3:$E$1025,0)))</f>
        <v>67.69</v>
      </c>
      <c r="O121" s="3">
        <f>IF(INDEX(学年度总表!$O$3:$O$1025,MATCH($E121,学年度总表!$E$3:$E$1025,0))="","",INDEX(学年度总表!$O$3:$O$1025,MATCH($E121,学年度总表!$E$3:$E$1025,0)))</f>
        <v>143.32</v>
      </c>
      <c r="P121" s="2" t="str">
        <f>IF(INDEX(学年度总表!$P$3:$P$1025,MATCH($E121,学年度总表!$E$3:$E$1025,0))="","",INDEX(学年度总表!$P$3:$P$1025,MATCH($E121,学年度总表!$E$3:$E$1025,0)))</f>
        <v/>
      </c>
      <c r="Q121" s="5" t="str">
        <f>IF(INDEX(学年度总表!$Q$3:$Q$1025,MATCH($E121,学年度总表!$E$3:$E$1025,0))="","",INDEX(学年度总表!$Q$3:$Q$1025,MATCH($E121,学年度总表!$E$3:$E$1025,0)))</f>
        <v/>
      </c>
    </row>
    <row r="122" spans="1:17">
      <c r="A122" s="2">
        <f>IF(INDEX(学年度总表!$A$3:$A$1025,MATCH($E122,学年度总表!$E$3:$E$1025,0))="","",INDEX(学年度总表!$A$3:$A$1025,MATCH($E122,学年度总表!$E$3:$E$1025,0)))</f>
        <v>406</v>
      </c>
      <c r="B122" s="2">
        <f>IF(INDEX(学年度总表!$B$3:$B$1025,MATCH($E122,学年度总表!$E$3:$E$1025,0))="","",INDEX(学年度总表!$B$3:$B$1025,MATCH($E122,学年度总表!$E$3:$E$1025,0)))</f>
        <v>120</v>
      </c>
      <c r="C122" s="2" t="str">
        <f>IF(INDEX(学年度总表!$C$3:$C$1025,MATCH($E122,学年度总表!$E$3:$E$1025,0))="","",INDEX(学年度总表!$C$3:$C$1025,MATCH($E122,学年度总表!$E$3:$E$1025,0)))</f>
        <v>信管</v>
      </c>
      <c r="D122" s="2" t="str">
        <f>IF(INDEX(学年度总表!$D$3:$D$1025,MATCH($E122,学年度总表!$E$3:$E$1025,0))="","",INDEX(学年度总表!$D$3:$D$1025,MATCH($E122,学年度总表!$E$3:$E$1025,0)))</f>
        <v>信管24班</v>
      </c>
      <c r="E122" s="2" t="s">
        <v>874</v>
      </c>
      <c r="F122" s="2" t="str">
        <f>IF(INDEX(学年度总表!$F$3:$F$1025,MATCH($E122,学年度总表!$E$3:$E$1025,0))="","",INDEX(学年度总表!$F$3:$F$1025,MATCH($E122,学年度总表!$E$3:$E$1025,0)))</f>
        <v>张诗淇</v>
      </c>
      <c r="G122" s="3">
        <f>IF(INDEX(学年度总表!$G$3:$G$1025,MATCH($E122,学年度总表!$E$3:$E$1025,0))="","",INDEX(学年度总表!$G$3:$G$1025,MATCH($E122,学年度总表!$E$3:$E$1025,0)))</f>
        <v>10.5</v>
      </c>
      <c r="H122" s="3">
        <f>IF(INDEX(学年度总表!$H$3:$H$1025,MATCH($E122,学年度总表!$E$3:$E$1025,0))="","",INDEX(学年度总表!$H$3:$H$1025,MATCH($E122,学年度总表!$E$3:$E$1025,0)))</f>
        <v>56.59</v>
      </c>
      <c r="I122" s="3">
        <f>IF(INDEX(学年度总表!$I$3:$I$1025,MATCH($E122,学年度总表!$E$3:$E$1025,0))="","",INDEX(学年度总表!$I$3:$I$1025,MATCH($E122,学年度总表!$E$3:$E$1025,0)))</f>
        <v>4.5</v>
      </c>
      <c r="J122" s="3">
        <f>IF(INDEX(学年度总表!$J$3:$J$1025,MATCH($E122,学年度总表!$E$3:$E$1025,0))="","",INDEX(学年度总表!$J$3:$J$1025,MATCH($E122,学年度总表!$E$3:$E$1025,0)))</f>
        <v>71.59</v>
      </c>
      <c r="K122" s="3">
        <f>IF(INDEX(学年度总表!$K$3:$K$1025,MATCH($E122,学年度总表!$E$3:$E$1025,0))="","",INDEX(学年度总表!$K$3:$K$1025,MATCH($E122,学年度总表!$E$3:$E$1025,0)))</f>
        <v>11.5</v>
      </c>
      <c r="L122" s="3">
        <f>IF(INDEX(学年度总表!$L$3:$L$1025,MATCH($E122,学年度总表!$E$3:$E$1025,0))="","",INDEX(学年度总表!$L$3:$L$1025,MATCH($E122,学年度总表!$E$3:$E$1025,0)))</f>
        <v>55.33</v>
      </c>
      <c r="M122" s="3">
        <f>IF(INDEX(学年度总表!$M$3:$M$1025,MATCH($E122,学年度总表!$E$3:$E$1025,0))="","",INDEX(学年度总表!$M$3:$M$1025,MATCH($E122,学年度总表!$E$3:$E$1025,0)))</f>
        <v>4.7</v>
      </c>
      <c r="N122" s="3">
        <f>IF(INDEX(学年度总表!$N$3:$N$1025,MATCH($E122,学年度总表!$E$3:$E$1025,0))="","",INDEX(学年度总表!$N$3:$N$1025,MATCH($E122,学年度总表!$E$3:$E$1025,0)))</f>
        <v>71.53</v>
      </c>
      <c r="O122" s="3">
        <f>IF(INDEX(学年度总表!$O$3:$O$1025,MATCH($E122,学年度总表!$E$3:$E$1025,0))="","",INDEX(学年度总表!$O$3:$O$1025,MATCH($E122,学年度总表!$E$3:$E$1025,0)))</f>
        <v>143.12</v>
      </c>
      <c r="P122" s="2" t="str">
        <f>IF(INDEX(学年度总表!$P$3:$P$1025,MATCH($E122,学年度总表!$E$3:$E$1025,0))="","",INDEX(学年度总表!$P$3:$P$1025,MATCH($E122,学年度总表!$E$3:$E$1025,0)))</f>
        <v/>
      </c>
      <c r="Q122" s="5" t="str">
        <f>IF(INDEX(学年度总表!$Q$3:$Q$1025,MATCH($E122,学年度总表!$E$3:$E$1025,0))="","",INDEX(学年度总表!$Q$3:$Q$1025,MATCH($E122,学年度总表!$E$3:$E$1025,0)))</f>
        <v/>
      </c>
    </row>
    <row r="123" spans="1:17">
      <c r="A123" s="2">
        <f>IF(INDEX(学年度总表!$A$3:$A$1025,MATCH($E123,学年度总表!$E$3:$E$1025,0))="","",INDEX(学年度总表!$A$3:$A$1025,MATCH($E123,学年度总表!$E$3:$E$1025,0)))</f>
        <v>408</v>
      </c>
      <c r="B123" s="2">
        <f>IF(INDEX(学年度总表!$B$3:$B$1025,MATCH($E123,学年度总表!$E$3:$E$1025,0))="","",INDEX(学年度总表!$B$3:$B$1025,MATCH($E123,学年度总表!$E$3:$E$1025,0)))</f>
        <v>121</v>
      </c>
      <c r="C123" s="2" t="str">
        <f>IF(INDEX(学年度总表!$C$3:$C$1025,MATCH($E123,学年度总表!$E$3:$E$1025,0))="","",INDEX(学年度总表!$C$3:$C$1025,MATCH($E123,学年度总表!$E$3:$E$1025,0)))</f>
        <v>信管</v>
      </c>
      <c r="D123" s="2" t="str">
        <f>IF(INDEX(学年度总表!$D$3:$D$1025,MATCH($E123,学年度总表!$E$3:$E$1025,0))="","",INDEX(学年度总表!$D$3:$D$1025,MATCH($E123,学年度总表!$E$3:$E$1025,0)))</f>
        <v>信管20班</v>
      </c>
      <c r="E123" s="2" t="s">
        <v>878</v>
      </c>
      <c r="F123" s="2" t="str">
        <f>IF(INDEX(学年度总表!$F$3:$F$1025,MATCH($E123,学年度总表!$E$3:$E$1025,0))="","",INDEX(学年度总表!$F$3:$F$1025,MATCH($E123,学年度总表!$E$3:$E$1025,0)))</f>
        <v>苏冰傲</v>
      </c>
      <c r="G123" s="3">
        <f>IF(INDEX(学年度总表!$G$3:$G$1025,MATCH($E123,学年度总表!$E$3:$E$1025,0))="","",INDEX(学年度总表!$G$3:$G$1025,MATCH($E123,学年度总表!$E$3:$E$1025,0)))</f>
        <v>10.6</v>
      </c>
      <c r="H123" s="3">
        <f>IF(INDEX(学年度总表!$H$3:$H$1025,MATCH($E123,学年度总表!$E$3:$E$1025,0))="","",INDEX(学年度总表!$H$3:$H$1025,MATCH($E123,学年度总表!$E$3:$E$1025,0)))</f>
        <v>54.82</v>
      </c>
      <c r="I123" s="3">
        <f>IF(INDEX(学年度总表!$I$3:$I$1025,MATCH($E123,学年度总表!$E$3:$E$1025,0))="","",INDEX(学年度总表!$I$3:$I$1025,MATCH($E123,学年度总表!$E$3:$E$1025,0)))</f>
        <v>5.65</v>
      </c>
      <c r="J123" s="3">
        <f>IF(INDEX(学年度总表!$J$3:$J$1025,MATCH($E123,学年度总表!$E$3:$E$1025,0))="","",INDEX(学年度总表!$J$3:$J$1025,MATCH($E123,学年度总表!$E$3:$E$1025,0)))</f>
        <v>71.069999999999993</v>
      </c>
      <c r="K123" s="3">
        <f>IF(INDEX(学年度总表!$K$3:$K$1025,MATCH($E123,学年度总表!$E$3:$E$1025,0))="","",INDEX(学年度总表!$K$3:$K$1025,MATCH($E123,学年度总表!$E$3:$E$1025,0)))</f>
        <v>9.8000000000000007</v>
      </c>
      <c r="L123" s="3">
        <f>IF(INDEX(学年度总表!$L$3:$L$1025,MATCH($E123,学年度总表!$E$3:$E$1025,0))="","",INDEX(学年度总表!$L$3:$L$1025,MATCH($E123,学年度总表!$E$3:$E$1025,0)))</f>
        <v>55.27</v>
      </c>
      <c r="M123" s="3">
        <f>IF(INDEX(学年度总表!$M$3:$M$1025,MATCH($E123,学年度总表!$E$3:$E$1025,0))="","",INDEX(学年度总表!$M$3:$M$1025,MATCH($E123,学年度总表!$E$3:$E$1025,0)))</f>
        <v>6.9</v>
      </c>
      <c r="N123" s="3">
        <f>IF(INDEX(学年度总表!$N$3:$N$1025,MATCH($E123,学年度总表!$E$3:$E$1025,0))="","",INDEX(学年度总表!$N$3:$N$1025,MATCH($E123,学年度总表!$E$3:$E$1025,0)))</f>
        <v>71.97</v>
      </c>
      <c r="O123" s="3">
        <f>IF(INDEX(学年度总表!$O$3:$O$1025,MATCH($E123,学年度总表!$E$3:$E$1025,0))="","",INDEX(学年度总表!$O$3:$O$1025,MATCH($E123,学年度总表!$E$3:$E$1025,0)))</f>
        <v>143.04</v>
      </c>
      <c r="P123" s="2" t="str">
        <f>IF(INDEX(学年度总表!$P$3:$P$1025,MATCH($E123,学年度总表!$E$3:$E$1025,0))="","",INDEX(学年度总表!$P$3:$P$1025,MATCH($E123,学年度总表!$E$3:$E$1025,0)))</f>
        <v/>
      </c>
      <c r="Q123" s="5" t="str">
        <f>IF(INDEX(学年度总表!$Q$3:$Q$1025,MATCH($E123,学年度总表!$E$3:$E$1025,0))="","",INDEX(学年度总表!$Q$3:$Q$1025,MATCH($E123,学年度总表!$E$3:$E$1025,0)))</f>
        <v/>
      </c>
    </row>
    <row r="124" spans="1:17">
      <c r="A124" s="2">
        <f>IF(INDEX(学年度总表!$A$3:$A$1025,MATCH($E124,学年度总表!$E$3:$E$1025,0))="","",INDEX(学年度总表!$A$3:$A$1025,MATCH($E124,学年度总表!$E$3:$E$1025,0)))</f>
        <v>409</v>
      </c>
      <c r="B124" s="2">
        <f>IF(INDEX(学年度总表!$B$3:$B$1025,MATCH($E124,学年度总表!$E$3:$E$1025,0))="","",INDEX(学年度总表!$B$3:$B$1025,MATCH($E124,学年度总表!$E$3:$E$1025,0)))</f>
        <v>122</v>
      </c>
      <c r="C124" s="2" t="str">
        <f>IF(INDEX(学年度总表!$C$3:$C$1025,MATCH($E124,学年度总表!$E$3:$E$1025,0))="","",INDEX(学年度总表!$C$3:$C$1025,MATCH($E124,学年度总表!$E$3:$E$1025,0)))</f>
        <v>信管</v>
      </c>
      <c r="D124" s="2" t="str">
        <f>IF(INDEX(学年度总表!$D$3:$D$1025,MATCH($E124,学年度总表!$E$3:$E$1025,0))="","",INDEX(学年度总表!$D$3:$D$1025,MATCH($E124,学年度总表!$E$3:$E$1025,0)))</f>
        <v>信管24班</v>
      </c>
      <c r="E124" s="2" t="s">
        <v>880</v>
      </c>
      <c r="F124" s="2" t="str">
        <f>IF(INDEX(学年度总表!$F$3:$F$1025,MATCH($E124,学年度总表!$E$3:$E$1025,0))="","",INDEX(学年度总表!$F$3:$F$1025,MATCH($E124,学年度总表!$E$3:$E$1025,0)))</f>
        <v>任思彤</v>
      </c>
      <c r="G124" s="3">
        <f>IF(INDEX(学年度总表!$G$3:$G$1025,MATCH($E124,学年度总表!$E$3:$E$1025,0))="","",INDEX(学年度总表!$G$3:$G$1025,MATCH($E124,学年度总表!$E$3:$E$1025,0)))</f>
        <v>9.8000000000000007</v>
      </c>
      <c r="H124" s="3">
        <f>IF(INDEX(学年度总表!$H$3:$H$1025,MATCH($E124,学年度总表!$E$3:$E$1025,0))="","",INDEX(学年度总表!$H$3:$H$1025,MATCH($E124,学年度总表!$E$3:$E$1025,0)))</f>
        <v>57.4</v>
      </c>
      <c r="I124" s="3">
        <f>IF(INDEX(学年度总表!$I$3:$I$1025,MATCH($E124,学年度总表!$E$3:$E$1025,0))="","",INDEX(学年度总表!$I$3:$I$1025,MATCH($E124,学年度总表!$E$3:$E$1025,0)))</f>
        <v>3</v>
      </c>
      <c r="J124" s="3">
        <f>IF(INDEX(学年度总表!$J$3:$J$1025,MATCH($E124,学年度总表!$E$3:$E$1025,0))="","",INDEX(学年度总表!$J$3:$J$1025,MATCH($E124,学年度总表!$E$3:$E$1025,0)))</f>
        <v>70.2</v>
      </c>
      <c r="K124" s="3">
        <f>IF(INDEX(学年度总表!$K$3:$K$1025,MATCH($E124,学年度总表!$E$3:$E$1025,0))="","",INDEX(学年度总表!$K$3:$K$1025,MATCH($E124,学年度总表!$E$3:$E$1025,0)))</f>
        <v>9.8000000000000007</v>
      </c>
      <c r="L124" s="3">
        <f>IF(INDEX(学年度总表!$L$3:$L$1025,MATCH($E124,学年度总表!$E$3:$E$1025,0))="","",INDEX(学年度总表!$L$3:$L$1025,MATCH($E124,学年度总表!$E$3:$E$1025,0)))</f>
        <v>60.03</v>
      </c>
      <c r="M124" s="3">
        <f>IF(INDEX(学年度总表!$M$3:$M$1025,MATCH($E124,学年度总表!$E$3:$E$1025,0))="","",INDEX(学年度总表!$M$3:$M$1025,MATCH($E124,学年度总表!$E$3:$E$1025,0)))</f>
        <v>3</v>
      </c>
      <c r="N124" s="3">
        <f>IF(INDEX(学年度总表!$N$3:$N$1025,MATCH($E124,学年度总表!$E$3:$E$1025,0))="","",INDEX(学年度总表!$N$3:$N$1025,MATCH($E124,学年度总表!$E$3:$E$1025,0)))</f>
        <v>72.83</v>
      </c>
      <c r="O124" s="3">
        <f>IF(INDEX(学年度总表!$O$3:$O$1025,MATCH($E124,学年度总表!$E$3:$E$1025,0))="","",INDEX(学年度总表!$O$3:$O$1025,MATCH($E124,学年度总表!$E$3:$E$1025,0)))</f>
        <v>143.03</v>
      </c>
      <c r="P124" s="2" t="str">
        <f>IF(INDEX(学年度总表!$P$3:$P$1025,MATCH($E124,学年度总表!$E$3:$E$1025,0))="","",INDEX(学年度总表!$P$3:$P$1025,MATCH($E124,学年度总表!$E$3:$E$1025,0)))</f>
        <v/>
      </c>
      <c r="Q124" s="5" t="str">
        <f>IF(INDEX(学年度总表!$Q$3:$Q$1025,MATCH($E124,学年度总表!$E$3:$E$1025,0))="","",INDEX(学年度总表!$Q$3:$Q$1025,MATCH($E124,学年度总表!$E$3:$E$1025,0)))</f>
        <v/>
      </c>
    </row>
    <row r="125" spans="1:17">
      <c r="A125" s="2">
        <f>IF(INDEX(学年度总表!$A$3:$A$1025,MATCH($E125,学年度总表!$E$3:$E$1025,0))="","",INDEX(学年度总表!$A$3:$A$1025,MATCH($E125,学年度总表!$E$3:$E$1025,0)))</f>
        <v>411</v>
      </c>
      <c r="B125" s="2">
        <f>IF(INDEX(学年度总表!$B$3:$B$1025,MATCH($E125,学年度总表!$E$3:$E$1025,0))="","",INDEX(学年度总表!$B$3:$B$1025,MATCH($E125,学年度总表!$E$3:$E$1025,0)))</f>
        <v>123</v>
      </c>
      <c r="C125" s="2" t="str">
        <f>IF(INDEX(学年度总表!$C$3:$C$1025,MATCH($E125,学年度总表!$E$3:$E$1025,0))="","",INDEX(学年度总表!$C$3:$C$1025,MATCH($E125,学年度总表!$E$3:$E$1025,0)))</f>
        <v>信管</v>
      </c>
      <c r="D125" s="2" t="str">
        <f>IF(INDEX(学年度总表!$D$3:$D$1025,MATCH($E125,学年度总表!$E$3:$E$1025,0))="","",INDEX(学年度总表!$D$3:$D$1025,MATCH($E125,学年度总表!$E$3:$E$1025,0)))</f>
        <v>信管23班</v>
      </c>
      <c r="E125" s="2" t="s">
        <v>884</v>
      </c>
      <c r="F125" s="2" t="str">
        <f>IF(INDEX(学年度总表!$F$3:$F$1025,MATCH($E125,学年度总表!$E$3:$E$1025,0))="","",INDEX(学年度总表!$F$3:$F$1025,MATCH($E125,学年度总表!$E$3:$E$1025,0)))</f>
        <v>董思颖</v>
      </c>
      <c r="G125" s="3">
        <f>IF(INDEX(学年度总表!$G$3:$G$1025,MATCH($E125,学年度总表!$E$3:$E$1025,0))="","",INDEX(学年度总表!$G$3:$G$1025,MATCH($E125,学年度总表!$E$3:$E$1025,0)))</f>
        <v>9.8000000000000007</v>
      </c>
      <c r="H125" s="3">
        <f>IF(INDEX(学年度总表!$H$3:$H$1025,MATCH($E125,学年度总表!$E$3:$E$1025,0))="","",INDEX(学年度总表!$H$3:$H$1025,MATCH($E125,学年度总表!$E$3:$E$1025,0)))</f>
        <v>57.25</v>
      </c>
      <c r="I125" s="3">
        <f>IF(INDEX(学年度总表!$I$3:$I$1025,MATCH($E125,学年度总表!$E$3:$E$1025,0))="","",INDEX(学年度总表!$I$3:$I$1025,MATCH($E125,学年度总表!$E$3:$E$1025,0)))</f>
        <v>4</v>
      </c>
      <c r="J125" s="3">
        <f>IF(INDEX(学年度总表!$J$3:$J$1025,MATCH($E125,学年度总表!$E$3:$E$1025,0))="","",INDEX(学年度总表!$J$3:$J$1025,MATCH($E125,学年度总表!$E$3:$E$1025,0)))</f>
        <v>71.05</v>
      </c>
      <c r="K125" s="3">
        <f>IF(INDEX(学年度总表!$K$3:$K$1025,MATCH($E125,学年度总表!$E$3:$E$1025,0))="","",INDEX(学年度总表!$K$3:$K$1025,MATCH($E125,学年度总表!$E$3:$E$1025,0)))</f>
        <v>9.8000000000000007</v>
      </c>
      <c r="L125" s="3">
        <f>IF(INDEX(学年度总表!$L$3:$L$1025,MATCH($E125,学年度总表!$E$3:$E$1025,0))="","",INDEX(学年度总表!$L$3:$L$1025,MATCH($E125,学年度总表!$E$3:$E$1025,0)))</f>
        <v>58.13</v>
      </c>
      <c r="M125" s="3">
        <f>IF(INDEX(学年度总表!$M$3:$M$1025,MATCH($E125,学年度总表!$E$3:$E$1025,0))="","",INDEX(学年度总表!$M$3:$M$1025,MATCH($E125,学年度总表!$E$3:$E$1025,0)))</f>
        <v>4</v>
      </c>
      <c r="N125" s="3">
        <f>IF(INDEX(学年度总表!$N$3:$N$1025,MATCH($E125,学年度总表!$E$3:$E$1025,0))="","",INDEX(学年度总表!$N$3:$N$1025,MATCH($E125,学年度总表!$E$3:$E$1025,0)))</f>
        <v>71.930000000000007</v>
      </c>
      <c r="O125" s="3">
        <f>IF(INDEX(学年度总表!$O$3:$O$1025,MATCH($E125,学年度总表!$E$3:$E$1025,0))="","",INDEX(学年度总表!$O$3:$O$1025,MATCH($E125,学年度总表!$E$3:$E$1025,0)))</f>
        <v>142.97999999999999</v>
      </c>
      <c r="P125" s="2" t="str">
        <f>IF(INDEX(学年度总表!$P$3:$P$1025,MATCH($E125,学年度总表!$E$3:$E$1025,0))="","",INDEX(学年度总表!$P$3:$P$1025,MATCH($E125,学年度总表!$E$3:$E$1025,0)))</f>
        <v/>
      </c>
      <c r="Q125" s="5" t="str">
        <f>IF(INDEX(学年度总表!$Q$3:$Q$1025,MATCH($E125,学年度总表!$E$3:$E$1025,0))="","",INDEX(学年度总表!$Q$3:$Q$1025,MATCH($E125,学年度总表!$E$3:$E$1025,0)))</f>
        <v/>
      </c>
    </row>
    <row r="126" spans="1:17">
      <c r="A126" s="2">
        <f>IF(INDEX(学年度总表!$A$3:$A$1025,MATCH($E126,学年度总表!$E$3:$E$1025,0))="","",INDEX(学年度总表!$A$3:$A$1025,MATCH($E126,学年度总表!$E$3:$E$1025,0)))</f>
        <v>412</v>
      </c>
      <c r="B126" s="2">
        <f>IF(INDEX(学年度总表!$B$3:$B$1025,MATCH($E126,学年度总表!$E$3:$E$1025,0))="","",INDEX(学年度总表!$B$3:$B$1025,MATCH($E126,学年度总表!$E$3:$E$1025,0)))</f>
        <v>124</v>
      </c>
      <c r="C126" s="2" t="str">
        <f>IF(INDEX(学年度总表!$C$3:$C$1025,MATCH($E126,学年度总表!$E$3:$E$1025,0))="","",INDEX(学年度总表!$C$3:$C$1025,MATCH($E126,学年度总表!$E$3:$E$1025,0)))</f>
        <v>信管</v>
      </c>
      <c r="D126" s="2" t="str">
        <f>IF(INDEX(学年度总表!$D$3:$D$1025,MATCH($E126,学年度总表!$E$3:$E$1025,0))="","",INDEX(学年度总表!$D$3:$D$1025,MATCH($E126,学年度总表!$E$3:$E$1025,0)))</f>
        <v>信管19班</v>
      </c>
      <c r="E126" s="2" t="s">
        <v>886</v>
      </c>
      <c r="F126" s="2" t="str">
        <f>IF(INDEX(学年度总表!$F$3:$F$1025,MATCH($E126,学年度总表!$E$3:$E$1025,0))="","",INDEX(学年度总表!$F$3:$F$1025,MATCH($E126,学年度总表!$E$3:$E$1025,0)))</f>
        <v>李欣雨</v>
      </c>
      <c r="G126" s="3">
        <f>IF(INDEX(学年度总表!$G$3:$G$1025,MATCH($E126,学年度总表!$E$3:$E$1025,0))="","",INDEX(学年度总表!$G$3:$G$1025,MATCH($E126,学年度总表!$E$3:$E$1025,0)))</f>
        <v>10.5</v>
      </c>
      <c r="H126" s="3">
        <f>IF(INDEX(学年度总表!$H$3:$H$1025,MATCH($E126,学年度总表!$E$3:$E$1025,0))="","",INDEX(学年度总表!$H$3:$H$1025,MATCH($E126,学年度总表!$E$3:$E$1025,0)))</f>
        <v>56.21</v>
      </c>
      <c r="I126" s="3">
        <f>IF(INDEX(学年度总表!$I$3:$I$1025,MATCH($E126,学年度总表!$E$3:$E$1025,0))="","",INDEX(学年度总表!$I$3:$I$1025,MATCH($E126,学年度总表!$E$3:$E$1025,0)))</f>
        <v>4.7</v>
      </c>
      <c r="J126" s="3">
        <f>IF(INDEX(学年度总表!$J$3:$J$1025,MATCH($E126,学年度总表!$E$3:$E$1025,0))="","",INDEX(学年度总表!$J$3:$J$1025,MATCH($E126,学年度总表!$E$3:$E$1025,0)))</f>
        <v>71.41</v>
      </c>
      <c r="K126" s="3">
        <f>IF(INDEX(学年度总表!$K$3:$K$1025,MATCH($E126,学年度总表!$E$3:$E$1025,0))="","",INDEX(学年度总表!$K$3:$K$1025,MATCH($E126,学年度总表!$E$3:$E$1025,0)))</f>
        <v>10</v>
      </c>
      <c r="L126" s="3">
        <f>IF(INDEX(学年度总表!$L$3:$L$1025,MATCH($E126,学年度总表!$E$3:$E$1025,0))="","",INDEX(学年度总表!$L$3:$L$1025,MATCH($E126,学年度总表!$E$3:$E$1025,0)))</f>
        <v>56.12</v>
      </c>
      <c r="M126" s="3">
        <f>IF(INDEX(学年度总表!$M$3:$M$1025,MATCH($E126,学年度总表!$E$3:$E$1025,0))="","",INDEX(学年度总表!$M$3:$M$1025,MATCH($E126,学年度总表!$E$3:$E$1025,0)))</f>
        <v>5.4</v>
      </c>
      <c r="N126" s="3">
        <f>IF(INDEX(学年度总表!$N$3:$N$1025,MATCH($E126,学年度总表!$E$3:$E$1025,0))="","",INDEX(学年度总表!$N$3:$N$1025,MATCH($E126,学年度总表!$E$3:$E$1025,0)))</f>
        <v>71.52</v>
      </c>
      <c r="O126" s="3">
        <f>IF(INDEX(学年度总表!$O$3:$O$1025,MATCH($E126,学年度总表!$E$3:$E$1025,0))="","",INDEX(学年度总表!$O$3:$O$1025,MATCH($E126,学年度总表!$E$3:$E$1025,0)))</f>
        <v>142.93</v>
      </c>
      <c r="P126" s="2" t="str">
        <f>IF(INDEX(学年度总表!$P$3:$P$1025,MATCH($E126,学年度总表!$E$3:$E$1025,0))="","",INDEX(学年度总表!$P$3:$P$1025,MATCH($E126,学年度总表!$E$3:$E$1025,0)))</f>
        <v/>
      </c>
      <c r="Q126" s="5" t="str">
        <f>IF(INDEX(学年度总表!$Q$3:$Q$1025,MATCH($E126,学年度总表!$E$3:$E$1025,0))="","",INDEX(学年度总表!$Q$3:$Q$1025,MATCH($E126,学年度总表!$E$3:$E$1025,0)))</f>
        <v/>
      </c>
    </row>
    <row r="127" spans="1:17">
      <c r="A127" s="2">
        <f>IF(INDEX(学年度总表!$A$3:$A$1025,MATCH($E127,学年度总表!$E$3:$E$1025,0))="","",INDEX(学年度总表!$A$3:$A$1025,MATCH($E127,学年度总表!$E$3:$E$1025,0)))</f>
        <v>416</v>
      </c>
      <c r="B127" s="2">
        <f>IF(INDEX(学年度总表!$B$3:$B$1025,MATCH($E127,学年度总表!$E$3:$E$1025,0))="","",INDEX(学年度总表!$B$3:$B$1025,MATCH($E127,学年度总表!$E$3:$E$1025,0)))</f>
        <v>125</v>
      </c>
      <c r="C127" s="2" t="str">
        <f>IF(INDEX(学年度总表!$C$3:$C$1025,MATCH($E127,学年度总表!$E$3:$E$1025,0))="","",INDEX(学年度总表!$C$3:$C$1025,MATCH($E127,学年度总表!$E$3:$E$1025,0)))</f>
        <v>信管</v>
      </c>
      <c r="D127" s="2" t="str">
        <f>IF(INDEX(学年度总表!$D$3:$D$1025,MATCH($E127,学年度总表!$E$3:$E$1025,0))="","",INDEX(学年度总表!$D$3:$D$1025,MATCH($E127,学年度总表!$E$3:$E$1025,0)))</f>
        <v>信管21班</v>
      </c>
      <c r="E127" s="2" t="s">
        <v>896</v>
      </c>
      <c r="F127" s="2" t="str">
        <f>IF(INDEX(学年度总表!$F$3:$F$1025,MATCH($E127,学年度总表!$E$3:$E$1025,0))="","",INDEX(学年度总表!$F$3:$F$1025,MATCH($E127,学年度总表!$E$3:$E$1025,0)))</f>
        <v>王怡然</v>
      </c>
      <c r="G127" s="3">
        <f>IF(INDEX(学年度总表!$G$3:$G$1025,MATCH($E127,学年度总表!$E$3:$E$1025,0))="","",INDEX(学年度总表!$G$3:$G$1025,MATCH($E127,学年度总表!$E$3:$E$1025,0)))</f>
        <v>10</v>
      </c>
      <c r="H127" s="3">
        <f>IF(INDEX(学年度总表!$H$3:$H$1025,MATCH($E127,学年度总表!$E$3:$E$1025,0))="","",INDEX(学年度总表!$H$3:$H$1025,MATCH($E127,学年度总表!$E$3:$E$1025,0)))</f>
        <v>61.41</v>
      </c>
      <c r="I127" s="3">
        <f>IF(INDEX(学年度总表!$I$3:$I$1025,MATCH($E127,学年度总表!$E$3:$E$1025,0))="","",INDEX(学年度总表!$I$3:$I$1025,MATCH($E127,学年度总表!$E$3:$E$1025,0)))</f>
        <v>3.2</v>
      </c>
      <c r="J127" s="3">
        <f>IF(INDEX(学年度总表!$J$3:$J$1025,MATCH($E127,学年度总表!$E$3:$E$1025,0))="","",INDEX(学年度总表!$J$3:$J$1025,MATCH($E127,学年度总表!$E$3:$E$1025,0)))</f>
        <v>74.61</v>
      </c>
      <c r="K127" s="3">
        <f>IF(INDEX(学年度总表!$K$3:$K$1025,MATCH($E127,学年度总表!$E$3:$E$1025,0))="","",INDEX(学年度总表!$K$3:$K$1025,MATCH($E127,学年度总表!$E$3:$E$1025,0)))</f>
        <v>7.5</v>
      </c>
      <c r="L127" s="3">
        <f>IF(INDEX(学年度总表!$L$3:$L$1025,MATCH($E127,学年度总表!$E$3:$E$1025,0))="","",INDEX(学年度总表!$L$3:$L$1025,MATCH($E127,学年度总表!$E$3:$E$1025,0)))</f>
        <v>54.41</v>
      </c>
      <c r="M127" s="3">
        <f>IF(INDEX(学年度总表!$M$3:$M$1025,MATCH($E127,学年度总表!$E$3:$E$1025,0))="","",INDEX(学年度总表!$M$3:$M$1025,MATCH($E127,学年度总表!$E$3:$E$1025,0)))</f>
        <v>6.3</v>
      </c>
      <c r="N127" s="3">
        <f>IF(INDEX(学年度总表!$N$3:$N$1025,MATCH($E127,学年度总表!$E$3:$E$1025,0))="","",INDEX(学年度总表!$N$3:$N$1025,MATCH($E127,学年度总表!$E$3:$E$1025,0)))</f>
        <v>68.209999999999994</v>
      </c>
      <c r="O127" s="3">
        <f>IF(INDEX(学年度总表!$O$3:$O$1025,MATCH($E127,学年度总表!$E$3:$E$1025,0))="","",INDEX(学年度总表!$O$3:$O$1025,MATCH($E127,学年度总表!$E$3:$E$1025,0)))</f>
        <v>142.82</v>
      </c>
      <c r="P127" s="2" t="str">
        <f>IF(INDEX(学年度总表!$P$3:$P$1025,MATCH($E127,学年度总表!$E$3:$E$1025,0))="","",INDEX(学年度总表!$P$3:$P$1025,MATCH($E127,学年度总表!$E$3:$E$1025,0)))</f>
        <v/>
      </c>
      <c r="Q127" s="5" t="str">
        <f>IF(INDEX(学年度总表!$Q$3:$Q$1025,MATCH($E127,学年度总表!$E$3:$E$1025,0))="","",INDEX(学年度总表!$Q$3:$Q$1025,MATCH($E127,学年度总表!$E$3:$E$1025,0)))</f>
        <v/>
      </c>
    </row>
    <row r="128" spans="1:17">
      <c r="A128" s="2">
        <f>IF(INDEX(学年度总表!$A$3:$A$1025,MATCH($E128,学年度总表!$E$3:$E$1025,0))="","",INDEX(学年度总表!$A$3:$A$1025,MATCH($E128,学年度总表!$E$3:$E$1025,0)))</f>
        <v>421</v>
      </c>
      <c r="B128" s="2">
        <f>IF(INDEX(学年度总表!$B$3:$B$1025,MATCH($E128,学年度总表!$E$3:$E$1025,0))="","",INDEX(学年度总表!$B$3:$B$1025,MATCH($E128,学年度总表!$E$3:$E$1025,0)))</f>
        <v>126</v>
      </c>
      <c r="C128" s="2" t="str">
        <f>IF(INDEX(学年度总表!$C$3:$C$1025,MATCH($E128,学年度总表!$E$3:$E$1025,0))="","",INDEX(学年度总表!$C$3:$C$1025,MATCH($E128,学年度总表!$E$3:$E$1025,0)))</f>
        <v>信管</v>
      </c>
      <c r="D128" s="2" t="str">
        <f>IF(INDEX(学年度总表!$D$3:$D$1025,MATCH($E128,学年度总表!$E$3:$E$1025,0))="","",INDEX(学年度总表!$D$3:$D$1025,MATCH($E128,学年度总表!$E$3:$E$1025,0)))</f>
        <v>信管26班</v>
      </c>
      <c r="E128" s="2" t="s">
        <v>904</v>
      </c>
      <c r="F128" s="2" t="str">
        <f>IF(INDEX(学年度总表!$F$3:$F$1025,MATCH($E128,学年度总表!$E$3:$E$1025,0))="","",INDEX(学年度总表!$F$3:$F$1025,MATCH($E128,学年度总表!$E$3:$E$1025,0)))</f>
        <v>于沛祺</v>
      </c>
      <c r="G128" s="3">
        <f>IF(INDEX(学年度总表!$G$3:$G$1025,MATCH($E128,学年度总表!$E$3:$E$1025,0))="","",INDEX(学年度总表!$G$3:$G$1025,MATCH($E128,学年度总表!$E$3:$E$1025,0)))</f>
        <v>9.8000000000000007</v>
      </c>
      <c r="H128" s="3">
        <f>IF(INDEX(学年度总表!$H$3:$H$1025,MATCH($E128,学年度总表!$E$3:$E$1025,0))="","",INDEX(学年度总表!$H$3:$H$1025,MATCH($E128,学年度总表!$E$3:$E$1025,0)))</f>
        <v>59.01</v>
      </c>
      <c r="I128" s="3">
        <f>IF(INDEX(学年度总表!$I$3:$I$1025,MATCH($E128,学年度总表!$E$3:$E$1025,0))="","",INDEX(学年度总表!$I$3:$I$1025,MATCH($E128,学年度总表!$E$3:$E$1025,0)))</f>
        <v>4</v>
      </c>
      <c r="J128" s="3">
        <f>IF(INDEX(学年度总表!$J$3:$J$1025,MATCH($E128,学年度总表!$E$3:$E$1025,0))="","",INDEX(学年度总表!$J$3:$J$1025,MATCH($E128,学年度总表!$E$3:$E$1025,0)))</f>
        <v>72.81</v>
      </c>
      <c r="K128" s="3">
        <f>IF(INDEX(学年度总表!$K$3:$K$1025,MATCH($E128,学年度总表!$E$3:$E$1025,0))="","",INDEX(学年度总表!$K$3:$K$1025,MATCH($E128,学年度总表!$E$3:$E$1025,0)))</f>
        <v>7.3000000000000007</v>
      </c>
      <c r="L128" s="3">
        <f>IF(INDEX(学年度总表!$L$3:$L$1025,MATCH($E128,学年度总表!$E$3:$E$1025,0))="","",INDEX(学年度总表!$L$3:$L$1025,MATCH($E128,学年度总表!$E$3:$E$1025,0)))</f>
        <v>58.45</v>
      </c>
      <c r="M128" s="3">
        <f>IF(INDEX(学年度总表!$M$3:$M$1025,MATCH($E128,学年度总表!$E$3:$E$1025,0))="","",INDEX(学年度总表!$M$3:$M$1025,MATCH($E128,学年度总表!$E$3:$E$1025,0)))</f>
        <v>4.2</v>
      </c>
      <c r="N128" s="3">
        <f>IF(INDEX(学年度总表!$N$3:$N$1025,MATCH($E128,学年度总表!$E$3:$E$1025,0))="","",INDEX(学年度总表!$N$3:$N$1025,MATCH($E128,学年度总表!$E$3:$E$1025,0)))</f>
        <v>69.95</v>
      </c>
      <c r="O128" s="3">
        <f>IF(INDEX(学年度总表!$O$3:$O$1025,MATCH($E128,学年度总表!$E$3:$E$1025,0))="","",INDEX(学年度总表!$O$3:$O$1025,MATCH($E128,学年度总表!$E$3:$E$1025,0)))</f>
        <v>142.76</v>
      </c>
      <c r="P128" s="4" t="str">
        <f>IF(INDEX(学年度总表!$P$3:$P$1025,MATCH($E128,学年度总表!$E$3:$E$1025,0))="","",INDEX(学年度总表!$P$3:$P$1025,MATCH($E128,学年度总表!$E$3:$E$1025,0)))</f>
        <v>优秀学生教官</v>
      </c>
      <c r="Q128" s="5" t="str">
        <f>IF(INDEX(学年度总表!$Q$3:$Q$1025,MATCH($E128,学年度总表!$E$3:$E$1025,0))="","",INDEX(学年度总表!$Q$3:$Q$1025,MATCH($E128,学年度总表!$E$3:$E$1025,0)))</f>
        <v/>
      </c>
    </row>
    <row r="129" spans="1:17">
      <c r="A129" s="2">
        <f>IF(INDEX(学年度总表!$A$3:$A$1025,MATCH($E129,学年度总表!$E$3:$E$1025,0))="","",INDEX(学年度总表!$A$3:$A$1025,MATCH($E129,学年度总表!$E$3:$E$1025,0)))</f>
        <v>422</v>
      </c>
      <c r="B129" s="2">
        <f>IF(INDEX(学年度总表!$B$3:$B$1025,MATCH($E129,学年度总表!$E$3:$E$1025,0))="","",INDEX(学年度总表!$B$3:$B$1025,MATCH($E129,学年度总表!$E$3:$E$1025,0)))</f>
        <v>127</v>
      </c>
      <c r="C129" s="2" t="str">
        <f>IF(INDEX(学年度总表!$C$3:$C$1025,MATCH($E129,学年度总表!$E$3:$E$1025,0))="","",INDEX(学年度总表!$C$3:$C$1025,MATCH($E129,学年度总表!$E$3:$E$1025,0)))</f>
        <v>信管</v>
      </c>
      <c r="D129" s="2" t="str">
        <f>IF(INDEX(学年度总表!$D$3:$D$1025,MATCH($E129,学年度总表!$E$3:$E$1025,0))="","",INDEX(学年度总表!$D$3:$D$1025,MATCH($E129,学年度总表!$E$3:$E$1025,0)))</f>
        <v>信管28班</v>
      </c>
      <c r="E129" s="2" t="s">
        <v>906</v>
      </c>
      <c r="F129" s="2" t="str">
        <f>IF(INDEX(学年度总表!$F$3:$F$1025,MATCH($E129,学年度总表!$E$3:$E$1025,0))="","",INDEX(学年度总表!$F$3:$F$1025,MATCH($E129,学年度总表!$E$3:$E$1025,0)))</f>
        <v>乔佳滢</v>
      </c>
      <c r="G129" s="3">
        <f>IF(INDEX(学年度总表!$G$3:$G$1025,MATCH($E129,学年度总表!$E$3:$E$1025,0))="","",INDEX(学年度总表!$G$3:$G$1025,MATCH($E129,学年度总表!$E$3:$E$1025,0)))</f>
        <v>9.8000000000000007</v>
      </c>
      <c r="H129" s="3">
        <f>IF(INDEX(学年度总表!$H$3:$H$1025,MATCH($E129,学年度总表!$E$3:$E$1025,0))="","",INDEX(学年度总表!$H$3:$H$1025,MATCH($E129,学年度总表!$E$3:$E$1025,0)))</f>
        <v>62.01</v>
      </c>
      <c r="I129" s="3">
        <f>IF(INDEX(学年度总表!$I$3:$I$1025,MATCH($E129,学年度总表!$E$3:$E$1025,0))="","",INDEX(学年度总表!$I$3:$I$1025,MATCH($E129,学年度总表!$E$3:$E$1025,0)))</f>
        <v>4.2</v>
      </c>
      <c r="J129" s="3">
        <f>IF(INDEX(学年度总表!$J$3:$J$1025,MATCH($E129,学年度总表!$E$3:$E$1025,0))="","",INDEX(学年度总表!$J$3:$J$1025,MATCH($E129,学年度总表!$E$3:$E$1025,0)))</f>
        <v>76.010000000000005</v>
      </c>
      <c r="K129" s="3">
        <f>IF(INDEX(学年度总表!$K$3:$K$1025,MATCH($E129,学年度总表!$E$3:$E$1025,0))="","",INDEX(学年度总表!$K$3:$K$1025,MATCH($E129,学年度总表!$E$3:$E$1025,0)))</f>
        <v>7.3000000000000007</v>
      </c>
      <c r="L129" s="3">
        <f>IF(INDEX(学年度总表!$L$3:$L$1025,MATCH($E129,学年度总表!$E$3:$E$1025,0))="","",INDEX(学年度总表!$L$3:$L$1025,MATCH($E129,学年度总表!$E$3:$E$1025,0)))</f>
        <v>53.79</v>
      </c>
      <c r="M129" s="3">
        <f>IF(INDEX(学年度总表!$M$3:$M$1025,MATCH($E129,学年度总表!$E$3:$E$1025,0))="","",INDEX(学年度总表!$M$3:$M$1025,MATCH($E129,学年度总表!$E$3:$E$1025,0)))</f>
        <v>5.65</v>
      </c>
      <c r="N129" s="3">
        <f>IF(INDEX(学年度总表!$N$3:$N$1025,MATCH($E129,学年度总表!$E$3:$E$1025,0))="","",INDEX(学年度总表!$N$3:$N$1025,MATCH($E129,学年度总表!$E$3:$E$1025,0)))</f>
        <v>66.739999999999995</v>
      </c>
      <c r="O129" s="3">
        <f>IF(INDEX(学年度总表!$O$3:$O$1025,MATCH($E129,学年度总表!$E$3:$E$1025,0))="","",INDEX(学年度总表!$O$3:$O$1025,MATCH($E129,学年度总表!$E$3:$E$1025,0)))</f>
        <v>142.75</v>
      </c>
      <c r="P129" s="2" t="str">
        <f>IF(INDEX(学年度总表!$P$3:$P$1025,MATCH($E129,学年度总表!$E$3:$E$1025,0))="","",INDEX(学年度总表!$P$3:$P$1025,MATCH($E129,学年度总表!$E$3:$E$1025,0)))</f>
        <v/>
      </c>
      <c r="Q129" s="5" t="str">
        <f>IF(INDEX(学年度总表!$Q$3:$Q$1025,MATCH($E129,学年度总表!$E$3:$E$1025,0))="","",INDEX(学年度总表!$Q$3:$Q$1025,MATCH($E129,学年度总表!$E$3:$E$1025,0)))</f>
        <v/>
      </c>
    </row>
    <row r="130" spans="1:17">
      <c r="A130" s="2">
        <f>IF(INDEX(学年度总表!$A$3:$A$1025,MATCH($E130,学年度总表!$E$3:$E$1025,0))="","",INDEX(学年度总表!$A$3:$A$1025,MATCH($E130,学年度总表!$E$3:$E$1025,0)))</f>
        <v>425</v>
      </c>
      <c r="B130" s="2">
        <f>IF(INDEX(学年度总表!$B$3:$B$1025,MATCH($E130,学年度总表!$E$3:$E$1025,0))="","",INDEX(学年度总表!$B$3:$B$1025,MATCH($E130,学年度总表!$E$3:$E$1025,0)))</f>
        <v>128</v>
      </c>
      <c r="C130" s="2" t="str">
        <f>IF(INDEX(学年度总表!$C$3:$C$1025,MATCH($E130,学年度总表!$E$3:$E$1025,0))="","",INDEX(学年度总表!$C$3:$C$1025,MATCH($E130,学年度总表!$E$3:$E$1025,0)))</f>
        <v>信管</v>
      </c>
      <c r="D130" s="2" t="str">
        <f>IF(INDEX(学年度总表!$D$3:$D$1025,MATCH($E130,学年度总表!$E$3:$E$1025,0))="","",INDEX(学年度总表!$D$3:$D$1025,MATCH($E130,学年度总表!$E$3:$E$1025,0)))</f>
        <v>信管19班</v>
      </c>
      <c r="E130" s="2" t="s">
        <v>912</v>
      </c>
      <c r="F130" s="2" t="str">
        <f>IF(INDEX(学年度总表!$F$3:$F$1025,MATCH($E130,学年度总表!$E$3:$E$1025,0))="","",INDEX(学年度总表!$F$3:$F$1025,MATCH($E130,学年度总表!$E$3:$E$1025,0)))</f>
        <v>伍悦荻</v>
      </c>
      <c r="G130" s="3">
        <f>IF(INDEX(学年度总表!$G$3:$G$1025,MATCH($E130,学年度总表!$E$3:$E$1025,0))="","",INDEX(学年度总表!$G$3:$G$1025,MATCH($E130,学年度总表!$E$3:$E$1025,0)))</f>
        <v>9.8000000000000007</v>
      </c>
      <c r="H130" s="3">
        <f>IF(INDEX(学年度总表!$H$3:$H$1025,MATCH($E130,学年度总表!$E$3:$E$1025,0))="","",INDEX(学年度总表!$H$3:$H$1025,MATCH($E130,学年度总表!$E$3:$E$1025,0)))</f>
        <v>59.29</v>
      </c>
      <c r="I130" s="3">
        <f>IF(INDEX(学年度总表!$I$3:$I$1025,MATCH($E130,学年度总表!$E$3:$E$1025,0))="","",INDEX(学年度总表!$I$3:$I$1025,MATCH($E130,学年度总表!$E$3:$E$1025,0)))</f>
        <v>4.8499999999999996</v>
      </c>
      <c r="J130" s="3">
        <f>IF(INDEX(学年度总表!$J$3:$J$1025,MATCH($E130,学年度总表!$E$3:$E$1025,0))="","",INDEX(学年度总表!$J$3:$J$1025,MATCH($E130,学年度总表!$E$3:$E$1025,0)))</f>
        <v>73.94</v>
      </c>
      <c r="K130" s="3">
        <f>IF(INDEX(学年度总表!$K$3:$K$1025,MATCH($E130,学年度总表!$E$3:$E$1025,0))="","",INDEX(学年度总表!$K$3:$K$1025,MATCH($E130,学年度总表!$E$3:$E$1025,0)))</f>
        <v>9.8000000000000007</v>
      </c>
      <c r="L130" s="3">
        <f>IF(INDEX(学年度总表!$L$3:$L$1025,MATCH($E130,学年度总表!$E$3:$E$1025,0))="","",INDEX(学年度总表!$L$3:$L$1025,MATCH($E130,学年度总表!$E$3:$E$1025,0)))</f>
        <v>52.75</v>
      </c>
      <c r="M130" s="3">
        <f>IF(INDEX(学年度总表!$M$3:$M$1025,MATCH($E130,学年度总表!$E$3:$E$1025,0))="","",INDEX(学年度总表!$M$3:$M$1025,MATCH($E130,学年度总表!$E$3:$E$1025,0)))</f>
        <v>5.85</v>
      </c>
      <c r="N130" s="3">
        <f>IF(INDEX(学年度总表!$N$3:$N$1025,MATCH($E130,学年度总表!$E$3:$E$1025,0))="","",INDEX(学年度总表!$N$3:$N$1025,MATCH($E130,学年度总表!$E$3:$E$1025,0)))</f>
        <v>68.400000000000006</v>
      </c>
      <c r="O130" s="3">
        <f>IF(INDEX(学年度总表!$O$3:$O$1025,MATCH($E130,学年度总表!$E$3:$E$1025,0))="","",INDEX(学年度总表!$O$3:$O$1025,MATCH($E130,学年度总表!$E$3:$E$1025,0)))</f>
        <v>142.34</v>
      </c>
      <c r="P130" s="2" t="str">
        <f>IF(INDEX(学年度总表!$P$3:$P$1025,MATCH($E130,学年度总表!$E$3:$E$1025,0))="","",INDEX(学年度总表!$P$3:$P$1025,MATCH($E130,学年度总表!$E$3:$E$1025,0)))</f>
        <v/>
      </c>
      <c r="Q130" s="5" t="str">
        <f>IF(INDEX(学年度总表!$Q$3:$Q$1025,MATCH($E130,学年度总表!$E$3:$E$1025,0))="","",INDEX(学年度总表!$Q$3:$Q$1025,MATCH($E130,学年度总表!$E$3:$E$1025,0)))</f>
        <v/>
      </c>
    </row>
    <row r="131" spans="1:17">
      <c r="A131" s="2">
        <f>IF(INDEX(学年度总表!$A$3:$A$1025,MATCH($E131,学年度总表!$E$3:$E$1025,0))="","",INDEX(学年度总表!$A$3:$A$1025,MATCH($E131,学年度总表!$E$3:$E$1025,0)))</f>
        <v>425</v>
      </c>
      <c r="B131" s="2">
        <f>IF(INDEX(学年度总表!$B$3:$B$1025,MATCH($E131,学年度总表!$E$3:$E$1025,0))="","",INDEX(学年度总表!$B$3:$B$1025,MATCH($E131,学年度总表!$E$3:$E$1025,0)))</f>
        <v>128</v>
      </c>
      <c r="C131" s="2" t="str">
        <f>IF(INDEX(学年度总表!$C$3:$C$1025,MATCH($E131,学年度总表!$E$3:$E$1025,0))="","",INDEX(学年度总表!$C$3:$C$1025,MATCH($E131,学年度总表!$E$3:$E$1025,0)))</f>
        <v>信管</v>
      </c>
      <c r="D131" s="2" t="str">
        <f>IF(INDEX(学年度总表!$D$3:$D$1025,MATCH($E131,学年度总表!$E$3:$E$1025,0))="","",INDEX(学年度总表!$D$3:$D$1025,MATCH($E131,学年度总表!$E$3:$E$1025,0)))</f>
        <v>信管25班</v>
      </c>
      <c r="E131" s="2" t="s">
        <v>914</v>
      </c>
      <c r="F131" s="2" t="str">
        <f>IF(INDEX(学年度总表!$F$3:$F$1025,MATCH($E131,学年度总表!$E$3:$E$1025,0))="","",INDEX(学年度总表!$F$3:$F$1025,MATCH($E131,学年度总表!$E$3:$E$1025,0)))</f>
        <v>王爱静</v>
      </c>
      <c r="G131" s="3">
        <f>IF(INDEX(学年度总表!$G$3:$G$1025,MATCH($E131,学年度总表!$E$3:$E$1025,0))="","",INDEX(学年度总表!$G$3:$G$1025,MATCH($E131,学年度总表!$E$3:$E$1025,0)))</f>
        <v>9.8000000000000007</v>
      </c>
      <c r="H131" s="3">
        <f>IF(INDEX(学年度总表!$H$3:$H$1025,MATCH($E131,学年度总表!$E$3:$E$1025,0))="","",INDEX(学年度总表!$H$3:$H$1025,MATCH($E131,学年度总表!$E$3:$E$1025,0)))</f>
        <v>59.85</v>
      </c>
      <c r="I131" s="3">
        <f>IF(INDEX(学年度总表!$I$3:$I$1025,MATCH($E131,学年度总表!$E$3:$E$1025,0))="","",INDEX(学年度总表!$I$3:$I$1025,MATCH($E131,学年度总表!$E$3:$E$1025,0)))</f>
        <v>4.2</v>
      </c>
      <c r="J131" s="3">
        <f>IF(INDEX(学年度总表!$J$3:$J$1025,MATCH($E131,学年度总表!$E$3:$E$1025,0))="","",INDEX(学年度总表!$J$3:$J$1025,MATCH($E131,学年度总表!$E$3:$E$1025,0)))</f>
        <v>73.849999999999994</v>
      </c>
      <c r="K131" s="3">
        <f>IF(INDEX(学年度总表!$K$3:$K$1025,MATCH($E131,学年度总表!$E$3:$E$1025,0))="","",INDEX(学年度总表!$K$3:$K$1025,MATCH($E131,学年度总表!$E$3:$E$1025,0)))</f>
        <v>7.3000000000000007</v>
      </c>
      <c r="L131" s="3">
        <f>IF(INDEX(学年度总表!$L$3:$L$1025,MATCH($E131,学年度总表!$E$3:$E$1025,0))="","",INDEX(学年度总表!$L$3:$L$1025,MATCH($E131,学年度总表!$E$3:$E$1025,0)))</f>
        <v>57.69</v>
      </c>
      <c r="M131" s="3">
        <f>IF(INDEX(学年度总表!$M$3:$M$1025,MATCH($E131,学年度总表!$E$3:$E$1025,0))="","",INDEX(学年度总表!$M$3:$M$1025,MATCH($E131,学年度总表!$E$3:$E$1025,0)))</f>
        <v>3.5</v>
      </c>
      <c r="N131" s="3">
        <f>IF(INDEX(学年度总表!$N$3:$N$1025,MATCH($E131,学年度总表!$E$3:$E$1025,0))="","",INDEX(学年度总表!$N$3:$N$1025,MATCH($E131,学年度总表!$E$3:$E$1025,0)))</f>
        <v>68.489999999999995</v>
      </c>
      <c r="O131" s="3">
        <f>IF(INDEX(学年度总表!$O$3:$O$1025,MATCH($E131,学年度总表!$E$3:$E$1025,0))="","",INDEX(学年度总表!$O$3:$O$1025,MATCH($E131,学年度总表!$E$3:$E$1025,0)))</f>
        <v>142.34</v>
      </c>
      <c r="P131" s="2" t="str">
        <f>IF(INDEX(学年度总表!$P$3:$P$1025,MATCH($E131,学年度总表!$E$3:$E$1025,0))="","",INDEX(学年度总表!$P$3:$P$1025,MATCH($E131,学年度总表!$E$3:$E$1025,0)))</f>
        <v/>
      </c>
      <c r="Q131" s="5" t="str">
        <f>IF(INDEX(学年度总表!$Q$3:$Q$1025,MATCH($E131,学年度总表!$E$3:$E$1025,0))="","",INDEX(学年度总表!$Q$3:$Q$1025,MATCH($E131,学年度总表!$E$3:$E$1025,0)))</f>
        <v/>
      </c>
    </row>
    <row r="132" spans="1:17">
      <c r="A132" s="2">
        <f>IF(INDEX(学年度总表!$A$3:$A$1025,MATCH($E132,学年度总表!$E$3:$E$1025,0))="","",INDEX(学年度总表!$A$3:$A$1025,MATCH($E132,学年度总表!$E$3:$E$1025,0)))</f>
        <v>431</v>
      </c>
      <c r="B132" s="2">
        <f>IF(INDEX(学年度总表!$B$3:$B$1025,MATCH($E132,学年度总表!$E$3:$E$1025,0))="","",INDEX(学年度总表!$B$3:$B$1025,MATCH($E132,学年度总表!$E$3:$E$1025,0)))</f>
        <v>130</v>
      </c>
      <c r="C132" s="2" t="str">
        <f>IF(INDEX(学年度总表!$C$3:$C$1025,MATCH($E132,学年度总表!$E$3:$E$1025,0))="","",INDEX(学年度总表!$C$3:$C$1025,MATCH($E132,学年度总表!$E$3:$E$1025,0)))</f>
        <v>信管</v>
      </c>
      <c r="D132" s="2" t="str">
        <f>IF(INDEX(学年度总表!$D$3:$D$1025,MATCH($E132,学年度总表!$E$3:$E$1025,0))="","",INDEX(学年度总表!$D$3:$D$1025,MATCH($E132,学年度总表!$E$3:$E$1025,0)))</f>
        <v>信管25班</v>
      </c>
      <c r="E132" s="2" t="s">
        <v>924</v>
      </c>
      <c r="F132" s="2" t="str">
        <f>IF(INDEX(学年度总表!$F$3:$F$1025,MATCH($E132,学年度总表!$E$3:$E$1025,0))="","",INDEX(学年度总表!$F$3:$F$1025,MATCH($E132,学年度总表!$E$3:$E$1025,0)))</f>
        <v>任思潼</v>
      </c>
      <c r="G132" s="3">
        <f>IF(INDEX(学年度总表!$G$3:$G$1025,MATCH($E132,学年度总表!$E$3:$E$1025,0))="","",INDEX(学年度总表!$G$3:$G$1025,MATCH($E132,学年度总表!$E$3:$E$1025,0)))</f>
        <v>10</v>
      </c>
      <c r="H132" s="3">
        <f>IF(INDEX(学年度总表!$H$3:$H$1025,MATCH($E132,学年度总表!$E$3:$E$1025,0))="","",INDEX(学年度总表!$H$3:$H$1025,MATCH($E132,学年度总表!$E$3:$E$1025,0)))</f>
        <v>58.49</v>
      </c>
      <c r="I132" s="3">
        <f>IF(INDEX(学年度总表!$I$3:$I$1025,MATCH($E132,学年度总表!$E$3:$E$1025,0))="","",INDEX(学年度总表!$I$3:$I$1025,MATCH($E132,学年度总表!$E$3:$E$1025,0)))</f>
        <v>4.7</v>
      </c>
      <c r="J132" s="3">
        <f>IF(INDEX(学年度总表!$J$3:$J$1025,MATCH($E132,学年度总表!$E$3:$E$1025,0))="","",INDEX(学年度总表!$J$3:$J$1025,MATCH($E132,学年度总表!$E$3:$E$1025,0)))</f>
        <v>73.19</v>
      </c>
      <c r="K132" s="3">
        <f>IF(INDEX(学年度总表!$K$3:$K$1025,MATCH($E132,学年度总表!$E$3:$E$1025,0))="","",INDEX(学年度总表!$K$3:$K$1025,MATCH($E132,学年度总表!$E$3:$E$1025,0)))</f>
        <v>7.5</v>
      </c>
      <c r="L132" s="3">
        <f>IF(INDEX(学年度总表!$L$3:$L$1025,MATCH($E132,学年度总表!$E$3:$E$1025,0))="","",INDEX(学年度总表!$L$3:$L$1025,MATCH($E132,学年度总表!$E$3:$E$1025,0)))</f>
        <v>56.2</v>
      </c>
      <c r="M132" s="3">
        <f>IF(INDEX(学年度总表!$M$3:$M$1025,MATCH($E132,学年度总表!$E$3:$E$1025,0))="","",INDEX(学年度总表!$M$3:$M$1025,MATCH($E132,学年度总表!$E$3:$E$1025,0)))</f>
        <v>5.4</v>
      </c>
      <c r="N132" s="3">
        <f>IF(INDEX(学年度总表!$N$3:$N$1025,MATCH($E132,学年度总表!$E$3:$E$1025,0))="","",INDEX(学年度总表!$N$3:$N$1025,MATCH($E132,学年度总表!$E$3:$E$1025,0)))</f>
        <v>69.099999999999994</v>
      </c>
      <c r="O132" s="3">
        <f>IF(INDEX(学年度总表!$O$3:$O$1025,MATCH($E132,学年度总表!$E$3:$E$1025,0))="","",INDEX(学年度总表!$O$3:$O$1025,MATCH($E132,学年度总表!$E$3:$E$1025,0)))</f>
        <v>142.29</v>
      </c>
      <c r="P132" s="2" t="str">
        <f>IF(INDEX(学年度总表!$P$3:$P$1025,MATCH($E132,学年度总表!$E$3:$E$1025,0))="","",INDEX(学年度总表!$P$3:$P$1025,MATCH($E132,学年度总表!$E$3:$E$1025,0)))</f>
        <v/>
      </c>
      <c r="Q132" s="5" t="str">
        <f>IF(INDEX(学年度总表!$Q$3:$Q$1025,MATCH($E132,学年度总表!$E$3:$E$1025,0))="","",INDEX(学年度总表!$Q$3:$Q$1025,MATCH($E132,学年度总表!$E$3:$E$1025,0)))</f>
        <v/>
      </c>
    </row>
    <row r="133" spans="1:17">
      <c r="A133" s="2">
        <f>IF(INDEX(学年度总表!$A$3:$A$1025,MATCH($E133,学年度总表!$E$3:$E$1025,0))="","",INDEX(学年度总表!$A$3:$A$1025,MATCH($E133,学年度总表!$E$3:$E$1025,0)))</f>
        <v>432</v>
      </c>
      <c r="B133" s="2">
        <f>IF(INDEX(学年度总表!$B$3:$B$1025,MATCH($E133,学年度总表!$E$3:$E$1025,0))="","",INDEX(学年度总表!$B$3:$B$1025,MATCH($E133,学年度总表!$E$3:$E$1025,0)))</f>
        <v>131</v>
      </c>
      <c r="C133" s="2" t="str">
        <f>IF(INDEX(学年度总表!$C$3:$C$1025,MATCH($E133,学年度总表!$E$3:$E$1025,0))="","",INDEX(学年度总表!$C$3:$C$1025,MATCH($E133,学年度总表!$E$3:$E$1025,0)))</f>
        <v>信管</v>
      </c>
      <c r="D133" s="2" t="str">
        <f>IF(INDEX(学年度总表!$D$3:$D$1025,MATCH($E133,学年度总表!$E$3:$E$1025,0))="","",INDEX(学年度总表!$D$3:$D$1025,MATCH($E133,学年度总表!$E$3:$E$1025,0)))</f>
        <v>信管25班</v>
      </c>
      <c r="E133" s="2" t="s">
        <v>926</v>
      </c>
      <c r="F133" s="2" t="str">
        <f>IF(INDEX(学年度总表!$F$3:$F$1025,MATCH($E133,学年度总表!$E$3:$E$1025,0))="","",INDEX(学年度总表!$F$3:$F$1025,MATCH($E133,学年度总表!$E$3:$E$1025,0)))</f>
        <v>闵知银</v>
      </c>
      <c r="G133" s="3">
        <f>IF(INDEX(学年度总表!$G$3:$G$1025,MATCH($E133,学年度总表!$E$3:$E$1025,0))="","",INDEX(学年度总表!$G$3:$G$1025,MATCH($E133,学年度总表!$E$3:$E$1025,0)))</f>
        <v>9.8000000000000007</v>
      </c>
      <c r="H133" s="3">
        <f>IF(INDEX(学年度总表!$H$3:$H$1025,MATCH($E133,学年度总表!$E$3:$E$1025,0))="","",INDEX(学年度总表!$H$3:$H$1025,MATCH($E133,学年度总表!$E$3:$E$1025,0)))</f>
        <v>61.81</v>
      </c>
      <c r="I133" s="3">
        <f>IF(INDEX(学年度总表!$I$3:$I$1025,MATCH($E133,学年度总表!$E$3:$E$1025,0))="","",INDEX(学年度总表!$I$3:$I$1025,MATCH($E133,学年度总表!$E$3:$E$1025,0)))</f>
        <v>3</v>
      </c>
      <c r="J133" s="3">
        <f>IF(INDEX(学年度总表!$J$3:$J$1025,MATCH($E133,学年度总表!$E$3:$E$1025,0))="","",INDEX(学年度总表!$J$3:$J$1025,MATCH($E133,学年度总表!$E$3:$E$1025,0)))</f>
        <v>74.61</v>
      </c>
      <c r="K133" s="3">
        <f>IF(INDEX(学年度总表!$K$3:$K$1025,MATCH($E133,学年度总表!$E$3:$E$1025,0))="","",INDEX(学年度总表!$K$3:$K$1025,MATCH($E133,学年度总表!$E$3:$E$1025,0)))</f>
        <v>7.3000000000000007</v>
      </c>
      <c r="L133" s="3">
        <f>IF(INDEX(学年度总表!$L$3:$L$1025,MATCH($E133,学年度总表!$E$3:$E$1025,0))="","",INDEX(学年度总表!$L$3:$L$1025,MATCH($E133,学年度总表!$E$3:$E$1025,0)))</f>
        <v>57.35</v>
      </c>
      <c r="M133" s="3">
        <f>IF(INDEX(学年度总表!$M$3:$M$1025,MATCH($E133,学年度总表!$E$3:$E$1025,0))="","",INDEX(学年度总表!$M$3:$M$1025,MATCH($E133,学年度总表!$E$3:$E$1025,0)))</f>
        <v>3</v>
      </c>
      <c r="N133" s="3">
        <f>IF(INDEX(学年度总表!$N$3:$N$1025,MATCH($E133,学年度总表!$E$3:$E$1025,0))="","",INDEX(学年度总表!$N$3:$N$1025,MATCH($E133,学年度总表!$E$3:$E$1025,0)))</f>
        <v>67.650000000000006</v>
      </c>
      <c r="O133" s="3">
        <f>IF(INDEX(学年度总表!$O$3:$O$1025,MATCH($E133,学年度总表!$E$3:$E$1025,0))="","",INDEX(学年度总表!$O$3:$O$1025,MATCH($E133,学年度总表!$E$3:$E$1025,0)))</f>
        <v>142.26</v>
      </c>
      <c r="P133" s="2" t="str">
        <f>IF(INDEX(学年度总表!$P$3:$P$1025,MATCH($E133,学年度总表!$E$3:$E$1025,0))="","",INDEX(学年度总表!$P$3:$P$1025,MATCH($E133,学年度总表!$E$3:$E$1025,0)))</f>
        <v/>
      </c>
      <c r="Q133" s="5" t="str">
        <f>IF(INDEX(学年度总表!$Q$3:$Q$1025,MATCH($E133,学年度总表!$E$3:$E$1025,0))="","",INDEX(学年度总表!$Q$3:$Q$1025,MATCH($E133,学年度总表!$E$3:$E$1025,0)))</f>
        <v/>
      </c>
    </row>
    <row r="134" spans="1:17">
      <c r="A134" s="2">
        <f>IF(INDEX(学年度总表!$A$3:$A$1025,MATCH($E134,学年度总表!$E$3:$E$1025,0))="","",INDEX(学年度总表!$A$3:$A$1025,MATCH($E134,学年度总表!$E$3:$E$1025,0)))</f>
        <v>434</v>
      </c>
      <c r="B134" s="2">
        <f>IF(INDEX(学年度总表!$B$3:$B$1025,MATCH($E134,学年度总表!$E$3:$E$1025,0))="","",INDEX(学年度总表!$B$3:$B$1025,MATCH($E134,学年度总表!$E$3:$E$1025,0)))</f>
        <v>132</v>
      </c>
      <c r="C134" s="2" t="str">
        <f>IF(INDEX(学年度总表!$C$3:$C$1025,MATCH($E134,学年度总表!$E$3:$E$1025,0))="","",INDEX(学年度总表!$C$3:$C$1025,MATCH($E134,学年度总表!$E$3:$E$1025,0)))</f>
        <v>信管</v>
      </c>
      <c r="D134" s="2" t="str">
        <f>IF(INDEX(学年度总表!$D$3:$D$1025,MATCH($E134,学年度总表!$E$3:$E$1025,0))="","",INDEX(学年度总表!$D$3:$D$1025,MATCH($E134,学年度总表!$E$3:$E$1025,0)))</f>
        <v>信管19班</v>
      </c>
      <c r="E134" s="2" t="s">
        <v>930</v>
      </c>
      <c r="F134" s="2" t="str">
        <f>IF(INDEX(学年度总表!$F$3:$F$1025,MATCH($E134,学年度总表!$E$3:$E$1025,0))="","",INDEX(学年度总表!$F$3:$F$1025,MATCH($E134,学年度总表!$E$3:$E$1025,0)))</f>
        <v>涂芷涵</v>
      </c>
      <c r="G134" s="3">
        <f>IF(INDEX(学年度总表!$G$3:$G$1025,MATCH($E134,学年度总表!$E$3:$E$1025,0))="","",INDEX(学年度总表!$G$3:$G$1025,MATCH($E134,学年度总表!$E$3:$E$1025,0)))</f>
        <v>9.8000000000000007</v>
      </c>
      <c r="H134" s="3">
        <f>IF(INDEX(学年度总表!$H$3:$H$1025,MATCH($E134,学年度总表!$E$3:$E$1025,0))="","",INDEX(学年度总表!$H$3:$H$1025,MATCH($E134,学年度总表!$E$3:$E$1025,0)))</f>
        <v>58.29</v>
      </c>
      <c r="I134" s="3">
        <f>IF(INDEX(学年度总表!$I$3:$I$1025,MATCH($E134,学年度总表!$E$3:$E$1025,0))="","",INDEX(学年度总表!$I$3:$I$1025,MATCH($E134,学年度总表!$E$3:$E$1025,0)))</f>
        <v>3</v>
      </c>
      <c r="J134" s="3">
        <f>IF(INDEX(学年度总表!$J$3:$J$1025,MATCH($E134,学年度总表!$E$3:$E$1025,0))="","",INDEX(学年度总表!$J$3:$J$1025,MATCH($E134,学年度总表!$E$3:$E$1025,0)))</f>
        <v>71.09</v>
      </c>
      <c r="K134" s="3">
        <f>IF(INDEX(学年度总表!$K$3:$K$1025,MATCH($E134,学年度总表!$E$3:$E$1025,0))="","",INDEX(学年度总表!$K$3:$K$1025,MATCH($E134,学年度总表!$E$3:$E$1025,0)))</f>
        <v>9.8000000000000007</v>
      </c>
      <c r="L134" s="3">
        <f>IF(INDEX(学年度总表!$L$3:$L$1025,MATCH($E134,学年度总表!$E$3:$E$1025,0))="","",INDEX(学年度总表!$L$3:$L$1025,MATCH($E134,学年度总表!$E$3:$E$1025,0)))</f>
        <v>57.49</v>
      </c>
      <c r="M134" s="3">
        <f>IF(INDEX(学年度总表!$M$3:$M$1025,MATCH($E134,学年度总表!$E$3:$E$1025,0))="","",INDEX(学年度总表!$M$3:$M$1025,MATCH($E134,学年度总表!$E$3:$E$1025,0)))</f>
        <v>3.8</v>
      </c>
      <c r="N134" s="3">
        <f>IF(INDEX(学年度总表!$N$3:$N$1025,MATCH($E134,学年度总表!$E$3:$E$1025,0))="","",INDEX(学年度总表!$N$3:$N$1025,MATCH($E134,学年度总表!$E$3:$E$1025,0)))</f>
        <v>71.09</v>
      </c>
      <c r="O134" s="3">
        <f>IF(INDEX(学年度总表!$O$3:$O$1025,MATCH($E134,学年度总表!$E$3:$E$1025,0))="","",INDEX(学年度总表!$O$3:$O$1025,MATCH($E134,学年度总表!$E$3:$E$1025,0)))</f>
        <v>142.18</v>
      </c>
      <c r="P134" s="2" t="str">
        <f>IF(INDEX(学年度总表!$P$3:$P$1025,MATCH($E134,学年度总表!$E$3:$E$1025,0))="","",INDEX(学年度总表!$P$3:$P$1025,MATCH($E134,学年度总表!$E$3:$E$1025,0)))</f>
        <v/>
      </c>
      <c r="Q134" s="5" t="str">
        <f>IF(INDEX(学年度总表!$Q$3:$Q$1025,MATCH($E134,学年度总表!$E$3:$E$1025,0))="","",INDEX(学年度总表!$Q$3:$Q$1025,MATCH($E134,学年度总表!$E$3:$E$1025,0)))</f>
        <v/>
      </c>
    </row>
    <row r="135" spans="1:17">
      <c r="A135" s="2">
        <f>IF(INDEX(学年度总表!$A$3:$A$1025,MATCH($E135,学年度总表!$E$3:$E$1025,0))="","",INDEX(学年度总表!$A$3:$A$1025,MATCH($E135,学年度总表!$E$3:$E$1025,0)))</f>
        <v>436</v>
      </c>
      <c r="B135" s="2">
        <f>IF(INDEX(学年度总表!$B$3:$B$1025,MATCH($E135,学年度总表!$E$3:$E$1025,0))="","",INDEX(学年度总表!$B$3:$B$1025,MATCH($E135,学年度总表!$E$3:$E$1025,0)))</f>
        <v>133</v>
      </c>
      <c r="C135" s="2" t="str">
        <f>IF(INDEX(学年度总表!$C$3:$C$1025,MATCH($E135,学年度总表!$E$3:$E$1025,0))="","",INDEX(学年度总表!$C$3:$C$1025,MATCH($E135,学年度总表!$E$3:$E$1025,0)))</f>
        <v>信管</v>
      </c>
      <c r="D135" s="2" t="str">
        <f>IF(INDEX(学年度总表!$D$3:$D$1025,MATCH($E135,学年度总表!$E$3:$E$1025,0))="","",INDEX(学年度总表!$D$3:$D$1025,MATCH($E135,学年度总表!$E$3:$E$1025,0)))</f>
        <v>信管19班</v>
      </c>
      <c r="E135" s="2" t="s">
        <v>934</v>
      </c>
      <c r="F135" s="2" t="str">
        <f>IF(INDEX(学年度总表!$F$3:$F$1025,MATCH($E135,学年度总表!$E$3:$E$1025,0))="","",INDEX(学年度总表!$F$3:$F$1025,MATCH($E135,学年度总表!$E$3:$E$1025,0)))</f>
        <v>孙艺硕</v>
      </c>
      <c r="G135" s="3">
        <f>IF(INDEX(学年度总表!$G$3:$G$1025,MATCH($E135,学年度总表!$E$3:$E$1025,0))="","",INDEX(学年度总表!$G$3:$G$1025,MATCH($E135,学年度总表!$E$3:$E$1025,0)))</f>
        <v>9.8000000000000007</v>
      </c>
      <c r="H135" s="3">
        <f>IF(INDEX(学年度总表!$H$3:$H$1025,MATCH($E135,学年度总表!$E$3:$E$1025,0))="","",INDEX(学年度总表!$H$3:$H$1025,MATCH($E135,学年度总表!$E$3:$E$1025,0)))</f>
        <v>60.32</v>
      </c>
      <c r="I135" s="3">
        <f>IF(INDEX(学年度总表!$I$3:$I$1025,MATCH($E135,学年度总表!$E$3:$E$1025,0))="","",INDEX(学年度总表!$I$3:$I$1025,MATCH($E135,学年度总表!$E$3:$E$1025,0)))</f>
        <v>3</v>
      </c>
      <c r="J135" s="3">
        <f>IF(INDEX(学年度总表!$J$3:$J$1025,MATCH($E135,学年度总表!$E$3:$E$1025,0))="","",INDEX(学年度总表!$J$3:$J$1025,MATCH($E135,学年度总表!$E$3:$E$1025,0)))</f>
        <v>73.12</v>
      </c>
      <c r="K135" s="3">
        <f>IF(INDEX(学年度总表!$K$3:$K$1025,MATCH($E135,学年度总表!$E$3:$E$1025,0))="","",INDEX(学年度总表!$K$3:$K$1025,MATCH($E135,学年度总表!$E$3:$E$1025,0)))</f>
        <v>9.8000000000000007</v>
      </c>
      <c r="L135" s="3">
        <f>IF(INDEX(学年度总表!$L$3:$L$1025,MATCH($E135,学年度总表!$E$3:$E$1025,0))="","",INDEX(学年度总表!$L$3:$L$1025,MATCH($E135,学年度总表!$E$3:$E$1025,0)))</f>
        <v>56.13</v>
      </c>
      <c r="M135" s="3">
        <f>IF(INDEX(学年度总表!$M$3:$M$1025,MATCH($E135,学年度总表!$E$3:$E$1025,0))="","",INDEX(学年度总表!$M$3:$M$1025,MATCH($E135,学年度总表!$E$3:$E$1025,0)))</f>
        <v>3</v>
      </c>
      <c r="N135" s="3">
        <f>IF(INDEX(学年度总表!$N$3:$N$1025,MATCH($E135,学年度总表!$E$3:$E$1025,0))="","",INDEX(学年度总表!$N$3:$N$1025,MATCH($E135,学年度总表!$E$3:$E$1025,0)))</f>
        <v>68.930000000000007</v>
      </c>
      <c r="O135" s="3">
        <f>IF(INDEX(学年度总表!$O$3:$O$1025,MATCH($E135,学年度总表!$E$3:$E$1025,0))="","",INDEX(学年度总表!$O$3:$O$1025,MATCH($E135,学年度总表!$E$3:$E$1025,0)))</f>
        <v>142.05000000000001</v>
      </c>
      <c r="P135" s="2" t="str">
        <f>IF(INDEX(学年度总表!$P$3:$P$1025,MATCH($E135,学年度总表!$E$3:$E$1025,0))="","",INDEX(学年度总表!$P$3:$P$1025,MATCH($E135,学年度总表!$E$3:$E$1025,0)))</f>
        <v/>
      </c>
      <c r="Q135" s="5" t="str">
        <f>IF(INDEX(学年度总表!$Q$3:$Q$1025,MATCH($E135,学年度总表!$E$3:$E$1025,0))="","",INDEX(学年度总表!$Q$3:$Q$1025,MATCH($E135,学年度总表!$E$3:$E$1025,0)))</f>
        <v/>
      </c>
    </row>
    <row r="136" spans="1:17">
      <c r="A136" s="2">
        <f>IF(INDEX(学年度总表!$A$3:$A$1025,MATCH($E136,学年度总表!$E$3:$E$1025,0))="","",INDEX(学年度总表!$A$3:$A$1025,MATCH($E136,学年度总表!$E$3:$E$1025,0)))</f>
        <v>437</v>
      </c>
      <c r="B136" s="2">
        <f>IF(INDEX(学年度总表!$B$3:$B$1025,MATCH($E136,学年度总表!$E$3:$E$1025,0))="","",INDEX(学年度总表!$B$3:$B$1025,MATCH($E136,学年度总表!$E$3:$E$1025,0)))</f>
        <v>134</v>
      </c>
      <c r="C136" s="2" t="str">
        <f>IF(INDEX(学年度总表!$C$3:$C$1025,MATCH($E136,学年度总表!$E$3:$E$1025,0))="","",INDEX(学年度总表!$C$3:$C$1025,MATCH($E136,学年度总表!$E$3:$E$1025,0)))</f>
        <v>信管</v>
      </c>
      <c r="D136" s="2" t="str">
        <f>IF(INDEX(学年度总表!$D$3:$D$1025,MATCH($E136,学年度总表!$E$3:$E$1025,0))="","",INDEX(学年度总表!$D$3:$D$1025,MATCH($E136,学年度总表!$E$3:$E$1025,0)))</f>
        <v>信管20班</v>
      </c>
      <c r="E136" s="2" t="s">
        <v>936</v>
      </c>
      <c r="F136" s="2" t="str">
        <f>IF(INDEX(学年度总表!$F$3:$F$1025,MATCH($E136,学年度总表!$E$3:$E$1025,0))="","",INDEX(学年度总表!$F$3:$F$1025,MATCH($E136,学年度总表!$E$3:$E$1025,0)))</f>
        <v>崔镛</v>
      </c>
      <c r="G136" s="3">
        <f>IF(INDEX(学年度总表!$G$3:$G$1025,MATCH($E136,学年度总表!$E$3:$E$1025,0))="","",INDEX(学年度总表!$G$3:$G$1025,MATCH($E136,学年度总表!$E$3:$E$1025,0)))</f>
        <v>9.6</v>
      </c>
      <c r="H136" s="3">
        <f>IF(INDEX(学年度总表!$H$3:$H$1025,MATCH($E136,学年度总表!$E$3:$E$1025,0))="","",INDEX(学年度总表!$H$3:$H$1025,MATCH($E136,学年度总表!$E$3:$E$1025,0)))</f>
        <v>57.34</v>
      </c>
      <c r="I136" s="3">
        <f>IF(INDEX(学年度总表!$I$3:$I$1025,MATCH($E136,学年度总表!$E$3:$E$1025,0))="","",INDEX(学年度总表!$I$3:$I$1025,MATCH($E136,学年度总表!$E$3:$E$1025,0)))</f>
        <v>4.4000000000000004</v>
      </c>
      <c r="J136" s="3">
        <f>IF(INDEX(学年度总表!$J$3:$J$1025,MATCH($E136,学年度总表!$E$3:$E$1025,0))="","",INDEX(学年度总表!$J$3:$J$1025,MATCH($E136,学年度总表!$E$3:$E$1025,0)))</f>
        <v>71.34</v>
      </c>
      <c r="K136" s="3">
        <f>IF(INDEX(学年度总表!$K$3:$K$1025,MATCH($E136,学年度总表!$E$3:$E$1025,0))="","",INDEX(学年度总表!$K$3:$K$1025,MATCH($E136,学年度总表!$E$3:$E$1025,0)))</f>
        <v>10</v>
      </c>
      <c r="L136" s="3">
        <f>IF(INDEX(学年度总表!$L$3:$L$1025,MATCH($E136,学年度总表!$E$3:$E$1025,0))="","",INDEX(学年度总表!$L$3:$L$1025,MATCH($E136,学年度总表!$E$3:$E$1025,0)))</f>
        <v>55.6</v>
      </c>
      <c r="M136" s="3">
        <f>IF(INDEX(学年度总表!$M$3:$M$1025,MATCH($E136,学年度总表!$E$3:$E$1025,0))="","",INDEX(学年度总表!$M$3:$M$1025,MATCH($E136,学年度总表!$E$3:$E$1025,0)))</f>
        <v>5.0999999999999996</v>
      </c>
      <c r="N136" s="3">
        <f>IF(INDEX(学年度总表!$N$3:$N$1025,MATCH($E136,学年度总表!$E$3:$E$1025,0))="","",INDEX(学年度总表!$N$3:$N$1025,MATCH($E136,学年度总表!$E$3:$E$1025,0)))</f>
        <v>70.7</v>
      </c>
      <c r="O136" s="3">
        <f>IF(INDEX(学年度总表!$O$3:$O$1025,MATCH($E136,学年度总表!$E$3:$E$1025,0))="","",INDEX(学年度总表!$O$3:$O$1025,MATCH($E136,学年度总表!$E$3:$E$1025,0)))</f>
        <v>142.04</v>
      </c>
      <c r="P136" s="2" t="str">
        <f>IF(INDEX(学年度总表!$P$3:$P$1025,MATCH($E136,学年度总表!$E$3:$E$1025,0))="","",INDEX(学年度总表!$P$3:$P$1025,MATCH($E136,学年度总表!$E$3:$E$1025,0)))</f>
        <v/>
      </c>
      <c r="Q136" s="5" t="str">
        <f>IF(INDEX(学年度总表!$Q$3:$Q$1025,MATCH($E136,学年度总表!$E$3:$E$1025,0))="","",INDEX(学年度总表!$Q$3:$Q$1025,MATCH($E136,学年度总表!$E$3:$E$1025,0)))</f>
        <v/>
      </c>
    </row>
    <row r="137" spans="1:17">
      <c r="A137" s="2">
        <f>IF(INDEX(学年度总表!$A$3:$A$1025,MATCH($E137,学年度总表!$E$3:$E$1025,0))="","",INDEX(学年度总表!$A$3:$A$1025,MATCH($E137,学年度总表!$E$3:$E$1025,0)))</f>
        <v>441</v>
      </c>
      <c r="B137" s="2">
        <f>IF(INDEX(学年度总表!$B$3:$B$1025,MATCH($E137,学年度总表!$E$3:$E$1025,0))="","",INDEX(学年度总表!$B$3:$B$1025,MATCH($E137,学年度总表!$E$3:$E$1025,0)))</f>
        <v>135</v>
      </c>
      <c r="C137" s="2" t="str">
        <f>IF(INDEX(学年度总表!$C$3:$C$1025,MATCH($E137,学年度总表!$E$3:$E$1025,0))="","",INDEX(学年度总表!$C$3:$C$1025,MATCH($E137,学年度总表!$E$3:$E$1025,0)))</f>
        <v>信管</v>
      </c>
      <c r="D137" s="2" t="str">
        <f>IF(INDEX(学年度总表!$D$3:$D$1025,MATCH($E137,学年度总表!$E$3:$E$1025,0))="","",INDEX(学年度总表!$D$3:$D$1025,MATCH($E137,学年度总表!$E$3:$E$1025,0)))</f>
        <v>信管24班</v>
      </c>
      <c r="E137" s="2" t="s">
        <v>944</v>
      </c>
      <c r="F137" s="2" t="str">
        <f>IF(INDEX(学年度总表!$F$3:$F$1025,MATCH($E137,学年度总表!$E$3:$E$1025,0))="","",INDEX(学年度总表!$F$3:$F$1025,MATCH($E137,学年度总表!$E$3:$E$1025,0)))</f>
        <v>曲音朵</v>
      </c>
      <c r="G137" s="3">
        <f>IF(INDEX(学年度总表!$G$3:$G$1025,MATCH($E137,学年度总表!$E$3:$E$1025,0))="","",INDEX(学年度总表!$G$3:$G$1025,MATCH($E137,学年度总表!$E$3:$E$1025,0)))</f>
        <v>9.8000000000000007</v>
      </c>
      <c r="H137" s="3">
        <f>IF(INDEX(学年度总表!$H$3:$H$1025,MATCH($E137,学年度总表!$E$3:$E$1025,0))="","",INDEX(学年度总表!$H$3:$H$1025,MATCH($E137,学年度总表!$E$3:$E$1025,0)))</f>
        <v>55.76</v>
      </c>
      <c r="I137" s="3">
        <f>IF(INDEX(学年度总表!$I$3:$I$1025,MATCH($E137,学年度总表!$E$3:$E$1025,0))="","",INDEX(学年度总表!$I$3:$I$1025,MATCH($E137,学年度总表!$E$3:$E$1025,0)))</f>
        <v>4</v>
      </c>
      <c r="J137" s="3">
        <f>IF(INDEX(学年度总表!$J$3:$J$1025,MATCH($E137,学年度总表!$E$3:$E$1025,0))="","",INDEX(学年度总表!$J$3:$J$1025,MATCH($E137,学年度总表!$E$3:$E$1025,0)))</f>
        <v>69.56</v>
      </c>
      <c r="K137" s="3">
        <f>IF(INDEX(学年度总表!$K$3:$K$1025,MATCH($E137,学年度总表!$E$3:$E$1025,0))="","",INDEX(学年度总表!$K$3:$K$1025,MATCH($E137,学年度总表!$E$3:$E$1025,0)))</f>
        <v>9.8000000000000007</v>
      </c>
      <c r="L137" s="3">
        <f>IF(INDEX(学年度总表!$L$3:$L$1025,MATCH($E137,学年度总表!$E$3:$E$1025,0))="","",INDEX(学年度总表!$L$3:$L$1025,MATCH($E137,学年度总表!$E$3:$E$1025,0)))</f>
        <v>58.16</v>
      </c>
      <c r="M137" s="3">
        <f>IF(INDEX(学年度总表!$M$3:$M$1025,MATCH($E137,学年度总表!$E$3:$E$1025,0))="","",INDEX(学年度总表!$M$3:$M$1025,MATCH($E137,学年度总表!$E$3:$E$1025,0)))</f>
        <v>4.4000000000000004</v>
      </c>
      <c r="N137" s="3">
        <f>IF(INDEX(学年度总表!$N$3:$N$1025,MATCH($E137,学年度总表!$E$3:$E$1025,0))="","",INDEX(学年度总表!$N$3:$N$1025,MATCH($E137,学年度总表!$E$3:$E$1025,0)))</f>
        <v>72.36</v>
      </c>
      <c r="O137" s="3">
        <f>IF(INDEX(学年度总表!$O$3:$O$1025,MATCH($E137,学年度总表!$E$3:$E$1025,0))="","",INDEX(学年度总表!$O$3:$O$1025,MATCH($E137,学年度总表!$E$3:$E$1025,0)))</f>
        <v>141.91999999999999</v>
      </c>
      <c r="P137" s="2" t="str">
        <f>IF(INDEX(学年度总表!$P$3:$P$1025,MATCH($E137,学年度总表!$E$3:$E$1025,0))="","",INDEX(学年度总表!$P$3:$P$1025,MATCH($E137,学年度总表!$E$3:$E$1025,0)))</f>
        <v/>
      </c>
      <c r="Q137" s="5" t="str">
        <f>IF(INDEX(学年度总表!$Q$3:$Q$1025,MATCH($E137,学年度总表!$E$3:$E$1025,0))="","",INDEX(学年度总表!$Q$3:$Q$1025,MATCH($E137,学年度总表!$E$3:$E$1025,0)))</f>
        <v/>
      </c>
    </row>
    <row r="138" spans="1:17">
      <c r="A138" s="2">
        <f>IF(INDEX(学年度总表!$A$3:$A$1025,MATCH($E138,学年度总表!$E$3:$E$1025,0))="","",INDEX(学年度总表!$A$3:$A$1025,MATCH($E138,学年度总表!$E$3:$E$1025,0)))</f>
        <v>443</v>
      </c>
      <c r="B138" s="2">
        <f>IF(INDEX(学年度总表!$B$3:$B$1025,MATCH($E138,学年度总表!$E$3:$E$1025,0))="","",INDEX(学年度总表!$B$3:$B$1025,MATCH($E138,学年度总表!$E$3:$E$1025,0)))</f>
        <v>136</v>
      </c>
      <c r="C138" s="2" t="str">
        <f>IF(INDEX(学年度总表!$C$3:$C$1025,MATCH($E138,学年度总表!$E$3:$E$1025,0))="","",INDEX(学年度总表!$C$3:$C$1025,MATCH($E138,学年度总表!$E$3:$E$1025,0)))</f>
        <v>信管</v>
      </c>
      <c r="D138" s="2" t="str">
        <f>IF(INDEX(学年度总表!$D$3:$D$1025,MATCH($E138,学年度总表!$E$3:$E$1025,0))="","",INDEX(学年度总表!$D$3:$D$1025,MATCH($E138,学年度总表!$E$3:$E$1025,0)))</f>
        <v>信管23班</v>
      </c>
      <c r="E138" s="2" t="s">
        <v>948</v>
      </c>
      <c r="F138" s="2" t="str">
        <f>IF(INDEX(学年度总表!$F$3:$F$1025,MATCH($E138,学年度总表!$E$3:$E$1025,0))="","",INDEX(学年度总表!$F$3:$F$1025,MATCH($E138,学年度总表!$E$3:$E$1025,0)))</f>
        <v>李镇彤</v>
      </c>
      <c r="G138" s="3">
        <f>IF(INDEX(学年度总表!$G$3:$G$1025,MATCH($E138,学年度总表!$E$3:$E$1025,0))="","",INDEX(学年度总表!$G$3:$G$1025,MATCH($E138,学年度总表!$E$3:$E$1025,0)))</f>
        <v>10</v>
      </c>
      <c r="H138" s="3">
        <f>IF(INDEX(学年度总表!$H$3:$H$1025,MATCH($E138,学年度总表!$E$3:$E$1025,0))="","",INDEX(学年度总表!$H$3:$H$1025,MATCH($E138,学年度总表!$E$3:$E$1025,0)))</f>
        <v>53.55</v>
      </c>
      <c r="I138" s="3">
        <f>IF(INDEX(学年度总表!$I$3:$I$1025,MATCH($E138,学年度总表!$E$3:$E$1025,0))="","",INDEX(学年度总表!$I$3:$I$1025,MATCH($E138,学年度总表!$E$3:$E$1025,0)))</f>
        <v>5</v>
      </c>
      <c r="J138" s="3">
        <f>IF(INDEX(学年度总表!$J$3:$J$1025,MATCH($E138,学年度总表!$E$3:$E$1025,0))="","",INDEX(学年度总表!$J$3:$J$1025,MATCH($E138,学年度总表!$E$3:$E$1025,0)))</f>
        <v>68.55</v>
      </c>
      <c r="K138" s="3">
        <f>IF(INDEX(学年度总表!$K$3:$K$1025,MATCH($E138,学年度总表!$E$3:$E$1025,0))="","",INDEX(学年度总表!$K$3:$K$1025,MATCH($E138,学年度总表!$E$3:$E$1025,0)))</f>
        <v>10</v>
      </c>
      <c r="L138" s="3">
        <f>IF(INDEX(学年度总表!$L$3:$L$1025,MATCH($E138,学年度总表!$E$3:$E$1025,0))="","",INDEX(学年度总表!$L$3:$L$1025,MATCH($E138,学年度总表!$E$3:$E$1025,0)))</f>
        <v>57.23</v>
      </c>
      <c r="M138" s="3">
        <f>IF(INDEX(学年度总表!$M$3:$M$1025,MATCH($E138,学年度总表!$E$3:$E$1025,0))="","",INDEX(学年度总表!$M$3:$M$1025,MATCH($E138,学年度总表!$E$3:$E$1025,0)))</f>
        <v>6.1</v>
      </c>
      <c r="N138" s="3">
        <f>IF(INDEX(学年度总表!$N$3:$N$1025,MATCH($E138,学年度总表!$E$3:$E$1025,0))="","",INDEX(学年度总表!$N$3:$N$1025,MATCH($E138,学年度总表!$E$3:$E$1025,0)))</f>
        <v>73.33</v>
      </c>
      <c r="O138" s="3">
        <f>IF(INDEX(学年度总表!$O$3:$O$1025,MATCH($E138,学年度总表!$E$3:$E$1025,0))="","",INDEX(学年度总表!$O$3:$O$1025,MATCH($E138,学年度总表!$E$3:$E$1025,0)))</f>
        <v>141.88</v>
      </c>
      <c r="P138" s="2" t="str">
        <f>IF(INDEX(学年度总表!$P$3:$P$1025,MATCH($E138,学年度总表!$E$3:$E$1025,0))="","",INDEX(学年度总表!$P$3:$P$1025,MATCH($E138,学年度总表!$E$3:$E$1025,0)))</f>
        <v/>
      </c>
      <c r="Q138" s="5" t="str">
        <f>IF(INDEX(学年度总表!$Q$3:$Q$1025,MATCH($E138,学年度总表!$E$3:$E$1025,0))="","",INDEX(学年度总表!$Q$3:$Q$1025,MATCH($E138,学年度总表!$E$3:$E$1025,0)))</f>
        <v/>
      </c>
    </row>
    <row r="139" spans="1:17">
      <c r="A139" s="2">
        <f>IF(INDEX(学年度总表!$A$3:$A$1025,MATCH($E139,学年度总表!$E$3:$E$1025,0))="","",INDEX(学年度总表!$A$3:$A$1025,MATCH($E139,学年度总表!$E$3:$E$1025,0)))</f>
        <v>447</v>
      </c>
      <c r="B139" s="2">
        <f>IF(INDEX(学年度总表!$B$3:$B$1025,MATCH($E139,学年度总表!$E$3:$E$1025,0))="","",INDEX(学年度总表!$B$3:$B$1025,MATCH($E139,学年度总表!$E$3:$E$1025,0)))</f>
        <v>137</v>
      </c>
      <c r="C139" s="2" t="str">
        <f>IF(INDEX(学年度总表!$C$3:$C$1025,MATCH($E139,学年度总表!$E$3:$E$1025,0))="","",INDEX(学年度总表!$C$3:$C$1025,MATCH($E139,学年度总表!$E$3:$E$1025,0)))</f>
        <v>信管</v>
      </c>
      <c r="D139" s="2" t="str">
        <f>IF(INDEX(学年度总表!$D$3:$D$1025,MATCH($E139,学年度总表!$E$3:$E$1025,0))="","",INDEX(学年度总表!$D$3:$D$1025,MATCH($E139,学年度总表!$E$3:$E$1025,0)))</f>
        <v>信管26班</v>
      </c>
      <c r="E139" s="2" t="s">
        <v>956</v>
      </c>
      <c r="F139" s="2" t="str">
        <f>IF(INDEX(学年度总表!$F$3:$F$1025,MATCH($E139,学年度总表!$E$3:$E$1025,0))="","",INDEX(学年度总表!$F$3:$F$1025,MATCH($E139,学年度总表!$E$3:$E$1025,0)))</f>
        <v>孙傲雪</v>
      </c>
      <c r="G139" s="3">
        <f>IF(INDEX(学年度总表!$G$3:$G$1025,MATCH($E139,学年度总表!$E$3:$E$1025,0))="","",INDEX(学年度总表!$G$3:$G$1025,MATCH($E139,学年度总表!$E$3:$E$1025,0)))</f>
        <v>10</v>
      </c>
      <c r="H139" s="3">
        <f>IF(INDEX(学年度总表!$H$3:$H$1025,MATCH($E139,学年度总表!$E$3:$E$1025,0))="","",INDEX(学年度总表!$H$3:$H$1025,MATCH($E139,学年度总表!$E$3:$E$1025,0)))</f>
        <v>57.46</v>
      </c>
      <c r="I139" s="3">
        <f>IF(INDEX(学年度总表!$I$3:$I$1025,MATCH($E139,学年度总表!$E$3:$E$1025,0))="","",INDEX(学年度总表!$I$3:$I$1025,MATCH($E139,学年度总表!$E$3:$E$1025,0)))</f>
        <v>5.5</v>
      </c>
      <c r="J139" s="3">
        <f>IF(INDEX(学年度总表!$J$3:$J$1025,MATCH($E139,学年度总表!$E$3:$E$1025,0))="","",INDEX(学年度总表!$J$3:$J$1025,MATCH($E139,学年度总表!$E$3:$E$1025,0)))</f>
        <v>72.959999999999994</v>
      </c>
      <c r="K139" s="3">
        <f>IF(INDEX(学年度总表!$K$3:$K$1025,MATCH($E139,学年度总表!$E$3:$E$1025,0))="","",INDEX(学年度总表!$K$3:$K$1025,MATCH($E139,学年度总表!$E$3:$E$1025,0)))</f>
        <v>7.5</v>
      </c>
      <c r="L139" s="3">
        <f>IF(INDEX(学年度总表!$L$3:$L$1025,MATCH($E139,学年度总表!$E$3:$E$1025,0))="","",INDEX(学年度总表!$L$3:$L$1025,MATCH($E139,学年度总表!$E$3:$E$1025,0)))</f>
        <v>54</v>
      </c>
      <c r="M139" s="3">
        <f>IF(INDEX(学年度总表!$M$3:$M$1025,MATCH($E139,学年度总表!$E$3:$E$1025,0))="","",INDEX(学年度总表!$M$3:$M$1025,MATCH($E139,学年度总表!$E$3:$E$1025,0)))</f>
        <v>7.3</v>
      </c>
      <c r="N139" s="3">
        <f>IF(INDEX(学年度总表!$N$3:$N$1025,MATCH($E139,学年度总表!$E$3:$E$1025,0))="","",INDEX(学年度总表!$N$3:$N$1025,MATCH($E139,学年度总表!$E$3:$E$1025,0)))</f>
        <v>68.8</v>
      </c>
      <c r="O139" s="3">
        <f>IF(INDEX(学年度总表!$O$3:$O$1025,MATCH($E139,学年度总表!$E$3:$E$1025,0))="","",INDEX(学年度总表!$O$3:$O$1025,MATCH($E139,学年度总表!$E$3:$E$1025,0)))</f>
        <v>141.76</v>
      </c>
      <c r="P139" s="4" t="str">
        <f>IF(INDEX(学年度总表!$P$3:$P$1025,MATCH($E139,学年度总表!$E$3:$E$1025,0))="","",INDEX(学年度总表!$P$3:$P$1025,MATCH($E139,学年度总表!$E$3:$E$1025,0)))</f>
        <v>校励</v>
      </c>
      <c r="Q139" s="5" t="str">
        <f>IF(INDEX(学年度总表!$Q$3:$Q$1025,MATCH($E139,学年度总表!$E$3:$E$1025,0))="","",INDEX(学年度总表!$Q$3:$Q$1025,MATCH($E139,学年度总表!$E$3:$E$1025,0)))</f>
        <v/>
      </c>
    </row>
    <row r="140" spans="1:17">
      <c r="A140" s="2">
        <f>IF(INDEX(学年度总表!$A$3:$A$1025,MATCH($E140,学年度总表!$E$3:$E$1025,0))="","",INDEX(学年度总表!$A$3:$A$1025,MATCH($E140,学年度总表!$E$3:$E$1025,0)))</f>
        <v>448</v>
      </c>
      <c r="B140" s="2">
        <f>IF(INDEX(学年度总表!$B$3:$B$1025,MATCH($E140,学年度总表!$E$3:$E$1025,0))="","",INDEX(学年度总表!$B$3:$B$1025,MATCH($E140,学年度总表!$E$3:$E$1025,0)))</f>
        <v>138</v>
      </c>
      <c r="C140" s="2" t="str">
        <f>IF(INDEX(学年度总表!$C$3:$C$1025,MATCH($E140,学年度总表!$E$3:$E$1025,0))="","",INDEX(学年度总表!$C$3:$C$1025,MATCH($E140,学年度总表!$E$3:$E$1025,0)))</f>
        <v>信管</v>
      </c>
      <c r="D140" s="2" t="str">
        <f>IF(INDEX(学年度总表!$D$3:$D$1025,MATCH($E140,学年度总表!$E$3:$E$1025,0))="","",INDEX(学年度总表!$D$3:$D$1025,MATCH($E140,学年度总表!$E$3:$E$1025,0)))</f>
        <v>信管21班</v>
      </c>
      <c r="E140" s="2" t="s">
        <v>960</v>
      </c>
      <c r="F140" s="2" t="str">
        <f>IF(INDEX(学年度总表!$F$3:$F$1025,MATCH($E140,学年度总表!$E$3:$E$1025,0))="","",INDEX(学年度总表!$F$3:$F$1025,MATCH($E140,学年度总表!$E$3:$E$1025,0)))</f>
        <v>刘嘉欣</v>
      </c>
      <c r="G140" s="3">
        <f>IF(INDEX(学年度总表!$G$3:$G$1025,MATCH($E140,学年度总表!$E$3:$E$1025,0))="","",INDEX(学年度总表!$G$3:$G$1025,MATCH($E140,学年度总表!$E$3:$E$1025,0)))</f>
        <v>10.3</v>
      </c>
      <c r="H140" s="3">
        <f>IF(INDEX(学年度总表!$H$3:$H$1025,MATCH($E140,学年度总表!$E$3:$E$1025,0))="","",INDEX(学年度总表!$H$3:$H$1025,MATCH($E140,学年度总表!$E$3:$E$1025,0)))</f>
        <v>57.37</v>
      </c>
      <c r="I140" s="3">
        <f>IF(INDEX(学年度总表!$I$3:$I$1025,MATCH($E140,学年度总表!$E$3:$E$1025,0))="","",INDEX(学年度总表!$I$3:$I$1025,MATCH($E140,学年度总表!$E$3:$E$1025,0)))</f>
        <v>3</v>
      </c>
      <c r="J140" s="3">
        <f>IF(INDEX(学年度总表!$J$3:$J$1025,MATCH($E140,学年度总表!$E$3:$E$1025,0))="","",INDEX(学年度总表!$J$3:$J$1025,MATCH($E140,学年度总表!$E$3:$E$1025,0)))</f>
        <v>70.67</v>
      </c>
      <c r="K140" s="3">
        <f>IF(INDEX(学年度总表!$K$3:$K$1025,MATCH($E140,学年度总表!$E$3:$E$1025,0))="","",INDEX(学年度总表!$K$3:$K$1025,MATCH($E140,学年度总表!$E$3:$E$1025,0)))</f>
        <v>9.8000000000000007</v>
      </c>
      <c r="L140" s="3">
        <f>IF(INDEX(学年度总表!$L$3:$L$1025,MATCH($E140,学年度总表!$E$3:$E$1025,0))="","",INDEX(学年度总表!$L$3:$L$1025,MATCH($E140,学年度总表!$E$3:$E$1025,0)))</f>
        <v>57.75</v>
      </c>
      <c r="M140" s="3">
        <f>IF(INDEX(学年度总表!$M$3:$M$1025,MATCH($E140,学年度总表!$E$3:$E$1025,0))="","",INDEX(学年度总表!$M$3:$M$1025,MATCH($E140,学年度总表!$E$3:$E$1025,0)))</f>
        <v>3.5</v>
      </c>
      <c r="N140" s="3">
        <f>IF(INDEX(学年度总表!$N$3:$N$1025,MATCH($E140,学年度总表!$E$3:$E$1025,0))="","",INDEX(学年度总表!$N$3:$N$1025,MATCH($E140,学年度总表!$E$3:$E$1025,0)))</f>
        <v>71.05</v>
      </c>
      <c r="O140" s="3">
        <f>IF(INDEX(学年度总表!$O$3:$O$1025,MATCH($E140,学年度总表!$E$3:$E$1025,0))="","",INDEX(学年度总表!$O$3:$O$1025,MATCH($E140,学年度总表!$E$3:$E$1025,0)))</f>
        <v>141.72</v>
      </c>
      <c r="P140" s="2" t="str">
        <f>IF(INDEX(学年度总表!$P$3:$P$1025,MATCH($E140,学年度总表!$E$3:$E$1025,0))="","",INDEX(学年度总表!$P$3:$P$1025,MATCH($E140,学年度总表!$E$3:$E$1025,0)))</f>
        <v/>
      </c>
      <c r="Q140" s="5" t="str">
        <f>IF(INDEX(学年度总表!$Q$3:$Q$1025,MATCH($E140,学年度总表!$E$3:$E$1025,0))="","",INDEX(学年度总表!$Q$3:$Q$1025,MATCH($E140,学年度总表!$E$3:$E$1025,0)))</f>
        <v/>
      </c>
    </row>
    <row r="141" spans="1:17">
      <c r="A141" s="2">
        <f>IF(INDEX(学年度总表!$A$3:$A$1025,MATCH($E141,学年度总表!$E$3:$E$1025,0))="","",INDEX(学年度总表!$A$3:$A$1025,MATCH($E141,学年度总表!$E$3:$E$1025,0)))</f>
        <v>450</v>
      </c>
      <c r="B141" s="2">
        <f>IF(INDEX(学年度总表!$B$3:$B$1025,MATCH($E141,学年度总表!$E$3:$E$1025,0))="","",INDEX(学年度总表!$B$3:$B$1025,MATCH($E141,学年度总表!$E$3:$E$1025,0)))</f>
        <v>139</v>
      </c>
      <c r="C141" s="2" t="str">
        <f>IF(INDEX(学年度总表!$C$3:$C$1025,MATCH($E141,学年度总表!$E$3:$E$1025,0))="","",INDEX(学年度总表!$C$3:$C$1025,MATCH($E141,学年度总表!$E$3:$E$1025,0)))</f>
        <v>信管</v>
      </c>
      <c r="D141" s="2" t="str">
        <f>IF(INDEX(学年度总表!$D$3:$D$1025,MATCH($E141,学年度总表!$E$3:$E$1025,0))="","",INDEX(学年度总表!$D$3:$D$1025,MATCH($E141,学年度总表!$E$3:$E$1025,0)))</f>
        <v>信管23班</v>
      </c>
      <c r="E141" s="2" t="s">
        <v>962</v>
      </c>
      <c r="F141" s="2" t="str">
        <f>IF(INDEX(学年度总表!$F$3:$F$1025,MATCH($E141,学年度总表!$E$3:$E$1025,0))="","",INDEX(学年度总表!$F$3:$F$1025,MATCH($E141,学年度总表!$E$3:$E$1025,0)))</f>
        <v>陈鋆玥</v>
      </c>
      <c r="G141" s="3">
        <f>IF(INDEX(学年度总表!$G$3:$G$1025,MATCH($E141,学年度总表!$E$3:$E$1025,0))="","",INDEX(学年度总表!$G$3:$G$1025,MATCH($E141,学年度总表!$E$3:$E$1025,0)))</f>
        <v>9.8000000000000007</v>
      </c>
      <c r="H141" s="3">
        <f>IF(INDEX(学年度总表!$H$3:$H$1025,MATCH($E141,学年度总表!$E$3:$E$1025,0))="","",INDEX(学年度总表!$H$3:$H$1025,MATCH($E141,学年度总表!$E$3:$E$1025,0)))</f>
        <v>57.46</v>
      </c>
      <c r="I141" s="3">
        <f>IF(INDEX(学年度总表!$I$3:$I$1025,MATCH($E141,学年度总表!$E$3:$E$1025,0))="","",INDEX(学年度总表!$I$3:$I$1025,MATCH($E141,学年度总表!$E$3:$E$1025,0)))</f>
        <v>3</v>
      </c>
      <c r="J141" s="3">
        <f>IF(INDEX(学年度总表!$J$3:$J$1025,MATCH($E141,学年度总表!$E$3:$E$1025,0))="","",INDEX(学年度总表!$J$3:$J$1025,MATCH($E141,学年度总表!$E$3:$E$1025,0)))</f>
        <v>70.260000000000005</v>
      </c>
      <c r="K141" s="3">
        <f>IF(INDEX(学年度总表!$K$3:$K$1025,MATCH($E141,学年度总表!$E$3:$E$1025,0))="","",INDEX(学年度总表!$K$3:$K$1025,MATCH($E141,学年度总表!$E$3:$E$1025,0)))</f>
        <v>9.8000000000000007</v>
      </c>
      <c r="L141" s="3">
        <f>IF(INDEX(学年度总表!$L$3:$L$1025,MATCH($E141,学年度总表!$E$3:$E$1025,0))="","",INDEX(学年度总表!$L$3:$L$1025,MATCH($E141,学年度总表!$E$3:$E$1025,0)))</f>
        <v>58.14</v>
      </c>
      <c r="M141" s="3">
        <f>IF(INDEX(学年度总表!$M$3:$M$1025,MATCH($E141,学年度总表!$E$3:$E$1025,0))="","",INDEX(学年度总表!$M$3:$M$1025,MATCH($E141,学年度总表!$E$3:$E$1025,0)))</f>
        <v>3.5</v>
      </c>
      <c r="N141" s="3">
        <f>IF(INDEX(学年度总表!$N$3:$N$1025,MATCH($E141,学年度总表!$E$3:$E$1025,0))="","",INDEX(学年度总表!$N$3:$N$1025,MATCH($E141,学年度总表!$E$3:$E$1025,0)))</f>
        <v>71.44</v>
      </c>
      <c r="O141" s="3">
        <f>IF(INDEX(学年度总表!$O$3:$O$1025,MATCH($E141,学年度总表!$E$3:$E$1025,0))="","",INDEX(学年度总表!$O$3:$O$1025,MATCH($E141,学年度总表!$E$3:$E$1025,0)))</f>
        <v>141.69999999999999</v>
      </c>
      <c r="P141" s="2" t="str">
        <f>IF(INDEX(学年度总表!$P$3:$P$1025,MATCH($E141,学年度总表!$E$3:$E$1025,0))="","",INDEX(学年度总表!$P$3:$P$1025,MATCH($E141,学年度总表!$E$3:$E$1025,0)))</f>
        <v/>
      </c>
      <c r="Q141" s="5" t="str">
        <f>IF(INDEX(学年度总表!$Q$3:$Q$1025,MATCH($E141,学年度总表!$E$3:$E$1025,0))="","",INDEX(学年度总表!$Q$3:$Q$1025,MATCH($E141,学年度总表!$E$3:$E$1025,0)))</f>
        <v/>
      </c>
    </row>
    <row r="142" spans="1:17">
      <c r="A142" s="2">
        <f>IF(INDEX(学年度总表!$A$3:$A$1025,MATCH($E142,学年度总表!$E$3:$E$1025,0))="","",INDEX(学年度总表!$A$3:$A$1025,MATCH($E142,学年度总表!$E$3:$E$1025,0)))</f>
        <v>451</v>
      </c>
      <c r="B142" s="2">
        <f>IF(INDEX(学年度总表!$B$3:$B$1025,MATCH($E142,学年度总表!$E$3:$E$1025,0))="","",INDEX(学年度总表!$B$3:$B$1025,MATCH($E142,学年度总表!$E$3:$E$1025,0)))</f>
        <v>140</v>
      </c>
      <c r="C142" s="2" t="str">
        <f>IF(INDEX(学年度总表!$C$3:$C$1025,MATCH($E142,学年度总表!$E$3:$E$1025,0))="","",INDEX(学年度总表!$C$3:$C$1025,MATCH($E142,学年度总表!$E$3:$E$1025,0)))</f>
        <v>信管</v>
      </c>
      <c r="D142" s="2" t="str">
        <f>IF(INDEX(学年度总表!$D$3:$D$1025,MATCH($E142,学年度总表!$E$3:$E$1025,0))="","",INDEX(学年度总表!$D$3:$D$1025,MATCH($E142,学年度总表!$E$3:$E$1025,0)))</f>
        <v>信管25班</v>
      </c>
      <c r="E142" s="2" t="s">
        <v>966</v>
      </c>
      <c r="F142" s="2" t="str">
        <f>IF(INDEX(学年度总表!$F$3:$F$1025,MATCH($E142,学年度总表!$E$3:$E$1025,0))="","",INDEX(学年度总表!$F$3:$F$1025,MATCH($E142,学年度总表!$E$3:$E$1025,0)))</f>
        <v>郭玥辰</v>
      </c>
      <c r="G142" s="3">
        <f>IF(INDEX(学年度总表!$G$3:$G$1025,MATCH($E142,学年度总表!$E$3:$E$1025,0))="","",INDEX(学年度总表!$G$3:$G$1025,MATCH($E142,学年度总表!$E$3:$E$1025,0)))</f>
        <v>9.8000000000000007</v>
      </c>
      <c r="H142" s="3">
        <f>IF(INDEX(学年度总表!$H$3:$H$1025,MATCH($E142,学年度总表!$E$3:$E$1025,0))="","",INDEX(学年度总表!$H$3:$H$1025,MATCH($E142,学年度总表!$E$3:$E$1025,0)))</f>
        <v>61.22</v>
      </c>
      <c r="I142" s="3">
        <f>IF(INDEX(学年度总表!$I$3:$I$1025,MATCH($E142,学年度总表!$E$3:$E$1025,0))="","",INDEX(学年度总表!$I$3:$I$1025,MATCH($E142,学年度总表!$E$3:$E$1025,0)))</f>
        <v>3</v>
      </c>
      <c r="J142" s="3">
        <f>IF(INDEX(学年度总表!$J$3:$J$1025,MATCH($E142,学年度总表!$E$3:$E$1025,0))="","",INDEX(学年度总表!$J$3:$J$1025,MATCH($E142,学年度总表!$E$3:$E$1025,0)))</f>
        <v>74.02</v>
      </c>
      <c r="K142" s="3">
        <f>IF(INDEX(学年度总表!$K$3:$K$1025,MATCH($E142,学年度总表!$E$3:$E$1025,0))="","",INDEX(学年度总表!$K$3:$K$1025,MATCH($E142,学年度总表!$E$3:$E$1025,0)))</f>
        <v>7.3000000000000007</v>
      </c>
      <c r="L142" s="3">
        <f>IF(INDEX(学年度总表!$L$3:$L$1025,MATCH($E142,学年度总表!$E$3:$E$1025,0))="","",INDEX(学年度总表!$L$3:$L$1025,MATCH($E142,学年度总表!$E$3:$E$1025,0)))</f>
        <v>57.34</v>
      </c>
      <c r="M142" s="3">
        <f>IF(INDEX(学年度总表!$M$3:$M$1025,MATCH($E142,学年度总表!$E$3:$E$1025,0))="","",INDEX(学年度总表!$M$3:$M$1025,MATCH($E142,学年度总表!$E$3:$E$1025,0)))</f>
        <v>3</v>
      </c>
      <c r="N142" s="3">
        <f>IF(INDEX(学年度总表!$N$3:$N$1025,MATCH($E142,学年度总表!$E$3:$E$1025,0))="","",INDEX(学年度总表!$N$3:$N$1025,MATCH($E142,学年度总表!$E$3:$E$1025,0)))</f>
        <v>67.64</v>
      </c>
      <c r="O142" s="3">
        <f>IF(INDEX(学年度总表!$O$3:$O$1025,MATCH($E142,学年度总表!$E$3:$E$1025,0))="","",INDEX(学年度总表!$O$3:$O$1025,MATCH($E142,学年度总表!$E$3:$E$1025,0)))</f>
        <v>141.66</v>
      </c>
      <c r="P142" s="2" t="str">
        <f>IF(INDEX(学年度总表!$P$3:$P$1025,MATCH($E142,学年度总表!$E$3:$E$1025,0))="","",INDEX(学年度总表!$P$3:$P$1025,MATCH($E142,学年度总表!$E$3:$E$1025,0)))</f>
        <v/>
      </c>
      <c r="Q142" s="5" t="str">
        <f>IF(INDEX(学年度总表!$Q$3:$Q$1025,MATCH($E142,学年度总表!$E$3:$E$1025,0))="","",INDEX(学年度总表!$Q$3:$Q$1025,MATCH($E142,学年度总表!$E$3:$E$1025,0)))</f>
        <v/>
      </c>
    </row>
    <row r="143" spans="1:17">
      <c r="A143" s="2">
        <f>IF(INDEX(学年度总表!$A$3:$A$1025,MATCH($E143,学年度总表!$E$3:$E$1025,0))="","",INDEX(学年度总表!$A$3:$A$1025,MATCH($E143,学年度总表!$E$3:$E$1025,0)))</f>
        <v>460</v>
      </c>
      <c r="B143" s="2">
        <f>IF(INDEX(学年度总表!$B$3:$B$1025,MATCH($E143,学年度总表!$E$3:$E$1025,0))="","",INDEX(学年度总表!$B$3:$B$1025,MATCH($E143,学年度总表!$E$3:$E$1025,0)))</f>
        <v>141</v>
      </c>
      <c r="C143" s="2" t="str">
        <f>IF(INDEX(学年度总表!$C$3:$C$1025,MATCH($E143,学年度总表!$E$3:$E$1025,0))="","",INDEX(学年度总表!$C$3:$C$1025,MATCH($E143,学年度总表!$E$3:$E$1025,0)))</f>
        <v>信管</v>
      </c>
      <c r="D143" s="2" t="str">
        <f>IF(INDEX(学年度总表!$D$3:$D$1025,MATCH($E143,学年度总表!$E$3:$E$1025,0))="","",INDEX(学年度总表!$D$3:$D$1025,MATCH($E143,学年度总表!$E$3:$E$1025,0)))</f>
        <v>信管28班</v>
      </c>
      <c r="E143" s="2" t="s">
        <v>982</v>
      </c>
      <c r="F143" s="2" t="str">
        <f>IF(INDEX(学年度总表!$F$3:$F$1025,MATCH($E143,学年度总表!$E$3:$E$1025,0))="","",INDEX(学年度总表!$F$3:$F$1025,MATCH($E143,学年度总表!$E$3:$E$1025,0)))</f>
        <v>张佳钰</v>
      </c>
      <c r="G143" s="3">
        <f>IF(INDEX(学年度总表!$G$3:$G$1025,MATCH($E143,学年度总表!$E$3:$E$1025,0))="","",INDEX(学年度总表!$G$3:$G$1025,MATCH($E143,学年度总表!$E$3:$E$1025,0)))</f>
        <v>10</v>
      </c>
      <c r="H143" s="3">
        <f>IF(INDEX(学年度总表!$H$3:$H$1025,MATCH($E143,学年度总表!$E$3:$E$1025,0))="","",INDEX(学年度总表!$H$3:$H$1025,MATCH($E143,学年度总表!$E$3:$E$1025,0)))</f>
        <v>60.67</v>
      </c>
      <c r="I143" s="3">
        <f>IF(INDEX(学年度总表!$I$3:$I$1025,MATCH($E143,学年度总表!$E$3:$E$1025,0))="","",INDEX(学年度总表!$I$3:$I$1025,MATCH($E143,学年度总表!$E$3:$E$1025,0)))</f>
        <v>5.4</v>
      </c>
      <c r="J143" s="3">
        <f>IF(INDEX(学年度总表!$J$3:$J$1025,MATCH($E143,学年度总表!$E$3:$E$1025,0))="","",INDEX(学年度总表!$J$3:$J$1025,MATCH($E143,学年度总表!$E$3:$E$1025,0)))</f>
        <v>76.069999999999993</v>
      </c>
      <c r="K143" s="3">
        <f>IF(INDEX(学年度总表!$K$3:$K$1025,MATCH($E143,学年度总表!$E$3:$E$1025,0))="","",INDEX(学年度总表!$K$3:$K$1025,MATCH($E143,学年度总表!$E$3:$E$1025,0)))</f>
        <v>7.3000000000000007</v>
      </c>
      <c r="L143" s="3">
        <f>IF(INDEX(学年度总表!$L$3:$L$1025,MATCH($E143,学年度总表!$E$3:$E$1025,0))="","",INDEX(学年度总表!$L$3:$L$1025,MATCH($E143,学年度总表!$E$3:$E$1025,0)))</f>
        <v>51.84</v>
      </c>
      <c r="M143" s="3">
        <f>IF(INDEX(学年度总表!$M$3:$M$1025,MATCH($E143,学年度总表!$E$3:$E$1025,0))="","",INDEX(学年度总表!$M$3:$M$1025,MATCH($E143,学年度总表!$E$3:$E$1025,0)))</f>
        <v>6.25</v>
      </c>
      <c r="N143" s="3">
        <f>IF(INDEX(学年度总表!$N$3:$N$1025,MATCH($E143,学年度总表!$E$3:$E$1025,0))="","",INDEX(学年度总表!$N$3:$N$1025,MATCH($E143,学年度总表!$E$3:$E$1025,0)))</f>
        <v>65.39</v>
      </c>
      <c r="O143" s="3">
        <f>IF(INDEX(学年度总表!$O$3:$O$1025,MATCH($E143,学年度总表!$E$3:$E$1025,0))="","",INDEX(学年度总表!$O$3:$O$1025,MATCH($E143,学年度总表!$E$3:$E$1025,0)))</f>
        <v>141.46</v>
      </c>
      <c r="P143" s="2" t="str">
        <f>IF(INDEX(学年度总表!$P$3:$P$1025,MATCH($E143,学年度总表!$E$3:$E$1025,0))="","",INDEX(学年度总表!$P$3:$P$1025,MATCH($E143,学年度总表!$E$3:$E$1025,0)))</f>
        <v/>
      </c>
      <c r="Q143" s="5" t="str">
        <f>IF(INDEX(学年度总表!$Q$3:$Q$1025,MATCH($E143,学年度总表!$E$3:$E$1025,0))="","",INDEX(学年度总表!$Q$3:$Q$1025,MATCH($E143,学年度总表!$E$3:$E$1025,0)))</f>
        <v/>
      </c>
    </row>
    <row r="144" spans="1:17">
      <c r="A144" s="2">
        <f>IF(INDEX(学年度总表!$A$3:$A$1025,MATCH($E144,学年度总表!$E$3:$E$1025,0))="","",INDEX(学年度总表!$A$3:$A$1025,MATCH($E144,学年度总表!$E$3:$E$1025,0)))</f>
        <v>461</v>
      </c>
      <c r="B144" s="2">
        <f>IF(INDEX(学年度总表!$B$3:$B$1025,MATCH($E144,学年度总表!$E$3:$E$1025,0))="","",INDEX(学年度总表!$B$3:$B$1025,MATCH($E144,学年度总表!$E$3:$E$1025,0)))</f>
        <v>142</v>
      </c>
      <c r="C144" s="2" t="str">
        <f>IF(INDEX(学年度总表!$C$3:$C$1025,MATCH($E144,学年度总表!$E$3:$E$1025,0))="","",INDEX(学年度总表!$C$3:$C$1025,MATCH($E144,学年度总表!$E$3:$E$1025,0)))</f>
        <v>信管</v>
      </c>
      <c r="D144" s="2" t="str">
        <f>IF(INDEX(学年度总表!$D$3:$D$1025,MATCH($E144,学年度总表!$E$3:$E$1025,0))="","",INDEX(学年度总表!$D$3:$D$1025,MATCH($E144,学年度总表!$E$3:$E$1025,0)))</f>
        <v>信管26班</v>
      </c>
      <c r="E144" s="2" t="s">
        <v>984</v>
      </c>
      <c r="F144" s="2" t="str">
        <f>IF(INDEX(学年度总表!$F$3:$F$1025,MATCH($E144,学年度总表!$E$3:$E$1025,0))="","",INDEX(学年度总表!$F$3:$F$1025,MATCH($E144,学年度总表!$E$3:$E$1025,0)))</f>
        <v>赵佳</v>
      </c>
      <c r="G144" s="3">
        <f>IF(INDEX(学年度总表!$G$3:$G$1025,MATCH($E144,学年度总表!$E$3:$E$1025,0))="","",INDEX(学年度总表!$G$3:$G$1025,MATCH($E144,学年度总表!$E$3:$E$1025,0)))</f>
        <v>9.8000000000000007</v>
      </c>
      <c r="H144" s="3">
        <f>IF(INDEX(学年度总表!$H$3:$H$1025,MATCH($E144,学年度总表!$E$3:$E$1025,0))="","",INDEX(学年度总表!$H$3:$H$1025,MATCH($E144,学年度总表!$E$3:$E$1025,0)))</f>
        <v>56.39</v>
      </c>
      <c r="I144" s="3">
        <f>IF(INDEX(学年度总表!$I$3:$I$1025,MATCH($E144,学年度总表!$E$3:$E$1025,0))="","",INDEX(学年度总表!$I$3:$I$1025,MATCH($E144,学年度总表!$E$3:$E$1025,0)))</f>
        <v>4</v>
      </c>
      <c r="J144" s="3">
        <f>IF(INDEX(学年度总表!$J$3:$J$1025,MATCH($E144,学年度总表!$E$3:$E$1025,0))="","",INDEX(学年度总表!$J$3:$J$1025,MATCH($E144,学年度总表!$E$3:$E$1025,0)))</f>
        <v>70.19</v>
      </c>
      <c r="K144" s="3">
        <f>IF(INDEX(学年度总表!$K$3:$K$1025,MATCH($E144,学年度总表!$E$3:$E$1025,0))="","",INDEX(学年度总表!$K$3:$K$1025,MATCH($E144,学年度总表!$E$3:$E$1025,0)))</f>
        <v>9.8000000000000007</v>
      </c>
      <c r="L144" s="3">
        <f>IF(INDEX(学年度总表!$L$3:$L$1025,MATCH($E144,学年度总表!$E$3:$E$1025,0))="","",INDEX(学年度总表!$L$3:$L$1025,MATCH($E144,学年度总表!$E$3:$E$1025,0)))</f>
        <v>56.08</v>
      </c>
      <c r="M144" s="3">
        <f>IF(INDEX(学年度总表!$M$3:$M$1025,MATCH($E144,学年度总表!$E$3:$E$1025,0))="","",INDEX(学年度总表!$M$3:$M$1025,MATCH($E144,学年度总表!$E$3:$E$1025,0)))</f>
        <v>5.3</v>
      </c>
      <c r="N144" s="3">
        <f>IF(INDEX(学年度总表!$N$3:$N$1025,MATCH($E144,学年度总表!$E$3:$E$1025,0))="","",INDEX(学年度总表!$N$3:$N$1025,MATCH($E144,学年度总表!$E$3:$E$1025,0)))</f>
        <v>71.180000000000007</v>
      </c>
      <c r="O144" s="3">
        <f>IF(INDEX(学年度总表!$O$3:$O$1025,MATCH($E144,学年度总表!$E$3:$E$1025,0))="","",INDEX(学年度总表!$O$3:$O$1025,MATCH($E144,学年度总表!$E$3:$E$1025,0)))</f>
        <v>141.37</v>
      </c>
      <c r="P144" s="2" t="str">
        <f>IF(INDEX(学年度总表!$P$3:$P$1025,MATCH($E144,学年度总表!$E$3:$E$1025,0))="","",INDEX(学年度总表!$P$3:$P$1025,MATCH($E144,学年度总表!$E$3:$E$1025,0)))</f>
        <v/>
      </c>
      <c r="Q144" s="5" t="str">
        <f>IF(INDEX(学年度总表!$Q$3:$Q$1025,MATCH($E144,学年度总表!$E$3:$E$1025,0))="","",INDEX(学年度总表!$Q$3:$Q$1025,MATCH($E144,学年度总表!$E$3:$E$1025,0)))</f>
        <v/>
      </c>
    </row>
    <row r="145" spans="1:17">
      <c r="A145" s="2">
        <f>IF(INDEX(学年度总表!$A$3:$A$1025,MATCH($E145,学年度总表!$E$3:$E$1025,0))="","",INDEX(学年度总表!$A$3:$A$1025,MATCH($E145,学年度总表!$E$3:$E$1025,0)))</f>
        <v>462</v>
      </c>
      <c r="B145" s="2">
        <f>IF(INDEX(学年度总表!$B$3:$B$1025,MATCH($E145,学年度总表!$E$3:$E$1025,0))="","",INDEX(学年度总表!$B$3:$B$1025,MATCH($E145,学年度总表!$E$3:$E$1025,0)))</f>
        <v>143</v>
      </c>
      <c r="C145" s="2" t="str">
        <f>IF(INDEX(学年度总表!$C$3:$C$1025,MATCH($E145,学年度总表!$E$3:$E$1025,0))="","",INDEX(学年度总表!$C$3:$C$1025,MATCH($E145,学年度总表!$E$3:$E$1025,0)))</f>
        <v>信管</v>
      </c>
      <c r="D145" s="2" t="str">
        <f>IF(INDEX(学年度总表!$D$3:$D$1025,MATCH($E145,学年度总表!$E$3:$E$1025,0))="","",INDEX(学年度总表!$D$3:$D$1025,MATCH($E145,学年度总表!$E$3:$E$1025,0)))</f>
        <v>信管21班</v>
      </c>
      <c r="E145" s="2" t="s">
        <v>988</v>
      </c>
      <c r="F145" s="2" t="str">
        <f>IF(INDEX(学年度总表!$F$3:$F$1025,MATCH($E145,学年度总表!$E$3:$E$1025,0))="","",INDEX(学年度总表!$F$3:$F$1025,MATCH($E145,学年度总表!$E$3:$E$1025,0)))</f>
        <v>张歆笛</v>
      </c>
      <c r="G145" s="3">
        <f>IF(INDEX(学年度总表!$G$3:$G$1025,MATCH($E145,学年度总表!$E$3:$E$1025,0))="","",INDEX(学年度总表!$G$3:$G$1025,MATCH($E145,学年度总表!$E$3:$E$1025,0)))</f>
        <v>10</v>
      </c>
      <c r="H145" s="3">
        <f>IF(INDEX(学年度总表!$H$3:$H$1025,MATCH($E145,学年度总表!$E$3:$E$1025,0))="","",INDEX(学年度总表!$H$3:$H$1025,MATCH($E145,学年度总表!$E$3:$E$1025,0)))</f>
        <v>60.72</v>
      </c>
      <c r="I145" s="3">
        <f>IF(INDEX(学年度总表!$I$3:$I$1025,MATCH($E145,学年度总表!$E$3:$E$1025,0))="","",INDEX(学年度总表!$I$3:$I$1025,MATCH($E145,学年度总表!$E$3:$E$1025,0)))</f>
        <v>3.7</v>
      </c>
      <c r="J145" s="3">
        <f>IF(INDEX(学年度总表!$J$3:$J$1025,MATCH($E145,学年度总表!$E$3:$E$1025,0))="","",INDEX(学年度总表!$J$3:$J$1025,MATCH($E145,学年度总表!$E$3:$E$1025,0)))</f>
        <v>74.42</v>
      </c>
      <c r="K145" s="3">
        <f>IF(INDEX(学年度总表!$K$3:$K$1025,MATCH($E145,学年度总表!$E$3:$E$1025,0))="","",INDEX(学年度总表!$K$3:$K$1025,MATCH($E145,学年度总表!$E$3:$E$1025,0)))</f>
        <v>10</v>
      </c>
      <c r="L145" s="3">
        <f>IF(INDEX(学年度总表!$L$3:$L$1025,MATCH($E145,学年度总表!$E$3:$E$1025,0))="","",INDEX(学年度总表!$L$3:$L$1025,MATCH($E145,学年度总表!$E$3:$E$1025,0)))</f>
        <v>53.03</v>
      </c>
      <c r="M145" s="3">
        <f>IF(INDEX(学年度总表!$M$3:$M$1025,MATCH($E145,学年度总表!$E$3:$E$1025,0))="","",INDEX(学年度总表!$M$3:$M$1025,MATCH($E145,学年度总表!$E$3:$E$1025,0)))</f>
        <v>3.8</v>
      </c>
      <c r="N145" s="3">
        <f>IF(INDEX(学年度总表!$N$3:$N$1025,MATCH($E145,学年度总表!$E$3:$E$1025,0))="","",INDEX(学年度总表!$N$3:$N$1025,MATCH($E145,学年度总表!$E$3:$E$1025,0)))</f>
        <v>66.83</v>
      </c>
      <c r="O145" s="3">
        <f>IF(INDEX(学年度总表!$O$3:$O$1025,MATCH($E145,学年度总表!$E$3:$E$1025,0))="","",INDEX(学年度总表!$O$3:$O$1025,MATCH($E145,学年度总表!$E$3:$E$1025,0)))</f>
        <v>141.25</v>
      </c>
      <c r="P145" s="2" t="str">
        <f>IF(INDEX(学年度总表!$P$3:$P$1025,MATCH($E145,学年度总表!$E$3:$E$1025,0))="","",INDEX(学年度总表!$P$3:$P$1025,MATCH($E145,学年度总表!$E$3:$E$1025,0)))</f>
        <v/>
      </c>
      <c r="Q145" s="5" t="str">
        <f>IF(INDEX(学年度总表!$Q$3:$Q$1025,MATCH($E145,学年度总表!$E$3:$E$1025,0))="","",INDEX(学年度总表!$Q$3:$Q$1025,MATCH($E145,学年度总表!$E$3:$E$1025,0)))</f>
        <v/>
      </c>
    </row>
    <row r="146" spans="1:17">
      <c r="A146" s="2">
        <f>IF(INDEX(学年度总表!$A$3:$A$1025,MATCH($E146,学年度总表!$E$3:$E$1025,0))="","",INDEX(学年度总表!$A$3:$A$1025,MATCH($E146,学年度总表!$E$3:$E$1025,0)))</f>
        <v>467</v>
      </c>
      <c r="B146" s="2">
        <f>IF(INDEX(学年度总表!$B$3:$B$1025,MATCH($E146,学年度总表!$E$3:$E$1025,0))="","",INDEX(学年度总表!$B$3:$B$1025,MATCH($E146,学年度总表!$E$3:$E$1025,0)))</f>
        <v>144</v>
      </c>
      <c r="C146" s="2" t="str">
        <f>IF(INDEX(学年度总表!$C$3:$C$1025,MATCH($E146,学年度总表!$E$3:$E$1025,0))="","",INDEX(学年度总表!$C$3:$C$1025,MATCH($E146,学年度总表!$E$3:$E$1025,0)))</f>
        <v>信管</v>
      </c>
      <c r="D146" s="2" t="str">
        <f>IF(INDEX(学年度总表!$D$3:$D$1025,MATCH($E146,学年度总表!$E$3:$E$1025,0))="","",INDEX(学年度总表!$D$3:$D$1025,MATCH($E146,学年度总表!$E$3:$E$1025,0)))</f>
        <v>信管22班</v>
      </c>
      <c r="E146" s="2" t="s">
        <v>996</v>
      </c>
      <c r="F146" s="2" t="str">
        <f>IF(INDEX(学年度总表!$F$3:$F$1025,MATCH($E146,学年度总表!$E$3:$E$1025,0))="","",INDEX(学年度总表!$F$3:$F$1025,MATCH($E146,学年度总表!$E$3:$E$1025,0)))</f>
        <v>王春鑫</v>
      </c>
      <c r="G146" s="3">
        <f>IF(INDEX(学年度总表!$G$3:$G$1025,MATCH($E146,学年度总表!$E$3:$E$1025,0))="","",INDEX(学年度总表!$G$3:$G$1025,MATCH($E146,学年度总表!$E$3:$E$1025,0)))</f>
        <v>9.8000000000000007</v>
      </c>
      <c r="H146" s="3">
        <f>IF(INDEX(学年度总表!$H$3:$H$1025,MATCH($E146,学年度总表!$E$3:$E$1025,0))="","",INDEX(学年度总表!$H$3:$H$1025,MATCH($E146,学年度总表!$E$3:$E$1025,0)))</f>
        <v>59.91</v>
      </c>
      <c r="I146" s="3">
        <f>IF(INDEX(学年度总表!$I$3:$I$1025,MATCH($E146,学年度总表!$E$3:$E$1025,0))="","",INDEX(学年度总表!$I$3:$I$1025,MATCH($E146,学年度总表!$E$3:$E$1025,0)))</f>
        <v>3</v>
      </c>
      <c r="J146" s="3">
        <f>IF(INDEX(学年度总表!$J$3:$J$1025,MATCH($E146,学年度总表!$E$3:$E$1025,0))="","",INDEX(学年度总表!$J$3:$J$1025,MATCH($E146,学年度总表!$E$3:$E$1025,0)))</f>
        <v>72.709999999999994</v>
      </c>
      <c r="K146" s="3">
        <f>IF(INDEX(学年度总表!$K$3:$K$1025,MATCH($E146,学年度总表!$E$3:$E$1025,0))="","",INDEX(学年度总表!$K$3:$K$1025,MATCH($E146,学年度总表!$E$3:$E$1025,0)))</f>
        <v>9.8000000000000007</v>
      </c>
      <c r="L146" s="3">
        <f>IF(INDEX(学年度总表!$L$3:$L$1025,MATCH($E146,学年度总表!$E$3:$E$1025,0))="","",INDEX(学年度总表!$L$3:$L$1025,MATCH($E146,学年度总表!$E$3:$E$1025,0)))</f>
        <v>55.43</v>
      </c>
      <c r="M146" s="3">
        <f>IF(INDEX(学年度总表!$M$3:$M$1025,MATCH($E146,学年度总表!$E$3:$E$1025,0))="","",INDEX(学年度总表!$M$3:$M$1025,MATCH($E146,学年度总表!$E$3:$E$1025,0)))</f>
        <v>3</v>
      </c>
      <c r="N146" s="3">
        <f>IF(INDEX(学年度总表!$N$3:$N$1025,MATCH($E146,学年度总表!$E$3:$E$1025,0))="","",INDEX(学年度总表!$N$3:$N$1025,MATCH($E146,学年度总表!$E$3:$E$1025,0)))</f>
        <v>68.23</v>
      </c>
      <c r="O146" s="3">
        <f>IF(INDEX(学年度总表!$O$3:$O$1025,MATCH($E146,学年度总表!$E$3:$E$1025,0))="","",INDEX(学年度总表!$O$3:$O$1025,MATCH($E146,学年度总表!$E$3:$E$1025,0)))</f>
        <v>140.94</v>
      </c>
      <c r="P146" s="2" t="str">
        <f>IF(INDEX(学年度总表!$P$3:$P$1025,MATCH($E146,学年度总表!$E$3:$E$1025,0))="","",INDEX(学年度总表!$P$3:$P$1025,MATCH($E146,学年度总表!$E$3:$E$1025,0)))</f>
        <v/>
      </c>
      <c r="Q146" s="5" t="str">
        <f>IF(INDEX(学年度总表!$Q$3:$Q$1025,MATCH($E146,学年度总表!$E$3:$E$1025,0))="","",INDEX(学年度总表!$Q$3:$Q$1025,MATCH($E146,学年度总表!$E$3:$E$1025,0)))</f>
        <v/>
      </c>
    </row>
    <row r="147" spans="1:17">
      <c r="A147" s="2">
        <f>IF(INDEX(学年度总表!$A$3:$A$1025,MATCH($E147,学年度总表!$E$3:$E$1025,0))="","",INDEX(学年度总表!$A$3:$A$1025,MATCH($E147,学年度总表!$E$3:$E$1025,0)))</f>
        <v>468</v>
      </c>
      <c r="B147" s="2">
        <f>IF(INDEX(学年度总表!$B$3:$B$1025,MATCH($E147,学年度总表!$E$3:$E$1025,0))="","",INDEX(学年度总表!$B$3:$B$1025,MATCH($E147,学年度总表!$E$3:$E$1025,0)))</f>
        <v>145</v>
      </c>
      <c r="C147" s="2" t="str">
        <f>IF(INDEX(学年度总表!$C$3:$C$1025,MATCH($E147,学年度总表!$E$3:$E$1025,0))="","",INDEX(学年度总表!$C$3:$C$1025,MATCH($E147,学年度总表!$E$3:$E$1025,0)))</f>
        <v>信管</v>
      </c>
      <c r="D147" s="2" t="str">
        <f>IF(INDEX(学年度总表!$D$3:$D$1025,MATCH($E147,学年度总表!$E$3:$E$1025,0))="","",INDEX(学年度总表!$D$3:$D$1025,MATCH($E147,学年度总表!$E$3:$E$1025,0)))</f>
        <v>信管23班</v>
      </c>
      <c r="E147" s="2" t="s">
        <v>998</v>
      </c>
      <c r="F147" s="2" t="str">
        <f>IF(INDEX(学年度总表!$F$3:$F$1025,MATCH($E147,学年度总表!$E$3:$E$1025,0))="","",INDEX(学年度总表!$F$3:$F$1025,MATCH($E147,学年度总表!$E$3:$E$1025,0)))</f>
        <v>张玮轩</v>
      </c>
      <c r="G147" s="3">
        <f>IF(INDEX(学年度总表!$G$3:$G$1025,MATCH($E147,学年度总表!$E$3:$E$1025,0))="","",INDEX(学年度总表!$G$3:$G$1025,MATCH($E147,学年度总表!$E$3:$E$1025,0)))</f>
        <v>9.8000000000000007</v>
      </c>
      <c r="H147" s="3">
        <f>IF(INDEX(学年度总表!$H$3:$H$1025,MATCH($E147,学年度总表!$E$3:$E$1025,0))="","",INDEX(学年度总表!$H$3:$H$1025,MATCH($E147,学年度总表!$E$3:$E$1025,0)))</f>
        <v>56.53</v>
      </c>
      <c r="I147" s="3">
        <f>IF(INDEX(学年度总表!$I$3:$I$1025,MATCH($E147,学年度总表!$E$3:$E$1025,0))="","",INDEX(学年度总表!$I$3:$I$1025,MATCH($E147,学年度总表!$E$3:$E$1025,0)))</f>
        <v>3</v>
      </c>
      <c r="J147" s="3">
        <f>IF(INDEX(学年度总表!$J$3:$J$1025,MATCH($E147,学年度总表!$E$3:$E$1025,0))="","",INDEX(学年度总表!$J$3:$J$1025,MATCH($E147,学年度总表!$E$3:$E$1025,0)))</f>
        <v>69.33</v>
      </c>
      <c r="K147" s="3">
        <f>IF(INDEX(学年度总表!$K$3:$K$1025,MATCH($E147,学年度总表!$E$3:$E$1025,0))="","",INDEX(学年度总表!$K$3:$K$1025,MATCH($E147,学年度总表!$E$3:$E$1025,0)))</f>
        <v>9.8000000000000007</v>
      </c>
      <c r="L147" s="3">
        <f>IF(INDEX(学年度总表!$L$3:$L$1025,MATCH($E147,学年度总表!$E$3:$E$1025,0))="","",INDEX(学年度总表!$L$3:$L$1025,MATCH($E147,学年度总表!$E$3:$E$1025,0)))</f>
        <v>58.8</v>
      </c>
      <c r="M147" s="3">
        <f>IF(INDEX(学年度总表!$M$3:$M$1025,MATCH($E147,学年度总表!$E$3:$E$1025,0))="","",INDEX(学年度总表!$M$3:$M$1025,MATCH($E147,学年度总表!$E$3:$E$1025,0)))</f>
        <v>3</v>
      </c>
      <c r="N147" s="3">
        <f>IF(INDEX(学年度总表!$N$3:$N$1025,MATCH($E147,学年度总表!$E$3:$E$1025,0))="","",INDEX(学年度总表!$N$3:$N$1025,MATCH($E147,学年度总表!$E$3:$E$1025,0)))</f>
        <v>71.599999999999994</v>
      </c>
      <c r="O147" s="3">
        <f>IF(INDEX(学年度总表!$O$3:$O$1025,MATCH($E147,学年度总表!$E$3:$E$1025,0))="","",INDEX(学年度总表!$O$3:$O$1025,MATCH($E147,学年度总表!$E$3:$E$1025,0)))</f>
        <v>140.93</v>
      </c>
      <c r="P147" s="2" t="str">
        <f>IF(INDEX(学年度总表!$P$3:$P$1025,MATCH($E147,学年度总表!$E$3:$E$1025,0))="","",INDEX(学年度总表!$P$3:$P$1025,MATCH($E147,学年度总表!$E$3:$E$1025,0)))</f>
        <v/>
      </c>
      <c r="Q147" s="5" t="str">
        <f>IF(INDEX(学年度总表!$Q$3:$Q$1025,MATCH($E147,学年度总表!$E$3:$E$1025,0))="","",INDEX(学年度总表!$Q$3:$Q$1025,MATCH($E147,学年度总表!$E$3:$E$1025,0)))</f>
        <v/>
      </c>
    </row>
    <row r="148" spans="1:17">
      <c r="A148" s="2">
        <f>IF(INDEX(学年度总表!$A$3:$A$1025,MATCH($E148,学年度总表!$E$3:$E$1025,0))="","",INDEX(学年度总表!$A$3:$A$1025,MATCH($E148,学年度总表!$E$3:$E$1025,0)))</f>
        <v>470</v>
      </c>
      <c r="B148" s="2">
        <f>IF(INDEX(学年度总表!$B$3:$B$1025,MATCH($E148,学年度总表!$E$3:$E$1025,0))="","",INDEX(学年度总表!$B$3:$B$1025,MATCH($E148,学年度总表!$E$3:$E$1025,0)))</f>
        <v>146</v>
      </c>
      <c r="C148" s="2" t="str">
        <f>IF(INDEX(学年度总表!$C$3:$C$1025,MATCH($E148,学年度总表!$E$3:$E$1025,0))="","",INDEX(学年度总表!$C$3:$C$1025,MATCH($E148,学年度总表!$E$3:$E$1025,0)))</f>
        <v>信管</v>
      </c>
      <c r="D148" s="2" t="str">
        <f>IF(INDEX(学年度总表!$D$3:$D$1025,MATCH($E148,学年度总表!$E$3:$E$1025,0))="","",INDEX(学年度总表!$D$3:$D$1025,MATCH($E148,学年度总表!$E$3:$E$1025,0)))</f>
        <v>信管20班</v>
      </c>
      <c r="E148" s="2" t="s">
        <v>1002</v>
      </c>
      <c r="F148" s="2" t="str">
        <f>IF(INDEX(学年度总表!$F$3:$F$1025,MATCH($E148,学年度总表!$E$3:$E$1025,0))="","",INDEX(学年度总表!$F$3:$F$1025,MATCH($E148,学年度总表!$E$3:$E$1025,0)))</f>
        <v>李思晨</v>
      </c>
      <c r="G148" s="3">
        <f>IF(INDEX(学年度总表!$G$3:$G$1025,MATCH($E148,学年度总表!$E$3:$E$1025,0))="","",INDEX(学年度总表!$G$3:$G$1025,MATCH($E148,学年度总表!$E$3:$E$1025,0)))</f>
        <v>10.6</v>
      </c>
      <c r="H148" s="3">
        <f>IF(INDEX(学年度总表!$H$3:$H$1025,MATCH($E148,学年度总表!$E$3:$E$1025,0))="","",INDEX(学年度总表!$H$3:$H$1025,MATCH($E148,学年度总表!$E$3:$E$1025,0)))</f>
        <v>55.15</v>
      </c>
      <c r="I148" s="3">
        <f>IF(INDEX(学年度总表!$I$3:$I$1025,MATCH($E148,学年度总表!$E$3:$E$1025,0))="","",INDEX(学年度总表!$I$3:$I$1025,MATCH($E148,学年度总表!$E$3:$E$1025,0)))</f>
        <v>4.5999999999999996</v>
      </c>
      <c r="J148" s="3">
        <f>IF(INDEX(学年度总表!$J$3:$J$1025,MATCH($E148,学年度总表!$E$3:$E$1025,0))="","",INDEX(学年度总表!$J$3:$J$1025,MATCH($E148,学年度总表!$E$3:$E$1025,0)))</f>
        <v>70.349999999999994</v>
      </c>
      <c r="K148" s="3">
        <f>IF(INDEX(学年度总表!$K$3:$K$1025,MATCH($E148,学年度总表!$E$3:$E$1025,0))="","",INDEX(学年度总表!$K$3:$K$1025,MATCH($E148,学年度总表!$E$3:$E$1025,0)))</f>
        <v>9.8000000000000007</v>
      </c>
      <c r="L148" s="3">
        <f>IF(INDEX(学年度总表!$L$3:$L$1025,MATCH($E148,学年度总表!$E$3:$E$1025,0))="","",INDEX(学年度总表!$L$3:$L$1025,MATCH($E148,学年度总表!$E$3:$E$1025,0)))</f>
        <v>55.01</v>
      </c>
      <c r="M148" s="3">
        <f>IF(INDEX(学年度总表!$M$3:$M$1025,MATCH($E148,学年度总表!$E$3:$E$1025,0))="","",INDEX(学年度总表!$M$3:$M$1025,MATCH($E148,学年度总表!$E$3:$E$1025,0)))</f>
        <v>5.7</v>
      </c>
      <c r="N148" s="3">
        <f>IF(INDEX(学年度总表!$N$3:$N$1025,MATCH($E148,学年度总表!$E$3:$E$1025,0))="","",INDEX(学年度总表!$N$3:$N$1025,MATCH($E148,学年度总表!$E$3:$E$1025,0)))</f>
        <v>70.510000000000005</v>
      </c>
      <c r="O148" s="3">
        <f>IF(INDEX(学年度总表!$O$3:$O$1025,MATCH($E148,学年度总表!$E$3:$E$1025,0))="","",INDEX(学年度总表!$O$3:$O$1025,MATCH($E148,学年度总表!$E$3:$E$1025,0)))</f>
        <v>140.86000000000001</v>
      </c>
      <c r="P148" s="2" t="str">
        <f>IF(INDEX(学年度总表!$P$3:$P$1025,MATCH($E148,学年度总表!$E$3:$E$1025,0))="","",INDEX(学年度总表!$P$3:$P$1025,MATCH($E148,学年度总表!$E$3:$E$1025,0)))</f>
        <v/>
      </c>
      <c r="Q148" s="5" t="str">
        <f>IF(INDEX(学年度总表!$Q$3:$Q$1025,MATCH($E148,学年度总表!$E$3:$E$1025,0))="","",INDEX(学年度总表!$Q$3:$Q$1025,MATCH($E148,学年度总表!$E$3:$E$1025,0)))</f>
        <v/>
      </c>
    </row>
    <row r="149" spans="1:17">
      <c r="A149" s="2">
        <f>IF(INDEX(学年度总表!$A$3:$A$1025,MATCH($E149,学年度总表!$E$3:$E$1025,0))="","",INDEX(学年度总表!$A$3:$A$1025,MATCH($E149,学年度总表!$E$3:$E$1025,0)))</f>
        <v>470</v>
      </c>
      <c r="B149" s="2">
        <f>IF(INDEX(学年度总表!$B$3:$B$1025,MATCH($E149,学年度总表!$E$3:$E$1025,0))="","",INDEX(学年度总表!$B$3:$B$1025,MATCH($E149,学年度总表!$E$3:$E$1025,0)))</f>
        <v>146</v>
      </c>
      <c r="C149" s="2" t="str">
        <f>IF(INDEX(学年度总表!$C$3:$C$1025,MATCH($E149,学年度总表!$E$3:$E$1025,0))="","",INDEX(学年度总表!$C$3:$C$1025,MATCH($E149,学年度总表!$E$3:$E$1025,0)))</f>
        <v>信管</v>
      </c>
      <c r="D149" s="2" t="str">
        <f>IF(INDEX(学年度总表!$D$3:$D$1025,MATCH($E149,学年度总表!$E$3:$E$1025,0))="","",INDEX(学年度总表!$D$3:$D$1025,MATCH($E149,学年度总表!$E$3:$E$1025,0)))</f>
        <v>信管27班</v>
      </c>
      <c r="E149" s="2" t="s">
        <v>1004</v>
      </c>
      <c r="F149" s="2" t="str">
        <f>IF(INDEX(学年度总表!$F$3:$F$1025,MATCH($E149,学年度总表!$E$3:$E$1025,0))="","",INDEX(学年度总表!$F$3:$F$1025,MATCH($E149,学年度总表!$E$3:$E$1025,0)))</f>
        <v>沈芳伊</v>
      </c>
      <c r="G149" s="3">
        <f>IF(INDEX(学年度总表!$G$3:$G$1025,MATCH($E149,学年度总表!$E$3:$E$1025,0))="","",INDEX(学年度总表!$G$3:$G$1025,MATCH($E149,学年度总表!$E$3:$E$1025,0)))</f>
        <v>10</v>
      </c>
      <c r="H149" s="3">
        <f>IF(INDEX(学年度总表!$H$3:$H$1025,MATCH($E149,学年度总表!$E$3:$E$1025,0))="","",INDEX(学年度总表!$H$3:$H$1025,MATCH($E149,学年度总表!$E$3:$E$1025,0)))</f>
        <v>62.33</v>
      </c>
      <c r="I149" s="3">
        <f>IF(INDEX(学年度总表!$I$3:$I$1025,MATCH($E149,学年度总表!$E$3:$E$1025,0))="","",INDEX(学年度总表!$I$3:$I$1025,MATCH($E149,学年度总表!$E$3:$E$1025,0)))</f>
        <v>3</v>
      </c>
      <c r="J149" s="3">
        <f>IF(INDEX(学年度总表!$J$3:$J$1025,MATCH($E149,学年度总表!$E$3:$E$1025,0))="","",INDEX(学年度总表!$J$3:$J$1025,MATCH($E149,学年度总表!$E$3:$E$1025,0)))</f>
        <v>75.33</v>
      </c>
      <c r="K149" s="3">
        <f>IF(INDEX(学年度总表!$K$3:$K$1025,MATCH($E149,学年度总表!$E$3:$E$1025,0))="","",INDEX(学年度总表!$K$3:$K$1025,MATCH($E149,学年度总表!$E$3:$E$1025,0)))</f>
        <v>10</v>
      </c>
      <c r="L149" s="3">
        <f>IF(INDEX(学年度总表!$L$3:$L$1025,MATCH($E149,学年度总表!$E$3:$E$1025,0))="","",INDEX(学年度总表!$L$3:$L$1025,MATCH($E149,学年度总表!$E$3:$E$1025,0)))</f>
        <v>51.83</v>
      </c>
      <c r="M149" s="3">
        <f>IF(INDEX(学年度总表!$M$3:$M$1025,MATCH($E149,学年度总表!$E$3:$E$1025,0))="","",INDEX(学年度总表!$M$3:$M$1025,MATCH($E149,学年度总表!$E$3:$E$1025,0)))</f>
        <v>3.7</v>
      </c>
      <c r="N149" s="3">
        <f>IF(INDEX(学年度总表!$N$3:$N$1025,MATCH($E149,学年度总表!$E$3:$E$1025,0))="","",INDEX(学年度总表!$N$3:$N$1025,MATCH($E149,学年度总表!$E$3:$E$1025,0)))</f>
        <v>65.53</v>
      </c>
      <c r="O149" s="3">
        <f>IF(INDEX(学年度总表!$O$3:$O$1025,MATCH($E149,学年度总表!$E$3:$E$1025,0))="","",INDEX(学年度总表!$O$3:$O$1025,MATCH($E149,学年度总表!$E$3:$E$1025,0)))</f>
        <v>140.86000000000001</v>
      </c>
      <c r="P149" s="2" t="str">
        <f>IF(INDEX(学年度总表!$P$3:$P$1025,MATCH($E149,学年度总表!$E$3:$E$1025,0))="","",INDEX(学年度总表!$P$3:$P$1025,MATCH($E149,学年度总表!$E$3:$E$1025,0)))</f>
        <v/>
      </c>
      <c r="Q149" s="5" t="str">
        <f>IF(INDEX(学年度总表!$Q$3:$Q$1025,MATCH($E149,学年度总表!$E$3:$E$1025,0))="","",INDEX(学年度总表!$Q$3:$Q$1025,MATCH($E149,学年度总表!$E$3:$E$1025,0)))</f>
        <v/>
      </c>
    </row>
    <row r="150" spans="1:17">
      <c r="A150" s="2">
        <f>IF(INDEX(学年度总表!$A$3:$A$1025,MATCH($E150,学年度总表!$E$3:$E$1025,0))="","",INDEX(学年度总表!$A$3:$A$1025,MATCH($E150,学年度总表!$E$3:$E$1025,0)))</f>
        <v>473</v>
      </c>
      <c r="B150" s="2">
        <f>IF(INDEX(学年度总表!$B$3:$B$1025,MATCH($E150,学年度总表!$E$3:$E$1025,0))="","",INDEX(学年度总表!$B$3:$B$1025,MATCH($E150,学年度总表!$E$3:$E$1025,0)))</f>
        <v>148</v>
      </c>
      <c r="C150" s="2" t="str">
        <f>IF(INDEX(学年度总表!$C$3:$C$1025,MATCH($E150,学年度总表!$E$3:$E$1025,0))="","",INDEX(学年度总表!$C$3:$C$1025,MATCH($E150,学年度总表!$E$3:$E$1025,0)))</f>
        <v>信管</v>
      </c>
      <c r="D150" s="2" t="str">
        <f>IF(INDEX(学年度总表!$D$3:$D$1025,MATCH($E150,学年度总表!$E$3:$E$1025,0))="","",INDEX(学年度总表!$D$3:$D$1025,MATCH($E150,学年度总表!$E$3:$E$1025,0)))</f>
        <v>信管28班</v>
      </c>
      <c r="E150" s="2" t="s">
        <v>1008</v>
      </c>
      <c r="F150" s="2" t="str">
        <f>IF(INDEX(学年度总表!$F$3:$F$1025,MATCH($E150,学年度总表!$E$3:$E$1025,0))="","",INDEX(学年度总表!$F$3:$F$1025,MATCH($E150,学年度总表!$E$3:$E$1025,0)))</f>
        <v>袁思畅</v>
      </c>
      <c r="G150" s="3">
        <f>IF(INDEX(学年度总表!$G$3:$G$1025,MATCH($E150,学年度总表!$E$3:$E$1025,0))="","",INDEX(学年度总表!$G$3:$G$1025,MATCH($E150,学年度总表!$E$3:$E$1025,0)))</f>
        <v>10.6</v>
      </c>
      <c r="H150" s="3">
        <f>IF(INDEX(学年度总表!$H$3:$H$1025,MATCH($E150,学年度总表!$E$3:$E$1025,0))="","",INDEX(学年度总表!$H$3:$H$1025,MATCH($E150,学年度总表!$E$3:$E$1025,0)))</f>
        <v>63.79</v>
      </c>
      <c r="I150" s="3">
        <f>IF(INDEX(学年度总表!$I$3:$I$1025,MATCH($E150,学年度总表!$E$3:$E$1025,0))="","",INDEX(学年度总表!$I$3:$I$1025,MATCH($E150,学年度总表!$E$3:$E$1025,0)))</f>
        <v>3.2</v>
      </c>
      <c r="J150" s="3">
        <f>IF(INDEX(学年度总表!$J$3:$J$1025,MATCH($E150,学年度总表!$E$3:$E$1025,0))="","",INDEX(学年度总表!$J$3:$J$1025,MATCH($E150,学年度总表!$E$3:$E$1025,0)))</f>
        <v>77.59</v>
      </c>
      <c r="K150" s="3">
        <f>IF(INDEX(学年度总表!$K$3:$K$1025,MATCH($E150,学年度总表!$E$3:$E$1025,0))="","",INDEX(学年度总表!$K$3:$K$1025,MATCH($E150,学年度总表!$E$3:$E$1025,0)))</f>
        <v>7.3000000000000007</v>
      </c>
      <c r="L150" s="3">
        <f>IF(INDEX(学年度总表!$L$3:$L$1025,MATCH($E150,学年度总表!$E$3:$E$1025,0))="","",INDEX(学年度总表!$L$3:$L$1025,MATCH($E150,学年度总表!$E$3:$E$1025,0)))</f>
        <v>51.92</v>
      </c>
      <c r="M150" s="3">
        <f>IF(INDEX(学年度总表!$M$3:$M$1025,MATCH($E150,学年度总表!$E$3:$E$1025,0))="","",INDEX(学年度总表!$M$3:$M$1025,MATCH($E150,学年度总表!$E$3:$E$1025,0)))</f>
        <v>4</v>
      </c>
      <c r="N150" s="3">
        <f>IF(INDEX(学年度总表!$N$3:$N$1025,MATCH($E150,学年度总表!$E$3:$E$1025,0))="","",INDEX(学年度总表!$N$3:$N$1025,MATCH($E150,学年度总表!$E$3:$E$1025,0)))</f>
        <v>63.22</v>
      </c>
      <c r="O150" s="3">
        <f>IF(INDEX(学年度总表!$O$3:$O$1025,MATCH($E150,学年度总表!$E$3:$E$1025,0))="","",INDEX(学年度总表!$O$3:$O$1025,MATCH($E150,学年度总表!$E$3:$E$1025,0)))</f>
        <v>140.81</v>
      </c>
      <c r="P150" s="2" t="str">
        <f>IF(INDEX(学年度总表!$P$3:$P$1025,MATCH($E150,学年度总表!$E$3:$E$1025,0))="","",INDEX(学年度总表!$P$3:$P$1025,MATCH($E150,学年度总表!$E$3:$E$1025,0)))</f>
        <v/>
      </c>
      <c r="Q150" s="5" t="str">
        <f>IF(INDEX(学年度总表!$Q$3:$Q$1025,MATCH($E150,学年度总表!$E$3:$E$1025,0))="","",INDEX(学年度总表!$Q$3:$Q$1025,MATCH($E150,学年度总表!$E$3:$E$1025,0)))</f>
        <v/>
      </c>
    </row>
    <row r="151" spans="1:17">
      <c r="A151" s="2">
        <f>IF(INDEX(学年度总表!$A$3:$A$1025,MATCH($E151,学年度总表!$E$3:$E$1025,0))="","",INDEX(学年度总表!$A$3:$A$1025,MATCH($E151,学年度总表!$E$3:$E$1025,0)))</f>
        <v>477</v>
      </c>
      <c r="B151" s="2">
        <f>IF(INDEX(学年度总表!$B$3:$B$1025,MATCH($E151,学年度总表!$E$3:$E$1025,0))="","",INDEX(学年度总表!$B$3:$B$1025,MATCH($E151,学年度总表!$E$3:$E$1025,0)))</f>
        <v>149</v>
      </c>
      <c r="C151" s="2" t="str">
        <f>IF(INDEX(学年度总表!$C$3:$C$1025,MATCH($E151,学年度总表!$E$3:$E$1025,0))="","",INDEX(学年度总表!$C$3:$C$1025,MATCH($E151,学年度总表!$E$3:$E$1025,0)))</f>
        <v>信管</v>
      </c>
      <c r="D151" s="2" t="str">
        <f>IF(INDEX(学年度总表!$D$3:$D$1025,MATCH($E151,学年度总表!$E$3:$E$1025,0))="","",INDEX(学年度总表!$D$3:$D$1025,MATCH($E151,学年度总表!$E$3:$E$1025,0)))</f>
        <v>信管23班</v>
      </c>
      <c r="E151" s="2" t="s">
        <v>1018</v>
      </c>
      <c r="F151" s="2" t="str">
        <f>IF(INDEX(学年度总表!$F$3:$F$1025,MATCH($E151,学年度总表!$E$3:$E$1025,0))="","",INDEX(学年度总表!$F$3:$F$1025,MATCH($E151,学年度总表!$E$3:$E$1025,0)))</f>
        <v>周欣怡</v>
      </c>
      <c r="G151" s="3">
        <f>IF(INDEX(学年度总表!$G$3:$G$1025,MATCH($E151,学年度总表!$E$3:$E$1025,0))="","",INDEX(学年度总表!$G$3:$G$1025,MATCH($E151,学年度总表!$E$3:$E$1025,0)))</f>
        <v>9.8000000000000007</v>
      </c>
      <c r="H151" s="3">
        <f>IF(INDEX(学年度总表!$H$3:$H$1025,MATCH($E151,学年度总表!$E$3:$E$1025,0))="","",INDEX(学年度总表!$H$3:$H$1025,MATCH($E151,学年度总表!$E$3:$E$1025,0)))</f>
        <v>59.77</v>
      </c>
      <c r="I151" s="3">
        <f>IF(INDEX(学年度总表!$I$3:$I$1025,MATCH($E151,学年度总表!$E$3:$E$1025,0))="","",INDEX(学年度总表!$I$3:$I$1025,MATCH($E151,学年度总表!$E$3:$E$1025,0)))</f>
        <v>3</v>
      </c>
      <c r="J151" s="3">
        <f>IF(INDEX(学年度总表!$J$3:$J$1025,MATCH($E151,学年度总表!$E$3:$E$1025,0))="","",INDEX(学年度总表!$J$3:$J$1025,MATCH($E151,学年度总表!$E$3:$E$1025,0)))</f>
        <v>72.569999999999993</v>
      </c>
      <c r="K151" s="3">
        <f>IF(INDEX(学年度总表!$K$3:$K$1025,MATCH($E151,学年度总表!$E$3:$E$1025,0))="","",INDEX(学年度总表!$K$3:$K$1025,MATCH($E151,学年度总表!$E$3:$E$1025,0)))</f>
        <v>9.8000000000000007</v>
      </c>
      <c r="L151" s="3">
        <f>IF(INDEX(学年度总表!$L$3:$L$1025,MATCH($E151,学年度总表!$E$3:$E$1025,0))="","",INDEX(学年度总表!$L$3:$L$1025,MATCH($E151,学年度总表!$E$3:$E$1025,0)))</f>
        <v>55.38</v>
      </c>
      <c r="M151" s="3">
        <f>IF(INDEX(学年度总表!$M$3:$M$1025,MATCH($E151,学年度总表!$E$3:$E$1025,0))="","",INDEX(学年度总表!$M$3:$M$1025,MATCH($E151,学年度总表!$E$3:$E$1025,0)))</f>
        <v>3</v>
      </c>
      <c r="N151" s="3">
        <f>IF(INDEX(学年度总表!$N$3:$N$1025,MATCH($E151,学年度总表!$E$3:$E$1025,0))="","",INDEX(学年度总表!$N$3:$N$1025,MATCH($E151,学年度总表!$E$3:$E$1025,0)))</f>
        <v>68.180000000000007</v>
      </c>
      <c r="O151" s="3">
        <f>IF(INDEX(学年度总表!$O$3:$O$1025,MATCH($E151,学年度总表!$E$3:$E$1025,0))="","",INDEX(学年度总表!$O$3:$O$1025,MATCH($E151,学年度总表!$E$3:$E$1025,0)))</f>
        <v>140.75</v>
      </c>
      <c r="P151" s="2" t="str">
        <f>IF(INDEX(学年度总表!$P$3:$P$1025,MATCH($E151,学年度总表!$E$3:$E$1025,0))="","",INDEX(学年度总表!$P$3:$P$1025,MATCH($E151,学年度总表!$E$3:$E$1025,0)))</f>
        <v/>
      </c>
      <c r="Q151" s="5" t="str">
        <f>IF(INDEX(学年度总表!$Q$3:$Q$1025,MATCH($E151,学年度总表!$E$3:$E$1025,0))="","",INDEX(学年度总表!$Q$3:$Q$1025,MATCH($E151,学年度总表!$E$3:$E$1025,0)))</f>
        <v/>
      </c>
    </row>
    <row r="152" spans="1:17">
      <c r="A152" s="2">
        <f>IF(INDEX(学年度总表!$A$3:$A$1025,MATCH($E152,学年度总表!$E$3:$E$1025,0))="","",INDEX(学年度总表!$A$3:$A$1025,MATCH($E152,学年度总表!$E$3:$E$1025,0)))</f>
        <v>481</v>
      </c>
      <c r="B152" s="2">
        <f>IF(INDEX(学年度总表!$B$3:$B$1025,MATCH($E152,学年度总表!$E$3:$E$1025,0))="","",INDEX(学年度总表!$B$3:$B$1025,MATCH($E152,学年度总表!$E$3:$E$1025,0)))</f>
        <v>150</v>
      </c>
      <c r="C152" s="2" t="str">
        <f>IF(INDEX(学年度总表!$C$3:$C$1025,MATCH($E152,学年度总表!$E$3:$E$1025,0))="","",INDEX(学年度总表!$C$3:$C$1025,MATCH($E152,学年度总表!$E$3:$E$1025,0)))</f>
        <v>信管</v>
      </c>
      <c r="D152" s="2" t="str">
        <f>IF(INDEX(学年度总表!$D$3:$D$1025,MATCH($E152,学年度总表!$E$3:$E$1025,0))="","",INDEX(学年度总表!$D$3:$D$1025,MATCH($E152,学年度总表!$E$3:$E$1025,0)))</f>
        <v>信管20班</v>
      </c>
      <c r="E152" s="2" t="s">
        <v>1024</v>
      </c>
      <c r="F152" s="2" t="str">
        <f>IF(INDEX(学年度总表!$F$3:$F$1025,MATCH($E152,学年度总表!$E$3:$E$1025,0))="","",INDEX(学年度总表!$F$3:$F$1025,MATCH($E152,学年度总表!$E$3:$E$1025,0)))</f>
        <v>董雨竹</v>
      </c>
      <c r="G152" s="3">
        <f>IF(INDEX(学年度总表!$G$3:$G$1025,MATCH($E152,学年度总表!$E$3:$E$1025,0))="","",INDEX(学年度总表!$G$3:$G$1025,MATCH($E152,学年度总表!$E$3:$E$1025,0)))</f>
        <v>9.8000000000000007</v>
      </c>
      <c r="H152" s="3">
        <f>IF(INDEX(学年度总表!$H$3:$H$1025,MATCH($E152,学年度总表!$E$3:$E$1025,0))="","",INDEX(学年度总表!$H$3:$H$1025,MATCH($E152,学年度总表!$E$3:$E$1025,0)))</f>
        <v>57.15</v>
      </c>
      <c r="I152" s="3">
        <f>IF(INDEX(学年度总表!$I$3:$I$1025,MATCH($E152,学年度总表!$E$3:$E$1025,0))="","",INDEX(学年度总表!$I$3:$I$1025,MATCH($E152,学年度总表!$E$3:$E$1025,0)))</f>
        <v>4.2</v>
      </c>
      <c r="J152" s="3">
        <f>IF(INDEX(学年度总表!$J$3:$J$1025,MATCH($E152,学年度总表!$E$3:$E$1025,0))="","",INDEX(学年度总表!$J$3:$J$1025,MATCH($E152,学年度总表!$E$3:$E$1025,0)))</f>
        <v>71.150000000000006</v>
      </c>
      <c r="K152" s="3">
        <f>IF(INDEX(学年度总表!$K$3:$K$1025,MATCH($E152,学年度总表!$E$3:$E$1025,0))="","",INDEX(学年度总表!$K$3:$K$1025,MATCH($E152,学年度总表!$E$3:$E$1025,0)))</f>
        <v>9.8000000000000007</v>
      </c>
      <c r="L152" s="3">
        <f>IF(INDEX(学年度总表!$L$3:$L$1025,MATCH($E152,学年度总表!$E$3:$E$1025,0))="","",INDEX(学年度总表!$L$3:$L$1025,MATCH($E152,学年度总表!$E$3:$E$1025,0)))</f>
        <v>54.67</v>
      </c>
      <c r="M152" s="3">
        <f>IF(INDEX(学年度总表!$M$3:$M$1025,MATCH($E152,学年度总表!$E$3:$E$1025,0))="","",INDEX(学年度总表!$M$3:$M$1025,MATCH($E152,学年度总表!$E$3:$E$1025,0)))</f>
        <v>5</v>
      </c>
      <c r="N152" s="3">
        <f>IF(INDEX(学年度总表!$N$3:$N$1025,MATCH($E152,学年度总表!$E$3:$E$1025,0))="","",INDEX(学年度总表!$N$3:$N$1025,MATCH($E152,学年度总表!$E$3:$E$1025,0)))</f>
        <v>69.47</v>
      </c>
      <c r="O152" s="3">
        <f>IF(INDEX(学年度总表!$O$3:$O$1025,MATCH($E152,学年度总表!$E$3:$E$1025,0))="","",INDEX(学年度总表!$O$3:$O$1025,MATCH($E152,学年度总表!$E$3:$E$1025,0)))</f>
        <v>140.62</v>
      </c>
      <c r="P152" s="2" t="str">
        <f>IF(INDEX(学年度总表!$P$3:$P$1025,MATCH($E152,学年度总表!$E$3:$E$1025,0))="","",INDEX(学年度总表!$P$3:$P$1025,MATCH($E152,学年度总表!$E$3:$E$1025,0)))</f>
        <v/>
      </c>
      <c r="Q152" s="5" t="str">
        <f>IF(INDEX(学年度总表!$Q$3:$Q$1025,MATCH($E152,学年度总表!$E$3:$E$1025,0))="","",INDEX(学年度总表!$Q$3:$Q$1025,MATCH($E152,学年度总表!$E$3:$E$1025,0)))</f>
        <v/>
      </c>
    </row>
    <row r="153" spans="1:17">
      <c r="A153" s="2">
        <f>IF(INDEX(学年度总表!$A$3:$A$1025,MATCH($E153,学年度总表!$E$3:$E$1025,0))="","",INDEX(学年度总表!$A$3:$A$1025,MATCH($E153,学年度总表!$E$3:$E$1025,0)))</f>
        <v>481</v>
      </c>
      <c r="B153" s="2">
        <f>IF(INDEX(学年度总表!$B$3:$B$1025,MATCH($E153,学年度总表!$E$3:$E$1025,0))="","",INDEX(学年度总表!$B$3:$B$1025,MATCH($E153,学年度总表!$E$3:$E$1025,0)))</f>
        <v>150</v>
      </c>
      <c r="C153" s="2" t="str">
        <f>IF(INDEX(学年度总表!$C$3:$C$1025,MATCH($E153,学年度总表!$E$3:$E$1025,0))="","",INDEX(学年度总表!$C$3:$C$1025,MATCH($E153,学年度总表!$E$3:$E$1025,0)))</f>
        <v>信管</v>
      </c>
      <c r="D153" s="2" t="str">
        <f>IF(INDEX(学年度总表!$D$3:$D$1025,MATCH($E153,学年度总表!$E$3:$E$1025,0))="","",INDEX(学年度总表!$D$3:$D$1025,MATCH($E153,学年度总表!$E$3:$E$1025,0)))</f>
        <v>信管28班</v>
      </c>
      <c r="E153" s="2" t="s">
        <v>1026</v>
      </c>
      <c r="F153" s="2" t="str">
        <f>IF(INDEX(学年度总表!$F$3:$F$1025,MATCH($E153,学年度总表!$E$3:$E$1025,0))="","",INDEX(学年度总表!$F$3:$F$1025,MATCH($E153,学年度总表!$E$3:$E$1025,0)))</f>
        <v>耿梓菁</v>
      </c>
      <c r="G153" s="3">
        <f>IF(INDEX(学年度总表!$G$3:$G$1025,MATCH($E153,学年度总表!$E$3:$E$1025,0))="","",INDEX(学年度总表!$G$3:$G$1025,MATCH($E153,学年度总表!$E$3:$E$1025,0)))</f>
        <v>10.5</v>
      </c>
      <c r="H153" s="3">
        <f>IF(INDEX(学年度总表!$H$3:$H$1025,MATCH($E153,学年度总表!$E$3:$E$1025,0))="","",INDEX(学年度总表!$H$3:$H$1025,MATCH($E153,学年度总表!$E$3:$E$1025,0)))</f>
        <v>61.19</v>
      </c>
      <c r="I153" s="3">
        <f>IF(INDEX(学年度总表!$I$3:$I$1025,MATCH($E153,学年度总表!$E$3:$E$1025,0))="","",INDEX(学年度总表!$I$3:$I$1025,MATCH($E153,学年度总表!$E$3:$E$1025,0)))</f>
        <v>4.2</v>
      </c>
      <c r="J153" s="3">
        <f>IF(INDEX(学年度总表!$J$3:$J$1025,MATCH($E153,学年度总表!$E$3:$E$1025,0))="","",INDEX(学年度总表!$J$3:$J$1025,MATCH($E153,学年度总表!$E$3:$E$1025,0)))</f>
        <v>75.89</v>
      </c>
      <c r="K153" s="3">
        <f>IF(INDEX(学年度总表!$K$3:$K$1025,MATCH($E153,学年度总表!$E$3:$E$1025,0))="","",INDEX(学年度总表!$K$3:$K$1025,MATCH($E153,学年度总表!$E$3:$E$1025,0)))</f>
        <v>7.3000000000000007</v>
      </c>
      <c r="L153" s="3">
        <f>IF(INDEX(学年度总表!$L$3:$L$1025,MATCH($E153,学年度总表!$E$3:$E$1025,0))="","",INDEX(学年度总表!$L$3:$L$1025,MATCH($E153,学年度总表!$E$3:$E$1025,0)))</f>
        <v>53.13</v>
      </c>
      <c r="M153" s="3">
        <f>IF(INDEX(学年度总表!$M$3:$M$1025,MATCH($E153,学年度总表!$E$3:$E$1025,0))="","",INDEX(学年度总表!$M$3:$M$1025,MATCH($E153,学年度总表!$E$3:$E$1025,0)))</f>
        <v>4.3</v>
      </c>
      <c r="N153" s="3">
        <f>IF(INDEX(学年度总表!$N$3:$N$1025,MATCH($E153,学年度总表!$E$3:$E$1025,0))="","",INDEX(学年度总表!$N$3:$N$1025,MATCH($E153,学年度总表!$E$3:$E$1025,0)))</f>
        <v>64.73</v>
      </c>
      <c r="O153" s="3">
        <f>IF(INDEX(学年度总表!$O$3:$O$1025,MATCH($E153,学年度总表!$E$3:$E$1025,0))="","",INDEX(学年度总表!$O$3:$O$1025,MATCH($E153,学年度总表!$E$3:$E$1025,0)))</f>
        <v>140.62</v>
      </c>
      <c r="P153" s="2" t="str">
        <f>IF(INDEX(学年度总表!$P$3:$P$1025,MATCH($E153,学年度总表!$E$3:$E$1025,0))="","",INDEX(学年度总表!$P$3:$P$1025,MATCH($E153,学年度总表!$E$3:$E$1025,0)))</f>
        <v/>
      </c>
      <c r="Q153" s="5" t="str">
        <f>IF(INDEX(学年度总表!$Q$3:$Q$1025,MATCH($E153,学年度总表!$E$3:$E$1025,0))="","",INDEX(学年度总表!$Q$3:$Q$1025,MATCH($E153,学年度总表!$E$3:$E$1025,0)))</f>
        <v/>
      </c>
    </row>
    <row r="154" spans="1:17">
      <c r="A154" s="2">
        <f>IF(INDEX(学年度总表!$A$3:$A$1025,MATCH($E154,学年度总表!$E$3:$E$1025,0))="","",INDEX(学年度总表!$A$3:$A$1025,MATCH($E154,学年度总表!$E$3:$E$1025,0)))</f>
        <v>485</v>
      </c>
      <c r="B154" s="2">
        <f>IF(INDEX(学年度总表!$B$3:$B$1025,MATCH($E154,学年度总表!$E$3:$E$1025,0))="","",INDEX(学年度总表!$B$3:$B$1025,MATCH($E154,学年度总表!$E$3:$E$1025,0)))</f>
        <v>152</v>
      </c>
      <c r="C154" s="2" t="str">
        <f>IF(INDEX(学年度总表!$C$3:$C$1025,MATCH($E154,学年度总表!$E$3:$E$1025,0))="","",INDEX(学年度总表!$C$3:$C$1025,MATCH($E154,学年度总表!$E$3:$E$1025,0)))</f>
        <v>信管</v>
      </c>
      <c r="D154" s="2" t="str">
        <f>IF(INDEX(学年度总表!$D$3:$D$1025,MATCH($E154,学年度总表!$E$3:$E$1025,0))="","",INDEX(学年度总表!$D$3:$D$1025,MATCH($E154,学年度总表!$E$3:$E$1025,0)))</f>
        <v>信管26班</v>
      </c>
      <c r="E154" s="2" t="s">
        <v>1032</v>
      </c>
      <c r="F154" s="2" t="str">
        <f>IF(INDEX(学年度总表!$F$3:$F$1025,MATCH($E154,学年度总表!$E$3:$E$1025,0))="","",INDEX(学年度总表!$F$3:$F$1025,MATCH($E154,学年度总表!$E$3:$E$1025,0)))</f>
        <v>朱鑫悦</v>
      </c>
      <c r="G154" s="3">
        <f>IF(INDEX(学年度总表!$G$3:$G$1025,MATCH($E154,学年度总表!$E$3:$E$1025,0))="","",INDEX(学年度总表!$G$3:$G$1025,MATCH($E154,学年度总表!$E$3:$E$1025,0)))</f>
        <v>10</v>
      </c>
      <c r="H154" s="3">
        <f>IF(INDEX(学年度总表!$H$3:$H$1025,MATCH($E154,学年度总表!$E$3:$E$1025,0))="","",INDEX(学年度总表!$H$3:$H$1025,MATCH($E154,学年度总表!$E$3:$E$1025,0)))</f>
        <v>57.88</v>
      </c>
      <c r="I154" s="3">
        <f>IF(INDEX(学年度总表!$I$3:$I$1025,MATCH($E154,学年度总表!$E$3:$E$1025,0))="","",INDEX(学年度总表!$I$3:$I$1025,MATCH($E154,学年度总表!$E$3:$E$1025,0)))</f>
        <v>3</v>
      </c>
      <c r="J154" s="3">
        <f>IF(INDEX(学年度总表!$J$3:$J$1025,MATCH($E154,学年度总表!$E$3:$E$1025,0))="","",INDEX(学年度总表!$J$3:$J$1025,MATCH($E154,学年度总表!$E$3:$E$1025,0)))</f>
        <v>70.88</v>
      </c>
      <c r="K154" s="3">
        <f>IF(INDEX(学年度总表!$K$3:$K$1025,MATCH($E154,学年度总表!$E$3:$E$1025,0))="","",INDEX(学年度总表!$K$3:$K$1025,MATCH($E154,学年度总表!$E$3:$E$1025,0)))</f>
        <v>7.5</v>
      </c>
      <c r="L154" s="3">
        <f>IF(INDEX(学年度总表!$L$3:$L$1025,MATCH($E154,学年度总表!$E$3:$E$1025,0))="","",INDEX(学年度总表!$L$3:$L$1025,MATCH($E154,学年度总表!$E$3:$E$1025,0)))</f>
        <v>59.06</v>
      </c>
      <c r="M154" s="3">
        <f>IF(INDEX(学年度总表!$M$3:$M$1025,MATCH($E154,学年度总表!$E$3:$E$1025,0))="","",INDEX(学年度总表!$M$3:$M$1025,MATCH($E154,学年度总表!$E$3:$E$1025,0)))</f>
        <v>3</v>
      </c>
      <c r="N154" s="3">
        <f>IF(INDEX(学年度总表!$N$3:$N$1025,MATCH($E154,学年度总表!$E$3:$E$1025,0))="","",INDEX(学年度总表!$N$3:$N$1025,MATCH($E154,学年度总表!$E$3:$E$1025,0)))</f>
        <v>69.56</v>
      </c>
      <c r="O154" s="3">
        <f>IF(INDEX(学年度总表!$O$3:$O$1025,MATCH($E154,学年度总表!$E$3:$E$1025,0))="","",INDEX(学年度总表!$O$3:$O$1025,MATCH($E154,学年度总表!$E$3:$E$1025,0)))</f>
        <v>140.44</v>
      </c>
      <c r="P154" s="2" t="str">
        <f>IF(INDEX(学年度总表!$P$3:$P$1025,MATCH($E154,学年度总表!$E$3:$E$1025,0))="","",INDEX(学年度总表!$P$3:$P$1025,MATCH($E154,学年度总表!$E$3:$E$1025,0)))</f>
        <v/>
      </c>
      <c r="Q154" s="5" t="str">
        <f>IF(INDEX(学年度总表!$Q$3:$Q$1025,MATCH($E154,学年度总表!$E$3:$E$1025,0))="","",INDEX(学年度总表!$Q$3:$Q$1025,MATCH($E154,学年度总表!$E$3:$E$1025,0)))</f>
        <v/>
      </c>
    </row>
    <row r="155" spans="1:17">
      <c r="A155" s="2">
        <f>IF(INDEX(学年度总表!$A$3:$A$1025,MATCH($E155,学年度总表!$E$3:$E$1025,0))="","",INDEX(学年度总表!$A$3:$A$1025,MATCH($E155,学年度总表!$E$3:$E$1025,0)))</f>
        <v>486</v>
      </c>
      <c r="B155" s="2">
        <f>IF(INDEX(学年度总表!$B$3:$B$1025,MATCH($E155,学年度总表!$E$3:$E$1025,0))="","",INDEX(学年度总表!$B$3:$B$1025,MATCH($E155,学年度总表!$E$3:$E$1025,0)))</f>
        <v>153</v>
      </c>
      <c r="C155" s="2" t="str">
        <f>IF(INDEX(学年度总表!$C$3:$C$1025,MATCH($E155,学年度总表!$E$3:$E$1025,0))="","",INDEX(学年度总表!$C$3:$C$1025,MATCH($E155,学年度总表!$E$3:$E$1025,0)))</f>
        <v>信管</v>
      </c>
      <c r="D155" s="2" t="str">
        <f>IF(INDEX(学年度总表!$D$3:$D$1025,MATCH($E155,学年度总表!$E$3:$E$1025,0))="","",INDEX(学年度总表!$D$3:$D$1025,MATCH($E155,学年度总表!$E$3:$E$1025,0)))</f>
        <v>信管19班</v>
      </c>
      <c r="E155" s="2" t="s">
        <v>1034</v>
      </c>
      <c r="F155" s="2" t="str">
        <f>IF(INDEX(学年度总表!$F$3:$F$1025,MATCH($E155,学年度总表!$E$3:$E$1025,0))="","",INDEX(学年度总表!$F$3:$F$1025,MATCH($E155,学年度总表!$E$3:$E$1025,0)))</f>
        <v>辛姿仪</v>
      </c>
      <c r="G155" s="3">
        <f>IF(INDEX(学年度总表!$G$3:$G$1025,MATCH($E155,学年度总表!$E$3:$E$1025,0))="","",INDEX(学年度总表!$G$3:$G$1025,MATCH($E155,学年度总表!$E$3:$E$1025,0)))</f>
        <v>9.8000000000000007</v>
      </c>
      <c r="H155" s="3">
        <f>IF(INDEX(学年度总表!$H$3:$H$1025,MATCH($E155,学年度总表!$E$3:$E$1025,0))="","",INDEX(学年度总表!$H$3:$H$1025,MATCH($E155,学年度总表!$E$3:$E$1025,0)))</f>
        <v>57.36</v>
      </c>
      <c r="I155" s="3">
        <f>IF(INDEX(学年度总表!$I$3:$I$1025,MATCH($E155,学年度总表!$E$3:$E$1025,0))="","",INDEX(学年度总表!$I$3:$I$1025,MATCH($E155,学年度总表!$E$3:$E$1025,0)))</f>
        <v>4</v>
      </c>
      <c r="J155" s="3">
        <f>IF(INDEX(学年度总表!$J$3:$J$1025,MATCH($E155,学年度总表!$E$3:$E$1025,0))="","",INDEX(学年度总表!$J$3:$J$1025,MATCH($E155,学年度总表!$E$3:$E$1025,0)))</f>
        <v>71.16</v>
      </c>
      <c r="K155" s="3">
        <f>IF(INDEX(学年度总表!$K$3:$K$1025,MATCH($E155,学年度总表!$E$3:$E$1025,0))="","",INDEX(学年度总表!$K$3:$K$1025,MATCH($E155,学年度总表!$E$3:$E$1025,0)))</f>
        <v>9.8000000000000007</v>
      </c>
      <c r="L155" s="3">
        <f>IF(INDEX(学年度总表!$L$3:$L$1025,MATCH($E155,学年度总表!$E$3:$E$1025,0))="","",INDEX(学年度总表!$L$3:$L$1025,MATCH($E155,学年度总表!$E$3:$E$1025,0)))</f>
        <v>53.22</v>
      </c>
      <c r="M155" s="3">
        <f>IF(INDEX(学年度总表!$M$3:$M$1025,MATCH($E155,学年度总表!$E$3:$E$1025,0))="","",INDEX(学年度总表!$M$3:$M$1025,MATCH($E155,学年度总表!$E$3:$E$1025,0)))</f>
        <v>6.2</v>
      </c>
      <c r="N155" s="3">
        <f>IF(INDEX(学年度总表!$N$3:$N$1025,MATCH($E155,学年度总表!$E$3:$E$1025,0))="","",INDEX(学年度总表!$N$3:$N$1025,MATCH($E155,学年度总表!$E$3:$E$1025,0)))</f>
        <v>69.22</v>
      </c>
      <c r="O155" s="3">
        <f>IF(INDEX(学年度总表!$O$3:$O$1025,MATCH($E155,学年度总表!$E$3:$E$1025,0))="","",INDEX(学年度总表!$O$3:$O$1025,MATCH($E155,学年度总表!$E$3:$E$1025,0)))</f>
        <v>140.38</v>
      </c>
      <c r="P155" s="2" t="str">
        <f>IF(INDEX(学年度总表!$P$3:$P$1025,MATCH($E155,学年度总表!$E$3:$E$1025,0))="","",INDEX(学年度总表!$P$3:$P$1025,MATCH($E155,学年度总表!$E$3:$E$1025,0)))</f>
        <v/>
      </c>
      <c r="Q155" s="5" t="str">
        <f>IF(INDEX(学年度总表!$Q$3:$Q$1025,MATCH($E155,学年度总表!$E$3:$E$1025,0))="","",INDEX(学年度总表!$Q$3:$Q$1025,MATCH($E155,学年度总表!$E$3:$E$1025,0)))</f>
        <v/>
      </c>
    </row>
    <row r="156" spans="1:17">
      <c r="A156" s="2">
        <f>IF(INDEX(学年度总表!$A$3:$A$1025,MATCH($E156,学年度总表!$E$3:$E$1025,0))="","",INDEX(学年度总表!$A$3:$A$1025,MATCH($E156,学年度总表!$E$3:$E$1025,0)))</f>
        <v>486</v>
      </c>
      <c r="B156" s="2">
        <f>IF(INDEX(学年度总表!$B$3:$B$1025,MATCH($E156,学年度总表!$E$3:$E$1025,0))="","",INDEX(学年度总表!$B$3:$B$1025,MATCH($E156,学年度总表!$E$3:$E$1025,0)))</f>
        <v>153</v>
      </c>
      <c r="C156" s="2" t="str">
        <f>IF(INDEX(学年度总表!$C$3:$C$1025,MATCH($E156,学年度总表!$E$3:$E$1025,0))="","",INDEX(学年度总表!$C$3:$C$1025,MATCH($E156,学年度总表!$E$3:$E$1025,0)))</f>
        <v>信管</v>
      </c>
      <c r="D156" s="2" t="str">
        <f>IF(INDEX(学年度总表!$D$3:$D$1025,MATCH($E156,学年度总表!$E$3:$E$1025,0))="","",INDEX(学年度总表!$D$3:$D$1025,MATCH($E156,学年度总表!$E$3:$E$1025,0)))</f>
        <v>信管19班</v>
      </c>
      <c r="E156" s="2" t="s">
        <v>1036</v>
      </c>
      <c r="F156" s="2" t="str">
        <f>IF(INDEX(学年度总表!$F$3:$F$1025,MATCH($E156,学年度总表!$E$3:$E$1025,0))="","",INDEX(学年度总表!$F$3:$F$1025,MATCH($E156,学年度总表!$E$3:$E$1025,0)))</f>
        <v>阎洁</v>
      </c>
      <c r="G156" s="3">
        <f>IF(INDEX(学年度总表!$G$3:$G$1025,MATCH($E156,学年度总表!$E$3:$E$1025,0))="","",INDEX(学年度总表!$G$3:$G$1025,MATCH($E156,学年度总表!$E$3:$E$1025,0)))</f>
        <v>9.8000000000000007</v>
      </c>
      <c r="H156" s="3">
        <f>IF(INDEX(学年度总表!$H$3:$H$1025,MATCH($E156,学年度总表!$E$3:$E$1025,0))="","",INDEX(学年度总表!$H$3:$H$1025,MATCH($E156,学年度总表!$E$3:$E$1025,0)))</f>
        <v>60.17</v>
      </c>
      <c r="I156" s="3">
        <f>IF(INDEX(学年度总表!$I$3:$I$1025,MATCH($E156,学年度总表!$E$3:$E$1025,0))="","",INDEX(学年度总表!$I$3:$I$1025,MATCH($E156,学年度总表!$E$3:$E$1025,0)))</f>
        <v>3</v>
      </c>
      <c r="J156" s="3">
        <f>IF(INDEX(学年度总表!$J$3:$J$1025,MATCH($E156,学年度总表!$E$3:$E$1025,0))="","",INDEX(学年度总表!$J$3:$J$1025,MATCH($E156,学年度总表!$E$3:$E$1025,0)))</f>
        <v>72.97</v>
      </c>
      <c r="K156" s="3">
        <f>IF(INDEX(学年度总表!$K$3:$K$1025,MATCH($E156,学年度总表!$E$3:$E$1025,0))="","",INDEX(学年度总表!$K$3:$K$1025,MATCH($E156,学年度总表!$E$3:$E$1025,0)))</f>
        <v>9.8000000000000007</v>
      </c>
      <c r="L156" s="3">
        <f>IF(INDEX(学年度总表!$L$3:$L$1025,MATCH($E156,学年度总表!$E$3:$E$1025,0))="","",INDEX(学年度总表!$L$3:$L$1025,MATCH($E156,学年度总表!$E$3:$E$1025,0)))</f>
        <v>54.61</v>
      </c>
      <c r="M156" s="3">
        <f>IF(INDEX(学年度总表!$M$3:$M$1025,MATCH($E156,学年度总表!$E$3:$E$1025,0))="","",INDEX(学年度总表!$M$3:$M$1025,MATCH($E156,学年度总表!$E$3:$E$1025,0)))</f>
        <v>3</v>
      </c>
      <c r="N156" s="3">
        <f>IF(INDEX(学年度总表!$N$3:$N$1025,MATCH($E156,学年度总表!$E$3:$E$1025,0))="","",INDEX(学年度总表!$N$3:$N$1025,MATCH($E156,学年度总表!$E$3:$E$1025,0)))</f>
        <v>67.41</v>
      </c>
      <c r="O156" s="3">
        <f>IF(INDEX(学年度总表!$O$3:$O$1025,MATCH($E156,学年度总表!$E$3:$E$1025,0))="","",INDEX(学年度总表!$O$3:$O$1025,MATCH($E156,学年度总表!$E$3:$E$1025,0)))</f>
        <v>140.38</v>
      </c>
      <c r="P156" s="2" t="str">
        <f>IF(INDEX(学年度总表!$P$3:$P$1025,MATCH($E156,学年度总表!$E$3:$E$1025,0))="","",INDEX(学年度总表!$P$3:$P$1025,MATCH($E156,学年度总表!$E$3:$E$1025,0)))</f>
        <v/>
      </c>
      <c r="Q156" s="5" t="str">
        <f>IF(INDEX(学年度总表!$Q$3:$Q$1025,MATCH($E156,学年度总表!$E$3:$E$1025,0))="","",INDEX(学年度总表!$Q$3:$Q$1025,MATCH($E156,学年度总表!$E$3:$E$1025,0)))</f>
        <v/>
      </c>
    </row>
    <row r="157" spans="1:17">
      <c r="A157" s="2">
        <f>IF(INDEX(学年度总表!$A$3:$A$1025,MATCH($E157,学年度总表!$E$3:$E$1025,0))="","",INDEX(学年度总表!$A$3:$A$1025,MATCH($E157,学年度总表!$E$3:$E$1025,0)))</f>
        <v>490</v>
      </c>
      <c r="B157" s="2">
        <f>IF(INDEX(学年度总表!$B$3:$B$1025,MATCH($E157,学年度总表!$E$3:$E$1025,0))="","",INDEX(学年度总表!$B$3:$B$1025,MATCH($E157,学年度总表!$E$3:$E$1025,0)))</f>
        <v>155</v>
      </c>
      <c r="C157" s="2" t="str">
        <f>IF(INDEX(学年度总表!$C$3:$C$1025,MATCH($E157,学年度总表!$E$3:$E$1025,0))="","",INDEX(学年度总表!$C$3:$C$1025,MATCH($E157,学年度总表!$E$3:$E$1025,0)))</f>
        <v>信管</v>
      </c>
      <c r="D157" s="2" t="str">
        <f>IF(INDEX(学年度总表!$D$3:$D$1025,MATCH($E157,学年度总表!$E$3:$E$1025,0))="","",INDEX(学年度总表!$D$3:$D$1025,MATCH($E157,学年度总表!$E$3:$E$1025,0)))</f>
        <v>信管27班</v>
      </c>
      <c r="E157" s="2" t="s">
        <v>1042</v>
      </c>
      <c r="F157" s="2" t="str">
        <f>IF(INDEX(学年度总表!$F$3:$F$1025,MATCH($E157,学年度总表!$E$3:$E$1025,0))="","",INDEX(学年度总表!$F$3:$F$1025,MATCH($E157,学年度总表!$E$3:$E$1025,0)))</f>
        <v>张羽晴</v>
      </c>
      <c r="G157" s="3">
        <f>IF(INDEX(学年度总表!$G$3:$G$1025,MATCH($E157,学年度总表!$E$3:$E$1025,0))="","",INDEX(学年度总表!$G$3:$G$1025,MATCH($E157,学年度总表!$E$3:$E$1025,0)))</f>
        <v>10.5</v>
      </c>
      <c r="H157" s="3">
        <f>IF(INDEX(学年度总表!$H$3:$H$1025,MATCH($E157,学年度总表!$E$3:$E$1025,0))="","",INDEX(学年度总表!$H$3:$H$1025,MATCH($E157,学年度总表!$E$3:$E$1025,0)))</f>
        <v>59.68</v>
      </c>
      <c r="I157" s="3">
        <f>IF(INDEX(学年度总表!$I$3:$I$1025,MATCH($E157,学年度总表!$E$3:$E$1025,0))="","",INDEX(学年度总表!$I$3:$I$1025,MATCH($E157,学年度总表!$E$3:$E$1025,0)))</f>
        <v>3</v>
      </c>
      <c r="J157" s="3">
        <f>IF(INDEX(学年度总表!$J$3:$J$1025,MATCH($E157,学年度总表!$E$3:$E$1025,0))="","",INDEX(学年度总表!$J$3:$J$1025,MATCH($E157,学年度总表!$E$3:$E$1025,0)))</f>
        <v>73.180000000000007</v>
      </c>
      <c r="K157" s="3">
        <f>IF(INDEX(学年度总表!$K$3:$K$1025,MATCH($E157,学年度总表!$E$3:$E$1025,0))="","",INDEX(学年度总表!$K$3:$K$1025,MATCH($E157,学年度总表!$E$3:$E$1025,0)))</f>
        <v>7.5</v>
      </c>
      <c r="L157" s="3">
        <f>IF(INDEX(学年度总表!$L$3:$L$1025,MATCH($E157,学年度总表!$E$3:$E$1025,0))="","",INDEX(学年度总表!$L$3:$L$1025,MATCH($E157,学年度总表!$E$3:$E$1025,0)))</f>
        <v>56.12</v>
      </c>
      <c r="M157" s="3">
        <f>IF(INDEX(学年度总表!$M$3:$M$1025,MATCH($E157,学年度总表!$E$3:$E$1025,0))="","",INDEX(学年度总表!$M$3:$M$1025,MATCH($E157,学年度总表!$E$3:$E$1025,0)))</f>
        <v>3.5</v>
      </c>
      <c r="N157" s="3">
        <f>IF(INDEX(学年度总表!$N$3:$N$1025,MATCH($E157,学年度总表!$E$3:$E$1025,0))="","",INDEX(学年度总表!$N$3:$N$1025,MATCH($E157,学年度总表!$E$3:$E$1025,0)))</f>
        <v>67.12</v>
      </c>
      <c r="O157" s="3">
        <f>IF(INDEX(学年度总表!$O$3:$O$1025,MATCH($E157,学年度总表!$E$3:$E$1025,0))="","",INDEX(学年度总表!$O$3:$O$1025,MATCH($E157,学年度总表!$E$3:$E$1025,0)))</f>
        <v>140.30000000000001</v>
      </c>
      <c r="P157" s="2" t="str">
        <f>IF(INDEX(学年度总表!$P$3:$P$1025,MATCH($E157,学年度总表!$E$3:$E$1025,0))="","",INDEX(学年度总表!$P$3:$P$1025,MATCH($E157,学年度总表!$E$3:$E$1025,0)))</f>
        <v/>
      </c>
      <c r="Q157" s="5" t="str">
        <f>IF(INDEX(学年度总表!$Q$3:$Q$1025,MATCH($E157,学年度总表!$E$3:$E$1025,0))="","",INDEX(学年度总表!$Q$3:$Q$1025,MATCH($E157,学年度总表!$E$3:$E$1025,0)))</f>
        <v/>
      </c>
    </row>
    <row r="158" spans="1:17">
      <c r="A158" s="2">
        <f>IF(INDEX(学年度总表!$A$3:$A$1025,MATCH($E158,学年度总表!$E$3:$E$1025,0))="","",INDEX(学年度总表!$A$3:$A$1025,MATCH($E158,学年度总表!$E$3:$E$1025,0)))</f>
        <v>492</v>
      </c>
      <c r="B158" s="2">
        <f>IF(INDEX(学年度总表!$B$3:$B$1025,MATCH($E158,学年度总表!$E$3:$E$1025,0))="","",INDEX(学年度总表!$B$3:$B$1025,MATCH($E158,学年度总表!$E$3:$E$1025,0)))</f>
        <v>156</v>
      </c>
      <c r="C158" s="2" t="str">
        <f>IF(INDEX(学年度总表!$C$3:$C$1025,MATCH($E158,学年度总表!$E$3:$E$1025,0))="","",INDEX(学年度总表!$C$3:$C$1025,MATCH($E158,学年度总表!$E$3:$E$1025,0)))</f>
        <v>信管</v>
      </c>
      <c r="D158" s="2" t="str">
        <f>IF(INDEX(学年度总表!$D$3:$D$1025,MATCH($E158,学年度总表!$E$3:$E$1025,0))="","",INDEX(学年度总表!$D$3:$D$1025,MATCH($E158,学年度总表!$E$3:$E$1025,0)))</f>
        <v>信管25班</v>
      </c>
      <c r="E158" s="2" t="s">
        <v>1046</v>
      </c>
      <c r="F158" s="2" t="str">
        <f>IF(INDEX(学年度总表!$F$3:$F$1025,MATCH($E158,学年度总表!$E$3:$E$1025,0))="","",INDEX(学年度总表!$F$3:$F$1025,MATCH($E158,学年度总表!$E$3:$E$1025,0)))</f>
        <v>刘欣睿</v>
      </c>
      <c r="G158" s="3">
        <f>IF(INDEX(学年度总表!$G$3:$G$1025,MATCH($E158,学年度总表!$E$3:$E$1025,0))="","",INDEX(学年度总表!$G$3:$G$1025,MATCH($E158,学年度总表!$E$3:$E$1025,0)))</f>
        <v>9.4</v>
      </c>
      <c r="H158" s="3">
        <f>IF(INDEX(学年度总表!$H$3:$H$1025,MATCH($E158,学年度总表!$E$3:$E$1025,0))="","",INDEX(学年度总表!$H$3:$H$1025,MATCH($E158,学年度总表!$E$3:$E$1025,0)))</f>
        <v>57.32</v>
      </c>
      <c r="I158" s="3">
        <f>IF(INDEX(学年度总表!$I$3:$I$1025,MATCH($E158,学年度总表!$E$3:$E$1025,0))="","",INDEX(学年度总表!$I$3:$I$1025,MATCH($E158,学年度总表!$E$3:$E$1025,0)))</f>
        <v>4</v>
      </c>
      <c r="J158" s="3">
        <f>IF(INDEX(学年度总表!$J$3:$J$1025,MATCH($E158,学年度总表!$E$3:$E$1025,0))="","",INDEX(学年度总表!$J$3:$J$1025,MATCH($E158,学年度总表!$E$3:$E$1025,0)))</f>
        <v>70.72</v>
      </c>
      <c r="K158" s="3">
        <f>IF(INDEX(学年度总表!$K$3:$K$1025,MATCH($E158,学年度总表!$E$3:$E$1025,0))="","",INDEX(学年度总表!$K$3:$K$1025,MATCH($E158,学年度总表!$E$3:$E$1025,0)))</f>
        <v>7.3000000000000007</v>
      </c>
      <c r="L158" s="3">
        <f>IF(INDEX(学年度总表!$L$3:$L$1025,MATCH($E158,学年度总表!$E$3:$E$1025,0))="","",INDEX(学年度总表!$L$3:$L$1025,MATCH($E158,学年度总表!$E$3:$E$1025,0)))</f>
        <v>57.72</v>
      </c>
      <c r="M158" s="3">
        <f>IF(INDEX(学年度总表!$M$3:$M$1025,MATCH($E158,学年度总表!$E$3:$E$1025,0))="","",INDEX(学年度总表!$M$3:$M$1025,MATCH($E158,学年度总表!$E$3:$E$1025,0)))</f>
        <v>4.5</v>
      </c>
      <c r="N158" s="3">
        <f>IF(INDEX(学年度总表!$N$3:$N$1025,MATCH($E158,学年度总表!$E$3:$E$1025,0))="","",INDEX(学年度总表!$N$3:$N$1025,MATCH($E158,学年度总表!$E$3:$E$1025,0)))</f>
        <v>69.52</v>
      </c>
      <c r="O158" s="3">
        <f>IF(INDEX(学年度总表!$O$3:$O$1025,MATCH($E158,学年度总表!$E$3:$E$1025,0))="","",INDEX(学年度总表!$O$3:$O$1025,MATCH($E158,学年度总表!$E$3:$E$1025,0)))</f>
        <v>140.24</v>
      </c>
      <c r="P158" s="2" t="str">
        <f>IF(INDEX(学年度总表!$P$3:$P$1025,MATCH($E158,学年度总表!$E$3:$E$1025,0))="","",INDEX(学年度总表!$P$3:$P$1025,MATCH($E158,学年度总表!$E$3:$E$1025,0)))</f>
        <v/>
      </c>
      <c r="Q158" s="5" t="str">
        <f>IF(INDEX(学年度总表!$Q$3:$Q$1025,MATCH($E158,学年度总表!$E$3:$E$1025,0))="","",INDEX(学年度总表!$Q$3:$Q$1025,MATCH($E158,学年度总表!$E$3:$E$1025,0)))</f>
        <v/>
      </c>
    </row>
    <row r="159" spans="1:17">
      <c r="A159" s="2">
        <f>IF(INDEX(学年度总表!$A$3:$A$1025,MATCH($E159,学年度总表!$E$3:$E$1025,0))="","",INDEX(学年度总表!$A$3:$A$1025,MATCH($E159,学年度总表!$E$3:$E$1025,0)))</f>
        <v>493</v>
      </c>
      <c r="B159" s="2">
        <f>IF(INDEX(学年度总表!$B$3:$B$1025,MATCH($E159,学年度总表!$E$3:$E$1025,0))="","",INDEX(学年度总表!$B$3:$B$1025,MATCH($E159,学年度总表!$E$3:$E$1025,0)))</f>
        <v>157</v>
      </c>
      <c r="C159" s="2" t="str">
        <f>IF(INDEX(学年度总表!$C$3:$C$1025,MATCH($E159,学年度总表!$E$3:$E$1025,0))="","",INDEX(学年度总表!$C$3:$C$1025,MATCH($E159,学年度总表!$E$3:$E$1025,0)))</f>
        <v>信管</v>
      </c>
      <c r="D159" s="2" t="str">
        <f>IF(INDEX(学年度总表!$D$3:$D$1025,MATCH($E159,学年度总表!$E$3:$E$1025,0))="","",INDEX(学年度总表!$D$3:$D$1025,MATCH($E159,学年度总表!$E$3:$E$1025,0)))</f>
        <v>信管22班</v>
      </c>
      <c r="E159" s="2" t="s">
        <v>1048</v>
      </c>
      <c r="F159" s="2" t="str">
        <f>IF(INDEX(学年度总表!$F$3:$F$1025,MATCH($E159,学年度总表!$E$3:$E$1025,0))="","",INDEX(学年度总表!$F$3:$F$1025,MATCH($E159,学年度总表!$E$3:$E$1025,0)))</f>
        <v>杨瑷萌</v>
      </c>
      <c r="G159" s="3">
        <f>IF(INDEX(学年度总表!$G$3:$G$1025,MATCH($E159,学年度总表!$E$3:$E$1025,0))="","",INDEX(学年度总表!$G$3:$G$1025,MATCH($E159,学年度总表!$E$3:$E$1025,0)))</f>
        <v>9.8000000000000007</v>
      </c>
      <c r="H159" s="3">
        <f>IF(INDEX(学年度总表!$H$3:$H$1025,MATCH($E159,学年度总表!$E$3:$E$1025,0))="","",INDEX(学年度总表!$H$3:$H$1025,MATCH($E159,学年度总表!$E$3:$E$1025,0)))</f>
        <v>55.19</v>
      </c>
      <c r="I159" s="3">
        <f>IF(INDEX(学年度总表!$I$3:$I$1025,MATCH($E159,学年度总表!$E$3:$E$1025,0))="","",INDEX(学年度总表!$I$3:$I$1025,MATCH($E159,学年度总表!$E$3:$E$1025,0)))</f>
        <v>4.4000000000000004</v>
      </c>
      <c r="J159" s="3">
        <f>IF(INDEX(学年度总表!$J$3:$J$1025,MATCH($E159,学年度总表!$E$3:$E$1025,0))="","",INDEX(学年度总表!$J$3:$J$1025,MATCH($E159,学年度总表!$E$3:$E$1025,0)))</f>
        <v>69.39</v>
      </c>
      <c r="K159" s="3">
        <f>IF(INDEX(学年度总表!$K$3:$K$1025,MATCH($E159,学年度总表!$E$3:$E$1025,0))="","",INDEX(学年度总表!$K$3:$K$1025,MATCH($E159,学年度总表!$E$3:$E$1025,0)))</f>
        <v>7.3000000000000007</v>
      </c>
      <c r="L159" s="3">
        <f>IF(INDEX(学年度总表!$L$3:$L$1025,MATCH($E159,学年度总表!$E$3:$E$1025,0))="","",INDEX(学年度总表!$L$3:$L$1025,MATCH($E159,学年度总表!$E$3:$E$1025,0)))</f>
        <v>57.96</v>
      </c>
      <c r="M159" s="3">
        <f>IF(INDEX(学年度总表!$M$3:$M$1025,MATCH($E159,学年度总表!$E$3:$E$1025,0))="","",INDEX(学年度总表!$M$3:$M$1025,MATCH($E159,学年度总表!$E$3:$E$1025,0)))</f>
        <v>5.5</v>
      </c>
      <c r="N159" s="3">
        <f>IF(INDEX(学年度总表!$N$3:$N$1025,MATCH($E159,学年度总表!$E$3:$E$1025,0))="","",INDEX(学年度总表!$N$3:$N$1025,MATCH($E159,学年度总表!$E$3:$E$1025,0)))</f>
        <v>70.760000000000005</v>
      </c>
      <c r="O159" s="3">
        <f>IF(INDEX(学年度总表!$O$3:$O$1025,MATCH($E159,学年度总表!$E$3:$E$1025,0))="","",INDEX(学年度总表!$O$3:$O$1025,MATCH($E159,学年度总表!$E$3:$E$1025,0)))</f>
        <v>140.15</v>
      </c>
      <c r="P159" s="4" t="str">
        <f>IF(INDEX(学年度总表!$P$3:$P$1025,MATCH($E159,学年度总表!$E$3:$E$1025,0))="","",INDEX(学年度总表!$P$3:$P$1025,MATCH($E159,学年度总表!$E$3:$E$1025,0)))</f>
        <v>优秀学生教官</v>
      </c>
      <c r="Q159" s="5" t="str">
        <f>IF(INDEX(学年度总表!$Q$3:$Q$1025,MATCH($E159,学年度总表!$E$3:$E$1025,0))="","",INDEX(学年度总表!$Q$3:$Q$1025,MATCH($E159,学年度总表!$E$3:$E$1025,0)))</f>
        <v/>
      </c>
    </row>
    <row r="160" spans="1:17">
      <c r="A160" s="2">
        <f>IF(INDEX(学年度总表!$A$3:$A$1025,MATCH($E160,学年度总表!$E$3:$E$1025,0))="","",INDEX(学年度总表!$A$3:$A$1025,MATCH($E160,学年度总表!$E$3:$E$1025,0)))</f>
        <v>494</v>
      </c>
      <c r="B160" s="2">
        <f>IF(INDEX(学年度总表!$B$3:$B$1025,MATCH($E160,学年度总表!$E$3:$E$1025,0))="","",INDEX(学年度总表!$B$3:$B$1025,MATCH($E160,学年度总表!$E$3:$E$1025,0)))</f>
        <v>158</v>
      </c>
      <c r="C160" s="2" t="str">
        <f>IF(INDEX(学年度总表!$C$3:$C$1025,MATCH($E160,学年度总表!$E$3:$E$1025,0))="","",INDEX(学年度总表!$C$3:$C$1025,MATCH($E160,学年度总表!$E$3:$E$1025,0)))</f>
        <v>信管</v>
      </c>
      <c r="D160" s="2" t="str">
        <f>IF(INDEX(学年度总表!$D$3:$D$1025,MATCH($E160,学年度总表!$E$3:$E$1025,0))="","",INDEX(学年度总表!$D$3:$D$1025,MATCH($E160,学年度总表!$E$3:$E$1025,0)))</f>
        <v>信管21班</v>
      </c>
      <c r="E160" s="2" t="s">
        <v>1050</v>
      </c>
      <c r="F160" s="2" t="str">
        <f>IF(INDEX(学年度总表!$F$3:$F$1025,MATCH($E160,学年度总表!$E$3:$E$1025,0))="","",INDEX(学年度总表!$F$3:$F$1025,MATCH($E160,学年度总表!$E$3:$E$1025,0)))</f>
        <v>缴思彤</v>
      </c>
      <c r="G160" s="3">
        <f>IF(INDEX(学年度总表!$G$3:$G$1025,MATCH($E160,学年度总表!$E$3:$E$1025,0))="","",INDEX(学年度总表!$G$3:$G$1025,MATCH($E160,学年度总表!$E$3:$E$1025,0)))</f>
        <v>10.5</v>
      </c>
      <c r="H160" s="3">
        <f>IF(INDEX(学年度总表!$H$3:$H$1025,MATCH($E160,学年度总表!$E$3:$E$1025,0))="","",INDEX(学年度总表!$H$3:$H$1025,MATCH($E160,学年度总表!$E$3:$E$1025,0)))</f>
        <v>56.46</v>
      </c>
      <c r="I160" s="3">
        <f>IF(INDEX(学年度总表!$I$3:$I$1025,MATCH($E160,学年度总表!$E$3:$E$1025,0))="","",INDEX(学年度总表!$I$3:$I$1025,MATCH($E160,学年度总表!$E$3:$E$1025,0)))</f>
        <v>5.4</v>
      </c>
      <c r="J160" s="3">
        <f>IF(INDEX(学年度总表!$J$3:$J$1025,MATCH($E160,学年度总表!$E$3:$E$1025,0))="","",INDEX(学年度总表!$J$3:$J$1025,MATCH($E160,学年度总表!$E$3:$E$1025,0)))</f>
        <v>72.36</v>
      </c>
      <c r="K160" s="3">
        <f>IF(INDEX(学年度总表!$K$3:$K$1025,MATCH($E160,学年度总表!$E$3:$E$1025,0))="","",INDEX(学年度总表!$K$3:$K$1025,MATCH($E160,学年度总表!$E$3:$E$1025,0)))</f>
        <v>10</v>
      </c>
      <c r="L160" s="3">
        <f>IF(INDEX(学年度总表!$L$3:$L$1025,MATCH($E160,学年度总表!$E$3:$E$1025,0))="","",INDEX(学年度总表!$L$3:$L$1025,MATCH($E160,学年度总表!$E$3:$E$1025,0)))</f>
        <v>52.47</v>
      </c>
      <c r="M160" s="3">
        <f>IF(INDEX(学年度总表!$M$3:$M$1025,MATCH($E160,学年度总表!$E$3:$E$1025,0))="","",INDEX(学年度总表!$M$3:$M$1025,MATCH($E160,学年度总表!$E$3:$E$1025,0)))</f>
        <v>5.3</v>
      </c>
      <c r="N160" s="3">
        <f>IF(INDEX(学年度总表!$N$3:$N$1025,MATCH($E160,学年度总表!$E$3:$E$1025,0))="","",INDEX(学年度总表!$N$3:$N$1025,MATCH($E160,学年度总表!$E$3:$E$1025,0)))</f>
        <v>67.77</v>
      </c>
      <c r="O160" s="3">
        <f>IF(INDEX(学年度总表!$O$3:$O$1025,MATCH($E160,学年度总表!$E$3:$E$1025,0))="","",INDEX(学年度总表!$O$3:$O$1025,MATCH($E160,学年度总表!$E$3:$E$1025,0)))</f>
        <v>140.13</v>
      </c>
      <c r="P160" s="2" t="str">
        <f>IF(INDEX(学年度总表!$P$3:$P$1025,MATCH($E160,学年度总表!$E$3:$E$1025,0))="","",INDEX(学年度总表!$P$3:$P$1025,MATCH($E160,学年度总表!$E$3:$E$1025,0)))</f>
        <v/>
      </c>
      <c r="Q160" s="5" t="str">
        <f>IF(INDEX(学年度总表!$Q$3:$Q$1025,MATCH($E160,学年度总表!$E$3:$E$1025,0))="","",INDEX(学年度总表!$Q$3:$Q$1025,MATCH($E160,学年度总表!$E$3:$E$1025,0)))</f>
        <v/>
      </c>
    </row>
    <row r="161" spans="1:17">
      <c r="A161" s="2">
        <f>IF(INDEX(学年度总表!$A$3:$A$1025,MATCH($E161,学年度总表!$E$3:$E$1025,0))="","",INDEX(学年度总表!$A$3:$A$1025,MATCH($E161,学年度总表!$E$3:$E$1025,0)))</f>
        <v>495</v>
      </c>
      <c r="B161" s="2">
        <f>IF(INDEX(学年度总表!$B$3:$B$1025,MATCH($E161,学年度总表!$E$3:$E$1025,0))="","",INDEX(学年度总表!$B$3:$B$1025,MATCH($E161,学年度总表!$E$3:$E$1025,0)))</f>
        <v>159</v>
      </c>
      <c r="C161" s="2" t="str">
        <f>IF(INDEX(学年度总表!$C$3:$C$1025,MATCH($E161,学年度总表!$E$3:$E$1025,0))="","",INDEX(学年度总表!$C$3:$C$1025,MATCH($E161,学年度总表!$E$3:$E$1025,0)))</f>
        <v>信管</v>
      </c>
      <c r="D161" s="2" t="str">
        <f>IF(INDEX(学年度总表!$D$3:$D$1025,MATCH($E161,学年度总表!$E$3:$E$1025,0))="","",INDEX(学年度总表!$D$3:$D$1025,MATCH($E161,学年度总表!$E$3:$E$1025,0)))</f>
        <v>信管25班</v>
      </c>
      <c r="E161" s="2" t="s">
        <v>1052</v>
      </c>
      <c r="F161" s="2" t="str">
        <f>IF(INDEX(学年度总表!$F$3:$F$1025,MATCH($E161,学年度总表!$E$3:$E$1025,0))="","",INDEX(学年度总表!$F$3:$F$1025,MATCH($E161,学年度总表!$E$3:$E$1025,0)))</f>
        <v>曾铄涵</v>
      </c>
      <c r="G161" s="3">
        <f>IF(INDEX(学年度总表!$G$3:$G$1025,MATCH($E161,学年度总表!$E$3:$E$1025,0))="","",INDEX(学年度总表!$G$3:$G$1025,MATCH($E161,学年度总表!$E$3:$E$1025,0)))</f>
        <v>9.8000000000000007</v>
      </c>
      <c r="H161" s="3">
        <f>IF(INDEX(学年度总表!$H$3:$H$1025,MATCH($E161,学年度总表!$E$3:$E$1025,0))="","",INDEX(学年度总表!$H$3:$H$1025,MATCH($E161,学年度总表!$E$3:$E$1025,0)))</f>
        <v>53.92</v>
      </c>
      <c r="I161" s="3">
        <f>IF(INDEX(学年度总表!$I$3:$I$1025,MATCH($E161,学年度总表!$E$3:$E$1025,0))="","",INDEX(学年度总表!$I$3:$I$1025,MATCH($E161,学年度总表!$E$3:$E$1025,0)))</f>
        <v>5.2</v>
      </c>
      <c r="J161" s="3">
        <f>IF(INDEX(学年度总表!$J$3:$J$1025,MATCH($E161,学年度总表!$E$3:$E$1025,0))="","",INDEX(学年度总表!$J$3:$J$1025,MATCH($E161,学年度总表!$E$3:$E$1025,0)))</f>
        <v>68.92</v>
      </c>
      <c r="K161" s="3">
        <f>IF(INDEX(学年度总表!$K$3:$K$1025,MATCH($E161,学年度总表!$E$3:$E$1025,0))="","",INDEX(学年度总表!$K$3:$K$1025,MATCH($E161,学年度总表!$E$3:$E$1025,0)))</f>
        <v>9.8000000000000007</v>
      </c>
      <c r="L161" s="3">
        <f>IF(INDEX(学年度总表!$L$3:$L$1025,MATCH($E161,学年度总表!$E$3:$E$1025,0))="","",INDEX(学年度总表!$L$3:$L$1025,MATCH($E161,学年度总表!$E$3:$E$1025,0)))</f>
        <v>54.82</v>
      </c>
      <c r="M161" s="3">
        <f>IF(INDEX(学年度总表!$M$3:$M$1025,MATCH($E161,学年度总表!$E$3:$E$1025,0))="","",INDEX(学年度总表!$M$3:$M$1025,MATCH($E161,学年度总表!$E$3:$E$1025,0)))</f>
        <v>6.5</v>
      </c>
      <c r="N161" s="3">
        <f>IF(INDEX(学年度总表!$N$3:$N$1025,MATCH($E161,学年度总表!$E$3:$E$1025,0))="","",INDEX(学年度总表!$N$3:$N$1025,MATCH($E161,学年度总表!$E$3:$E$1025,0)))</f>
        <v>71.12</v>
      </c>
      <c r="O161" s="3">
        <f>IF(INDEX(学年度总表!$O$3:$O$1025,MATCH($E161,学年度总表!$E$3:$E$1025,0))="","",INDEX(学年度总表!$O$3:$O$1025,MATCH($E161,学年度总表!$E$3:$E$1025,0)))</f>
        <v>140.04</v>
      </c>
      <c r="P161" s="2" t="str">
        <f>IF(INDEX(学年度总表!$P$3:$P$1025,MATCH($E161,学年度总表!$E$3:$E$1025,0))="","",INDEX(学年度总表!$P$3:$P$1025,MATCH($E161,学年度总表!$E$3:$E$1025,0)))</f>
        <v/>
      </c>
      <c r="Q161" s="5" t="str">
        <f>IF(INDEX(学年度总表!$Q$3:$Q$1025,MATCH($E161,学年度总表!$E$3:$E$1025,0))="","",INDEX(学年度总表!$Q$3:$Q$1025,MATCH($E161,学年度总表!$E$3:$E$1025,0)))</f>
        <v/>
      </c>
    </row>
    <row r="162" spans="1:17">
      <c r="A162" s="2">
        <f>IF(INDEX(学年度总表!$A$3:$A$1025,MATCH($E162,学年度总表!$E$3:$E$1025,0))="","",INDEX(学年度总表!$A$3:$A$1025,MATCH($E162,学年度总表!$E$3:$E$1025,0)))</f>
        <v>496</v>
      </c>
      <c r="B162" s="2">
        <f>IF(INDEX(学年度总表!$B$3:$B$1025,MATCH($E162,学年度总表!$E$3:$E$1025,0))="","",INDEX(学年度总表!$B$3:$B$1025,MATCH($E162,学年度总表!$E$3:$E$1025,0)))</f>
        <v>160</v>
      </c>
      <c r="C162" s="2" t="str">
        <f>IF(INDEX(学年度总表!$C$3:$C$1025,MATCH($E162,学年度总表!$E$3:$E$1025,0))="","",INDEX(学年度总表!$C$3:$C$1025,MATCH($E162,学年度总表!$E$3:$E$1025,0)))</f>
        <v>信管</v>
      </c>
      <c r="D162" s="2" t="str">
        <f>IF(INDEX(学年度总表!$D$3:$D$1025,MATCH($E162,学年度总表!$E$3:$E$1025,0))="","",INDEX(学年度总表!$D$3:$D$1025,MATCH($E162,学年度总表!$E$3:$E$1025,0)))</f>
        <v>信管23班</v>
      </c>
      <c r="E162" s="2" t="s">
        <v>1056</v>
      </c>
      <c r="F162" s="2" t="str">
        <f>IF(INDEX(学年度总表!$F$3:$F$1025,MATCH($E162,学年度总表!$E$3:$E$1025,0))="","",INDEX(学年度总表!$F$3:$F$1025,MATCH($E162,学年度总表!$E$3:$E$1025,0)))</f>
        <v>沈姝含</v>
      </c>
      <c r="G162" s="3">
        <f>IF(INDEX(学年度总表!$G$3:$G$1025,MATCH($E162,学年度总表!$E$3:$E$1025,0))="","",INDEX(学年度总表!$G$3:$G$1025,MATCH($E162,学年度总表!$E$3:$E$1025,0)))</f>
        <v>9.8000000000000007</v>
      </c>
      <c r="H162" s="3">
        <f>IF(INDEX(学年度总表!$H$3:$H$1025,MATCH($E162,学年度总表!$E$3:$E$1025,0))="","",INDEX(学年度总表!$H$3:$H$1025,MATCH($E162,学年度总表!$E$3:$E$1025,0)))</f>
        <v>53.46</v>
      </c>
      <c r="I162" s="3">
        <f>IF(INDEX(学年度总表!$I$3:$I$1025,MATCH($E162,学年度总表!$E$3:$E$1025,0))="","",INDEX(学年度总表!$I$3:$I$1025,MATCH($E162,学年度总表!$E$3:$E$1025,0)))</f>
        <v>4</v>
      </c>
      <c r="J162" s="3">
        <f>IF(INDEX(学年度总表!$J$3:$J$1025,MATCH($E162,学年度总表!$E$3:$E$1025,0))="","",INDEX(学年度总表!$J$3:$J$1025,MATCH($E162,学年度总表!$E$3:$E$1025,0)))</f>
        <v>67.260000000000005</v>
      </c>
      <c r="K162" s="3">
        <f>IF(INDEX(学年度总表!$K$3:$K$1025,MATCH($E162,学年度总表!$E$3:$E$1025,0))="","",INDEX(学年度总表!$K$3:$K$1025,MATCH($E162,学年度总表!$E$3:$E$1025,0)))</f>
        <v>9.8000000000000007</v>
      </c>
      <c r="L162" s="3">
        <f>IF(INDEX(学年度总表!$L$3:$L$1025,MATCH($E162,学年度总表!$E$3:$E$1025,0))="","",INDEX(学年度总表!$L$3:$L$1025,MATCH($E162,学年度总表!$E$3:$E$1025,0)))</f>
        <v>58.47</v>
      </c>
      <c r="M162" s="3">
        <f>IF(INDEX(学年度总表!$M$3:$M$1025,MATCH($E162,学年度总表!$E$3:$E$1025,0))="","",INDEX(学年度总表!$M$3:$M$1025,MATCH($E162,学年度总表!$E$3:$E$1025,0)))</f>
        <v>4.5</v>
      </c>
      <c r="N162" s="3">
        <f>IF(INDEX(学年度总表!$N$3:$N$1025,MATCH($E162,学年度总表!$E$3:$E$1025,0))="","",INDEX(学年度总表!$N$3:$N$1025,MATCH($E162,学年度总表!$E$3:$E$1025,0)))</f>
        <v>72.77</v>
      </c>
      <c r="O162" s="3">
        <f>IF(INDEX(学年度总表!$O$3:$O$1025,MATCH($E162,学年度总表!$E$3:$E$1025,0))="","",INDEX(学年度总表!$O$3:$O$1025,MATCH($E162,学年度总表!$E$3:$E$1025,0)))</f>
        <v>140.03</v>
      </c>
      <c r="P162" s="2" t="str">
        <f>IF(INDEX(学年度总表!$P$3:$P$1025,MATCH($E162,学年度总表!$E$3:$E$1025,0))="","",INDEX(学年度总表!$P$3:$P$1025,MATCH($E162,学年度总表!$E$3:$E$1025,0)))</f>
        <v/>
      </c>
      <c r="Q162" s="5" t="str">
        <f>IF(INDEX(学年度总表!$Q$3:$Q$1025,MATCH($E162,学年度总表!$E$3:$E$1025,0))="","",INDEX(学年度总表!$Q$3:$Q$1025,MATCH($E162,学年度总表!$E$3:$E$1025,0)))</f>
        <v/>
      </c>
    </row>
    <row r="163" spans="1:17">
      <c r="A163" s="2">
        <f>IF(INDEX(学年度总表!$A$3:$A$1025,MATCH($E163,学年度总表!$E$3:$E$1025,0))="","",INDEX(学年度总表!$A$3:$A$1025,MATCH($E163,学年度总表!$E$3:$E$1025,0)))</f>
        <v>504</v>
      </c>
      <c r="B163" s="2">
        <f>IF(INDEX(学年度总表!$B$3:$B$1025,MATCH($E163,学年度总表!$E$3:$E$1025,0))="","",INDEX(学年度总表!$B$3:$B$1025,MATCH($E163,学年度总表!$E$3:$E$1025,0)))</f>
        <v>161</v>
      </c>
      <c r="C163" s="2" t="str">
        <f>IF(INDEX(学年度总表!$C$3:$C$1025,MATCH($E163,学年度总表!$E$3:$E$1025,0))="","",INDEX(学年度总表!$C$3:$C$1025,MATCH($E163,学年度总表!$E$3:$E$1025,0)))</f>
        <v>信管</v>
      </c>
      <c r="D163" s="2" t="str">
        <f>IF(INDEX(学年度总表!$D$3:$D$1025,MATCH($E163,学年度总表!$E$3:$E$1025,0))="","",INDEX(学年度总表!$D$3:$D$1025,MATCH($E163,学年度总表!$E$3:$E$1025,0)))</f>
        <v>信管26班</v>
      </c>
      <c r="E163" s="2" t="s">
        <v>1070</v>
      </c>
      <c r="F163" s="2" t="str">
        <f>IF(INDEX(学年度总表!$F$3:$F$1025,MATCH($E163,学年度总表!$E$3:$E$1025,0))="","",INDEX(学年度总表!$F$3:$F$1025,MATCH($E163,学年度总表!$E$3:$E$1025,0)))</f>
        <v>陈常乐</v>
      </c>
      <c r="G163" s="3">
        <f>IF(INDEX(学年度总表!$G$3:$G$1025,MATCH($E163,学年度总表!$E$3:$E$1025,0))="","",INDEX(学年度总表!$G$3:$G$1025,MATCH($E163,学年度总表!$E$3:$E$1025,0)))</f>
        <v>9.4</v>
      </c>
      <c r="H163" s="3">
        <f>IF(INDEX(学年度总表!$H$3:$H$1025,MATCH($E163,学年度总表!$E$3:$E$1025,0))="","",INDEX(学年度总表!$H$3:$H$1025,MATCH($E163,学年度总表!$E$3:$E$1025,0)))</f>
        <v>59.13</v>
      </c>
      <c r="I163" s="3">
        <f>IF(INDEX(学年度总表!$I$3:$I$1025,MATCH($E163,学年度总表!$E$3:$E$1025,0))="","",INDEX(学年度总表!$I$3:$I$1025,MATCH($E163,学年度总表!$E$3:$E$1025,0)))</f>
        <v>4</v>
      </c>
      <c r="J163" s="3">
        <f>IF(INDEX(学年度总表!$J$3:$J$1025,MATCH($E163,学年度总表!$E$3:$E$1025,0))="","",INDEX(学年度总表!$J$3:$J$1025,MATCH($E163,学年度总表!$E$3:$E$1025,0)))</f>
        <v>72.53</v>
      </c>
      <c r="K163" s="3">
        <f>IF(INDEX(学年度总表!$K$3:$K$1025,MATCH($E163,学年度总表!$E$3:$E$1025,0))="","",INDEX(学年度总表!$K$3:$K$1025,MATCH($E163,学年度总表!$E$3:$E$1025,0)))</f>
        <v>7.3000000000000007</v>
      </c>
      <c r="L163" s="3">
        <f>IF(INDEX(学年度总表!$L$3:$L$1025,MATCH($E163,学年度总表!$E$3:$E$1025,0))="","",INDEX(学年度总表!$L$3:$L$1025,MATCH($E163,学年度总表!$E$3:$E$1025,0)))</f>
        <v>55.78</v>
      </c>
      <c r="M163" s="3">
        <f>IF(INDEX(学年度总表!$M$3:$M$1025,MATCH($E163,学年度总表!$E$3:$E$1025,0))="","",INDEX(学年度总表!$M$3:$M$1025,MATCH($E163,学年度总表!$E$3:$E$1025,0)))</f>
        <v>4.2</v>
      </c>
      <c r="N163" s="3">
        <f>IF(INDEX(学年度总表!$N$3:$N$1025,MATCH($E163,学年度总表!$E$3:$E$1025,0))="","",INDEX(学年度总表!$N$3:$N$1025,MATCH($E163,学年度总表!$E$3:$E$1025,0)))</f>
        <v>67.28</v>
      </c>
      <c r="O163" s="3">
        <f>IF(INDEX(学年度总表!$O$3:$O$1025,MATCH($E163,学年度总表!$E$3:$E$1025,0))="","",INDEX(学年度总表!$O$3:$O$1025,MATCH($E163,学年度总表!$E$3:$E$1025,0)))</f>
        <v>139.81</v>
      </c>
      <c r="P163" s="2" t="str">
        <f>IF(INDEX(学年度总表!$P$3:$P$1025,MATCH($E163,学年度总表!$E$3:$E$1025,0))="","",INDEX(学年度总表!$P$3:$P$1025,MATCH($E163,学年度总表!$E$3:$E$1025,0)))</f>
        <v/>
      </c>
      <c r="Q163" s="5" t="str">
        <f>IF(INDEX(学年度总表!$Q$3:$Q$1025,MATCH($E163,学年度总表!$E$3:$E$1025,0))="","",INDEX(学年度总表!$Q$3:$Q$1025,MATCH($E163,学年度总表!$E$3:$E$1025,0)))</f>
        <v/>
      </c>
    </row>
    <row r="164" spans="1:17">
      <c r="A164" s="2">
        <f>IF(INDEX(学年度总表!$A$3:$A$1025,MATCH($E164,学年度总表!$E$3:$E$1025,0))="","",INDEX(学年度总表!$A$3:$A$1025,MATCH($E164,学年度总表!$E$3:$E$1025,0)))</f>
        <v>505</v>
      </c>
      <c r="B164" s="2">
        <f>IF(INDEX(学年度总表!$B$3:$B$1025,MATCH($E164,学年度总表!$E$3:$E$1025,0))="","",INDEX(学年度总表!$B$3:$B$1025,MATCH($E164,学年度总表!$E$3:$E$1025,0)))</f>
        <v>162</v>
      </c>
      <c r="C164" s="2" t="str">
        <f>IF(INDEX(学年度总表!$C$3:$C$1025,MATCH($E164,学年度总表!$E$3:$E$1025,0))="","",INDEX(学年度总表!$C$3:$C$1025,MATCH($E164,学年度总表!$E$3:$E$1025,0)))</f>
        <v>信管</v>
      </c>
      <c r="D164" s="2" t="str">
        <f>IF(INDEX(学年度总表!$D$3:$D$1025,MATCH($E164,学年度总表!$E$3:$E$1025,0))="","",INDEX(学年度总表!$D$3:$D$1025,MATCH($E164,学年度总表!$E$3:$E$1025,0)))</f>
        <v>信管27班</v>
      </c>
      <c r="E164" s="2" t="s">
        <v>1072</v>
      </c>
      <c r="F164" s="2" t="str">
        <f>IF(INDEX(学年度总表!$F$3:$F$1025,MATCH($E164,学年度总表!$E$3:$E$1025,0))="","",INDEX(学年度总表!$F$3:$F$1025,MATCH($E164,学年度总表!$E$3:$E$1025,0)))</f>
        <v>于福龙</v>
      </c>
      <c r="G164" s="3">
        <f>IF(INDEX(学年度总表!$G$3:$G$1025,MATCH($E164,学年度总表!$E$3:$E$1025,0))="","",INDEX(学年度总表!$G$3:$G$1025,MATCH($E164,学年度总表!$E$3:$E$1025,0)))</f>
        <v>7.3</v>
      </c>
      <c r="H164" s="3">
        <f>IF(INDEX(学年度总表!$H$3:$H$1025,MATCH($E164,学年度总表!$E$3:$E$1025,0))="","",INDEX(学年度总表!$H$3:$H$1025,MATCH($E164,学年度总表!$E$3:$E$1025,0)))</f>
        <v>62.54</v>
      </c>
      <c r="I164" s="3">
        <f>IF(INDEX(学年度总表!$I$3:$I$1025,MATCH($E164,学年度总表!$E$3:$E$1025,0))="","",INDEX(学年度总表!$I$3:$I$1025,MATCH($E164,学年度总表!$E$3:$E$1025,0)))</f>
        <v>3</v>
      </c>
      <c r="J164" s="3">
        <f>IF(INDEX(学年度总表!$J$3:$J$1025,MATCH($E164,学年度总表!$E$3:$E$1025,0))="","",INDEX(学年度总表!$J$3:$J$1025,MATCH($E164,学年度总表!$E$3:$E$1025,0)))</f>
        <v>72.84</v>
      </c>
      <c r="K164" s="3">
        <f>IF(INDEX(学年度总表!$K$3:$K$1025,MATCH($E164,学年度总表!$E$3:$E$1025,0))="","",INDEX(学年度总表!$K$3:$K$1025,MATCH($E164,学年度总表!$E$3:$E$1025,0)))</f>
        <v>7.3000000000000007</v>
      </c>
      <c r="L164" s="3">
        <f>IF(INDEX(学年度总表!$L$3:$L$1025,MATCH($E164,学年度总表!$E$3:$E$1025,0))="","",INDEX(学年度总表!$L$3:$L$1025,MATCH($E164,学年度总表!$E$3:$E$1025,0)))</f>
        <v>56.64</v>
      </c>
      <c r="M164" s="3">
        <f>IF(INDEX(学年度总表!$M$3:$M$1025,MATCH($E164,学年度总表!$E$3:$E$1025,0))="","",INDEX(学年度总表!$M$3:$M$1025,MATCH($E164,学年度总表!$E$3:$E$1025,0)))</f>
        <v>3</v>
      </c>
      <c r="N164" s="3">
        <f>IF(INDEX(学年度总表!$N$3:$N$1025,MATCH($E164,学年度总表!$E$3:$E$1025,0))="","",INDEX(学年度总表!$N$3:$N$1025,MATCH($E164,学年度总表!$E$3:$E$1025,0)))</f>
        <v>66.94</v>
      </c>
      <c r="O164" s="3">
        <f>IF(INDEX(学年度总表!$O$3:$O$1025,MATCH($E164,学年度总表!$E$3:$E$1025,0))="","",INDEX(学年度总表!$O$3:$O$1025,MATCH($E164,学年度总表!$E$3:$E$1025,0)))</f>
        <v>139.78</v>
      </c>
      <c r="P164" s="2" t="str">
        <f>IF(INDEX(学年度总表!$P$3:$P$1025,MATCH($E164,学年度总表!$E$3:$E$1025,0))="","",INDEX(学年度总表!$P$3:$P$1025,MATCH($E164,学年度总表!$E$3:$E$1025,0)))</f>
        <v/>
      </c>
      <c r="Q164" s="5" t="str">
        <f>IF(INDEX(学年度总表!$Q$3:$Q$1025,MATCH($E164,学年度总表!$E$3:$E$1025,0))="","",INDEX(学年度总表!$Q$3:$Q$1025,MATCH($E164,学年度总表!$E$3:$E$1025,0)))</f>
        <v/>
      </c>
    </row>
    <row r="165" spans="1:17">
      <c r="A165" s="2">
        <f>IF(INDEX(学年度总表!$A$3:$A$1025,MATCH($E165,学年度总表!$E$3:$E$1025,0))="","",INDEX(学年度总表!$A$3:$A$1025,MATCH($E165,学年度总表!$E$3:$E$1025,0)))</f>
        <v>511</v>
      </c>
      <c r="B165" s="2">
        <f>IF(INDEX(学年度总表!$B$3:$B$1025,MATCH($E165,学年度总表!$E$3:$E$1025,0))="","",INDEX(学年度总表!$B$3:$B$1025,MATCH($E165,学年度总表!$E$3:$E$1025,0)))</f>
        <v>163</v>
      </c>
      <c r="C165" s="2" t="str">
        <f>IF(INDEX(学年度总表!$C$3:$C$1025,MATCH($E165,学年度总表!$E$3:$E$1025,0))="","",INDEX(学年度总表!$C$3:$C$1025,MATCH($E165,学年度总表!$E$3:$E$1025,0)))</f>
        <v>信管</v>
      </c>
      <c r="D165" s="2" t="str">
        <f>IF(INDEX(学年度总表!$D$3:$D$1025,MATCH($E165,学年度总表!$E$3:$E$1025,0))="","",INDEX(学年度总表!$D$3:$D$1025,MATCH($E165,学年度总表!$E$3:$E$1025,0)))</f>
        <v>信管27班</v>
      </c>
      <c r="E165" s="2" t="s">
        <v>1084</v>
      </c>
      <c r="F165" s="2" t="str">
        <f>IF(INDEX(学年度总表!$F$3:$F$1025,MATCH($E165,学年度总表!$E$3:$E$1025,0))="","",INDEX(学年度总表!$F$3:$F$1025,MATCH($E165,学年度总表!$E$3:$E$1025,0)))</f>
        <v>顾义美</v>
      </c>
      <c r="G165" s="3">
        <f>IF(INDEX(学年度总表!$G$3:$G$1025,MATCH($E165,学年度总表!$E$3:$E$1025,0))="","",INDEX(学年度总表!$G$3:$G$1025,MATCH($E165,学年度总表!$E$3:$E$1025,0)))</f>
        <v>10.6</v>
      </c>
      <c r="H165" s="3">
        <f>IF(INDEX(学年度总表!$H$3:$H$1025,MATCH($E165,学年度总表!$E$3:$E$1025,0))="","",INDEX(学年度总表!$H$3:$H$1025,MATCH($E165,学年度总表!$E$3:$E$1025,0)))</f>
        <v>53.45</v>
      </c>
      <c r="I165" s="3">
        <f>IF(INDEX(学年度总表!$I$3:$I$1025,MATCH($E165,学年度总表!$E$3:$E$1025,0))="","",INDEX(学年度总表!$I$3:$I$1025,MATCH($E165,学年度总表!$E$3:$E$1025,0)))</f>
        <v>4.5</v>
      </c>
      <c r="J165" s="3">
        <f>IF(INDEX(学年度总表!$J$3:$J$1025,MATCH($E165,学年度总表!$E$3:$E$1025,0))="","",INDEX(学年度总表!$J$3:$J$1025,MATCH($E165,学年度总表!$E$3:$E$1025,0)))</f>
        <v>68.55</v>
      </c>
      <c r="K165" s="3">
        <f>IF(INDEX(学年度总表!$K$3:$K$1025,MATCH($E165,学年度总表!$E$3:$E$1025,0))="","",INDEX(学年度总表!$K$3:$K$1025,MATCH($E165,学年度总表!$E$3:$E$1025,0)))</f>
        <v>9.8000000000000007</v>
      </c>
      <c r="L165" s="3">
        <f>IF(INDEX(学年度总表!$L$3:$L$1025,MATCH($E165,学年度总表!$E$3:$E$1025,0))="","",INDEX(学年度总表!$L$3:$L$1025,MATCH($E165,学年度总表!$E$3:$E$1025,0)))</f>
        <v>56.35</v>
      </c>
      <c r="M165" s="3">
        <f>IF(INDEX(学年度总表!$M$3:$M$1025,MATCH($E165,学年度总表!$E$3:$E$1025,0))="","",INDEX(学年度总表!$M$3:$M$1025,MATCH($E165,学年度总表!$E$3:$E$1025,0)))</f>
        <v>4.8</v>
      </c>
      <c r="N165" s="3">
        <f>IF(INDEX(学年度总表!$N$3:$N$1025,MATCH($E165,学年度总表!$E$3:$E$1025,0))="","",INDEX(学年度总表!$N$3:$N$1025,MATCH($E165,学年度总表!$E$3:$E$1025,0)))</f>
        <v>70.95</v>
      </c>
      <c r="O165" s="3">
        <f>IF(INDEX(学年度总表!$O$3:$O$1025,MATCH($E165,学年度总表!$E$3:$E$1025,0))="","",INDEX(学年度总表!$O$3:$O$1025,MATCH($E165,学年度总表!$E$3:$E$1025,0)))</f>
        <v>139.5</v>
      </c>
      <c r="P165" s="2" t="str">
        <f>IF(INDEX(学年度总表!$P$3:$P$1025,MATCH($E165,学年度总表!$E$3:$E$1025,0))="","",INDEX(学年度总表!$P$3:$P$1025,MATCH($E165,学年度总表!$E$3:$E$1025,0)))</f>
        <v/>
      </c>
      <c r="Q165" s="5" t="str">
        <f>IF(INDEX(学年度总表!$Q$3:$Q$1025,MATCH($E165,学年度总表!$E$3:$E$1025,0))="","",INDEX(学年度总表!$Q$3:$Q$1025,MATCH($E165,学年度总表!$E$3:$E$1025,0)))</f>
        <v/>
      </c>
    </row>
    <row r="166" spans="1:17">
      <c r="A166" s="2">
        <f>IF(INDEX(学年度总表!$A$3:$A$1025,MATCH($E166,学年度总表!$E$3:$E$1025,0))="","",INDEX(学年度总表!$A$3:$A$1025,MATCH($E166,学年度总表!$E$3:$E$1025,0)))</f>
        <v>513</v>
      </c>
      <c r="B166" s="2">
        <f>IF(INDEX(学年度总表!$B$3:$B$1025,MATCH($E166,学年度总表!$E$3:$E$1025,0))="","",INDEX(学年度总表!$B$3:$B$1025,MATCH($E166,学年度总表!$E$3:$E$1025,0)))</f>
        <v>164</v>
      </c>
      <c r="C166" s="2" t="str">
        <f>IF(INDEX(学年度总表!$C$3:$C$1025,MATCH($E166,学年度总表!$E$3:$E$1025,0))="","",INDEX(学年度总表!$C$3:$C$1025,MATCH($E166,学年度总表!$E$3:$E$1025,0)))</f>
        <v>信管</v>
      </c>
      <c r="D166" s="2" t="str">
        <f>IF(INDEX(学年度总表!$D$3:$D$1025,MATCH($E166,学年度总表!$E$3:$E$1025,0))="","",INDEX(学年度总表!$D$3:$D$1025,MATCH($E166,学年度总表!$E$3:$E$1025,0)))</f>
        <v>信管27班</v>
      </c>
      <c r="E166" s="2" t="s">
        <v>1088</v>
      </c>
      <c r="F166" s="2" t="str">
        <f>IF(INDEX(学年度总表!$F$3:$F$1025,MATCH($E166,学年度总表!$E$3:$E$1025,0))="","",INDEX(学年度总表!$F$3:$F$1025,MATCH($E166,学年度总表!$E$3:$E$1025,0)))</f>
        <v>刘思源</v>
      </c>
      <c r="G166" s="3">
        <f>IF(INDEX(学年度总表!$G$3:$G$1025,MATCH($E166,学年度总表!$E$3:$E$1025,0))="","",INDEX(学年度总表!$G$3:$G$1025,MATCH($E166,学年度总表!$E$3:$E$1025,0)))</f>
        <v>11.1</v>
      </c>
      <c r="H166" s="3">
        <f>IF(INDEX(学年度总表!$H$3:$H$1025,MATCH($E166,学年度总表!$E$3:$E$1025,0))="","",INDEX(学年度总表!$H$3:$H$1025,MATCH($E166,学年度总表!$E$3:$E$1025,0)))</f>
        <v>56.33</v>
      </c>
      <c r="I166" s="3">
        <f>IF(INDEX(学年度总表!$I$3:$I$1025,MATCH($E166,学年度总表!$E$3:$E$1025,0))="","",INDEX(学年度总表!$I$3:$I$1025,MATCH($E166,学年度总表!$E$3:$E$1025,0)))</f>
        <v>5</v>
      </c>
      <c r="J166" s="3">
        <f>IF(INDEX(学年度总表!$J$3:$J$1025,MATCH($E166,学年度总表!$E$3:$E$1025,0))="","",INDEX(学年度总表!$J$3:$J$1025,MATCH($E166,学年度总表!$E$3:$E$1025,0)))</f>
        <v>72.430000000000007</v>
      </c>
      <c r="K166" s="3">
        <f>IF(INDEX(学年度总表!$K$3:$K$1025,MATCH($E166,学年度总表!$E$3:$E$1025,0))="","",INDEX(学年度总表!$K$3:$K$1025,MATCH($E166,学年度总表!$E$3:$E$1025,0)))</f>
        <v>8.8000000000000007</v>
      </c>
      <c r="L166" s="3">
        <f>IF(INDEX(学年度总表!$L$3:$L$1025,MATCH($E166,学年度总表!$E$3:$E$1025,0))="","",INDEX(学年度总表!$L$3:$L$1025,MATCH($E166,学年度总表!$E$3:$E$1025,0)))</f>
        <v>51.97</v>
      </c>
      <c r="M166" s="3">
        <f>IF(INDEX(学年度总表!$M$3:$M$1025,MATCH($E166,学年度总表!$E$3:$E$1025,0))="","",INDEX(学年度总表!$M$3:$M$1025,MATCH($E166,学年度总表!$E$3:$E$1025,0)))</f>
        <v>6.1</v>
      </c>
      <c r="N166" s="3">
        <f>IF(INDEX(学年度总表!$N$3:$N$1025,MATCH($E166,学年度总表!$E$3:$E$1025,0))="","",INDEX(学年度总表!$N$3:$N$1025,MATCH($E166,学年度总表!$E$3:$E$1025,0)))</f>
        <v>66.87</v>
      </c>
      <c r="O166" s="3">
        <f>IF(INDEX(学年度总表!$O$3:$O$1025,MATCH($E166,学年度总表!$E$3:$E$1025,0))="","",INDEX(学年度总表!$O$3:$O$1025,MATCH($E166,学年度总表!$E$3:$E$1025,0)))</f>
        <v>139.30000000000001</v>
      </c>
      <c r="P166" s="2" t="str">
        <f>IF(INDEX(学年度总表!$P$3:$P$1025,MATCH($E166,学年度总表!$E$3:$E$1025,0))="","",INDEX(学年度总表!$P$3:$P$1025,MATCH($E166,学年度总表!$E$3:$E$1025,0)))</f>
        <v/>
      </c>
      <c r="Q166" s="5" t="str">
        <f>IF(INDEX(学年度总表!$Q$3:$Q$1025,MATCH($E166,学年度总表!$E$3:$E$1025,0))="","",INDEX(学年度总表!$Q$3:$Q$1025,MATCH($E166,学年度总表!$E$3:$E$1025,0)))</f>
        <v/>
      </c>
    </row>
    <row r="167" spans="1:17">
      <c r="A167" s="2">
        <f>IF(INDEX(学年度总表!$A$3:$A$1025,MATCH($E167,学年度总表!$E$3:$E$1025,0))="","",INDEX(学年度总表!$A$3:$A$1025,MATCH($E167,学年度总表!$E$3:$E$1025,0)))</f>
        <v>514</v>
      </c>
      <c r="B167" s="2">
        <f>IF(INDEX(学年度总表!$B$3:$B$1025,MATCH($E167,学年度总表!$E$3:$E$1025,0))="","",INDEX(学年度总表!$B$3:$B$1025,MATCH($E167,学年度总表!$E$3:$E$1025,0)))</f>
        <v>165</v>
      </c>
      <c r="C167" s="2" t="str">
        <f>IF(INDEX(学年度总表!$C$3:$C$1025,MATCH($E167,学年度总表!$E$3:$E$1025,0))="","",INDEX(学年度总表!$C$3:$C$1025,MATCH($E167,学年度总表!$E$3:$E$1025,0)))</f>
        <v>信管</v>
      </c>
      <c r="D167" s="2" t="str">
        <f>IF(INDEX(学年度总表!$D$3:$D$1025,MATCH($E167,学年度总表!$E$3:$E$1025,0))="","",INDEX(学年度总表!$D$3:$D$1025,MATCH($E167,学年度总表!$E$3:$E$1025,0)))</f>
        <v>信管19班</v>
      </c>
      <c r="E167" s="2" t="s">
        <v>1090</v>
      </c>
      <c r="F167" s="2" t="str">
        <f>IF(INDEX(学年度总表!$F$3:$F$1025,MATCH($E167,学年度总表!$E$3:$E$1025,0))="","",INDEX(学年度总表!$F$3:$F$1025,MATCH($E167,学年度总表!$E$3:$E$1025,0)))</f>
        <v>陈奕嘉</v>
      </c>
      <c r="G167" s="3">
        <f>IF(INDEX(学年度总表!$G$3:$G$1025,MATCH($E167,学年度总表!$E$3:$E$1025,0))="","",INDEX(学年度总表!$G$3:$G$1025,MATCH($E167,学年度总表!$E$3:$E$1025,0)))</f>
        <v>9.8000000000000007</v>
      </c>
      <c r="H167" s="3">
        <f>IF(INDEX(学年度总表!$H$3:$H$1025,MATCH($E167,学年度总表!$E$3:$E$1025,0))="","",INDEX(学年度总表!$H$3:$H$1025,MATCH($E167,学年度总表!$E$3:$E$1025,0)))</f>
        <v>57.14</v>
      </c>
      <c r="I167" s="3">
        <f>IF(INDEX(学年度总表!$I$3:$I$1025,MATCH($E167,学年度总表!$E$3:$E$1025,0))="","",INDEX(学年度总表!$I$3:$I$1025,MATCH($E167,学年度总表!$E$3:$E$1025,0)))</f>
        <v>3</v>
      </c>
      <c r="J167" s="3">
        <f>IF(INDEX(学年度总表!$J$3:$J$1025,MATCH($E167,学年度总表!$E$3:$E$1025,0))="","",INDEX(学年度总表!$J$3:$J$1025,MATCH($E167,学年度总表!$E$3:$E$1025,0)))</f>
        <v>69.94</v>
      </c>
      <c r="K167" s="3">
        <f>IF(INDEX(学年度总表!$K$3:$K$1025,MATCH($E167,学年度总表!$E$3:$E$1025,0))="","",INDEX(学年度总表!$K$3:$K$1025,MATCH($E167,学年度总表!$E$3:$E$1025,0)))</f>
        <v>9.8000000000000007</v>
      </c>
      <c r="L167" s="3">
        <f>IF(INDEX(学年度总表!$L$3:$L$1025,MATCH($E167,学年度总表!$E$3:$E$1025,0))="","",INDEX(学年度总表!$L$3:$L$1025,MATCH($E167,学年度总表!$E$3:$E$1025,0)))</f>
        <v>55.84</v>
      </c>
      <c r="M167" s="3">
        <f>IF(INDEX(学年度总表!$M$3:$M$1025,MATCH($E167,学年度总表!$E$3:$E$1025,0))="","",INDEX(学年度总表!$M$3:$M$1025,MATCH($E167,学年度总表!$E$3:$E$1025,0)))</f>
        <v>3.7</v>
      </c>
      <c r="N167" s="3">
        <f>IF(INDEX(学年度总表!$N$3:$N$1025,MATCH($E167,学年度总表!$E$3:$E$1025,0))="","",INDEX(学年度总表!$N$3:$N$1025,MATCH($E167,学年度总表!$E$3:$E$1025,0)))</f>
        <v>69.34</v>
      </c>
      <c r="O167" s="3">
        <f>IF(INDEX(学年度总表!$O$3:$O$1025,MATCH($E167,学年度总表!$E$3:$E$1025,0))="","",INDEX(学年度总表!$O$3:$O$1025,MATCH($E167,学年度总表!$E$3:$E$1025,0)))</f>
        <v>139.28</v>
      </c>
      <c r="P167" s="2" t="str">
        <f>IF(INDEX(学年度总表!$P$3:$P$1025,MATCH($E167,学年度总表!$E$3:$E$1025,0))="","",INDEX(学年度总表!$P$3:$P$1025,MATCH($E167,学年度总表!$E$3:$E$1025,0)))</f>
        <v/>
      </c>
      <c r="Q167" s="5" t="str">
        <f>IF(INDEX(学年度总表!$Q$3:$Q$1025,MATCH($E167,学年度总表!$E$3:$E$1025,0))="","",INDEX(学年度总表!$Q$3:$Q$1025,MATCH($E167,学年度总表!$E$3:$E$1025,0)))</f>
        <v/>
      </c>
    </row>
    <row r="168" spans="1:17">
      <c r="A168" s="2">
        <f>IF(INDEX(学年度总表!$A$3:$A$1025,MATCH($E168,学年度总表!$E$3:$E$1025,0))="","",INDEX(学年度总表!$A$3:$A$1025,MATCH($E168,学年度总表!$E$3:$E$1025,0)))</f>
        <v>515</v>
      </c>
      <c r="B168" s="2">
        <f>IF(INDEX(学年度总表!$B$3:$B$1025,MATCH($E168,学年度总表!$E$3:$E$1025,0))="","",INDEX(学年度总表!$B$3:$B$1025,MATCH($E168,学年度总表!$E$3:$E$1025,0)))</f>
        <v>166</v>
      </c>
      <c r="C168" s="2" t="str">
        <f>IF(INDEX(学年度总表!$C$3:$C$1025,MATCH($E168,学年度总表!$E$3:$E$1025,0))="","",INDEX(学年度总表!$C$3:$C$1025,MATCH($E168,学年度总表!$E$3:$E$1025,0)))</f>
        <v>信管</v>
      </c>
      <c r="D168" s="2" t="str">
        <f>IF(INDEX(学年度总表!$D$3:$D$1025,MATCH($E168,学年度总表!$E$3:$E$1025,0))="","",INDEX(学年度总表!$D$3:$D$1025,MATCH($E168,学年度总表!$E$3:$E$1025,0)))</f>
        <v>信管24班</v>
      </c>
      <c r="E168" s="2" t="s">
        <v>1092</v>
      </c>
      <c r="F168" s="2" t="str">
        <f>IF(INDEX(学年度总表!$F$3:$F$1025,MATCH($E168,学年度总表!$E$3:$E$1025,0))="","",INDEX(学年度总表!$F$3:$F$1025,MATCH($E168,学年度总表!$E$3:$E$1025,0)))</f>
        <v>苏瑀晗</v>
      </c>
      <c r="G168" s="3">
        <f>IF(INDEX(学年度总表!$G$3:$G$1025,MATCH($E168,学年度总表!$E$3:$E$1025,0))="","",INDEX(学年度总表!$G$3:$G$1025,MATCH($E168,学年度总表!$E$3:$E$1025,0)))</f>
        <v>9.8000000000000007</v>
      </c>
      <c r="H168" s="3">
        <f>IF(INDEX(学年度总表!$H$3:$H$1025,MATCH($E168,学年度总表!$E$3:$E$1025,0))="","",INDEX(学年度总表!$H$3:$H$1025,MATCH($E168,学年度总表!$E$3:$E$1025,0)))</f>
        <v>54.67</v>
      </c>
      <c r="I168" s="3">
        <f>IF(INDEX(学年度总表!$I$3:$I$1025,MATCH($E168,学年度总表!$E$3:$E$1025,0))="","",INDEX(学年度总表!$I$3:$I$1025,MATCH($E168,学年度总表!$E$3:$E$1025,0)))</f>
        <v>4</v>
      </c>
      <c r="J168" s="3">
        <f>IF(INDEX(学年度总表!$J$3:$J$1025,MATCH($E168,学年度总表!$E$3:$E$1025,0))="","",INDEX(学年度总表!$J$3:$J$1025,MATCH($E168,学年度总表!$E$3:$E$1025,0)))</f>
        <v>68.47</v>
      </c>
      <c r="K168" s="3">
        <f>IF(INDEX(学年度总表!$K$3:$K$1025,MATCH($E168,学年度总表!$E$3:$E$1025,0))="","",INDEX(学年度总表!$K$3:$K$1025,MATCH($E168,学年度总表!$E$3:$E$1025,0)))</f>
        <v>9.8000000000000007</v>
      </c>
      <c r="L168" s="3">
        <f>IF(INDEX(学年度总表!$L$3:$L$1025,MATCH($E168,学年度总表!$E$3:$E$1025,0))="","",INDEX(学年度总表!$L$3:$L$1025,MATCH($E168,学年度总表!$E$3:$E$1025,0)))</f>
        <v>56.28</v>
      </c>
      <c r="M168" s="3">
        <f>IF(INDEX(学年度总表!$M$3:$M$1025,MATCH($E168,学年度总表!$E$3:$E$1025,0))="","",INDEX(学年度总表!$M$3:$M$1025,MATCH($E168,学年度总表!$E$3:$E$1025,0)))</f>
        <v>4.7</v>
      </c>
      <c r="N168" s="3">
        <f>IF(INDEX(学年度总表!$N$3:$N$1025,MATCH($E168,学年度总表!$E$3:$E$1025,0))="","",INDEX(学年度总表!$N$3:$N$1025,MATCH($E168,学年度总表!$E$3:$E$1025,0)))</f>
        <v>70.78</v>
      </c>
      <c r="O168" s="3">
        <f>IF(INDEX(学年度总表!$O$3:$O$1025,MATCH($E168,学年度总表!$E$3:$E$1025,0))="","",INDEX(学年度总表!$O$3:$O$1025,MATCH($E168,学年度总表!$E$3:$E$1025,0)))</f>
        <v>139.25</v>
      </c>
      <c r="P168" s="2" t="str">
        <f>IF(INDEX(学年度总表!$P$3:$P$1025,MATCH($E168,学年度总表!$E$3:$E$1025,0))="","",INDEX(学年度总表!$P$3:$P$1025,MATCH($E168,学年度总表!$E$3:$E$1025,0)))</f>
        <v/>
      </c>
      <c r="Q168" s="5" t="str">
        <f>IF(INDEX(学年度总表!$Q$3:$Q$1025,MATCH($E168,学年度总表!$E$3:$E$1025,0))="","",INDEX(学年度总表!$Q$3:$Q$1025,MATCH($E168,学年度总表!$E$3:$E$1025,0)))</f>
        <v/>
      </c>
    </row>
    <row r="169" spans="1:17">
      <c r="A169" s="2">
        <f>IF(INDEX(学年度总表!$A$3:$A$1025,MATCH($E169,学年度总表!$E$3:$E$1025,0))="","",INDEX(学年度总表!$A$3:$A$1025,MATCH($E169,学年度总表!$E$3:$E$1025,0)))</f>
        <v>517</v>
      </c>
      <c r="B169" s="2">
        <f>IF(INDEX(学年度总表!$B$3:$B$1025,MATCH($E169,学年度总表!$E$3:$E$1025,0))="","",INDEX(学年度总表!$B$3:$B$1025,MATCH($E169,学年度总表!$E$3:$E$1025,0)))</f>
        <v>167</v>
      </c>
      <c r="C169" s="2" t="str">
        <f>IF(INDEX(学年度总表!$C$3:$C$1025,MATCH($E169,学年度总表!$E$3:$E$1025,0))="","",INDEX(学年度总表!$C$3:$C$1025,MATCH($E169,学年度总表!$E$3:$E$1025,0)))</f>
        <v>信管</v>
      </c>
      <c r="D169" s="2" t="str">
        <f>IF(INDEX(学年度总表!$D$3:$D$1025,MATCH($E169,学年度总表!$E$3:$E$1025,0))="","",INDEX(学年度总表!$D$3:$D$1025,MATCH($E169,学年度总表!$E$3:$E$1025,0)))</f>
        <v>信管22班</v>
      </c>
      <c r="E169" s="2" t="s">
        <v>1096</v>
      </c>
      <c r="F169" s="2" t="str">
        <f>IF(INDEX(学年度总表!$F$3:$F$1025,MATCH($E169,学年度总表!$E$3:$E$1025,0))="","",INDEX(学年度总表!$F$3:$F$1025,MATCH($E169,学年度总表!$E$3:$E$1025,0)))</f>
        <v>朱丹煦</v>
      </c>
      <c r="G169" s="3">
        <f>IF(INDEX(学年度总表!$G$3:$G$1025,MATCH($E169,学年度总表!$E$3:$E$1025,0))="","",INDEX(学年度总表!$G$3:$G$1025,MATCH($E169,学年度总表!$E$3:$E$1025,0)))</f>
        <v>10.3</v>
      </c>
      <c r="H169" s="3">
        <f>IF(INDEX(学年度总表!$H$3:$H$1025,MATCH($E169,学年度总表!$E$3:$E$1025,0))="","",INDEX(学年度总表!$H$3:$H$1025,MATCH($E169,学年度总表!$E$3:$E$1025,0)))</f>
        <v>58.93</v>
      </c>
      <c r="I169" s="3">
        <f>IF(INDEX(学年度总表!$I$3:$I$1025,MATCH($E169,学年度总表!$E$3:$E$1025,0))="","",INDEX(学年度总表!$I$3:$I$1025,MATCH($E169,学年度总表!$E$3:$E$1025,0)))</f>
        <v>3.6</v>
      </c>
      <c r="J169" s="3">
        <f>IF(INDEX(学年度总表!$J$3:$J$1025,MATCH($E169,学年度总表!$E$3:$E$1025,0))="","",INDEX(学年度总表!$J$3:$J$1025,MATCH($E169,学年度总表!$E$3:$E$1025,0)))</f>
        <v>72.83</v>
      </c>
      <c r="K169" s="3">
        <f>IF(INDEX(学年度总表!$K$3:$K$1025,MATCH($E169,学年度总表!$E$3:$E$1025,0))="","",INDEX(学年度总表!$K$3:$K$1025,MATCH($E169,学年度总表!$E$3:$E$1025,0)))</f>
        <v>7.3000000000000007</v>
      </c>
      <c r="L169" s="3">
        <f>IF(INDEX(学年度总表!$L$3:$L$1025,MATCH($E169,学年度总表!$E$3:$E$1025,0))="","",INDEX(学年度总表!$L$3:$L$1025,MATCH($E169,学年度总表!$E$3:$E$1025,0)))</f>
        <v>54.96</v>
      </c>
      <c r="M169" s="3">
        <f>IF(INDEX(学年度总表!$M$3:$M$1025,MATCH($E169,学年度总表!$E$3:$E$1025,0))="","",INDEX(学年度总表!$M$3:$M$1025,MATCH($E169,学年度总表!$E$3:$E$1025,0)))</f>
        <v>4.0999999999999996</v>
      </c>
      <c r="N169" s="3">
        <f>IF(INDEX(学年度总表!$N$3:$N$1025,MATCH($E169,学年度总表!$E$3:$E$1025,0))="","",INDEX(学年度总表!$N$3:$N$1025,MATCH($E169,学年度总表!$E$3:$E$1025,0)))</f>
        <v>66.36</v>
      </c>
      <c r="O169" s="3">
        <f>IF(INDEX(学年度总表!$O$3:$O$1025,MATCH($E169,学年度总表!$E$3:$E$1025,0))="","",INDEX(学年度总表!$O$3:$O$1025,MATCH($E169,学年度总表!$E$3:$E$1025,0)))</f>
        <v>139.19</v>
      </c>
      <c r="P169" s="2" t="str">
        <f>IF(INDEX(学年度总表!$P$3:$P$1025,MATCH($E169,学年度总表!$E$3:$E$1025,0))="","",INDEX(学年度总表!$P$3:$P$1025,MATCH($E169,学年度总表!$E$3:$E$1025,0)))</f>
        <v/>
      </c>
      <c r="Q169" s="5" t="str">
        <f>IF(INDEX(学年度总表!$Q$3:$Q$1025,MATCH($E169,学年度总表!$E$3:$E$1025,0))="","",INDEX(学年度总表!$Q$3:$Q$1025,MATCH($E169,学年度总表!$E$3:$E$1025,0)))</f>
        <v/>
      </c>
    </row>
    <row r="170" spans="1:17">
      <c r="A170" s="2">
        <f>IF(INDEX(学年度总表!$A$3:$A$1025,MATCH($E170,学年度总表!$E$3:$E$1025,0))="","",INDEX(学年度总表!$A$3:$A$1025,MATCH($E170,学年度总表!$E$3:$E$1025,0)))</f>
        <v>519</v>
      </c>
      <c r="B170" s="2">
        <f>IF(INDEX(学年度总表!$B$3:$B$1025,MATCH($E170,学年度总表!$E$3:$E$1025,0))="","",INDEX(学年度总表!$B$3:$B$1025,MATCH($E170,学年度总表!$E$3:$E$1025,0)))</f>
        <v>168</v>
      </c>
      <c r="C170" s="2" t="str">
        <f>IF(INDEX(学年度总表!$C$3:$C$1025,MATCH($E170,学年度总表!$E$3:$E$1025,0))="","",INDEX(学年度总表!$C$3:$C$1025,MATCH($E170,学年度总表!$E$3:$E$1025,0)))</f>
        <v>信管</v>
      </c>
      <c r="D170" s="2" t="str">
        <f>IF(INDEX(学年度总表!$D$3:$D$1025,MATCH($E170,学年度总表!$E$3:$E$1025,0))="","",INDEX(学年度总表!$D$3:$D$1025,MATCH($E170,学年度总表!$E$3:$E$1025,0)))</f>
        <v>信管27班</v>
      </c>
      <c r="E170" s="2" t="s">
        <v>1100</v>
      </c>
      <c r="F170" s="2" t="str">
        <f>IF(INDEX(学年度总表!$F$3:$F$1025,MATCH($E170,学年度总表!$E$3:$E$1025,0))="","",INDEX(学年度总表!$F$3:$F$1025,MATCH($E170,学年度总表!$E$3:$E$1025,0)))</f>
        <v>娄可意</v>
      </c>
      <c r="G170" s="3">
        <f>IF(INDEX(学年度总表!$G$3:$G$1025,MATCH($E170,学年度总表!$E$3:$E$1025,0))="","",INDEX(学年度总表!$G$3:$G$1025,MATCH($E170,学年度总表!$E$3:$E$1025,0)))</f>
        <v>10</v>
      </c>
      <c r="H170" s="3">
        <f>IF(INDEX(学年度总表!$H$3:$H$1025,MATCH($E170,学年度总表!$E$3:$E$1025,0))="","",INDEX(学年度总表!$H$3:$H$1025,MATCH($E170,学年度总表!$E$3:$E$1025,0)))</f>
        <v>54.18</v>
      </c>
      <c r="I170" s="3">
        <f>IF(INDEX(学年度总表!$I$3:$I$1025,MATCH($E170,学年度总表!$E$3:$E$1025,0))="","",INDEX(学年度总表!$I$3:$I$1025,MATCH($E170,学年度总表!$E$3:$E$1025,0)))</f>
        <v>4</v>
      </c>
      <c r="J170" s="3">
        <f>IF(INDEX(学年度总表!$J$3:$J$1025,MATCH($E170,学年度总表!$E$3:$E$1025,0))="","",INDEX(学年度总表!$J$3:$J$1025,MATCH($E170,学年度总表!$E$3:$E$1025,0)))</f>
        <v>68.180000000000007</v>
      </c>
      <c r="K170" s="3">
        <f>IF(INDEX(学年度总表!$K$3:$K$1025,MATCH($E170,学年度总表!$E$3:$E$1025,0))="","",INDEX(学年度总表!$K$3:$K$1025,MATCH($E170,学年度总表!$E$3:$E$1025,0)))</f>
        <v>10</v>
      </c>
      <c r="L170" s="3">
        <f>IF(INDEX(学年度总表!$L$3:$L$1025,MATCH($E170,学年度总表!$E$3:$E$1025,0))="","",INDEX(学年度总表!$L$3:$L$1025,MATCH($E170,学年度总表!$E$3:$E$1025,0)))</f>
        <v>55.86</v>
      </c>
      <c r="M170" s="3">
        <f>IF(INDEX(学年度总表!$M$3:$M$1025,MATCH($E170,学年度总表!$E$3:$E$1025,0))="","",INDEX(学年度总表!$M$3:$M$1025,MATCH($E170,学年度总表!$E$3:$E$1025,0)))</f>
        <v>5.0999999999999996</v>
      </c>
      <c r="N170" s="3">
        <f>IF(INDEX(学年度总表!$N$3:$N$1025,MATCH($E170,学年度总表!$E$3:$E$1025,0))="","",INDEX(学年度总表!$N$3:$N$1025,MATCH($E170,学年度总表!$E$3:$E$1025,0)))</f>
        <v>70.959999999999994</v>
      </c>
      <c r="O170" s="3">
        <f>IF(INDEX(学年度总表!$O$3:$O$1025,MATCH($E170,学年度总表!$E$3:$E$1025,0))="","",INDEX(学年度总表!$O$3:$O$1025,MATCH($E170,学年度总表!$E$3:$E$1025,0)))</f>
        <v>139.13999999999999</v>
      </c>
      <c r="P170" s="2" t="str">
        <f>IF(INDEX(学年度总表!$P$3:$P$1025,MATCH($E170,学年度总表!$E$3:$E$1025,0))="","",INDEX(学年度总表!$P$3:$P$1025,MATCH($E170,学年度总表!$E$3:$E$1025,0)))</f>
        <v/>
      </c>
      <c r="Q170" s="5" t="str">
        <f>IF(INDEX(学年度总表!$Q$3:$Q$1025,MATCH($E170,学年度总表!$E$3:$E$1025,0))="","",INDEX(学年度总表!$Q$3:$Q$1025,MATCH($E170,学年度总表!$E$3:$E$1025,0)))</f>
        <v/>
      </c>
    </row>
    <row r="171" spans="1:17">
      <c r="A171" s="2">
        <f>IF(INDEX(学年度总表!$A$3:$A$1025,MATCH($E171,学年度总表!$E$3:$E$1025,0))="","",INDEX(学年度总表!$A$3:$A$1025,MATCH($E171,学年度总表!$E$3:$E$1025,0)))</f>
        <v>520</v>
      </c>
      <c r="B171" s="2">
        <f>IF(INDEX(学年度总表!$B$3:$B$1025,MATCH($E171,学年度总表!$E$3:$E$1025,0))="","",INDEX(学年度总表!$B$3:$B$1025,MATCH($E171,学年度总表!$E$3:$E$1025,0)))</f>
        <v>169</v>
      </c>
      <c r="C171" s="2" t="str">
        <f>IF(INDEX(学年度总表!$C$3:$C$1025,MATCH($E171,学年度总表!$E$3:$E$1025,0))="","",INDEX(学年度总表!$C$3:$C$1025,MATCH($E171,学年度总表!$E$3:$E$1025,0)))</f>
        <v>信管</v>
      </c>
      <c r="D171" s="2" t="str">
        <f>IF(INDEX(学年度总表!$D$3:$D$1025,MATCH($E171,学年度总表!$E$3:$E$1025,0))="","",INDEX(学年度总表!$D$3:$D$1025,MATCH($E171,学年度总表!$E$3:$E$1025,0)))</f>
        <v>信管26班</v>
      </c>
      <c r="E171" s="2" t="s">
        <v>1102</v>
      </c>
      <c r="F171" s="2" t="str">
        <f>IF(INDEX(学年度总表!$F$3:$F$1025,MATCH($E171,学年度总表!$E$3:$E$1025,0))="","",INDEX(学年度总表!$F$3:$F$1025,MATCH($E171,学年度总表!$E$3:$E$1025,0)))</f>
        <v>李承霏</v>
      </c>
      <c r="G171" s="3">
        <f>IF(INDEX(学年度总表!$G$3:$G$1025,MATCH($E171,学年度总表!$E$3:$E$1025,0))="","",INDEX(学年度总表!$G$3:$G$1025,MATCH($E171,学年度总表!$E$3:$E$1025,0)))</f>
        <v>10</v>
      </c>
      <c r="H171" s="3">
        <f>IF(INDEX(学年度总表!$H$3:$H$1025,MATCH($E171,学年度总表!$E$3:$E$1025,0))="","",INDEX(学年度总表!$H$3:$H$1025,MATCH($E171,学年度总表!$E$3:$E$1025,0)))</f>
        <v>59.09</v>
      </c>
      <c r="I171" s="3">
        <f>IF(INDEX(学年度总表!$I$3:$I$1025,MATCH($E171,学年度总表!$E$3:$E$1025,0))="","",INDEX(学年度总表!$I$3:$I$1025,MATCH($E171,学年度总表!$E$3:$E$1025,0)))</f>
        <v>3</v>
      </c>
      <c r="J171" s="3">
        <f>IF(INDEX(学年度总表!$J$3:$J$1025,MATCH($E171,学年度总表!$E$3:$E$1025,0))="","",INDEX(学年度总表!$J$3:$J$1025,MATCH($E171,学年度总表!$E$3:$E$1025,0)))</f>
        <v>72.09</v>
      </c>
      <c r="K171" s="3">
        <f>IF(INDEX(学年度总表!$K$3:$K$1025,MATCH($E171,学年度总表!$E$3:$E$1025,0))="","",INDEX(学年度总表!$K$3:$K$1025,MATCH($E171,学年度总表!$E$3:$E$1025,0)))</f>
        <v>7.5</v>
      </c>
      <c r="L171" s="3">
        <f>IF(INDEX(学年度总表!$L$3:$L$1025,MATCH($E171,学年度总表!$E$3:$E$1025,0))="","",INDEX(学年度总表!$L$3:$L$1025,MATCH($E171,学年度总表!$E$3:$E$1025,0)))</f>
        <v>56.5</v>
      </c>
      <c r="M171" s="3">
        <f>IF(INDEX(学年度总表!$M$3:$M$1025,MATCH($E171,学年度总表!$E$3:$E$1025,0))="","",INDEX(学年度总表!$M$3:$M$1025,MATCH($E171,学年度总表!$E$3:$E$1025,0)))</f>
        <v>3</v>
      </c>
      <c r="N171" s="3">
        <f>IF(INDEX(学年度总表!$N$3:$N$1025,MATCH($E171,学年度总表!$E$3:$E$1025,0))="","",INDEX(学年度总表!$N$3:$N$1025,MATCH($E171,学年度总表!$E$3:$E$1025,0)))</f>
        <v>67</v>
      </c>
      <c r="O171" s="3">
        <f>IF(INDEX(学年度总表!$O$3:$O$1025,MATCH($E171,学年度总表!$E$3:$E$1025,0))="","",INDEX(学年度总表!$O$3:$O$1025,MATCH($E171,学年度总表!$E$3:$E$1025,0)))</f>
        <v>139.09</v>
      </c>
      <c r="P171" s="2" t="str">
        <f>IF(INDEX(学年度总表!$P$3:$P$1025,MATCH($E171,学年度总表!$E$3:$E$1025,0))="","",INDEX(学年度总表!$P$3:$P$1025,MATCH($E171,学年度总表!$E$3:$E$1025,0)))</f>
        <v/>
      </c>
      <c r="Q171" s="5" t="str">
        <f>IF(INDEX(学年度总表!$Q$3:$Q$1025,MATCH($E171,学年度总表!$E$3:$E$1025,0))="","",INDEX(学年度总表!$Q$3:$Q$1025,MATCH($E171,学年度总表!$E$3:$E$1025,0)))</f>
        <v/>
      </c>
    </row>
    <row r="172" spans="1:17">
      <c r="A172" s="2">
        <f>IF(INDEX(学年度总表!$A$3:$A$1025,MATCH($E172,学年度总表!$E$3:$E$1025,0))="","",INDEX(学年度总表!$A$3:$A$1025,MATCH($E172,学年度总表!$E$3:$E$1025,0)))</f>
        <v>524</v>
      </c>
      <c r="B172" s="2">
        <f>IF(INDEX(学年度总表!$B$3:$B$1025,MATCH($E172,学年度总表!$E$3:$E$1025,0))="","",INDEX(学年度总表!$B$3:$B$1025,MATCH($E172,学年度总表!$E$3:$E$1025,0)))</f>
        <v>170</v>
      </c>
      <c r="C172" s="2" t="str">
        <f>IF(INDEX(学年度总表!$C$3:$C$1025,MATCH($E172,学年度总表!$E$3:$E$1025,0))="","",INDEX(学年度总表!$C$3:$C$1025,MATCH($E172,学年度总表!$E$3:$E$1025,0)))</f>
        <v>信管</v>
      </c>
      <c r="D172" s="2" t="str">
        <f>IF(INDEX(学年度总表!$D$3:$D$1025,MATCH($E172,学年度总表!$E$3:$E$1025,0))="","",INDEX(学年度总表!$D$3:$D$1025,MATCH($E172,学年度总表!$E$3:$E$1025,0)))</f>
        <v>信管24班</v>
      </c>
      <c r="E172" s="2" t="s">
        <v>1112</v>
      </c>
      <c r="F172" s="2" t="str">
        <f>IF(INDEX(学年度总表!$F$3:$F$1025,MATCH($E172,学年度总表!$E$3:$E$1025,0))="","",INDEX(学年度总表!$F$3:$F$1025,MATCH($E172,学年度总表!$E$3:$E$1025,0)))</f>
        <v>张哲源</v>
      </c>
      <c r="G172" s="3">
        <f>IF(INDEX(学年度总表!$G$3:$G$1025,MATCH($E172,学年度总表!$E$3:$E$1025,0))="","",INDEX(学年度总表!$G$3:$G$1025,MATCH($E172,学年度总表!$E$3:$E$1025,0)))</f>
        <v>9.8000000000000007</v>
      </c>
      <c r="H172" s="3">
        <f>IF(INDEX(学年度总表!$H$3:$H$1025,MATCH($E172,学年度总表!$E$3:$E$1025,0))="","",INDEX(学年度总表!$H$3:$H$1025,MATCH($E172,学年度总表!$E$3:$E$1025,0)))</f>
        <v>57.7</v>
      </c>
      <c r="I172" s="3">
        <f>IF(INDEX(学年度总表!$I$3:$I$1025,MATCH($E172,学年度总表!$E$3:$E$1025,0))="","",INDEX(学年度总表!$I$3:$I$1025,MATCH($E172,学年度总表!$E$3:$E$1025,0)))</f>
        <v>3</v>
      </c>
      <c r="J172" s="3">
        <f>IF(INDEX(学年度总表!$J$3:$J$1025,MATCH($E172,学年度总表!$E$3:$E$1025,0))="","",INDEX(学年度总表!$J$3:$J$1025,MATCH($E172,学年度总表!$E$3:$E$1025,0)))</f>
        <v>70.5</v>
      </c>
      <c r="K172" s="3">
        <f>IF(INDEX(学年度总表!$K$3:$K$1025,MATCH($E172,学年度总表!$E$3:$E$1025,0))="","",INDEX(学年度总表!$K$3:$K$1025,MATCH($E172,学年度总表!$E$3:$E$1025,0)))</f>
        <v>9.8000000000000007</v>
      </c>
      <c r="L172" s="3">
        <f>IF(INDEX(学年度总表!$L$3:$L$1025,MATCH($E172,学年度总表!$E$3:$E$1025,0))="","",INDEX(学年度总表!$L$3:$L$1025,MATCH($E172,学年度总表!$E$3:$E$1025,0)))</f>
        <v>55.65</v>
      </c>
      <c r="M172" s="3">
        <f>IF(INDEX(学年度总表!$M$3:$M$1025,MATCH($E172,学年度总表!$E$3:$E$1025,0))="","",INDEX(学年度总表!$M$3:$M$1025,MATCH($E172,学年度总表!$E$3:$E$1025,0)))</f>
        <v>3</v>
      </c>
      <c r="N172" s="3">
        <f>IF(INDEX(学年度总表!$N$3:$N$1025,MATCH($E172,学年度总表!$E$3:$E$1025,0))="","",INDEX(学年度总表!$N$3:$N$1025,MATCH($E172,学年度总表!$E$3:$E$1025,0)))</f>
        <v>68.45</v>
      </c>
      <c r="O172" s="3">
        <f>IF(INDEX(学年度总表!$O$3:$O$1025,MATCH($E172,学年度总表!$E$3:$E$1025,0))="","",INDEX(学年度总表!$O$3:$O$1025,MATCH($E172,学年度总表!$E$3:$E$1025,0)))</f>
        <v>138.94999999999999</v>
      </c>
      <c r="P172" s="2" t="str">
        <f>IF(INDEX(学年度总表!$P$3:$P$1025,MATCH($E172,学年度总表!$E$3:$E$1025,0))="","",INDEX(学年度总表!$P$3:$P$1025,MATCH($E172,学年度总表!$E$3:$E$1025,0)))</f>
        <v/>
      </c>
      <c r="Q172" s="5" t="str">
        <f>IF(INDEX(学年度总表!$Q$3:$Q$1025,MATCH($E172,学年度总表!$E$3:$E$1025,0))="","",INDEX(学年度总表!$Q$3:$Q$1025,MATCH($E172,学年度总表!$E$3:$E$1025,0)))</f>
        <v/>
      </c>
    </row>
    <row r="173" spans="1:17">
      <c r="A173" s="2">
        <f>IF(INDEX(学年度总表!$A$3:$A$1025,MATCH($E173,学年度总表!$E$3:$E$1025,0))="","",INDEX(学年度总表!$A$3:$A$1025,MATCH($E173,学年度总表!$E$3:$E$1025,0)))</f>
        <v>527</v>
      </c>
      <c r="B173" s="2">
        <f>IF(INDEX(学年度总表!$B$3:$B$1025,MATCH($E173,学年度总表!$E$3:$E$1025,0))="","",INDEX(学年度总表!$B$3:$B$1025,MATCH($E173,学年度总表!$E$3:$E$1025,0)))</f>
        <v>171</v>
      </c>
      <c r="C173" s="2" t="str">
        <f>IF(INDEX(学年度总表!$C$3:$C$1025,MATCH($E173,学年度总表!$E$3:$E$1025,0))="","",INDEX(学年度总表!$C$3:$C$1025,MATCH($E173,学年度总表!$E$3:$E$1025,0)))</f>
        <v>信管</v>
      </c>
      <c r="D173" s="2" t="str">
        <f>IF(INDEX(学年度总表!$D$3:$D$1025,MATCH($E173,学年度总表!$E$3:$E$1025,0))="","",INDEX(学年度总表!$D$3:$D$1025,MATCH($E173,学年度总表!$E$3:$E$1025,0)))</f>
        <v>信管25班</v>
      </c>
      <c r="E173" s="2" t="s">
        <v>1118</v>
      </c>
      <c r="F173" s="2" t="str">
        <f>IF(INDEX(学年度总表!$F$3:$F$1025,MATCH($E173,学年度总表!$E$3:$E$1025,0))="","",INDEX(学年度总表!$F$3:$F$1025,MATCH($E173,学年度总表!$E$3:$E$1025,0)))</f>
        <v>李歆怡</v>
      </c>
      <c r="G173" s="3">
        <f>IF(INDEX(学年度总表!$G$3:$G$1025,MATCH($E173,学年度总表!$E$3:$E$1025,0))="","",INDEX(学年度总表!$G$3:$G$1025,MATCH($E173,学年度总表!$E$3:$E$1025,0)))</f>
        <v>9.8000000000000007</v>
      </c>
      <c r="H173" s="3">
        <f>IF(INDEX(学年度总表!$H$3:$H$1025,MATCH($E173,学年度总表!$E$3:$E$1025,0))="","",INDEX(学年度总表!$H$3:$H$1025,MATCH($E173,学年度总表!$E$3:$E$1025,0)))</f>
        <v>62.2</v>
      </c>
      <c r="I173" s="3">
        <f>IF(INDEX(学年度总表!$I$3:$I$1025,MATCH($E173,学年度总表!$E$3:$E$1025,0))="","",INDEX(学年度总表!$I$3:$I$1025,MATCH($E173,学年度总表!$E$3:$E$1025,0)))</f>
        <v>3</v>
      </c>
      <c r="J173" s="3">
        <f>IF(INDEX(学年度总表!$J$3:$J$1025,MATCH($E173,学年度总表!$E$3:$E$1025,0))="","",INDEX(学年度总表!$J$3:$J$1025,MATCH($E173,学年度总表!$E$3:$E$1025,0)))</f>
        <v>75</v>
      </c>
      <c r="K173" s="3">
        <f>IF(INDEX(学年度总表!$K$3:$K$1025,MATCH($E173,学年度总表!$E$3:$E$1025,0))="","",INDEX(学年度总表!$K$3:$K$1025,MATCH($E173,学年度总表!$E$3:$E$1025,0)))</f>
        <v>7.3000000000000007</v>
      </c>
      <c r="L173" s="3">
        <f>IF(INDEX(学年度总表!$L$3:$L$1025,MATCH($E173,学年度总表!$E$3:$E$1025,0))="","",INDEX(学年度总表!$L$3:$L$1025,MATCH($E173,学年度总表!$E$3:$E$1025,0)))</f>
        <v>53.59</v>
      </c>
      <c r="M173" s="3">
        <f>IF(INDEX(学年度总表!$M$3:$M$1025,MATCH($E173,学年度总表!$E$3:$E$1025,0))="","",INDEX(学年度总表!$M$3:$M$1025,MATCH($E173,学年度总表!$E$3:$E$1025,0)))</f>
        <v>3</v>
      </c>
      <c r="N173" s="3">
        <f>IF(INDEX(学年度总表!$N$3:$N$1025,MATCH($E173,学年度总表!$E$3:$E$1025,0))="","",INDEX(学年度总表!$N$3:$N$1025,MATCH($E173,学年度总表!$E$3:$E$1025,0)))</f>
        <v>63.89</v>
      </c>
      <c r="O173" s="3">
        <f>IF(INDEX(学年度总表!$O$3:$O$1025,MATCH($E173,学年度总表!$E$3:$E$1025,0))="","",INDEX(学年度总表!$O$3:$O$1025,MATCH($E173,学年度总表!$E$3:$E$1025,0)))</f>
        <v>138.88999999999999</v>
      </c>
      <c r="P173" s="2" t="str">
        <f>IF(INDEX(学年度总表!$P$3:$P$1025,MATCH($E173,学年度总表!$E$3:$E$1025,0))="","",INDEX(学年度总表!$P$3:$P$1025,MATCH($E173,学年度总表!$E$3:$E$1025,0)))</f>
        <v/>
      </c>
      <c r="Q173" s="5" t="str">
        <f>IF(INDEX(学年度总表!$Q$3:$Q$1025,MATCH($E173,学年度总表!$E$3:$E$1025,0))="","",INDEX(学年度总表!$Q$3:$Q$1025,MATCH($E173,学年度总表!$E$3:$E$1025,0)))</f>
        <v/>
      </c>
    </row>
    <row r="174" spans="1:17">
      <c r="A174" s="2">
        <f>IF(INDEX(学年度总表!$A$3:$A$1025,MATCH($E174,学年度总表!$E$3:$E$1025,0))="","",INDEX(学年度总表!$A$3:$A$1025,MATCH($E174,学年度总表!$E$3:$E$1025,0)))</f>
        <v>529</v>
      </c>
      <c r="B174" s="2">
        <f>IF(INDEX(学年度总表!$B$3:$B$1025,MATCH($E174,学年度总表!$E$3:$E$1025,0))="","",INDEX(学年度总表!$B$3:$B$1025,MATCH($E174,学年度总表!$E$3:$E$1025,0)))</f>
        <v>172</v>
      </c>
      <c r="C174" s="2" t="str">
        <f>IF(INDEX(学年度总表!$C$3:$C$1025,MATCH($E174,学年度总表!$E$3:$E$1025,0))="","",INDEX(学年度总表!$C$3:$C$1025,MATCH($E174,学年度总表!$E$3:$E$1025,0)))</f>
        <v>信管</v>
      </c>
      <c r="D174" s="2" t="str">
        <f>IF(INDEX(学年度总表!$D$3:$D$1025,MATCH($E174,学年度总表!$E$3:$E$1025,0))="","",INDEX(学年度总表!$D$3:$D$1025,MATCH($E174,学年度总表!$E$3:$E$1025,0)))</f>
        <v>信管19班</v>
      </c>
      <c r="E174" s="2" t="s">
        <v>1122</v>
      </c>
      <c r="F174" s="2" t="str">
        <f>IF(INDEX(学年度总表!$F$3:$F$1025,MATCH($E174,学年度总表!$E$3:$E$1025,0))="","",INDEX(学年度总表!$F$3:$F$1025,MATCH($E174,学年度总表!$E$3:$E$1025,0)))</f>
        <v>安家睿</v>
      </c>
      <c r="G174" s="3">
        <f>IF(INDEX(学年度总表!$G$3:$G$1025,MATCH($E174,学年度总表!$E$3:$E$1025,0))="","",INDEX(学年度总表!$G$3:$G$1025,MATCH($E174,学年度总表!$E$3:$E$1025,0)))</f>
        <v>9.6</v>
      </c>
      <c r="H174" s="3">
        <f>IF(INDEX(学年度总表!$H$3:$H$1025,MATCH($E174,学年度总表!$E$3:$E$1025,0))="","",INDEX(学年度总表!$H$3:$H$1025,MATCH($E174,学年度总表!$E$3:$E$1025,0)))</f>
        <v>54.29</v>
      </c>
      <c r="I174" s="3">
        <f>IF(INDEX(学年度总表!$I$3:$I$1025,MATCH($E174,学年度总表!$E$3:$E$1025,0))="","",INDEX(学年度总表!$I$3:$I$1025,MATCH($E174,学年度总表!$E$3:$E$1025,0)))</f>
        <v>5.2</v>
      </c>
      <c r="J174" s="3">
        <f>IF(INDEX(学年度总表!$J$3:$J$1025,MATCH($E174,学年度总表!$E$3:$E$1025,0))="","",INDEX(学年度总表!$J$3:$J$1025,MATCH($E174,学年度总表!$E$3:$E$1025,0)))</f>
        <v>69.09</v>
      </c>
      <c r="K174" s="3">
        <f>IF(INDEX(学年度总表!$K$3:$K$1025,MATCH($E174,学年度总表!$E$3:$E$1025,0))="","",INDEX(学年度总表!$K$3:$K$1025,MATCH($E174,学年度总表!$E$3:$E$1025,0)))</f>
        <v>9.6</v>
      </c>
      <c r="L174" s="3">
        <f>IF(INDEX(学年度总表!$L$3:$L$1025,MATCH($E174,学年度总表!$E$3:$E$1025,0))="","",INDEX(学年度总表!$L$3:$L$1025,MATCH($E174,学年度总表!$E$3:$E$1025,0)))</f>
        <v>54.19</v>
      </c>
      <c r="M174" s="3">
        <f>IF(INDEX(学年度总表!$M$3:$M$1025,MATCH($E174,学年度总表!$E$3:$E$1025,0))="","",INDEX(学年度总表!$M$3:$M$1025,MATCH($E174,学年度总表!$E$3:$E$1025,0)))</f>
        <v>6</v>
      </c>
      <c r="N174" s="3">
        <f>IF(INDEX(学年度总表!$N$3:$N$1025,MATCH($E174,学年度总表!$E$3:$E$1025,0))="","",INDEX(学年度总表!$N$3:$N$1025,MATCH($E174,学年度总表!$E$3:$E$1025,0)))</f>
        <v>69.790000000000006</v>
      </c>
      <c r="O174" s="3">
        <f>IF(INDEX(学年度总表!$O$3:$O$1025,MATCH($E174,学年度总表!$E$3:$E$1025,0))="","",INDEX(学年度总表!$O$3:$O$1025,MATCH($E174,学年度总表!$E$3:$E$1025,0)))</f>
        <v>138.88</v>
      </c>
      <c r="P174" s="2" t="str">
        <f>IF(INDEX(学年度总表!$P$3:$P$1025,MATCH($E174,学年度总表!$E$3:$E$1025,0))="","",INDEX(学年度总表!$P$3:$P$1025,MATCH($E174,学年度总表!$E$3:$E$1025,0)))</f>
        <v/>
      </c>
      <c r="Q174" s="5" t="str">
        <f>IF(INDEX(学年度总表!$Q$3:$Q$1025,MATCH($E174,学年度总表!$E$3:$E$1025,0))="","",INDEX(学年度总表!$Q$3:$Q$1025,MATCH($E174,学年度总表!$E$3:$E$1025,0)))</f>
        <v/>
      </c>
    </row>
    <row r="175" spans="1:17">
      <c r="A175" s="2">
        <f>IF(INDEX(学年度总表!$A$3:$A$1025,MATCH($E175,学年度总表!$E$3:$E$1025,0))="","",INDEX(学年度总表!$A$3:$A$1025,MATCH($E175,学年度总表!$E$3:$E$1025,0)))</f>
        <v>531</v>
      </c>
      <c r="B175" s="2">
        <f>IF(INDEX(学年度总表!$B$3:$B$1025,MATCH($E175,学年度总表!$E$3:$E$1025,0))="","",INDEX(学年度总表!$B$3:$B$1025,MATCH($E175,学年度总表!$E$3:$E$1025,0)))</f>
        <v>173</v>
      </c>
      <c r="C175" s="2" t="str">
        <f>IF(INDEX(学年度总表!$C$3:$C$1025,MATCH($E175,学年度总表!$E$3:$E$1025,0))="","",INDEX(学年度总表!$C$3:$C$1025,MATCH($E175,学年度总表!$E$3:$E$1025,0)))</f>
        <v>信管</v>
      </c>
      <c r="D175" s="2" t="str">
        <f>IF(INDEX(学年度总表!$D$3:$D$1025,MATCH($E175,学年度总表!$E$3:$E$1025,0))="","",INDEX(学年度总表!$D$3:$D$1025,MATCH($E175,学年度总表!$E$3:$E$1025,0)))</f>
        <v>信管24班</v>
      </c>
      <c r="E175" s="2" t="s">
        <v>1124</v>
      </c>
      <c r="F175" s="2" t="str">
        <f>IF(INDEX(学年度总表!$F$3:$F$1025,MATCH($E175,学年度总表!$E$3:$E$1025,0))="","",INDEX(学年度总表!$F$3:$F$1025,MATCH($E175,学年度总表!$E$3:$E$1025,0)))</f>
        <v>郑旭晨</v>
      </c>
      <c r="G175" s="3">
        <f>IF(INDEX(学年度总表!$G$3:$G$1025,MATCH($E175,学年度总表!$E$3:$E$1025,0))="","",INDEX(学年度总表!$G$3:$G$1025,MATCH($E175,学年度总表!$E$3:$E$1025,0)))</f>
        <v>10.6</v>
      </c>
      <c r="H175" s="3">
        <f>IF(INDEX(学年度总表!$H$3:$H$1025,MATCH($E175,学年度总表!$E$3:$E$1025,0))="","",INDEX(学年度总表!$H$3:$H$1025,MATCH($E175,学年度总表!$E$3:$E$1025,0)))</f>
        <v>52.59</v>
      </c>
      <c r="I175" s="3">
        <f>IF(INDEX(学年度总表!$I$3:$I$1025,MATCH($E175,学年度总表!$E$3:$E$1025,0))="","",INDEX(学年度总表!$I$3:$I$1025,MATCH($E175,学年度总表!$E$3:$E$1025,0)))</f>
        <v>6.8</v>
      </c>
      <c r="J175" s="3">
        <f>IF(INDEX(学年度总表!$J$3:$J$1025,MATCH($E175,学年度总表!$E$3:$E$1025,0))="","",INDEX(学年度总表!$J$3:$J$1025,MATCH($E175,学年度总表!$E$3:$E$1025,0)))</f>
        <v>69.989999999999995</v>
      </c>
      <c r="K175" s="3">
        <f>IF(INDEX(学年度总表!$K$3:$K$1025,MATCH($E175,学年度总表!$E$3:$E$1025,0))="","",INDEX(学年度总表!$K$3:$K$1025,MATCH($E175,学年度总表!$E$3:$E$1025,0)))</f>
        <v>9.8000000000000007</v>
      </c>
      <c r="L175" s="3">
        <f>IF(INDEX(学年度总表!$L$3:$L$1025,MATCH($E175,学年度总表!$E$3:$E$1025,0))="","",INDEX(学年度总表!$L$3:$L$1025,MATCH($E175,学年度总表!$E$3:$E$1025,0)))</f>
        <v>52.67</v>
      </c>
      <c r="M175" s="3">
        <f>IF(INDEX(学年度总表!$M$3:$M$1025,MATCH($E175,学年度总表!$E$3:$E$1025,0))="","",INDEX(学年度总表!$M$3:$M$1025,MATCH($E175,学年度总表!$E$3:$E$1025,0)))</f>
        <v>6.4</v>
      </c>
      <c r="N175" s="3">
        <f>IF(INDEX(学年度总表!$N$3:$N$1025,MATCH($E175,学年度总表!$E$3:$E$1025,0))="","",INDEX(学年度总表!$N$3:$N$1025,MATCH($E175,学年度总表!$E$3:$E$1025,0)))</f>
        <v>68.87</v>
      </c>
      <c r="O175" s="3">
        <f>IF(INDEX(学年度总表!$O$3:$O$1025,MATCH($E175,学年度总表!$E$3:$E$1025,0))="","",INDEX(学年度总表!$O$3:$O$1025,MATCH($E175,学年度总表!$E$3:$E$1025,0)))</f>
        <v>138.86000000000001</v>
      </c>
      <c r="P175" s="2" t="str">
        <f>IF(INDEX(学年度总表!$P$3:$P$1025,MATCH($E175,学年度总表!$E$3:$E$1025,0))="","",INDEX(学年度总表!$P$3:$P$1025,MATCH($E175,学年度总表!$E$3:$E$1025,0)))</f>
        <v/>
      </c>
      <c r="Q175" s="5" t="str">
        <f>IF(INDEX(学年度总表!$Q$3:$Q$1025,MATCH($E175,学年度总表!$E$3:$E$1025,0))="","",INDEX(学年度总表!$Q$3:$Q$1025,MATCH($E175,学年度总表!$E$3:$E$1025,0)))</f>
        <v/>
      </c>
    </row>
    <row r="176" spans="1:17">
      <c r="A176" s="2">
        <f>IF(INDEX(学年度总表!$A$3:$A$1025,MATCH($E176,学年度总表!$E$3:$E$1025,0))="","",INDEX(学年度总表!$A$3:$A$1025,MATCH($E176,学年度总表!$E$3:$E$1025,0)))</f>
        <v>535</v>
      </c>
      <c r="B176" s="2">
        <f>IF(INDEX(学年度总表!$B$3:$B$1025,MATCH($E176,学年度总表!$E$3:$E$1025,0))="","",INDEX(学年度总表!$B$3:$B$1025,MATCH($E176,学年度总表!$E$3:$E$1025,0)))</f>
        <v>174</v>
      </c>
      <c r="C176" s="2" t="str">
        <f>IF(INDEX(学年度总表!$C$3:$C$1025,MATCH($E176,学年度总表!$E$3:$E$1025,0))="","",INDEX(学年度总表!$C$3:$C$1025,MATCH($E176,学年度总表!$E$3:$E$1025,0)))</f>
        <v>信管</v>
      </c>
      <c r="D176" s="2" t="str">
        <f>IF(INDEX(学年度总表!$D$3:$D$1025,MATCH($E176,学年度总表!$E$3:$E$1025,0))="","",INDEX(学年度总表!$D$3:$D$1025,MATCH($E176,学年度总表!$E$3:$E$1025,0)))</f>
        <v>信管20班</v>
      </c>
      <c r="E176" s="2" t="s">
        <v>1132</v>
      </c>
      <c r="F176" s="2" t="str">
        <f>IF(INDEX(学年度总表!$F$3:$F$1025,MATCH($E176,学年度总表!$E$3:$E$1025,0))="","",INDEX(学年度总表!$F$3:$F$1025,MATCH($E176,学年度总表!$E$3:$E$1025,0)))</f>
        <v>周安妮</v>
      </c>
      <c r="G176" s="3">
        <f>IF(INDEX(学年度总表!$G$3:$G$1025,MATCH($E176,学年度总表!$E$3:$E$1025,0))="","",INDEX(学年度总表!$G$3:$G$1025,MATCH($E176,学年度总表!$E$3:$E$1025,0)))</f>
        <v>9.8000000000000007</v>
      </c>
      <c r="H176" s="3">
        <f>IF(INDEX(学年度总表!$H$3:$H$1025,MATCH($E176,学年度总表!$E$3:$E$1025,0))="","",INDEX(学年度总表!$H$3:$H$1025,MATCH($E176,学年度总表!$E$3:$E$1025,0)))</f>
        <v>57.28</v>
      </c>
      <c r="I176" s="3">
        <f>IF(INDEX(学年度总表!$I$3:$I$1025,MATCH($E176,学年度总表!$E$3:$E$1025,0))="","",INDEX(学年度总表!$I$3:$I$1025,MATCH($E176,学年度总表!$E$3:$E$1025,0)))</f>
        <v>3</v>
      </c>
      <c r="J176" s="3">
        <f>IF(INDEX(学年度总表!$J$3:$J$1025,MATCH($E176,学年度总表!$E$3:$E$1025,0))="","",INDEX(学年度总表!$J$3:$J$1025,MATCH($E176,学年度总表!$E$3:$E$1025,0)))</f>
        <v>70.08</v>
      </c>
      <c r="K176" s="3">
        <f>IF(INDEX(学年度总表!$K$3:$K$1025,MATCH($E176,学年度总表!$E$3:$E$1025,0))="","",INDEX(学年度总表!$K$3:$K$1025,MATCH($E176,学年度总表!$E$3:$E$1025,0)))</f>
        <v>9.4</v>
      </c>
      <c r="L176" s="3">
        <f>IF(INDEX(学年度总表!$L$3:$L$1025,MATCH($E176,学年度总表!$E$3:$E$1025,0))="","",INDEX(学年度总表!$L$3:$L$1025,MATCH($E176,学年度总表!$E$3:$E$1025,0)))</f>
        <v>55.63</v>
      </c>
      <c r="M176" s="3">
        <f>IF(INDEX(学年度总表!$M$3:$M$1025,MATCH($E176,学年度总表!$E$3:$E$1025,0))="","",INDEX(学年度总表!$M$3:$M$1025,MATCH($E176,学年度总表!$E$3:$E$1025,0)))</f>
        <v>3.5</v>
      </c>
      <c r="N176" s="3">
        <f>IF(INDEX(学年度总表!$N$3:$N$1025,MATCH($E176,学年度总表!$E$3:$E$1025,0))="","",INDEX(学年度总表!$N$3:$N$1025,MATCH($E176,学年度总表!$E$3:$E$1025,0)))</f>
        <v>68.53</v>
      </c>
      <c r="O176" s="3">
        <f>IF(INDEX(学年度总表!$O$3:$O$1025,MATCH($E176,学年度总表!$E$3:$E$1025,0))="","",INDEX(学年度总表!$O$3:$O$1025,MATCH($E176,学年度总表!$E$3:$E$1025,0)))</f>
        <v>138.61000000000001</v>
      </c>
      <c r="P176" s="2" t="str">
        <f>IF(INDEX(学年度总表!$P$3:$P$1025,MATCH($E176,学年度总表!$E$3:$E$1025,0))="","",INDEX(学年度总表!$P$3:$P$1025,MATCH($E176,学年度总表!$E$3:$E$1025,0)))</f>
        <v/>
      </c>
      <c r="Q176" s="5" t="str">
        <f>IF(INDEX(学年度总表!$Q$3:$Q$1025,MATCH($E176,学年度总表!$E$3:$E$1025,0))="","",INDEX(学年度总表!$Q$3:$Q$1025,MATCH($E176,学年度总表!$E$3:$E$1025,0)))</f>
        <v/>
      </c>
    </row>
    <row r="177" spans="1:17">
      <c r="A177" s="2">
        <f>IF(INDEX(学年度总表!$A$3:$A$1025,MATCH($E177,学年度总表!$E$3:$E$1025,0))="","",INDEX(学年度总表!$A$3:$A$1025,MATCH($E177,学年度总表!$E$3:$E$1025,0)))</f>
        <v>537</v>
      </c>
      <c r="B177" s="2">
        <f>IF(INDEX(学年度总表!$B$3:$B$1025,MATCH($E177,学年度总表!$E$3:$E$1025,0))="","",INDEX(学年度总表!$B$3:$B$1025,MATCH($E177,学年度总表!$E$3:$E$1025,0)))</f>
        <v>175</v>
      </c>
      <c r="C177" s="2" t="str">
        <f>IF(INDEX(学年度总表!$C$3:$C$1025,MATCH($E177,学年度总表!$E$3:$E$1025,0))="","",INDEX(学年度总表!$C$3:$C$1025,MATCH($E177,学年度总表!$E$3:$E$1025,0)))</f>
        <v>信管</v>
      </c>
      <c r="D177" s="2" t="str">
        <f>IF(INDEX(学年度总表!$D$3:$D$1025,MATCH($E177,学年度总表!$E$3:$E$1025,0))="","",INDEX(学年度总表!$D$3:$D$1025,MATCH($E177,学年度总表!$E$3:$E$1025,0)))</f>
        <v>信管24班</v>
      </c>
      <c r="E177" s="2" t="s">
        <v>1138</v>
      </c>
      <c r="F177" s="2" t="str">
        <f>IF(INDEX(学年度总表!$F$3:$F$1025,MATCH($E177,学年度总表!$E$3:$E$1025,0))="","",INDEX(学年度总表!$F$3:$F$1025,MATCH($E177,学年度总表!$E$3:$E$1025,0)))</f>
        <v>商静涵</v>
      </c>
      <c r="G177" s="3">
        <f>IF(INDEX(学年度总表!$G$3:$G$1025,MATCH($E177,学年度总表!$E$3:$E$1025,0))="","",INDEX(学年度总表!$G$3:$G$1025,MATCH($E177,学年度总表!$E$3:$E$1025,0)))</f>
        <v>9.8000000000000007</v>
      </c>
      <c r="H177" s="3">
        <f>IF(INDEX(学年度总表!$H$3:$H$1025,MATCH($E177,学年度总表!$E$3:$E$1025,0))="","",INDEX(学年度总表!$H$3:$H$1025,MATCH($E177,学年度总表!$E$3:$E$1025,0)))</f>
        <v>57.46</v>
      </c>
      <c r="I177" s="3">
        <f>IF(INDEX(学年度总表!$I$3:$I$1025,MATCH($E177,学年度总表!$E$3:$E$1025,0))="","",INDEX(学年度总表!$I$3:$I$1025,MATCH($E177,学年度总表!$E$3:$E$1025,0)))</f>
        <v>3.6</v>
      </c>
      <c r="J177" s="3">
        <f>IF(INDEX(学年度总表!$J$3:$J$1025,MATCH($E177,学年度总表!$E$3:$E$1025,0))="","",INDEX(学年度总表!$J$3:$J$1025,MATCH($E177,学年度总表!$E$3:$E$1025,0)))</f>
        <v>70.86</v>
      </c>
      <c r="K177" s="3">
        <f>IF(INDEX(学年度总表!$K$3:$K$1025,MATCH($E177,学年度总表!$E$3:$E$1025,0))="","",INDEX(学年度总表!$K$3:$K$1025,MATCH($E177,学年度总表!$E$3:$E$1025,0)))</f>
        <v>7.3000000000000007</v>
      </c>
      <c r="L177" s="3">
        <f>IF(INDEX(学年度总表!$L$3:$L$1025,MATCH($E177,学年度总表!$E$3:$E$1025,0))="","",INDEX(学年度总表!$L$3:$L$1025,MATCH($E177,学年度总表!$E$3:$E$1025,0)))</f>
        <v>56.41</v>
      </c>
      <c r="M177" s="3">
        <f>IF(INDEX(学年度总表!$M$3:$M$1025,MATCH($E177,学年度总表!$E$3:$E$1025,0))="","",INDEX(学年度总表!$M$3:$M$1025,MATCH($E177,学年度总表!$E$3:$E$1025,0)))</f>
        <v>4</v>
      </c>
      <c r="N177" s="3">
        <f>IF(INDEX(学年度总表!$N$3:$N$1025,MATCH($E177,学年度总表!$E$3:$E$1025,0))="","",INDEX(学年度总表!$N$3:$N$1025,MATCH($E177,学年度总表!$E$3:$E$1025,0)))</f>
        <v>67.709999999999994</v>
      </c>
      <c r="O177" s="3">
        <f>IF(INDEX(学年度总表!$O$3:$O$1025,MATCH($E177,学年度总表!$E$3:$E$1025,0))="","",INDEX(学年度总表!$O$3:$O$1025,MATCH($E177,学年度总表!$E$3:$E$1025,0)))</f>
        <v>138.57</v>
      </c>
      <c r="P177" s="2" t="str">
        <f>IF(INDEX(学年度总表!$P$3:$P$1025,MATCH($E177,学年度总表!$E$3:$E$1025,0))="","",INDEX(学年度总表!$P$3:$P$1025,MATCH($E177,学年度总表!$E$3:$E$1025,0)))</f>
        <v/>
      </c>
      <c r="Q177" s="5" t="str">
        <f>IF(INDEX(学年度总表!$Q$3:$Q$1025,MATCH($E177,学年度总表!$E$3:$E$1025,0))="","",INDEX(学年度总表!$Q$3:$Q$1025,MATCH($E177,学年度总表!$E$3:$E$1025,0)))</f>
        <v/>
      </c>
    </row>
    <row r="178" spans="1:17">
      <c r="A178" s="2">
        <f>IF(INDEX(学年度总表!$A$3:$A$1025,MATCH($E178,学年度总表!$E$3:$E$1025,0))="","",INDEX(学年度总表!$A$3:$A$1025,MATCH($E178,学年度总表!$E$3:$E$1025,0)))</f>
        <v>541</v>
      </c>
      <c r="B178" s="2">
        <f>IF(INDEX(学年度总表!$B$3:$B$1025,MATCH($E178,学年度总表!$E$3:$E$1025,0))="","",INDEX(学年度总表!$B$3:$B$1025,MATCH($E178,学年度总表!$E$3:$E$1025,0)))</f>
        <v>176</v>
      </c>
      <c r="C178" s="2" t="str">
        <f>IF(INDEX(学年度总表!$C$3:$C$1025,MATCH($E178,学年度总表!$E$3:$E$1025,0))="","",INDEX(学年度总表!$C$3:$C$1025,MATCH($E178,学年度总表!$E$3:$E$1025,0)))</f>
        <v>信管</v>
      </c>
      <c r="D178" s="2" t="str">
        <f>IF(INDEX(学年度总表!$D$3:$D$1025,MATCH($E178,学年度总表!$E$3:$E$1025,0))="","",INDEX(学年度总表!$D$3:$D$1025,MATCH($E178,学年度总表!$E$3:$E$1025,0)))</f>
        <v>信管22班</v>
      </c>
      <c r="E178" s="2" t="s">
        <v>1144</v>
      </c>
      <c r="F178" s="2" t="str">
        <f>IF(INDEX(学年度总表!$F$3:$F$1025,MATCH($E178,学年度总表!$E$3:$E$1025,0))="","",INDEX(学年度总表!$F$3:$F$1025,MATCH($E178,学年度总表!$E$3:$E$1025,0)))</f>
        <v>韩萌萌</v>
      </c>
      <c r="G178" s="3">
        <f>IF(INDEX(学年度总表!$G$3:$G$1025,MATCH($E178,学年度总表!$E$3:$E$1025,0))="","",INDEX(学年度总表!$G$3:$G$1025,MATCH($E178,学年度总表!$E$3:$E$1025,0)))</f>
        <v>10</v>
      </c>
      <c r="H178" s="3">
        <f>IF(INDEX(学年度总表!$H$3:$H$1025,MATCH($E178,学年度总表!$E$3:$E$1025,0))="","",INDEX(学年度总表!$H$3:$H$1025,MATCH($E178,学年度总表!$E$3:$E$1025,0)))</f>
        <v>58.06</v>
      </c>
      <c r="I178" s="3">
        <f>IF(INDEX(学年度总表!$I$3:$I$1025,MATCH($E178,学年度总表!$E$3:$E$1025,0))="","",INDEX(学年度总表!$I$3:$I$1025,MATCH($E178,学年度总表!$E$3:$E$1025,0)))</f>
        <v>4</v>
      </c>
      <c r="J178" s="3">
        <f>IF(INDEX(学年度总表!$J$3:$J$1025,MATCH($E178,学年度总表!$E$3:$E$1025,0))="","",INDEX(学年度总表!$J$3:$J$1025,MATCH($E178,学年度总表!$E$3:$E$1025,0)))</f>
        <v>72.06</v>
      </c>
      <c r="K178" s="3">
        <f>IF(INDEX(学年度总表!$K$3:$K$1025,MATCH($E178,学年度总表!$E$3:$E$1025,0))="","",INDEX(学年度总表!$K$3:$K$1025,MATCH($E178,学年度总表!$E$3:$E$1025,0)))</f>
        <v>10</v>
      </c>
      <c r="L178" s="3">
        <f>IF(INDEX(学年度总表!$L$3:$L$1025,MATCH($E178,学年度总表!$E$3:$E$1025,0))="","",INDEX(学年度总表!$L$3:$L$1025,MATCH($E178,学年度总表!$E$3:$E$1025,0)))</f>
        <v>52.65</v>
      </c>
      <c r="M178" s="3">
        <f>IF(INDEX(学年度总表!$M$3:$M$1025,MATCH($E178,学年度总表!$E$3:$E$1025,0))="","",INDEX(学年度总表!$M$3:$M$1025,MATCH($E178,学年度总表!$E$3:$E$1025,0)))</f>
        <v>3.7</v>
      </c>
      <c r="N178" s="3">
        <f>IF(INDEX(学年度总表!$N$3:$N$1025,MATCH($E178,学年度总表!$E$3:$E$1025,0))="","",INDEX(学年度总表!$N$3:$N$1025,MATCH($E178,学年度总表!$E$3:$E$1025,0)))</f>
        <v>66.349999999999994</v>
      </c>
      <c r="O178" s="3">
        <f>IF(INDEX(学年度总表!$O$3:$O$1025,MATCH($E178,学年度总表!$E$3:$E$1025,0))="","",INDEX(学年度总表!$O$3:$O$1025,MATCH($E178,学年度总表!$E$3:$E$1025,0)))</f>
        <v>138.41</v>
      </c>
      <c r="P178" s="2" t="str">
        <f>IF(INDEX(学年度总表!$P$3:$P$1025,MATCH($E178,学年度总表!$E$3:$E$1025,0))="","",INDEX(学年度总表!$P$3:$P$1025,MATCH($E178,学年度总表!$E$3:$E$1025,0)))</f>
        <v/>
      </c>
      <c r="Q178" s="5" t="str">
        <f>IF(INDEX(学年度总表!$Q$3:$Q$1025,MATCH($E178,学年度总表!$E$3:$E$1025,0))="","",INDEX(学年度总表!$Q$3:$Q$1025,MATCH($E178,学年度总表!$E$3:$E$1025,0)))</f>
        <v/>
      </c>
    </row>
    <row r="179" spans="1:17">
      <c r="A179" s="2">
        <f>IF(INDEX(学年度总表!$A$3:$A$1025,MATCH($E179,学年度总表!$E$3:$E$1025,0))="","",INDEX(学年度总表!$A$3:$A$1025,MATCH($E179,学年度总表!$E$3:$E$1025,0)))</f>
        <v>547</v>
      </c>
      <c r="B179" s="2">
        <f>IF(INDEX(学年度总表!$B$3:$B$1025,MATCH($E179,学年度总表!$E$3:$E$1025,0))="","",INDEX(学年度总表!$B$3:$B$1025,MATCH($E179,学年度总表!$E$3:$E$1025,0)))</f>
        <v>177</v>
      </c>
      <c r="C179" s="2" t="str">
        <f>IF(INDEX(学年度总表!$C$3:$C$1025,MATCH($E179,学年度总表!$E$3:$E$1025,0))="","",INDEX(学年度总表!$C$3:$C$1025,MATCH($E179,学年度总表!$E$3:$E$1025,0)))</f>
        <v>信管</v>
      </c>
      <c r="D179" s="2" t="str">
        <f>IF(INDEX(学年度总表!$D$3:$D$1025,MATCH($E179,学年度总表!$E$3:$E$1025,0))="","",INDEX(学年度总表!$D$3:$D$1025,MATCH($E179,学年度总表!$E$3:$E$1025,0)))</f>
        <v>信管25班</v>
      </c>
      <c r="E179" s="2" t="s">
        <v>1156</v>
      </c>
      <c r="F179" s="2" t="str">
        <f>IF(INDEX(学年度总表!$F$3:$F$1025,MATCH($E179,学年度总表!$E$3:$E$1025,0))="","",INDEX(学年度总表!$F$3:$F$1025,MATCH($E179,学年度总表!$E$3:$E$1025,0)))</f>
        <v>赵慧男</v>
      </c>
      <c r="G179" s="3">
        <f>IF(INDEX(学年度总表!$G$3:$G$1025,MATCH($E179,学年度总表!$E$3:$E$1025,0))="","",INDEX(学年度总表!$G$3:$G$1025,MATCH($E179,学年度总表!$E$3:$E$1025,0)))</f>
        <v>9.8000000000000007</v>
      </c>
      <c r="H179" s="3">
        <f>IF(INDEX(学年度总表!$H$3:$H$1025,MATCH($E179,学年度总表!$E$3:$E$1025,0))="","",INDEX(学年度总表!$H$3:$H$1025,MATCH($E179,学年度总表!$E$3:$E$1025,0)))</f>
        <v>59.36</v>
      </c>
      <c r="I179" s="3">
        <f>IF(INDEX(学年度总表!$I$3:$I$1025,MATCH($E179,学年度总表!$E$3:$E$1025,0))="","",INDEX(学年度总表!$I$3:$I$1025,MATCH($E179,学年度总表!$E$3:$E$1025,0)))</f>
        <v>3</v>
      </c>
      <c r="J179" s="3">
        <f>IF(INDEX(学年度总表!$J$3:$J$1025,MATCH($E179,学年度总表!$E$3:$E$1025,0))="","",INDEX(学年度总表!$J$3:$J$1025,MATCH($E179,学年度总表!$E$3:$E$1025,0)))</f>
        <v>72.16</v>
      </c>
      <c r="K179" s="3">
        <f>IF(INDEX(学年度总表!$K$3:$K$1025,MATCH($E179,学年度总表!$E$3:$E$1025,0))="","",INDEX(学年度总表!$K$3:$K$1025,MATCH($E179,学年度总表!$E$3:$E$1025,0)))</f>
        <v>7.3000000000000007</v>
      </c>
      <c r="L179" s="3">
        <f>IF(INDEX(学年度总表!$L$3:$L$1025,MATCH($E179,学年度总表!$E$3:$E$1025,0))="","",INDEX(学年度总表!$L$3:$L$1025,MATCH($E179,学年度总表!$E$3:$E$1025,0)))</f>
        <v>54.53</v>
      </c>
      <c r="M179" s="3">
        <f>IF(INDEX(学年度总表!$M$3:$M$1025,MATCH($E179,学年度总表!$E$3:$E$1025,0))="","",INDEX(学年度总表!$M$3:$M$1025,MATCH($E179,学年度总表!$E$3:$E$1025,0)))</f>
        <v>3.9</v>
      </c>
      <c r="N179" s="3">
        <f>IF(INDEX(学年度总表!$N$3:$N$1025,MATCH($E179,学年度总表!$E$3:$E$1025,0))="","",INDEX(学年度总表!$N$3:$N$1025,MATCH($E179,学年度总表!$E$3:$E$1025,0)))</f>
        <v>65.73</v>
      </c>
      <c r="O179" s="3">
        <f>IF(INDEX(学年度总表!$O$3:$O$1025,MATCH($E179,学年度总表!$E$3:$E$1025,0))="","",INDEX(学年度总表!$O$3:$O$1025,MATCH($E179,学年度总表!$E$3:$E$1025,0)))</f>
        <v>137.88999999999999</v>
      </c>
      <c r="P179" s="2" t="str">
        <f>IF(INDEX(学年度总表!$P$3:$P$1025,MATCH($E179,学年度总表!$E$3:$E$1025,0))="","",INDEX(学年度总表!$P$3:$P$1025,MATCH($E179,学年度总表!$E$3:$E$1025,0)))</f>
        <v/>
      </c>
      <c r="Q179" s="5" t="str">
        <f>IF(INDEX(学年度总表!$Q$3:$Q$1025,MATCH($E179,学年度总表!$E$3:$E$1025,0))="","",INDEX(学年度总表!$Q$3:$Q$1025,MATCH($E179,学年度总表!$E$3:$E$1025,0)))</f>
        <v/>
      </c>
    </row>
    <row r="180" spans="1:17">
      <c r="A180" s="2">
        <f>IF(INDEX(学年度总表!$A$3:$A$1025,MATCH($E180,学年度总表!$E$3:$E$1025,0))="","",INDEX(学年度总表!$A$3:$A$1025,MATCH($E180,学年度总表!$E$3:$E$1025,0)))</f>
        <v>549</v>
      </c>
      <c r="B180" s="2">
        <f>IF(INDEX(学年度总表!$B$3:$B$1025,MATCH($E180,学年度总表!$E$3:$E$1025,0))="","",INDEX(学年度总表!$B$3:$B$1025,MATCH($E180,学年度总表!$E$3:$E$1025,0)))</f>
        <v>178</v>
      </c>
      <c r="C180" s="2" t="str">
        <f>IF(INDEX(学年度总表!$C$3:$C$1025,MATCH($E180,学年度总表!$E$3:$E$1025,0))="","",INDEX(学年度总表!$C$3:$C$1025,MATCH($E180,学年度总表!$E$3:$E$1025,0)))</f>
        <v>信管</v>
      </c>
      <c r="D180" s="2" t="str">
        <f>IF(INDEX(学年度总表!$D$3:$D$1025,MATCH($E180,学年度总表!$E$3:$E$1025,0))="","",INDEX(学年度总表!$D$3:$D$1025,MATCH($E180,学年度总表!$E$3:$E$1025,0)))</f>
        <v>信管21班</v>
      </c>
      <c r="E180" s="2" t="s">
        <v>1160</v>
      </c>
      <c r="F180" s="2" t="str">
        <f>IF(INDEX(学年度总表!$F$3:$F$1025,MATCH($E180,学年度总表!$E$3:$E$1025,0))="","",INDEX(学年度总表!$F$3:$F$1025,MATCH($E180,学年度总表!$E$3:$E$1025,0)))</f>
        <v>林昱彤</v>
      </c>
      <c r="G180" s="3">
        <f>IF(INDEX(学年度总表!$G$3:$G$1025,MATCH($E180,学年度总表!$E$3:$E$1025,0))="","",INDEX(学年度总表!$G$3:$G$1025,MATCH($E180,学年度总表!$E$3:$E$1025,0)))</f>
        <v>10.6</v>
      </c>
      <c r="H180" s="3">
        <f>IF(INDEX(学年度总表!$H$3:$H$1025,MATCH($E180,学年度总表!$E$3:$E$1025,0))="","",INDEX(学年度总表!$H$3:$H$1025,MATCH($E180,学年度总表!$E$3:$E$1025,0)))</f>
        <v>56.79</v>
      </c>
      <c r="I180" s="3">
        <f>IF(INDEX(学年度总表!$I$3:$I$1025,MATCH($E180,学年度总表!$E$3:$E$1025,0))="","",INDEX(学年度总表!$I$3:$I$1025,MATCH($E180,学年度总表!$E$3:$E$1025,0)))</f>
        <v>3.75</v>
      </c>
      <c r="J180" s="3">
        <f>IF(INDEX(学年度总表!$J$3:$J$1025,MATCH($E180,学年度总表!$E$3:$E$1025,0))="","",INDEX(学年度总表!$J$3:$J$1025,MATCH($E180,学年度总表!$E$3:$E$1025,0)))</f>
        <v>71.14</v>
      </c>
      <c r="K180" s="3">
        <f>IF(INDEX(学年度总表!$K$3:$K$1025,MATCH($E180,学年度总表!$E$3:$E$1025,0))="","",INDEX(学年度总表!$K$3:$K$1025,MATCH($E180,学年度总表!$E$3:$E$1025,0)))</f>
        <v>9.8000000000000007</v>
      </c>
      <c r="L180" s="3">
        <f>IF(INDEX(学年度总表!$L$3:$L$1025,MATCH($E180,学年度总表!$E$3:$E$1025,0))="","",INDEX(学年度总表!$L$3:$L$1025,MATCH($E180,学年度总表!$E$3:$E$1025,0)))</f>
        <v>53.39</v>
      </c>
      <c r="M180" s="3">
        <f>IF(INDEX(学年度总表!$M$3:$M$1025,MATCH($E180,学年度总表!$E$3:$E$1025,0))="","",INDEX(学年度总表!$M$3:$M$1025,MATCH($E180,学年度总表!$E$3:$E$1025,0)))</f>
        <v>3.5</v>
      </c>
      <c r="N180" s="3">
        <f>IF(INDEX(学年度总表!$N$3:$N$1025,MATCH($E180,学年度总表!$E$3:$E$1025,0))="","",INDEX(学年度总表!$N$3:$N$1025,MATCH($E180,学年度总表!$E$3:$E$1025,0)))</f>
        <v>66.69</v>
      </c>
      <c r="O180" s="3">
        <f>IF(INDEX(学年度总表!$O$3:$O$1025,MATCH($E180,学年度总表!$E$3:$E$1025,0))="","",INDEX(学年度总表!$O$3:$O$1025,MATCH($E180,学年度总表!$E$3:$E$1025,0)))</f>
        <v>137.83000000000001</v>
      </c>
      <c r="P180" s="2" t="str">
        <f>IF(INDEX(学年度总表!$P$3:$P$1025,MATCH($E180,学年度总表!$E$3:$E$1025,0))="","",INDEX(学年度总表!$P$3:$P$1025,MATCH($E180,学年度总表!$E$3:$E$1025,0)))</f>
        <v/>
      </c>
      <c r="Q180" s="5" t="str">
        <f>IF(INDEX(学年度总表!$Q$3:$Q$1025,MATCH($E180,学年度总表!$E$3:$E$1025,0))="","",INDEX(学年度总表!$Q$3:$Q$1025,MATCH($E180,学年度总表!$E$3:$E$1025,0)))</f>
        <v/>
      </c>
    </row>
    <row r="181" spans="1:17">
      <c r="A181" s="2">
        <f>IF(INDEX(学年度总表!$A$3:$A$1025,MATCH($E181,学年度总表!$E$3:$E$1025,0))="","",INDEX(学年度总表!$A$3:$A$1025,MATCH($E181,学年度总表!$E$3:$E$1025,0)))</f>
        <v>552</v>
      </c>
      <c r="B181" s="2">
        <f>IF(INDEX(学年度总表!$B$3:$B$1025,MATCH($E181,学年度总表!$E$3:$E$1025,0))="","",INDEX(学年度总表!$B$3:$B$1025,MATCH($E181,学年度总表!$E$3:$E$1025,0)))</f>
        <v>179</v>
      </c>
      <c r="C181" s="2" t="str">
        <f>IF(INDEX(学年度总表!$C$3:$C$1025,MATCH($E181,学年度总表!$E$3:$E$1025,0))="","",INDEX(学年度总表!$C$3:$C$1025,MATCH($E181,学年度总表!$E$3:$E$1025,0)))</f>
        <v>信管</v>
      </c>
      <c r="D181" s="2" t="str">
        <f>IF(INDEX(学年度总表!$D$3:$D$1025,MATCH($E181,学年度总表!$E$3:$E$1025,0))="","",INDEX(学年度总表!$D$3:$D$1025,MATCH($E181,学年度总表!$E$3:$E$1025,0)))</f>
        <v>信管20班</v>
      </c>
      <c r="E181" s="2" t="s">
        <v>1166</v>
      </c>
      <c r="F181" s="2" t="str">
        <f>IF(INDEX(学年度总表!$F$3:$F$1025,MATCH($E181,学年度总表!$E$3:$E$1025,0))="","",INDEX(学年度总表!$F$3:$F$1025,MATCH($E181,学年度总表!$E$3:$E$1025,0)))</f>
        <v>许媛淇</v>
      </c>
      <c r="G181" s="3">
        <f>IF(INDEX(学年度总表!$G$3:$G$1025,MATCH($E181,学年度总表!$E$3:$E$1025,0))="","",INDEX(学年度总表!$G$3:$G$1025,MATCH($E181,学年度总表!$E$3:$E$1025,0)))</f>
        <v>9.8000000000000007</v>
      </c>
      <c r="H181" s="3">
        <f>IF(INDEX(学年度总表!$H$3:$H$1025,MATCH($E181,学年度总表!$E$3:$E$1025,0))="","",INDEX(学年度总表!$H$3:$H$1025,MATCH($E181,学年度总表!$E$3:$E$1025,0)))</f>
        <v>52.84</v>
      </c>
      <c r="I181" s="3">
        <f>IF(INDEX(学年度总表!$I$3:$I$1025,MATCH($E181,学年度总表!$E$3:$E$1025,0))="","",INDEX(学年度总表!$I$3:$I$1025,MATCH($E181,学年度总表!$E$3:$E$1025,0)))</f>
        <v>4.7</v>
      </c>
      <c r="J181" s="3">
        <f>IF(INDEX(学年度总表!$J$3:$J$1025,MATCH($E181,学年度总表!$E$3:$E$1025,0))="","",INDEX(学年度总表!$J$3:$J$1025,MATCH($E181,学年度总表!$E$3:$E$1025,0)))</f>
        <v>67.34</v>
      </c>
      <c r="K181" s="3">
        <f>IF(INDEX(学年度总表!$K$3:$K$1025,MATCH($E181,学年度总表!$E$3:$E$1025,0))="","",INDEX(学年度总表!$K$3:$K$1025,MATCH($E181,学年度总表!$E$3:$E$1025,0)))</f>
        <v>9.8000000000000007</v>
      </c>
      <c r="L181" s="3">
        <f>IF(INDEX(学年度总表!$L$3:$L$1025,MATCH($E181,学年度总表!$E$3:$E$1025,0))="","",INDEX(学年度总表!$L$3:$L$1025,MATCH($E181,学年度总表!$E$3:$E$1025,0)))</f>
        <v>54.83</v>
      </c>
      <c r="M181" s="3">
        <f>IF(INDEX(学年度总表!$M$3:$M$1025,MATCH($E181,学年度总表!$E$3:$E$1025,0))="","",INDEX(学年度总表!$M$3:$M$1025,MATCH($E181,学年度总表!$E$3:$E$1025,0)))</f>
        <v>5.8</v>
      </c>
      <c r="N181" s="3">
        <f>IF(INDEX(学年度总表!$N$3:$N$1025,MATCH($E181,学年度总表!$E$3:$E$1025,0))="","",INDEX(学年度总表!$N$3:$N$1025,MATCH($E181,学年度总表!$E$3:$E$1025,0)))</f>
        <v>70.430000000000007</v>
      </c>
      <c r="O181" s="3">
        <f>IF(INDEX(学年度总表!$O$3:$O$1025,MATCH($E181,学年度总表!$E$3:$E$1025,0))="","",INDEX(学年度总表!$O$3:$O$1025,MATCH($E181,学年度总表!$E$3:$E$1025,0)))</f>
        <v>137.77000000000001</v>
      </c>
      <c r="P181" s="2" t="str">
        <f>IF(INDEX(学年度总表!$P$3:$P$1025,MATCH($E181,学年度总表!$E$3:$E$1025,0))="","",INDEX(学年度总表!$P$3:$P$1025,MATCH($E181,学年度总表!$E$3:$E$1025,0)))</f>
        <v/>
      </c>
      <c r="Q181" s="5" t="str">
        <f>IF(INDEX(学年度总表!$Q$3:$Q$1025,MATCH($E181,学年度总表!$E$3:$E$1025,0))="","",INDEX(学年度总表!$Q$3:$Q$1025,MATCH($E181,学年度总表!$E$3:$E$1025,0)))</f>
        <v/>
      </c>
    </row>
    <row r="182" spans="1:17">
      <c r="A182" s="2">
        <f>IF(INDEX(学年度总表!$A$3:$A$1025,MATCH($E182,学年度总表!$E$3:$E$1025,0))="","",INDEX(学年度总表!$A$3:$A$1025,MATCH($E182,学年度总表!$E$3:$E$1025,0)))</f>
        <v>553</v>
      </c>
      <c r="B182" s="2">
        <f>IF(INDEX(学年度总表!$B$3:$B$1025,MATCH($E182,学年度总表!$E$3:$E$1025,0))="","",INDEX(学年度总表!$B$3:$B$1025,MATCH($E182,学年度总表!$E$3:$E$1025,0)))</f>
        <v>180</v>
      </c>
      <c r="C182" s="2" t="str">
        <f>IF(INDEX(学年度总表!$C$3:$C$1025,MATCH($E182,学年度总表!$E$3:$E$1025,0))="","",INDEX(学年度总表!$C$3:$C$1025,MATCH($E182,学年度总表!$E$3:$E$1025,0)))</f>
        <v>信管</v>
      </c>
      <c r="D182" s="2" t="str">
        <f>IF(INDEX(学年度总表!$D$3:$D$1025,MATCH($E182,学年度总表!$E$3:$E$1025,0))="","",INDEX(学年度总表!$D$3:$D$1025,MATCH($E182,学年度总表!$E$3:$E$1025,0)))</f>
        <v>信管24班</v>
      </c>
      <c r="E182" s="2" t="s">
        <v>1168</v>
      </c>
      <c r="F182" s="2" t="str">
        <f>IF(INDEX(学年度总表!$F$3:$F$1025,MATCH($E182,学年度总表!$E$3:$E$1025,0))="","",INDEX(学年度总表!$F$3:$F$1025,MATCH($E182,学年度总表!$E$3:$E$1025,0)))</f>
        <v>王梓璇</v>
      </c>
      <c r="G182" s="3">
        <f>IF(INDEX(学年度总表!$G$3:$G$1025,MATCH($E182,学年度总表!$E$3:$E$1025,0))="","",INDEX(学年度总表!$G$3:$G$1025,MATCH($E182,学年度总表!$E$3:$E$1025,0)))</f>
        <v>9.8000000000000007</v>
      </c>
      <c r="H182" s="3">
        <f>IF(INDEX(学年度总表!$H$3:$H$1025,MATCH($E182,学年度总表!$E$3:$E$1025,0))="","",INDEX(学年度总表!$H$3:$H$1025,MATCH($E182,学年度总表!$E$3:$E$1025,0)))</f>
        <v>49.82</v>
      </c>
      <c r="I182" s="3">
        <f>IF(INDEX(学年度总表!$I$3:$I$1025,MATCH($E182,学年度总表!$E$3:$E$1025,0))="","",INDEX(学年度总表!$I$3:$I$1025,MATCH($E182,学年度总表!$E$3:$E$1025,0)))</f>
        <v>5.8</v>
      </c>
      <c r="J182" s="3">
        <f>IF(INDEX(学年度总表!$J$3:$J$1025,MATCH($E182,学年度总表!$E$3:$E$1025,0))="","",INDEX(学年度总表!$J$3:$J$1025,MATCH($E182,学年度总表!$E$3:$E$1025,0)))</f>
        <v>65.42</v>
      </c>
      <c r="K182" s="3">
        <f>IF(INDEX(学年度总表!$K$3:$K$1025,MATCH($E182,学年度总表!$E$3:$E$1025,0))="","",INDEX(学年度总表!$K$3:$K$1025,MATCH($E182,学年度总表!$E$3:$E$1025,0)))</f>
        <v>9.8000000000000007</v>
      </c>
      <c r="L182" s="3">
        <f>IF(INDEX(学年度总表!$L$3:$L$1025,MATCH($E182,学年度总表!$E$3:$E$1025,0))="","",INDEX(学年度总表!$L$3:$L$1025,MATCH($E182,学年度总表!$E$3:$E$1025,0)))</f>
        <v>54.32</v>
      </c>
      <c r="M182" s="3">
        <f>IF(INDEX(学年度总表!$M$3:$M$1025,MATCH($E182,学年度总表!$E$3:$E$1025,0))="","",INDEX(学年度总表!$M$3:$M$1025,MATCH($E182,学年度总表!$E$3:$E$1025,0)))</f>
        <v>8.1</v>
      </c>
      <c r="N182" s="3">
        <f>IF(INDEX(学年度总表!$N$3:$N$1025,MATCH($E182,学年度总表!$E$3:$E$1025,0))="","",INDEX(学年度总表!$N$3:$N$1025,MATCH($E182,学年度总表!$E$3:$E$1025,0)))</f>
        <v>72.22</v>
      </c>
      <c r="O182" s="3">
        <f>IF(INDEX(学年度总表!$O$3:$O$1025,MATCH($E182,学年度总表!$E$3:$E$1025,0))="","",INDEX(学年度总表!$O$3:$O$1025,MATCH($E182,学年度总表!$E$3:$E$1025,0)))</f>
        <v>137.63999999999999</v>
      </c>
      <c r="P182" s="2" t="str">
        <f>IF(INDEX(学年度总表!$P$3:$P$1025,MATCH($E182,学年度总表!$E$3:$E$1025,0))="","",INDEX(学年度总表!$P$3:$P$1025,MATCH($E182,学年度总表!$E$3:$E$1025,0)))</f>
        <v/>
      </c>
      <c r="Q182" s="5" t="str">
        <f>IF(INDEX(学年度总表!$Q$3:$Q$1025,MATCH($E182,学年度总表!$E$3:$E$1025,0))="","",INDEX(学年度总表!$Q$3:$Q$1025,MATCH($E182,学年度总表!$E$3:$E$1025,0)))</f>
        <v/>
      </c>
    </row>
    <row r="183" spans="1:17">
      <c r="A183" s="2">
        <f>IF(INDEX(学年度总表!$A$3:$A$1025,MATCH($E183,学年度总表!$E$3:$E$1025,0))="","",INDEX(学年度总表!$A$3:$A$1025,MATCH($E183,学年度总表!$E$3:$E$1025,0)))</f>
        <v>553</v>
      </c>
      <c r="B183" s="2">
        <f>IF(INDEX(学年度总表!$B$3:$B$1025,MATCH($E183,学年度总表!$E$3:$E$1025,0))="","",INDEX(学年度总表!$B$3:$B$1025,MATCH($E183,学年度总表!$E$3:$E$1025,0)))</f>
        <v>180</v>
      </c>
      <c r="C183" s="2" t="str">
        <f>IF(INDEX(学年度总表!$C$3:$C$1025,MATCH($E183,学年度总表!$E$3:$E$1025,0))="","",INDEX(学年度总表!$C$3:$C$1025,MATCH($E183,学年度总表!$E$3:$E$1025,0)))</f>
        <v>信管</v>
      </c>
      <c r="D183" s="2" t="str">
        <f>IF(INDEX(学年度总表!$D$3:$D$1025,MATCH($E183,学年度总表!$E$3:$E$1025,0))="","",INDEX(学年度总表!$D$3:$D$1025,MATCH($E183,学年度总表!$E$3:$E$1025,0)))</f>
        <v>信管25班</v>
      </c>
      <c r="E183" s="2" t="s">
        <v>1170</v>
      </c>
      <c r="F183" s="2" t="str">
        <f>IF(INDEX(学年度总表!$F$3:$F$1025,MATCH($E183,学年度总表!$E$3:$E$1025,0))="","",INDEX(学年度总表!$F$3:$F$1025,MATCH($E183,学年度总表!$E$3:$E$1025,0)))</f>
        <v>贾成哲</v>
      </c>
      <c r="G183" s="3">
        <f>IF(INDEX(学年度总表!$G$3:$G$1025,MATCH($E183,学年度总表!$E$3:$E$1025,0))="","",INDEX(学年度总表!$G$3:$G$1025,MATCH($E183,学年度总表!$E$3:$E$1025,0)))</f>
        <v>9.6</v>
      </c>
      <c r="H183" s="3">
        <f>IF(INDEX(学年度总表!$H$3:$H$1025,MATCH($E183,学年度总表!$E$3:$E$1025,0))="","",INDEX(学年度总表!$H$3:$H$1025,MATCH($E183,学年度总表!$E$3:$E$1025,0)))</f>
        <v>54.86</v>
      </c>
      <c r="I183" s="3">
        <f>IF(INDEX(学年度总表!$I$3:$I$1025,MATCH($E183,学年度总表!$E$3:$E$1025,0))="","",INDEX(学年度总表!$I$3:$I$1025,MATCH($E183,学年度总表!$E$3:$E$1025,0)))</f>
        <v>3.2</v>
      </c>
      <c r="J183" s="3">
        <f>IF(INDEX(学年度总表!$J$3:$J$1025,MATCH($E183,学年度总表!$E$3:$E$1025,0))="","",INDEX(学年度总表!$J$3:$J$1025,MATCH($E183,学年度总表!$E$3:$E$1025,0)))</f>
        <v>67.66</v>
      </c>
      <c r="K183" s="3">
        <f>IF(INDEX(学年度总表!$K$3:$K$1025,MATCH($E183,学年度总表!$E$3:$E$1025,0))="","",INDEX(学年度总表!$K$3:$K$1025,MATCH($E183,学年度总表!$E$3:$E$1025,0)))</f>
        <v>10</v>
      </c>
      <c r="L183" s="3">
        <f>IF(INDEX(学年度总表!$L$3:$L$1025,MATCH($E183,学年度总表!$E$3:$E$1025,0))="","",INDEX(学年度总表!$L$3:$L$1025,MATCH($E183,学年度总表!$E$3:$E$1025,0)))</f>
        <v>56.48</v>
      </c>
      <c r="M183" s="3">
        <f>IF(INDEX(学年度总表!$M$3:$M$1025,MATCH($E183,学年度总表!$E$3:$E$1025,0))="","",INDEX(学年度总表!$M$3:$M$1025,MATCH($E183,学年度总表!$E$3:$E$1025,0)))</f>
        <v>3.5</v>
      </c>
      <c r="N183" s="3">
        <f>IF(INDEX(学年度总表!$N$3:$N$1025,MATCH($E183,学年度总表!$E$3:$E$1025,0))="","",INDEX(学年度总表!$N$3:$N$1025,MATCH($E183,学年度总表!$E$3:$E$1025,0)))</f>
        <v>69.98</v>
      </c>
      <c r="O183" s="3">
        <f>IF(INDEX(学年度总表!$O$3:$O$1025,MATCH($E183,学年度总表!$E$3:$E$1025,0))="","",INDEX(学年度总表!$O$3:$O$1025,MATCH($E183,学年度总表!$E$3:$E$1025,0)))</f>
        <v>137.63999999999999</v>
      </c>
      <c r="P183" s="2" t="str">
        <f>IF(INDEX(学年度总表!$P$3:$P$1025,MATCH($E183,学年度总表!$E$3:$E$1025,0))="","",INDEX(学年度总表!$P$3:$P$1025,MATCH($E183,学年度总表!$E$3:$E$1025,0)))</f>
        <v/>
      </c>
      <c r="Q183" s="5" t="str">
        <f>IF(INDEX(学年度总表!$Q$3:$Q$1025,MATCH($E183,学年度总表!$E$3:$E$1025,0))="","",INDEX(学年度总表!$Q$3:$Q$1025,MATCH($E183,学年度总表!$E$3:$E$1025,0)))</f>
        <v/>
      </c>
    </row>
    <row r="184" spans="1:17">
      <c r="A184" s="2">
        <f>IF(INDEX(学年度总表!$A$3:$A$1025,MATCH($E184,学年度总表!$E$3:$E$1025,0))="","",INDEX(学年度总表!$A$3:$A$1025,MATCH($E184,学年度总表!$E$3:$E$1025,0)))</f>
        <v>555</v>
      </c>
      <c r="B184" s="2">
        <f>IF(INDEX(学年度总表!$B$3:$B$1025,MATCH($E184,学年度总表!$E$3:$E$1025,0))="","",INDEX(学年度总表!$B$3:$B$1025,MATCH($E184,学年度总表!$E$3:$E$1025,0)))</f>
        <v>182</v>
      </c>
      <c r="C184" s="2" t="str">
        <f>IF(INDEX(学年度总表!$C$3:$C$1025,MATCH($E184,学年度总表!$E$3:$E$1025,0))="","",INDEX(学年度总表!$C$3:$C$1025,MATCH($E184,学年度总表!$E$3:$E$1025,0)))</f>
        <v>信管</v>
      </c>
      <c r="D184" s="2" t="str">
        <f>IF(INDEX(学年度总表!$D$3:$D$1025,MATCH($E184,学年度总表!$E$3:$E$1025,0))="","",INDEX(学年度总表!$D$3:$D$1025,MATCH($E184,学年度总表!$E$3:$E$1025,0)))</f>
        <v>信管20班</v>
      </c>
      <c r="E184" s="2" t="s">
        <v>1172</v>
      </c>
      <c r="F184" s="2" t="str">
        <f>IF(INDEX(学年度总表!$F$3:$F$1025,MATCH($E184,学年度总表!$E$3:$E$1025,0))="","",INDEX(学年度总表!$F$3:$F$1025,MATCH($E184,学年度总表!$E$3:$E$1025,0)))</f>
        <v>唐紫铭</v>
      </c>
      <c r="G184" s="3">
        <f>IF(INDEX(学年度总表!$G$3:$G$1025,MATCH($E184,学年度总表!$E$3:$E$1025,0))="","",INDEX(学年度总表!$G$3:$G$1025,MATCH($E184,学年度总表!$E$3:$E$1025,0)))</f>
        <v>10</v>
      </c>
      <c r="H184" s="3">
        <f>IF(INDEX(学年度总表!$H$3:$H$1025,MATCH($E184,学年度总表!$E$3:$E$1025,0))="","",INDEX(学年度总表!$H$3:$H$1025,MATCH($E184,学年度总表!$E$3:$E$1025,0)))</f>
        <v>56.16</v>
      </c>
      <c r="I184" s="3">
        <f>IF(INDEX(学年度总表!$I$3:$I$1025,MATCH($E184,学年度总表!$E$3:$E$1025,0))="","",INDEX(学年度总表!$I$3:$I$1025,MATCH($E184,学年度总表!$E$3:$E$1025,0)))</f>
        <v>3.9</v>
      </c>
      <c r="J184" s="3">
        <f>IF(INDEX(学年度总表!$J$3:$J$1025,MATCH($E184,学年度总表!$E$3:$E$1025,0))="","",INDEX(学年度总表!$J$3:$J$1025,MATCH($E184,学年度总表!$E$3:$E$1025,0)))</f>
        <v>70.06</v>
      </c>
      <c r="K184" s="3">
        <f>IF(INDEX(学年度总表!$K$3:$K$1025,MATCH($E184,学年度总表!$E$3:$E$1025,0))="","",INDEX(学年度总表!$K$3:$K$1025,MATCH($E184,学年度总表!$E$3:$E$1025,0)))</f>
        <v>10</v>
      </c>
      <c r="L184" s="3">
        <f>IF(INDEX(学年度总表!$L$3:$L$1025,MATCH($E184,学年度总表!$E$3:$E$1025,0))="","",INDEX(学年度总表!$L$3:$L$1025,MATCH($E184,学年度总表!$E$3:$E$1025,0)))</f>
        <v>52.95</v>
      </c>
      <c r="M184" s="3">
        <f>IF(INDEX(学年度总表!$M$3:$M$1025,MATCH($E184,学年度总表!$E$3:$E$1025,0))="","",INDEX(学年度总表!$M$3:$M$1025,MATCH($E184,学年度总表!$E$3:$E$1025,0)))</f>
        <v>4.5999999999999996</v>
      </c>
      <c r="N184" s="3">
        <f>IF(INDEX(学年度总表!$N$3:$N$1025,MATCH($E184,学年度总表!$E$3:$E$1025,0))="","",INDEX(学年度总表!$N$3:$N$1025,MATCH($E184,学年度总表!$E$3:$E$1025,0)))</f>
        <v>67.55</v>
      </c>
      <c r="O184" s="3">
        <f>IF(INDEX(学年度总表!$O$3:$O$1025,MATCH($E184,学年度总表!$E$3:$E$1025,0))="","",INDEX(学年度总表!$O$3:$O$1025,MATCH($E184,学年度总表!$E$3:$E$1025,0)))</f>
        <v>137.61000000000001</v>
      </c>
      <c r="P184" s="2" t="str">
        <f>IF(INDEX(学年度总表!$P$3:$P$1025,MATCH($E184,学年度总表!$E$3:$E$1025,0))="","",INDEX(学年度总表!$P$3:$P$1025,MATCH($E184,学年度总表!$E$3:$E$1025,0)))</f>
        <v/>
      </c>
      <c r="Q184" s="5" t="str">
        <f>IF(INDEX(学年度总表!$Q$3:$Q$1025,MATCH($E184,学年度总表!$E$3:$E$1025,0))="","",INDEX(学年度总表!$Q$3:$Q$1025,MATCH($E184,学年度总表!$E$3:$E$1025,0)))</f>
        <v/>
      </c>
    </row>
    <row r="185" spans="1:17">
      <c r="A185" s="2">
        <f>IF(INDEX(学年度总表!$A$3:$A$1025,MATCH($E185,学年度总表!$E$3:$E$1025,0))="","",INDEX(学年度总表!$A$3:$A$1025,MATCH($E185,学年度总表!$E$3:$E$1025,0)))</f>
        <v>556</v>
      </c>
      <c r="B185" s="2">
        <f>IF(INDEX(学年度总表!$B$3:$B$1025,MATCH($E185,学年度总表!$E$3:$E$1025,0))="","",INDEX(学年度总表!$B$3:$B$1025,MATCH($E185,学年度总表!$E$3:$E$1025,0)))</f>
        <v>183</v>
      </c>
      <c r="C185" s="2" t="str">
        <f>IF(INDEX(学年度总表!$C$3:$C$1025,MATCH($E185,学年度总表!$E$3:$E$1025,0))="","",INDEX(学年度总表!$C$3:$C$1025,MATCH($E185,学年度总表!$E$3:$E$1025,0)))</f>
        <v>信管</v>
      </c>
      <c r="D185" s="2" t="str">
        <f>IF(INDEX(学年度总表!$D$3:$D$1025,MATCH($E185,学年度总表!$E$3:$E$1025,0))="","",INDEX(学年度总表!$D$3:$D$1025,MATCH($E185,学年度总表!$E$3:$E$1025,0)))</f>
        <v>信管25班</v>
      </c>
      <c r="E185" s="2" t="s">
        <v>1174</v>
      </c>
      <c r="F185" s="2" t="str">
        <f>IF(INDEX(学年度总表!$F$3:$F$1025,MATCH($E185,学年度总表!$E$3:$E$1025,0))="","",INDEX(学年度总表!$F$3:$F$1025,MATCH($E185,学年度总表!$E$3:$E$1025,0)))</f>
        <v>臧英翰</v>
      </c>
      <c r="G185" s="3">
        <f>IF(INDEX(学年度总表!$G$3:$G$1025,MATCH($E185,学年度总表!$E$3:$E$1025,0))="","",INDEX(学年度总表!$G$3:$G$1025,MATCH($E185,学年度总表!$E$3:$E$1025,0)))</f>
        <v>9.8000000000000007</v>
      </c>
      <c r="H185" s="3">
        <f>IF(INDEX(学年度总表!$H$3:$H$1025,MATCH($E185,学年度总表!$E$3:$E$1025,0))="","",INDEX(学年度总表!$H$3:$H$1025,MATCH($E185,学年度总表!$E$3:$E$1025,0)))</f>
        <v>55.99</v>
      </c>
      <c r="I185" s="3">
        <f>IF(INDEX(学年度总表!$I$3:$I$1025,MATCH($E185,学年度总表!$E$3:$E$1025,0))="","",INDEX(学年度总表!$I$3:$I$1025,MATCH($E185,学年度总表!$E$3:$E$1025,0)))</f>
        <v>4.2</v>
      </c>
      <c r="J185" s="3">
        <f>IF(INDEX(学年度总表!$J$3:$J$1025,MATCH($E185,学年度总表!$E$3:$E$1025,0))="","",INDEX(学年度总表!$J$3:$J$1025,MATCH($E185,学年度总表!$E$3:$E$1025,0)))</f>
        <v>69.989999999999995</v>
      </c>
      <c r="K185" s="3">
        <f>IF(INDEX(学年度总表!$K$3:$K$1025,MATCH($E185,学年度总表!$E$3:$E$1025,0))="","",INDEX(学年度总表!$K$3:$K$1025,MATCH($E185,学年度总表!$E$3:$E$1025,0)))</f>
        <v>9.8000000000000007</v>
      </c>
      <c r="L185" s="3">
        <f>IF(INDEX(学年度总表!$L$3:$L$1025,MATCH($E185,学年度总表!$E$3:$E$1025,0))="","",INDEX(学年度总表!$L$3:$L$1025,MATCH($E185,学年度总表!$E$3:$E$1025,0)))</f>
        <v>51.89</v>
      </c>
      <c r="M185" s="3">
        <f>IF(INDEX(学年度总表!$M$3:$M$1025,MATCH($E185,学年度总表!$E$3:$E$1025,0))="","",INDEX(学年度总表!$M$3:$M$1025,MATCH($E185,学年度总表!$E$3:$E$1025,0)))</f>
        <v>5.9</v>
      </c>
      <c r="N185" s="3">
        <f>IF(INDEX(学年度总表!$N$3:$N$1025,MATCH($E185,学年度总表!$E$3:$E$1025,0))="","",INDEX(学年度总表!$N$3:$N$1025,MATCH($E185,学年度总表!$E$3:$E$1025,0)))</f>
        <v>67.59</v>
      </c>
      <c r="O185" s="3">
        <f>IF(INDEX(学年度总表!$O$3:$O$1025,MATCH($E185,学年度总表!$E$3:$E$1025,0))="","",INDEX(学年度总表!$O$3:$O$1025,MATCH($E185,学年度总表!$E$3:$E$1025,0)))</f>
        <v>137.58000000000001</v>
      </c>
      <c r="P185" s="2" t="str">
        <f>IF(INDEX(学年度总表!$P$3:$P$1025,MATCH($E185,学年度总表!$E$3:$E$1025,0))="","",INDEX(学年度总表!$P$3:$P$1025,MATCH($E185,学年度总表!$E$3:$E$1025,0)))</f>
        <v/>
      </c>
      <c r="Q185" s="5" t="str">
        <f>IF(INDEX(学年度总表!$Q$3:$Q$1025,MATCH($E185,学年度总表!$E$3:$E$1025,0))="","",INDEX(学年度总表!$Q$3:$Q$1025,MATCH($E185,学年度总表!$E$3:$E$1025,0)))</f>
        <v/>
      </c>
    </row>
    <row r="186" spans="1:17">
      <c r="A186" s="2">
        <f>IF(INDEX(学年度总表!$A$3:$A$1025,MATCH($E186,学年度总表!$E$3:$E$1025,0))="","",INDEX(学年度总表!$A$3:$A$1025,MATCH($E186,学年度总表!$E$3:$E$1025,0)))</f>
        <v>558</v>
      </c>
      <c r="B186" s="2">
        <f>IF(INDEX(学年度总表!$B$3:$B$1025,MATCH($E186,学年度总表!$E$3:$E$1025,0))="","",INDEX(学年度总表!$B$3:$B$1025,MATCH($E186,学年度总表!$E$3:$E$1025,0)))</f>
        <v>184</v>
      </c>
      <c r="C186" s="2" t="str">
        <f>IF(INDEX(学年度总表!$C$3:$C$1025,MATCH($E186,学年度总表!$E$3:$E$1025,0))="","",INDEX(学年度总表!$C$3:$C$1025,MATCH($E186,学年度总表!$E$3:$E$1025,0)))</f>
        <v>信管</v>
      </c>
      <c r="D186" s="2" t="str">
        <f>IF(INDEX(学年度总表!$D$3:$D$1025,MATCH($E186,学年度总表!$E$3:$E$1025,0))="","",INDEX(学年度总表!$D$3:$D$1025,MATCH($E186,学年度总表!$E$3:$E$1025,0)))</f>
        <v>信管19班</v>
      </c>
      <c r="E186" s="2" t="s">
        <v>1178</v>
      </c>
      <c r="F186" s="2" t="str">
        <f>IF(INDEX(学年度总表!$F$3:$F$1025,MATCH($E186,学年度总表!$E$3:$E$1025,0))="","",INDEX(学年度总表!$F$3:$F$1025,MATCH($E186,学年度总表!$E$3:$E$1025,0)))</f>
        <v>李熙睿</v>
      </c>
      <c r="G186" s="3">
        <f>IF(INDEX(学年度总表!$G$3:$G$1025,MATCH($E186,学年度总表!$E$3:$E$1025,0))="","",INDEX(学年度总表!$G$3:$G$1025,MATCH($E186,学年度总表!$E$3:$E$1025,0)))</f>
        <v>9.6</v>
      </c>
      <c r="H186" s="3">
        <f>IF(INDEX(学年度总表!$H$3:$H$1025,MATCH($E186,学年度总表!$E$3:$E$1025,0))="","",INDEX(学年度总表!$H$3:$H$1025,MATCH($E186,学年度总表!$E$3:$E$1025,0)))</f>
        <v>57.14</v>
      </c>
      <c r="I186" s="3">
        <f>IF(INDEX(学年度总表!$I$3:$I$1025,MATCH($E186,学年度总表!$E$3:$E$1025,0))="","",INDEX(学年度总表!$I$3:$I$1025,MATCH($E186,学年度总表!$E$3:$E$1025,0)))</f>
        <v>4.2</v>
      </c>
      <c r="J186" s="3">
        <f>IF(INDEX(学年度总表!$J$3:$J$1025,MATCH($E186,学年度总表!$E$3:$E$1025,0))="","",INDEX(学年度总表!$J$3:$J$1025,MATCH($E186,学年度总表!$E$3:$E$1025,0)))</f>
        <v>70.94</v>
      </c>
      <c r="K186" s="3">
        <f>IF(INDEX(学年度总表!$K$3:$K$1025,MATCH($E186,学年度总表!$E$3:$E$1025,0))="","",INDEX(学年度总表!$K$3:$K$1025,MATCH($E186,学年度总表!$E$3:$E$1025,0)))</f>
        <v>10</v>
      </c>
      <c r="L186" s="3">
        <f>IF(INDEX(学年度总表!$L$3:$L$1025,MATCH($E186,学年度总表!$E$3:$E$1025,0))="","",INDEX(学年度总表!$L$3:$L$1025,MATCH($E186,学年度总表!$E$3:$E$1025,0)))</f>
        <v>51.1</v>
      </c>
      <c r="M186" s="3">
        <f>IF(INDEX(学年度总表!$M$3:$M$1025,MATCH($E186,学年度总表!$E$3:$E$1025,0))="","",INDEX(学年度总表!$M$3:$M$1025,MATCH($E186,学年度总表!$E$3:$E$1025,0)))</f>
        <v>5.5</v>
      </c>
      <c r="N186" s="3">
        <f>IF(INDEX(学年度总表!$N$3:$N$1025,MATCH($E186,学年度总表!$E$3:$E$1025,0))="","",INDEX(学年度总表!$N$3:$N$1025,MATCH($E186,学年度总表!$E$3:$E$1025,0)))</f>
        <v>66.599999999999994</v>
      </c>
      <c r="O186" s="3">
        <f>IF(INDEX(学年度总表!$O$3:$O$1025,MATCH($E186,学年度总表!$E$3:$E$1025,0))="","",INDEX(学年度总表!$O$3:$O$1025,MATCH($E186,学年度总表!$E$3:$E$1025,0)))</f>
        <v>137.54</v>
      </c>
      <c r="P186" s="2" t="str">
        <f>IF(INDEX(学年度总表!$P$3:$P$1025,MATCH($E186,学年度总表!$E$3:$E$1025,0))="","",INDEX(学年度总表!$P$3:$P$1025,MATCH($E186,学年度总表!$E$3:$E$1025,0)))</f>
        <v/>
      </c>
      <c r="Q186" s="5" t="str">
        <f>IF(INDEX(学年度总表!$Q$3:$Q$1025,MATCH($E186,学年度总表!$E$3:$E$1025,0))="","",INDEX(学年度总表!$Q$3:$Q$1025,MATCH($E186,学年度总表!$E$3:$E$1025,0)))</f>
        <v/>
      </c>
    </row>
    <row r="187" spans="1:17">
      <c r="A187" s="2">
        <f>IF(INDEX(学年度总表!$A$3:$A$1025,MATCH($E187,学年度总表!$E$3:$E$1025,0))="","",INDEX(学年度总表!$A$3:$A$1025,MATCH($E187,学年度总表!$E$3:$E$1025,0)))</f>
        <v>562</v>
      </c>
      <c r="B187" s="2">
        <f>IF(INDEX(学年度总表!$B$3:$B$1025,MATCH($E187,学年度总表!$E$3:$E$1025,0))="","",INDEX(学年度总表!$B$3:$B$1025,MATCH($E187,学年度总表!$E$3:$E$1025,0)))</f>
        <v>185</v>
      </c>
      <c r="C187" s="2" t="str">
        <f>IF(INDEX(学年度总表!$C$3:$C$1025,MATCH($E187,学年度总表!$E$3:$E$1025,0))="","",INDEX(学年度总表!$C$3:$C$1025,MATCH($E187,学年度总表!$E$3:$E$1025,0)))</f>
        <v>信管</v>
      </c>
      <c r="D187" s="2" t="str">
        <f>IF(INDEX(学年度总表!$D$3:$D$1025,MATCH($E187,学年度总表!$E$3:$E$1025,0))="","",INDEX(学年度总表!$D$3:$D$1025,MATCH($E187,学年度总表!$E$3:$E$1025,0)))</f>
        <v>信管26班</v>
      </c>
      <c r="E187" s="2" t="s">
        <v>1186</v>
      </c>
      <c r="F187" s="2" t="str">
        <f>IF(INDEX(学年度总表!$F$3:$F$1025,MATCH($E187,学年度总表!$E$3:$E$1025,0))="","",INDEX(学年度总表!$F$3:$F$1025,MATCH($E187,学年度总表!$E$3:$E$1025,0)))</f>
        <v>孔怡然</v>
      </c>
      <c r="G187" s="3">
        <f>IF(INDEX(学年度总表!$G$3:$G$1025,MATCH($E187,学年度总表!$E$3:$E$1025,0))="","",INDEX(学年度总表!$G$3:$G$1025,MATCH($E187,学年度总表!$E$3:$E$1025,0)))</f>
        <v>9.8000000000000007</v>
      </c>
      <c r="H187" s="3">
        <f>IF(INDEX(学年度总表!$H$3:$H$1025,MATCH($E187,学年度总表!$E$3:$E$1025,0))="","",INDEX(学年度总表!$H$3:$H$1025,MATCH($E187,学年度总表!$E$3:$E$1025,0)))</f>
        <v>57.72</v>
      </c>
      <c r="I187" s="3">
        <f>IF(INDEX(学年度总表!$I$3:$I$1025,MATCH($E187,学年度总表!$E$3:$E$1025,0))="","",INDEX(学年度总表!$I$3:$I$1025,MATCH($E187,学年度总表!$E$3:$E$1025,0)))</f>
        <v>3</v>
      </c>
      <c r="J187" s="3">
        <f>IF(INDEX(学年度总表!$J$3:$J$1025,MATCH($E187,学年度总表!$E$3:$E$1025,0))="","",INDEX(学年度总表!$J$3:$J$1025,MATCH($E187,学年度总表!$E$3:$E$1025,0)))</f>
        <v>70.52</v>
      </c>
      <c r="K187" s="3">
        <f>IF(INDEX(学年度总表!$K$3:$K$1025,MATCH($E187,学年度总表!$E$3:$E$1025,0))="","",INDEX(学年度总表!$K$3:$K$1025,MATCH($E187,学年度总表!$E$3:$E$1025,0)))</f>
        <v>9.8000000000000007</v>
      </c>
      <c r="L187" s="3">
        <f>IF(INDEX(学年度总表!$L$3:$L$1025,MATCH($E187,学年度总表!$E$3:$E$1025,0))="","",INDEX(学年度总表!$L$3:$L$1025,MATCH($E187,学年度总表!$E$3:$E$1025,0)))</f>
        <v>52.65</v>
      </c>
      <c r="M187" s="3">
        <f>IF(INDEX(学年度总表!$M$3:$M$1025,MATCH($E187,学年度总表!$E$3:$E$1025,0))="","",INDEX(学年度总表!$M$3:$M$1025,MATCH($E187,学年度总表!$E$3:$E$1025,0)))</f>
        <v>4.4000000000000004</v>
      </c>
      <c r="N187" s="3">
        <f>IF(INDEX(学年度总表!$N$3:$N$1025,MATCH($E187,学年度总表!$E$3:$E$1025,0))="","",INDEX(学年度总表!$N$3:$N$1025,MATCH($E187,学年度总表!$E$3:$E$1025,0)))</f>
        <v>66.849999999999994</v>
      </c>
      <c r="O187" s="3">
        <f>IF(INDEX(学年度总表!$O$3:$O$1025,MATCH($E187,学年度总表!$E$3:$E$1025,0))="","",INDEX(学年度总表!$O$3:$O$1025,MATCH($E187,学年度总表!$E$3:$E$1025,0)))</f>
        <v>137.37</v>
      </c>
      <c r="P187" s="2" t="str">
        <f>IF(INDEX(学年度总表!$P$3:$P$1025,MATCH($E187,学年度总表!$E$3:$E$1025,0))="","",INDEX(学年度总表!$P$3:$P$1025,MATCH($E187,学年度总表!$E$3:$E$1025,0)))</f>
        <v/>
      </c>
      <c r="Q187" s="5" t="str">
        <f>IF(INDEX(学年度总表!$Q$3:$Q$1025,MATCH($E187,学年度总表!$E$3:$E$1025,0))="","",INDEX(学年度总表!$Q$3:$Q$1025,MATCH($E187,学年度总表!$E$3:$E$1025,0)))</f>
        <v/>
      </c>
    </row>
    <row r="188" spans="1:17">
      <c r="A188" s="2">
        <f>IF(INDEX(学年度总表!$A$3:$A$1025,MATCH($E188,学年度总表!$E$3:$E$1025,0))="","",INDEX(学年度总表!$A$3:$A$1025,MATCH($E188,学年度总表!$E$3:$E$1025,0)))</f>
        <v>562</v>
      </c>
      <c r="B188" s="2">
        <f>IF(INDEX(学年度总表!$B$3:$B$1025,MATCH($E188,学年度总表!$E$3:$E$1025,0))="","",INDEX(学年度总表!$B$3:$B$1025,MATCH($E188,学年度总表!$E$3:$E$1025,0)))</f>
        <v>185</v>
      </c>
      <c r="C188" s="2" t="str">
        <f>IF(INDEX(学年度总表!$C$3:$C$1025,MATCH($E188,学年度总表!$E$3:$E$1025,0))="","",INDEX(学年度总表!$C$3:$C$1025,MATCH($E188,学年度总表!$E$3:$E$1025,0)))</f>
        <v>信管</v>
      </c>
      <c r="D188" s="2" t="str">
        <f>IF(INDEX(学年度总表!$D$3:$D$1025,MATCH($E188,学年度总表!$E$3:$E$1025,0))="","",INDEX(学年度总表!$D$3:$D$1025,MATCH($E188,学年度总表!$E$3:$E$1025,0)))</f>
        <v>信管28班</v>
      </c>
      <c r="E188" s="2" t="s">
        <v>1188</v>
      </c>
      <c r="F188" s="2" t="str">
        <f>IF(INDEX(学年度总表!$F$3:$F$1025,MATCH($E188,学年度总表!$E$3:$E$1025,0))="","",INDEX(学年度总表!$F$3:$F$1025,MATCH($E188,学年度总表!$E$3:$E$1025,0)))</f>
        <v>江芸彤</v>
      </c>
      <c r="G188" s="3">
        <f>IF(INDEX(学年度总表!$G$3:$G$1025,MATCH($E188,学年度总表!$E$3:$E$1025,0))="","",INDEX(学年度总表!$G$3:$G$1025,MATCH($E188,学年度总表!$E$3:$E$1025,0)))</f>
        <v>10.5</v>
      </c>
      <c r="H188" s="3">
        <f>IF(INDEX(学年度总表!$H$3:$H$1025,MATCH($E188,学年度总表!$E$3:$E$1025,0))="","",INDEX(学年度总表!$H$3:$H$1025,MATCH($E188,学年度总表!$E$3:$E$1025,0)))</f>
        <v>55.84</v>
      </c>
      <c r="I188" s="3">
        <f>IF(INDEX(学年度总表!$I$3:$I$1025,MATCH($E188,学年度总表!$E$3:$E$1025,0))="","",INDEX(学年度总表!$I$3:$I$1025,MATCH($E188,学年度总表!$E$3:$E$1025,0)))</f>
        <v>3.7</v>
      </c>
      <c r="J188" s="3">
        <f>IF(INDEX(学年度总表!$J$3:$J$1025,MATCH($E188,学年度总表!$E$3:$E$1025,0))="","",INDEX(学年度总表!$J$3:$J$1025,MATCH($E188,学年度总表!$E$3:$E$1025,0)))</f>
        <v>70.040000000000006</v>
      </c>
      <c r="K188" s="3">
        <f>IF(INDEX(学年度总表!$K$3:$K$1025,MATCH($E188,学年度总表!$E$3:$E$1025,0))="","",INDEX(学年度总表!$K$3:$K$1025,MATCH($E188,学年度总表!$E$3:$E$1025,0)))</f>
        <v>7.3000000000000007</v>
      </c>
      <c r="L188" s="3">
        <f>IF(INDEX(学年度总表!$L$3:$L$1025,MATCH($E188,学年度总表!$E$3:$E$1025,0))="","",INDEX(学年度总表!$L$3:$L$1025,MATCH($E188,学年度总表!$E$3:$E$1025,0)))</f>
        <v>55.83</v>
      </c>
      <c r="M188" s="3">
        <f>IF(INDEX(学年度总表!$M$3:$M$1025,MATCH($E188,学年度总表!$E$3:$E$1025,0))="","",INDEX(学年度总表!$M$3:$M$1025,MATCH($E188,学年度总表!$E$3:$E$1025,0)))</f>
        <v>4.2</v>
      </c>
      <c r="N188" s="3">
        <f>IF(INDEX(学年度总表!$N$3:$N$1025,MATCH($E188,学年度总表!$E$3:$E$1025,0))="","",INDEX(学年度总表!$N$3:$N$1025,MATCH($E188,学年度总表!$E$3:$E$1025,0)))</f>
        <v>67.33</v>
      </c>
      <c r="O188" s="3">
        <f>IF(INDEX(学年度总表!$O$3:$O$1025,MATCH($E188,学年度总表!$E$3:$E$1025,0))="","",INDEX(学年度总表!$O$3:$O$1025,MATCH($E188,学年度总表!$E$3:$E$1025,0)))</f>
        <v>137.37</v>
      </c>
      <c r="P188" s="2" t="str">
        <f>IF(INDEX(学年度总表!$P$3:$P$1025,MATCH($E188,学年度总表!$E$3:$E$1025,0))="","",INDEX(学年度总表!$P$3:$P$1025,MATCH($E188,学年度总表!$E$3:$E$1025,0)))</f>
        <v/>
      </c>
      <c r="Q188" s="5" t="str">
        <f>IF(INDEX(学年度总表!$Q$3:$Q$1025,MATCH($E188,学年度总表!$E$3:$E$1025,0))="","",INDEX(学年度总表!$Q$3:$Q$1025,MATCH($E188,学年度总表!$E$3:$E$1025,0)))</f>
        <v/>
      </c>
    </row>
    <row r="189" spans="1:17">
      <c r="A189" s="2">
        <f>IF(INDEX(学年度总表!$A$3:$A$1025,MATCH($E189,学年度总表!$E$3:$E$1025,0))="","",INDEX(学年度总表!$A$3:$A$1025,MATCH($E189,学年度总表!$E$3:$E$1025,0)))</f>
        <v>566</v>
      </c>
      <c r="B189" s="2">
        <f>IF(INDEX(学年度总表!$B$3:$B$1025,MATCH($E189,学年度总表!$E$3:$E$1025,0))="","",INDEX(学年度总表!$B$3:$B$1025,MATCH($E189,学年度总表!$E$3:$E$1025,0)))</f>
        <v>187</v>
      </c>
      <c r="C189" s="2" t="str">
        <f>IF(INDEX(学年度总表!$C$3:$C$1025,MATCH($E189,学年度总表!$E$3:$E$1025,0))="","",INDEX(学年度总表!$C$3:$C$1025,MATCH($E189,学年度总表!$E$3:$E$1025,0)))</f>
        <v>信管</v>
      </c>
      <c r="D189" s="2" t="str">
        <f>IF(INDEX(学年度总表!$D$3:$D$1025,MATCH($E189,学年度总表!$E$3:$E$1025,0))="","",INDEX(学年度总表!$D$3:$D$1025,MATCH($E189,学年度总表!$E$3:$E$1025,0)))</f>
        <v>信管27班</v>
      </c>
      <c r="E189" s="2" t="s">
        <v>1193</v>
      </c>
      <c r="F189" s="2" t="str">
        <f>IF(INDEX(学年度总表!$F$3:$F$1025,MATCH($E189,学年度总表!$E$3:$E$1025,0))="","",INDEX(学年度总表!$F$3:$F$1025,MATCH($E189,学年度总表!$E$3:$E$1025,0)))</f>
        <v>陈泽仲</v>
      </c>
      <c r="G189" s="3">
        <f>IF(INDEX(学年度总表!$G$3:$G$1025,MATCH($E189,学年度总表!$E$3:$E$1025,0))="","",INDEX(学年度总表!$G$3:$G$1025,MATCH($E189,学年度总表!$E$3:$E$1025,0)))</f>
        <v>11.8</v>
      </c>
      <c r="H189" s="3">
        <f>IF(INDEX(学年度总表!$H$3:$H$1025,MATCH($E189,学年度总表!$E$3:$E$1025,0))="","",INDEX(学年度总表!$H$3:$H$1025,MATCH($E189,学年度总表!$E$3:$E$1025,0)))</f>
        <v>53.69</v>
      </c>
      <c r="I189" s="3">
        <f>IF(INDEX(学年度总表!$I$3:$I$1025,MATCH($E189,学年度总表!$E$3:$E$1025,0))="","",INDEX(学年度总表!$I$3:$I$1025,MATCH($E189,学年度总表!$E$3:$E$1025,0)))</f>
        <v>4.2</v>
      </c>
      <c r="J189" s="3">
        <f>IF(INDEX(学年度总表!$J$3:$J$1025,MATCH($E189,学年度总表!$E$3:$E$1025,0))="","",INDEX(学年度总表!$J$3:$J$1025,MATCH($E189,学年度总表!$E$3:$E$1025,0)))</f>
        <v>69.69</v>
      </c>
      <c r="K189" s="3">
        <f>IF(INDEX(学年度总表!$K$3:$K$1025,MATCH($E189,学年度总表!$E$3:$E$1025,0))="","",INDEX(学年度总表!$K$3:$K$1025,MATCH($E189,学年度总表!$E$3:$E$1025,0)))</f>
        <v>9.8000000000000007</v>
      </c>
      <c r="L189" s="3">
        <f>IF(INDEX(学年度总表!$L$3:$L$1025,MATCH($E189,学年度总表!$E$3:$E$1025,0))="","",INDEX(学年度总表!$L$3:$L$1025,MATCH($E189,学年度总表!$E$3:$E$1025,0)))</f>
        <v>52.03</v>
      </c>
      <c r="M189" s="3">
        <f>IF(INDEX(学年度总表!$M$3:$M$1025,MATCH($E189,学年度总表!$E$3:$E$1025,0))="","",INDEX(学年度总表!$M$3:$M$1025,MATCH($E189,学年度总表!$E$3:$E$1025,0)))</f>
        <v>5.7</v>
      </c>
      <c r="N189" s="3">
        <f>IF(INDEX(学年度总表!$N$3:$N$1025,MATCH($E189,学年度总表!$E$3:$E$1025,0))="","",INDEX(学年度总表!$N$3:$N$1025,MATCH($E189,学年度总表!$E$3:$E$1025,0)))</f>
        <v>67.53</v>
      </c>
      <c r="O189" s="3">
        <f>IF(INDEX(学年度总表!$O$3:$O$1025,MATCH($E189,学年度总表!$E$3:$E$1025,0))="","",INDEX(学年度总表!$O$3:$O$1025,MATCH($E189,学年度总表!$E$3:$E$1025,0)))</f>
        <v>137.22</v>
      </c>
      <c r="P189" s="2" t="str">
        <f>IF(INDEX(学年度总表!$P$3:$P$1025,MATCH($E189,学年度总表!$E$3:$E$1025,0))="","",INDEX(学年度总表!$P$3:$P$1025,MATCH($E189,学年度总表!$E$3:$E$1025,0)))</f>
        <v/>
      </c>
      <c r="Q189" s="5" t="str">
        <f>IF(INDEX(学年度总表!$Q$3:$Q$1025,MATCH($E189,学年度总表!$E$3:$E$1025,0))="","",INDEX(学年度总表!$Q$3:$Q$1025,MATCH($E189,学年度总表!$E$3:$E$1025,0)))</f>
        <v/>
      </c>
    </row>
    <row r="190" spans="1:17">
      <c r="A190" s="2">
        <f>IF(INDEX(学年度总表!$A$3:$A$1025,MATCH($E190,学年度总表!$E$3:$E$1025,0))="","",INDEX(学年度总表!$A$3:$A$1025,MATCH($E190,学年度总表!$E$3:$E$1025,0)))</f>
        <v>567</v>
      </c>
      <c r="B190" s="2">
        <f>IF(INDEX(学年度总表!$B$3:$B$1025,MATCH($E190,学年度总表!$E$3:$E$1025,0))="","",INDEX(学年度总表!$B$3:$B$1025,MATCH($E190,学年度总表!$E$3:$E$1025,0)))</f>
        <v>188</v>
      </c>
      <c r="C190" s="2" t="str">
        <f>IF(INDEX(学年度总表!$C$3:$C$1025,MATCH($E190,学年度总表!$E$3:$E$1025,0))="","",INDEX(学年度总表!$C$3:$C$1025,MATCH($E190,学年度总表!$E$3:$E$1025,0)))</f>
        <v>信管</v>
      </c>
      <c r="D190" s="2" t="str">
        <f>IF(INDEX(学年度总表!$D$3:$D$1025,MATCH($E190,学年度总表!$E$3:$E$1025,0))="","",INDEX(学年度总表!$D$3:$D$1025,MATCH($E190,学年度总表!$E$3:$E$1025,0)))</f>
        <v>信管28班</v>
      </c>
      <c r="E190" s="2" t="s">
        <v>1197</v>
      </c>
      <c r="F190" s="2" t="str">
        <f>IF(INDEX(学年度总表!$F$3:$F$1025,MATCH($E190,学年度总表!$E$3:$E$1025,0))="","",INDEX(学年度总表!$F$3:$F$1025,MATCH($E190,学年度总表!$E$3:$E$1025,0)))</f>
        <v>陈逸轩</v>
      </c>
      <c r="G190" s="3">
        <f>IF(INDEX(学年度总表!$G$3:$G$1025,MATCH($E190,学年度总表!$E$3:$E$1025,0))="","",INDEX(学年度总表!$G$3:$G$1025,MATCH($E190,学年度总表!$E$3:$E$1025,0)))</f>
        <v>10.8</v>
      </c>
      <c r="H190" s="3">
        <f>IF(INDEX(学年度总表!$H$3:$H$1025,MATCH($E190,学年度总表!$E$3:$E$1025,0))="","",INDEX(学年度总表!$H$3:$H$1025,MATCH($E190,学年度总表!$E$3:$E$1025,0)))</f>
        <v>63.66</v>
      </c>
      <c r="I190" s="3">
        <f>IF(INDEX(学年度总表!$I$3:$I$1025,MATCH($E190,学年度总表!$E$3:$E$1025,0))="","",INDEX(学年度总表!$I$3:$I$1025,MATCH($E190,学年度总表!$E$3:$E$1025,0)))</f>
        <v>3</v>
      </c>
      <c r="J190" s="3">
        <f>IF(INDEX(学年度总表!$J$3:$J$1025,MATCH($E190,学年度总表!$E$3:$E$1025,0))="","",INDEX(学年度总表!$J$3:$J$1025,MATCH($E190,学年度总表!$E$3:$E$1025,0)))</f>
        <v>77.459999999999994</v>
      </c>
      <c r="K190" s="3">
        <f>IF(INDEX(学年度总表!$K$3:$K$1025,MATCH($E190,学年度总表!$E$3:$E$1025,0))="","",INDEX(学年度总表!$K$3:$K$1025,MATCH($E190,学年度总表!$E$3:$E$1025,0)))</f>
        <v>7.3000000000000007</v>
      </c>
      <c r="L190" s="3">
        <f>IF(INDEX(学年度总表!$L$3:$L$1025,MATCH($E190,学年度总表!$E$3:$E$1025,0))="","",INDEX(学年度总表!$L$3:$L$1025,MATCH($E190,学年度总表!$E$3:$E$1025,0)))</f>
        <v>49.44</v>
      </c>
      <c r="M190" s="3">
        <f>IF(INDEX(学年度总表!$M$3:$M$1025,MATCH($E190,学年度总表!$E$3:$E$1025,0))="","",INDEX(学年度总表!$M$3:$M$1025,MATCH($E190,学年度总表!$E$3:$E$1025,0)))</f>
        <v>3</v>
      </c>
      <c r="N190" s="3">
        <f>IF(INDEX(学年度总表!$N$3:$N$1025,MATCH($E190,学年度总表!$E$3:$E$1025,0))="","",INDEX(学年度总表!$N$3:$N$1025,MATCH($E190,学年度总表!$E$3:$E$1025,0)))</f>
        <v>59.74</v>
      </c>
      <c r="O190" s="3">
        <f>IF(INDEX(学年度总表!$O$3:$O$1025,MATCH($E190,学年度总表!$E$3:$E$1025,0))="","",INDEX(学年度总表!$O$3:$O$1025,MATCH($E190,学年度总表!$E$3:$E$1025,0)))</f>
        <v>137.19999999999999</v>
      </c>
      <c r="P190" s="2" t="str">
        <f>IF(INDEX(学年度总表!$P$3:$P$1025,MATCH($E190,学年度总表!$E$3:$E$1025,0))="","",INDEX(学年度总表!$P$3:$P$1025,MATCH($E190,学年度总表!$E$3:$E$1025,0)))</f>
        <v/>
      </c>
      <c r="Q190" s="5" t="str">
        <f>IF(INDEX(学年度总表!$Q$3:$Q$1025,MATCH($E190,学年度总表!$E$3:$E$1025,0))="","",INDEX(学年度总表!$Q$3:$Q$1025,MATCH($E190,学年度总表!$E$3:$E$1025,0)))</f>
        <v/>
      </c>
    </row>
    <row r="191" spans="1:17">
      <c r="A191" s="2">
        <f>IF(INDEX(学年度总表!$A$3:$A$1025,MATCH($E191,学年度总表!$E$3:$E$1025,0))="","",INDEX(学年度总表!$A$3:$A$1025,MATCH($E191,学年度总表!$E$3:$E$1025,0)))</f>
        <v>570</v>
      </c>
      <c r="B191" s="2">
        <f>IF(INDEX(学年度总表!$B$3:$B$1025,MATCH($E191,学年度总表!$E$3:$E$1025,0))="","",INDEX(学年度总表!$B$3:$B$1025,MATCH($E191,学年度总表!$E$3:$E$1025,0)))</f>
        <v>189</v>
      </c>
      <c r="C191" s="2" t="str">
        <f>IF(INDEX(学年度总表!$C$3:$C$1025,MATCH($E191,学年度总表!$E$3:$E$1025,0))="","",INDEX(学年度总表!$C$3:$C$1025,MATCH($E191,学年度总表!$E$3:$E$1025,0)))</f>
        <v>信管</v>
      </c>
      <c r="D191" s="2" t="str">
        <f>IF(INDEX(学年度总表!$D$3:$D$1025,MATCH($E191,学年度总表!$E$3:$E$1025,0))="","",INDEX(学年度总表!$D$3:$D$1025,MATCH($E191,学年度总表!$E$3:$E$1025,0)))</f>
        <v>信管22班</v>
      </c>
      <c r="E191" s="2" t="s">
        <v>1201</v>
      </c>
      <c r="F191" s="2" t="str">
        <f>IF(INDEX(学年度总表!$F$3:$F$1025,MATCH($E191,学年度总表!$E$3:$E$1025,0))="","",INDEX(学年度总表!$F$3:$F$1025,MATCH($E191,学年度总表!$E$3:$E$1025,0)))</f>
        <v>夏舒琪</v>
      </c>
      <c r="G191" s="3">
        <f>IF(INDEX(学年度总表!$G$3:$G$1025,MATCH($E191,学年度总表!$E$3:$E$1025,0))="","",INDEX(学年度总表!$G$3:$G$1025,MATCH($E191,学年度总表!$E$3:$E$1025,0)))</f>
        <v>10</v>
      </c>
      <c r="H191" s="3">
        <f>IF(INDEX(学年度总表!$H$3:$H$1025,MATCH($E191,学年度总表!$E$3:$E$1025,0))="","",INDEX(学年度总表!$H$3:$H$1025,MATCH($E191,学年度总表!$E$3:$E$1025,0)))</f>
        <v>56.02</v>
      </c>
      <c r="I191" s="3">
        <f>IF(INDEX(学年度总表!$I$3:$I$1025,MATCH($E191,学年度总表!$E$3:$E$1025,0))="","",INDEX(学年度总表!$I$3:$I$1025,MATCH($E191,学年度总表!$E$3:$E$1025,0)))</f>
        <v>3.6</v>
      </c>
      <c r="J191" s="3">
        <f>IF(INDEX(学年度总表!$J$3:$J$1025,MATCH($E191,学年度总表!$E$3:$E$1025,0))="","",INDEX(学年度总表!$J$3:$J$1025,MATCH($E191,学年度总表!$E$3:$E$1025,0)))</f>
        <v>69.62</v>
      </c>
      <c r="K191" s="3">
        <f>IF(INDEX(学年度总表!$K$3:$K$1025,MATCH($E191,学年度总表!$E$3:$E$1025,0))="","",INDEX(学年度总表!$K$3:$K$1025,MATCH($E191,学年度总表!$E$3:$E$1025,0)))</f>
        <v>10</v>
      </c>
      <c r="L191" s="3">
        <f>IF(INDEX(学年度总表!$L$3:$L$1025,MATCH($E191,学年度总表!$E$3:$E$1025,0))="","",INDEX(学年度总表!$L$3:$L$1025,MATCH($E191,学年度总表!$E$3:$E$1025,0)))</f>
        <v>53.67</v>
      </c>
      <c r="M191" s="3">
        <f>IF(INDEX(学年度总表!$M$3:$M$1025,MATCH($E191,学年度总表!$E$3:$E$1025,0))="","",INDEX(学年度总表!$M$3:$M$1025,MATCH($E191,学年度总表!$E$3:$E$1025,0)))</f>
        <v>3.6</v>
      </c>
      <c r="N191" s="3">
        <f>IF(INDEX(学年度总表!$N$3:$N$1025,MATCH($E191,学年度总表!$E$3:$E$1025,0))="","",INDEX(学年度总表!$N$3:$N$1025,MATCH($E191,学年度总表!$E$3:$E$1025,0)))</f>
        <v>67.27</v>
      </c>
      <c r="O191" s="3">
        <f>IF(INDEX(学年度总表!$O$3:$O$1025,MATCH($E191,学年度总表!$E$3:$E$1025,0))="","",INDEX(学年度总表!$O$3:$O$1025,MATCH($E191,学年度总表!$E$3:$E$1025,0)))</f>
        <v>136.88999999999999</v>
      </c>
      <c r="P191" s="2" t="str">
        <f>IF(INDEX(学年度总表!$P$3:$P$1025,MATCH($E191,学年度总表!$E$3:$E$1025,0))="","",INDEX(学年度总表!$P$3:$P$1025,MATCH($E191,学年度总表!$E$3:$E$1025,0)))</f>
        <v/>
      </c>
      <c r="Q191" s="5" t="str">
        <f>IF(INDEX(学年度总表!$Q$3:$Q$1025,MATCH($E191,学年度总表!$E$3:$E$1025,0))="","",INDEX(学年度总表!$Q$3:$Q$1025,MATCH($E191,学年度总表!$E$3:$E$1025,0)))</f>
        <v/>
      </c>
    </row>
    <row r="192" spans="1:17">
      <c r="A192" s="2">
        <f>IF(INDEX(学年度总表!$A$3:$A$1025,MATCH($E192,学年度总表!$E$3:$E$1025,0))="","",INDEX(学年度总表!$A$3:$A$1025,MATCH($E192,学年度总表!$E$3:$E$1025,0)))</f>
        <v>573</v>
      </c>
      <c r="B192" s="2">
        <f>IF(INDEX(学年度总表!$B$3:$B$1025,MATCH($E192,学年度总表!$E$3:$E$1025,0))="","",INDEX(学年度总表!$B$3:$B$1025,MATCH($E192,学年度总表!$E$3:$E$1025,0)))</f>
        <v>190</v>
      </c>
      <c r="C192" s="2" t="str">
        <f>IF(INDEX(学年度总表!$C$3:$C$1025,MATCH($E192,学年度总表!$E$3:$E$1025,0))="","",INDEX(学年度总表!$C$3:$C$1025,MATCH($E192,学年度总表!$E$3:$E$1025,0)))</f>
        <v>信管</v>
      </c>
      <c r="D192" s="2" t="str">
        <f>IF(INDEX(学年度总表!$D$3:$D$1025,MATCH($E192,学年度总表!$E$3:$E$1025,0))="","",INDEX(学年度总表!$D$3:$D$1025,MATCH($E192,学年度总表!$E$3:$E$1025,0)))</f>
        <v>信管24班</v>
      </c>
      <c r="E192" s="2" t="s">
        <v>1207</v>
      </c>
      <c r="F192" s="2" t="str">
        <f>IF(INDEX(学年度总表!$F$3:$F$1025,MATCH($E192,学年度总表!$E$3:$E$1025,0))="","",INDEX(学年度总表!$F$3:$F$1025,MATCH($E192,学年度总表!$E$3:$E$1025,0)))</f>
        <v>李宇浩</v>
      </c>
      <c r="G192" s="3">
        <f>IF(INDEX(学年度总表!$G$3:$G$1025,MATCH($E192,学年度总表!$E$3:$E$1025,0))="","",INDEX(学年度总表!$G$3:$G$1025,MATCH($E192,学年度总表!$E$3:$E$1025,0)))</f>
        <v>9.8000000000000007</v>
      </c>
      <c r="H192" s="3">
        <f>IF(INDEX(学年度总表!$H$3:$H$1025,MATCH($E192,学年度总表!$E$3:$E$1025,0))="","",INDEX(学年度总表!$H$3:$H$1025,MATCH($E192,学年度总表!$E$3:$E$1025,0)))</f>
        <v>58.5</v>
      </c>
      <c r="I192" s="3">
        <f>IF(INDEX(学年度总表!$I$3:$I$1025,MATCH($E192,学年度总表!$E$3:$E$1025,0))="","",INDEX(学年度总表!$I$3:$I$1025,MATCH($E192,学年度总表!$E$3:$E$1025,0)))</f>
        <v>3</v>
      </c>
      <c r="J192" s="3">
        <f>IF(INDEX(学年度总表!$J$3:$J$1025,MATCH($E192,学年度总表!$E$3:$E$1025,0))="","",INDEX(学年度总表!$J$3:$J$1025,MATCH($E192,学年度总表!$E$3:$E$1025,0)))</f>
        <v>71.3</v>
      </c>
      <c r="K192" s="3">
        <f>IF(INDEX(学年度总表!$K$3:$K$1025,MATCH($E192,学年度总表!$E$3:$E$1025,0))="","",INDEX(学年度总表!$K$3:$K$1025,MATCH($E192,学年度总表!$E$3:$E$1025,0)))</f>
        <v>9.8000000000000007</v>
      </c>
      <c r="L192" s="3">
        <f>IF(INDEX(学年度总表!$L$3:$L$1025,MATCH($E192,学年度总表!$E$3:$E$1025,0))="","",INDEX(学年度总表!$L$3:$L$1025,MATCH($E192,学年度总表!$E$3:$E$1025,0)))</f>
        <v>52.68</v>
      </c>
      <c r="M192" s="3">
        <f>IF(INDEX(学年度总表!$M$3:$M$1025,MATCH($E192,学年度总表!$E$3:$E$1025,0))="","",INDEX(学年度总表!$M$3:$M$1025,MATCH($E192,学年度总表!$E$3:$E$1025,0)))</f>
        <v>3</v>
      </c>
      <c r="N192" s="3">
        <f>IF(INDEX(学年度总表!$N$3:$N$1025,MATCH($E192,学年度总表!$E$3:$E$1025,0))="","",INDEX(学年度总表!$N$3:$N$1025,MATCH($E192,学年度总表!$E$3:$E$1025,0)))</f>
        <v>65.48</v>
      </c>
      <c r="O192" s="3">
        <f>IF(INDEX(学年度总表!$O$3:$O$1025,MATCH($E192,学年度总表!$E$3:$E$1025,0))="","",INDEX(学年度总表!$O$3:$O$1025,MATCH($E192,学年度总表!$E$3:$E$1025,0)))</f>
        <v>136.78</v>
      </c>
      <c r="P192" s="2" t="str">
        <f>IF(INDEX(学年度总表!$P$3:$P$1025,MATCH($E192,学年度总表!$E$3:$E$1025,0))="","",INDEX(学年度总表!$P$3:$P$1025,MATCH($E192,学年度总表!$E$3:$E$1025,0)))</f>
        <v/>
      </c>
      <c r="Q192" s="5" t="str">
        <f>IF(INDEX(学年度总表!$Q$3:$Q$1025,MATCH($E192,学年度总表!$E$3:$E$1025,0))="","",INDEX(学年度总表!$Q$3:$Q$1025,MATCH($E192,学年度总表!$E$3:$E$1025,0)))</f>
        <v/>
      </c>
    </row>
    <row r="193" spans="1:17">
      <c r="A193" s="2">
        <f>IF(INDEX(学年度总表!$A$3:$A$1025,MATCH($E193,学年度总表!$E$3:$E$1025,0))="","",INDEX(学年度总表!$A$3:$A$1025,MATCH($E193,学年度总表!$E$3:$E$1025,0)))</f>
        <v>579</v>
      </c>
      <c r="B193" s="2">
        <f>IF(INDEX(学年度总表!$B$3:$B$1025,MATCH($E193,学年度总表!$E$3:$E$1025,0))="","",INDEX(学年度总表!$B$3:$B$1025,MATCH($E193,学年度总表!$E$3:$E$1025,0)))</f>
        <v>191</v>
      </c>
      <c r="C193" s="2" t="str">
        <f>IF(INDEX(学年度总表!$C$3:$C$1025,MATCH($E193,学年度总表!$E$3:$E$1025,0))="","",INDEX(学年度总表!$C$3:$C$1025,MATCH($E193,学年度总表!$E$3:$E$1025,0)))</f>
        <v>信管</v>
      </c>
      <c r="D193" s="2" t="str">
        <f>IF(INDEX(学年度总表!$D$3:$D$1025,MATCH($E193,学年度总表!$E$3:$E$1025,0))="","",INDEX(学年度总表!$D$3:$D$1025,MATCH($E193,学年度总表!$E$3:$E$1025,0)))</f>
        <v>信管23班</v>
      </c>
      <c r="E193" s="2" t="s">
        <v>1219</v>
      </c>
      <c r="F193" s="2" t="str">
        <f>IF(INDEX(学年度总表!$F$3:$F$1025,MATCH($E193,学年度总表!$E$3:$E$1025,0))="","",INDEX(学年度总表!$F$3:$F$1025,MATCH($E193,学年度总表!$E$3:$E$1025,0)))</f>
        <v>刘佳轩</v>
      </c>
      <c r="G193" s="3">
        <f>IF(INDEX(学年度总表!$G$3:$G$1025,MATCH($E193,学年度总表!$E$3:$E$1025,0))="","",INDEX(学年度总表!$G$3:$G$1025,MATCH($E193,学年度总表!$E$3:$E$1025,0)))</f>
        <v>9.8000000000000007</v>
      </c>
      <c r="H193" s="3">
        <f>IF(INDEX(学年度总表!$H$3:$H$1025,MATCH($E193,学年度总表!$E$3:$E$1025,0))="","",INDEX(学年度总表!$H$3:$H$1025,MATCH($E193,学年度总表!$E$3:$E$1025,0)))</f>
        <v>55.47</v>
      </c>
      <c r="I193" s="3">
        <f>IF(INDEX(学年度总表!$I$3:$I$1025,MATCH($E193,学年度总表!$E$3:$E$1025,0))="","",INDEX(学年度总表!$I$3:$I$1025,MATCH($E193,学年度总表!$E$3:$E$1025,0)))</f>
        <v>3</v>
      </c>
      <c r="J193" s="3">
        <f>IF(INDEX(学年度总表!$J$3:$J$1025,MATCH($E193,学年度总表!$E$3:$E$1025,0))="","",INDEX(学年度总表!$J$3:$J$1025,MATCH($E193,学年度总表!$E$3:$E$1025,0)))</f>
        <v>68.27</v>
      </c>
      <c r="K193" s="3">
        <f>IF(INDEX(学年度总表!$K$3:$K$1025,MATCH($E193,学年度总表!$E$3:$E$1025,0))="","",INDEX(学年度总表!$K$3:$K$1025,MATCH($E193,学年度总表!$E$3:$E$1025,0)))</f>
        <v>9.8000000000000007</v>
      </c>
      <c r="L193" s="3">
        <f>IF(INDEX(学年度总表!$L$3:$L$1025,MATCH($E193,学年度总表!$E$3:$E$1025,0))="","",INDEX(学年度总表!$L$3:$L$1025,MATCH($E193,学年度总表!$E$3:$E$1025,0)))</f>
        <v>55.3</v>
      </c>
      <c r="M193" s="3">
        <f>IF(INDEX(学年度总表!$M$3:$M$1025,MATCH($E193,学年度总表!$E$3:$E$1025,0))="","",INDEX(学年度总表!$M$3:$M$1025,MATCH($E193,学年度总表!$E$3:$E$1025,0)))</f>
        <v>3</v>
      </c>
      <c r="N193" s="3">
        <f>IF(INDEX(学年度总表!$N$3:$N$1025,MATCH($E193,学年度总表!$E$3:$E$1025,0))="","",INDEX(学年度总表!$N$3:$N$1025,MATCH($E193,学年度总表!$E$3:$E$1025,0)))</f>
        <v>68.099999999999994</v>
      </c>
      <c r="O193" s="3">
        <f>IF(INDEX(学年度总表!$O$3:$O$1025,MATCH($E193,学年度总表!$E$3:$E$1025,0))="","",INDEX(学年度总表!$O$3:$O$1025,MATCH($E193,学年度总表!$E$3:$E$1025,0)))</f>
        <v>136.37</v>
      </c>
      <c r="P193" s="2" t="str">
        <f>IF(INDEX(学年度总表!$P$3:$P$1025,MATCH($E193,学年度总表!$E$3:$E$1025,0))="","",INDEX(学年度总表!$P$3:$P$1025,MATCH($E193,学年度总表!$E$3:$E$1025,0)))</f>
        <v/>
      </c>
      <c r="Q193" s="5" t="str">
        <f>IF(INDEX(学年度总表!$Q$3:$Q$1025,MATCH($E193,学年度总表!$E$3:$E$1025,0))="","",INDEX(学年度总表!$Q$3:$Q$1025,MATCH($E193,学年度总表!$E$3:$E$1025,0)))</f>
        <v/>
      </c>
    </row>
    <row r="194" spans="1:17">
      <c r="A194" s="2">
        <f>IF(INDEX(学年度总表!$A$3:$A$1025,MATCH($E194,学年度总表!$E$3:$E$1025,0))="","",INDEX(学年度总表!$A$3:$A$1025,MATCH($E194,学年度总表!$E$3:$E$1025,0)))</f>
        <v>581</v>
      </c>
      <c r="B194" s="2">
        <f>IF(INDEX(学年度总表!$B$3:$B$1025,MATCH($E194,学年度总表!$E$3:$E$1025,0))="","",INDEX(学年度总表!$B$3:$B$1025,MATCH($E194,学年度总表!$E$3:$E$1025,0)))</f>
        <v>192</v>
      </c>
      <c r="C194" s="2" t="str">
        <f>IF(INDEX(学年度总表!$C$3:$C$1025,MATCH($E194,学年度总表!$E$3:$E$1025,0))="","",INDEX(学年度总表!$C$3:$C$1025,MATCH($E194,学年度总表!$E$3:$E$1025,0)))</f>
        <v>信管</v>
      </c>
      <c r="D194" s="2" t="str">
        <f>IF(INDEX(学年度总表!$D$3:$D$1025,MATCH($E194,学年度总表!$E$3:$E$1025,0))="","",INDEX(学年度总表!$D$3:$D$1025,MATCH($E194,学年度总表!$E$3:$E$1025,0)))</f>
        <v>信管21班</v>
      </c>
      <c r="E194" s="2" t="s">
        <v>1225</v>
      </c>
      <c r="F194" s="2" t="str">
        <f>IF(INDEX(学年度总表!$F$3:$F$1025,MATCH($E194,学年度总表!$E$3:$E$1025,0))="","",INDEX(学年度总表!$F$3:$F$1025,MATCH($E194,学年度总表!$E$3:$E$1025,0)))</f>
        <v>金渤</v>
      </c>
      <c r="G194" s="3">
        <f>IF(INDEX(学年度总表!$G$3:$G$1025,MATCH($E194,学年度总表!$E$3:$E$1025,0))="","",INDEX(学年度总表!$G$3:$G$1025,MATCH($E194,学年度总表!$E$3:$E$1025,0)))</f>
        <v>9.8000000000000007</v>
      </c>
      <c r="H194" s="3">
        <f>IF(INDEX(学年度总表!$H$3:$H$1025,MATCH($E194,学年度总表!$E$3:$E$1025,0))="","",INDEX(学年度总表!$H$3:$H$1025,MATCH($E194,学年度总表!$E$3:$E$1025,0)))</f>
        <v>55.29</v>
      </c>
      <c r="I194" s="3">
        <f>IF(INDEX(学年度总表!$I$3:$I$1025,MATCH($E194,学年度总表!$E$3:$E$1025,0))="","",INDEX(学年度总表!$I$3:$I$1025,MATCH($E194,学年度总表!$E$3:$E$1025,0)))</f>
        <v>3</v>
      </c>
      <c r="J194" s="3">
        <f>IF(INDEX(学年度总表!$J$3:$J$1025,MATCH($E194,学年度总表!$E$3:$E$1025,0))="","",INDEX(学年度总表!$J$3:$J$1025,MATCH($E194,学年度总表!$E$3:$E$1025,0)))</f>
        <v>68.09</v>
      </c>
      <c r="K194" s="3">
        <f>IF(INDEX(学年度总表!$K$3:$K$1025,MATCH($E194,学年度总表!$E$3:$E$1025,0))="","",INDEX(学年度总表!$K$3:$K$1025,MATCH($E194,学年度总表!$E$3:$E$1025,0)))</f>
        <v>9.8000000000000007</v>
      </c>
      <c r="L194" s="3">
        <f>IF(INDEX(学年度总表!$L$3:$L$1025,MATCH($E194,学年度总表!$E$3:$E$1025,0))="","",INDEX(学年度总表!$L$3:$L$1025,MATCH($E194,学年度总表!$E$3:$E$1025,0)))</f>
        <v>55.42</v>
      </c>
      <c r="M194" s="3">
        <f>IF(INDEX(学年度总表!$M$3:$M$1025,MATCH($E194,学年度总表!$E$3:$E$1025,0))="","",INDEX(学年度总表!$M$3:$M$1025,MATCH($E194,学年度总表!$E$3:$E$1025,0)))</f>
        <v>3</v>
      </c>
      <c r="N194" s="3">
        <f>IF(INDEX(学年度总表!$N$3:$N$1025,MATCH($E194,学年度总表!$E$3:$E$1025,0))="","",INDEX(学年度总表!$N$3:$N$1025,MATCH($E194,学年度总表!$E$3:$E$1025,0)))</f>
        <v>68.22</v>
      </c>
      <c r="O194" s="3">
        <f>IF(INDEX(学年度总表!$O$3:$O$1025,MATCH($E194,学年度总表!$E$3:$E$1025,0))="","",INDEX(学年度总表!$O$3:$O$1025,MATCH($E194,学年度总表!$E$3:$E$1025,0)))</f>
        <v>136.31</v>
      </c>
      <c r="P194" s="2" t="str">
        <f>IF(INDEX(学年度总表!$P$3:$P$1025,MATCH($E194,学年度总表!$E$3:$E$1025,0))="","",INDEX(学年度总表!$P$3:$P$1025,MATCH($E194,学年度总表!$E$3:$E$1025,0)))</f>
        <v/>
      </c>
      <c r="Q194" s="5" t="str">
        <f>IF(INDEX(学年度总表!$Q$3:$Q$1025,MATCH($E194,学年度总表!$E$3:$E$1025,0))="","",INDEX(学年度总表!$Q$3:$Q$1025,MATCH($E194,学年度总表!$E$3:$E$1025,0)))</f>
        <v/>
      </c>
    </row>
    <row r="195" spans="1:17">
      <c r="A195" s="2">
        <f>IF(INDEX(学年度总表!$A$3:$A$1025,MATCH($E195,学年度总表!$E$3:$E$1025,0))="","",INDEX(学年度总表!$A$3:$A$1025,MATCH($E195,学年度总表!$E$3:$E$1025,0)))</f>
        <v>583</v>
      </c>
      <c r="B195" s="2">
        <f>IF(INDEX(学年度总表!$B$3:$B$1025,MATCH($E195,学年度总表!$E$3:$E$1025,0))="","",INDEX(学年度总表!$B$3:$B$1025,MATCH($E195,学年度总表!$E$3:$E$1025,0)))</f>
        <v>193</v>
      </c>
      <c r="C195" s="2" t="str">
        <f>IF(INDEX(学年度总表!$C$3:$C$1025,MATCH($E195,学年度总表!$E$3:$E$1025,0))="","",INDEX(学年度总表!$C$3:$C$1025,MATCH($E195,学年度总表!$E$3:$E$1025,0)))</f>
        <v>信管</v>
      </c>
      <c r="D195" s="2" t="str">
        <f>IF(INDEX(学年度总表!$D$3:$D$1025,MATCH($E195,学年度总表!$E$3:$E$1025,0))="","",INDEX(学年度总表!$D$3:$D$1025,MATCH($E195,学年度总表!$E$3:$E$1025,0)))</f>
        <v>信管22班</v>
      </c>
      <c r="E195" s="2" t="s">
        <v>1227</v>
      </c>
      <c r="F195" s="2" t="str">
        <f>IF(INDEX(学年度总表!$F$3:$F$1025,MATCH($E195,学年度总表!$E$3:$E$1025,0))="","",INDEX(学年度总表!$F$3:$F$1025,MATCH($E195,学年度总表!$E$3:$E$1025,0)))</f>
        <v>郑馨怡</v>
      </c>
      <c r="G195" s="3">
        <f>IF(INDEX(学年度总表!$G$3:$G$1025,MATCH($E195,学年度总表!$E$3:$E$1025,0))="","",INDEX(学年度总表!$G$3:$G$1025,MATCH($E195,学年度总表!$E$3:$E$1025,0)))</f>
        <v>10.3</v>
      </c>
      <c r="H195" s="3">
        <f>IF(INDEX(学年度总表!$H$3:$H$1025,MATCH($E195,学年度总表!$E$3:$E$1025,0))="","",INDEX(学年度总表!$H$3:$H$1025,MATCH($E195,学年度总表!$E$3:$E$1025,0)))</f>
        <v>54.88</v>
      </c>
      <c r="I195" s="3">
        <f>IF(INDEX(学年度总表!$I$3:$I$1025,MATCH($E195,学年度总表!$E$3:$E$1025,0))="","",INDEX(学年度总表!$I$3:$I$1025,MATCH($E195,学年度总表!$E$3:$E$1025,0)))</f>
        <v>4</v>
      </c>
      <c r="J195" s="3">
        <f>IF(INDEX(学年度总表!$J$3:$J$1025,MATCH($E195,学年度总表!$E$3:$E$1025,0))="","",INDEX(学年度总表!$J$3:$J$1025,MATCH($E195,学年度总表!$E$3:$E$1025,0)))</f>
        <v>69.180000000000007</v>
      </c>
      <c r="K195" s="3">
        <f>IF(INDEX(学年度总表!$K$3:$K$1025,MATCH($E195,学年度总表!$E$3:$E$1025,0))="","",INDEX(学年度总表!$K$3:$K$1025,MATCH($E195,学年度总表!$E$3:$E$1025,0)))</f>
        <v>9.8000000000000007</v>
      </c>
      <c r="L195" s="3">
        <f>IF(INDEX(学年度总表!$L$3:$L$1025,MATCH($E195,学年度总表!$E$3:$E$1025,0))="","",INDEX(学年度总表!$L$3:$L$1025,MATCH($E195,学年度总表!$E$3:$E$1025,0)))</f>
        <v>51.97</v>
      </c>
      <c r="M195" s="3">
        <f>IF(INDEX(学年度总表!$M$3:$M$1025,MATCH($E195,学年度总表!$E$3:$E$1025,0))="","",INDEX(学年度总表!$M$3:$M$1025,MATCH($E195,学年度总表!$E$3:$E$1025,0)))</f>
        <v>5.3</v>
      </c>
      <c r="N195" s="3">
        <f>IF(INDEX(学年度总表!$N$3:$N$1025,MATCH($E195,学年度总表!$E$3:$E$1025,0))="","",INDEX(学年度总表!$N$3:$N$1025,MATCH($E195,学年度总表!$E$3:$E$1025,0)))</f>
        <v>67.069999999999993</v>
      </c>
      <c r="O195" s="3">
        <f>IF(INDEX(学年度总表!$O$3:$O$1025,MATCH($E195,学年度总表!$E$3:$E$1025,0))="","",INDEX(学年度总表!$O$3:$O$1025,MATCH($E195,学年度总表!$E$3:$E$1025,0)))</f>
        <v>136.25</v>
      </c>
      <c r="P195" s="2" t="str">
        <f>IF(INDEX(学年度总表!$P$3:$P$1025,MATCH($E195,学年度总表!$E$3:$E$1025,0))="","",INDEX(学年度总表!$P$3:$P$1025,MATCH($E195,学年度总表!$E$3:$E$1025,0)))</f>
        <v/>
      </c>
      <c r="Q195" s="5" t="str">
        <f>IF(INDEX(学年度总表!$Q$3:$Q$1025,MATCH($E195,学年度总表!$E$3:$E$1025,0))="","",INDEX(学年度总表!$Q$3:$Q$1025,MATCH($E195,学年度总表!$E$3:$E$1025,0)))</f>
        <v/>
      </c>
    </row>
    <row r="196" spans="1:17">
      <c r="A196" s="2">
        <f>IF(INDEX(学年度总表!$A$3:$A$1025,MATCH($E196,学年度总表!$E$3:$E$1025,0))="","",INDEX(学年度总表!$A$3:$A$1025,MATCH($E196,学年度总表!$E$3:$E$1025,0)))</f>
        <v>588</v>
      </c>
      <c r="B196" s="2">
        <f>IF(INDEX(学年度总表!$B$3:$B$1025,MATCH($E196,学年度总表!$E$3:$E$1025,0))="","",INDEX(学年度总表!$B$3:$B$1025,MATCH($E196,学年度总表!$E$3:$E$1025,0)))</f>
        <v>194</v>
      </c>
      <c r="C196" s="2" t="str">
        <f>IF(INDEX(学年度总表!$C$3:$C$1025,MATCH($E196,学年度总表!$E$3:$E$1025,0))="","",INDEX(学年度总表!$C$3:$C$1025,MATCH($E196,学年度总表!$E$3:$E$1025,0)))</f>
        <v>信管</v>
      </c>
      <c r="D196" s="2" t="str">
        <f>IF(INDEX(学年度总表!$D$3:$D$1025,MATCH($E196,学年度总表!$E$3:$E$1025,0))="","",INDEX(学年度总表!$D$3:$D$1025,MATCH($E196,学年度总表!$E$3:$E$1025,0)))</f>
        <v>信管22班</v>
      </c>
      <c r="E196" s="2" t="s">
        <v>1237</v>
      </c>
      <c r="F196" s="2" t="str">
        <f>IF(INDEX(学年度总表!$F$3:$F$1025,MATCH($E196,学年度总表!$E$3:$E$1025,0))="","",INDEX(学年度总表!$F$3:$F$1025,MATCH($E196,学年度总表!$E$3:$E$1025,0)))</f>
        <v>逯雅琪</v>
      </c>
      <c r="G196" s="3">
        <f>IF(INDEX(学年度总表!$G$3:$G$1025,MATCH($E196,学年度总表!$E$3:$E$1025,0))="","",INDEX(学年度总表!$G$3:$G$1025,MATCH($E196,学年度总表!$E$3:$E$1025,0)))</f>
        <v>9.8000000000000007</v>
      </c>
      <c r="H196" s="3">
        <f>IF(INDEX(学年度总表!$H$3:$H$1025,MATCH($E196,学年度总表!$E$3:$E$1025,0))="","",INDEX(学年度总表!$H$3:$H$1025,MATCH($E196,学年度总表!$E$3:$E$1025,0)))</f>
        <v>59.23</v>
      </c>
      <c r="I196" s="3">
        <f>IF(INDEX(学年度总表!$I$3:$I$1025,MATCH($E196,学年度总表!$E$3:$E$1025,0))="","",INDEX(学年度总表!$I$3:$I$1025,MATCH($E196,学年度总表!$E$3:$E$1025,0)))</f>
        <v>3</v>
      </c>
      <c r="J196" s="3">
        <f>IF(INDEX(学年度总表!$J$3:$J$1025,MATCH($E196,学年度总表!$E$3:$E$1025,0))="","",INDEX(学年度总表!$J$3:$J$1025,MATCH($E196,学年度总表!$E$3:$E$1025,0)))</f>
        <v>72.03</v>
      </c>
      <c r="K196" s="3">
        <f>IF(INDEX(学年度总表!$K$3:$K$1025,MATCH($E196,学年度总表!$E$3:$E$1025,0))="","",INDEX(学年度总表!$K$3:$K$1025,MATCH($E196,学年度总表!$E$3:$E$1025,0)))</f>
        <v>9.8000000000000007</v>
      </c>
      <c r="L196" s="3">
        <f>IF(INDEX(学年度总表!$L$3:$L$1025,MATCH($E196,学年度总表!$E$3:$E$1025,0))="","",INDEX(学年度总表!$L$3:$L$1025,MATCH($E196,学年度总表!$E$3:$E$1025,0)))</f>
        <v>51.2</v>
      </c>
      <c r="M196" s="3">
        <f>IF(INDEX(学年度总表!$M$3:$M$1025,MATCH($E196,学年度总表!$E$3:$E$1025,0))="","",INDEX(学年度总表!$M$3:$M$1025,MATCH($E196,学年度总表!$E$3:$E$1025,0)))</f>
        <v>3</v>
      </c>
      <c r="N196" s="3">
        <f>IF(INDEX(学年度总表!$N$3:$N$1025,MATCH($E196,学年度总表!$E$3:$E$1025,0))="","",INDEX(学年度总表!$N$3:$N$1025,MATCH($E196,学年度总表!$E$3:$E$1025,0)))</f>
        <v>64</v>
      </c>
      <c r="O196" s="3">
        <f>IF(INDEX(学年度总表!$O$3:$O$1025,MATCH($E196,学年度总表!$E$3:$E$1025,0))="","",INDEX(学年度总表!$O$3:$O$1025,MATCH($E196,学年度总表!$E$3:$E$1025,0)))</f>
        <v>136.03</v>
      </c>
      <c r="P196" s="2" t="str">
        <f>IF(INDEX(学年度总表!$P$3:$P$1025,MATCH($E196,学年度总表!$E$3:$E$1025,0))="","",INDEX(学年度总表!$P$3:$P$1025,MATCH($E196,学年度总表!$E$3:$E$1025,0)))</f>
        <v/>
      </c>
      <c r="Q196" s="5" t="str">
        <f>IF(INDEX(学年度总表!$Q$3:$Q$1025,MATCH($E196,学年度总表!$E$3:$E$1025,0))="","",INDEX(学年度总表!$Q$3:$Q$1025,MATCH($E196,学年度总表!$E$3:$E$1025,0)))</f>
        <v/>
      </c>
    </row>
    <row r="197" spans="1:17">
      <c r="A197" s="2">
        <f>IF(INDEX(学年度总表!$A$3:$A$1025,MATCH($E197,学年度总表!$E$3:$E$1025,0))="","",INDEX(学年度总表!$A$3:$A$1025,MATCH($E197,学年度总表!$E$3:$E$1025,0)))</f>
        <v>589</v>
      </c>
      <c r="B197" s="2">
        <f>IF(INDEX(学年度总表!$B$3:$B$1025,MATCH($E197,学年度总表!$E$3:$E$1025,0))="","",INDEX(学年度总表!$B$3:$B$1025,MATCH($E197,学年度总表!$E$3:$E$1025,0)))</f>
        <v>195</v>
      </c>
      <c r="C197" s="2" t="str">
        <f>IF(INDEX(学年度总表!$C$3:$C$1025,MATCH($E197,学年度总表!$E$3:$E$1025,0))="","",INDEX(学年度总表!$C$3:$C$1025,MATCH($E197,学年度总表!$E$3:$E$1025,0)))</f>
        <v>信管</v>
      </c>
      <c r="D197" s="2" t="str">
        <f>IF(INDEX(学年度总表!$D$3:$D$1025,MATCH($E197,学年度总表!$E$3:$E$1025,0))="","",INDEX(学年度总表!$D$3:$D$1025,MATCH($E197,学年度总表!$E$3:$E$1025,0)))</f>
        <v>信管23班</v>
      </c>
      <c r="E197" s="2" t="s">
        <v>1241</v>
      </c>
      <c r="F197" s="2" t="str">
        <f>IF(INDEX(学年度总表!$F$3:$F$1025,MATCH($E197,学年度总表!$E$3:$E$1025,0))="","",INDEX(学年度总表!$F$3:$F$1025,MATCH($E197,学年度总表!$E$3:$E$1025,0)))</f>
        <v>郝佳蕊</v>
      </c>
      <c r="G197" s="3">
        <f>IF(INDEX(学年度总表!$G$3:$G$1025,MATCH($E197,学年度总表!$E$3:$E$1025,0))="","",INDEX(学年度总表!$G$3:$G$1025,MATCH($E197,学年度总表!$E$3:$E$1025,0)))</f>
        <v>9.8000000000000007</v>
      </c>
      <c r="H197" s="3">
        <f>IF(INDEX(学年度总表!$H$3:$H$1025,MATCH($E197,学年度总表!$E$3:$E$1025,0))="","",INDEX(学年度总表!$H$3:$H$1025,MATCH($E197,学年度总表!$E$3:$E$1025,0)))</f>
        <v>52.9</v>
      </c>
      <c r="I197" s="3">
        <f>IF(INDEX(学年度总表!$I$3:$I$1025,MATCH($E197,学年度总表!$E$3:$E$1025,0))="","",INDEX(学年度总表!$I$3:$I$1025,MATCH($E197,学年度总表!$E$3:$E$1025,0)))</f>
        <v>3.6</v>
      </c>
      <c r="J197" s="3">
        <f>IF(INDEX(学年度总表!$J$3:$J$1025,MATCH($E197,学年度总表!$E$3:$E$1025,0))="","",INDEX(学年度总表!$J$3:$J$1025,MATCH($E197,学年度总表!$E$3:$E$1025,0)))</f>
        <v>66.3</v>
      </c>
      <c r="K197" s="3">
        <f>IF(INDEX(学年度总表!$K$3:$K$1025,MATCH($E197,学年度总表!$E$3:$E$1025,0))="","",INDEX(学年度总表!$K$3:$K$1025,MATCH($E197,学年度总表!$E$3:$E$1025,0)))</f>
        <v>9.8000000000000007</v>
      </c>
      <c r="L197" s="3">
        <f>IF(INDEX(学年度总表!$L$3:$L$1025,MATCH($E197,学年度总表!$E$3:$E$1025,0))="","",INDEX(学年度总表!$L$3:$L$1025,MATCH($E197,学年度总表!$E$3:$E$1025,0)))</f>
        <v>55.8</v>
      </c>
      <c r="M197" s="3">
        <f>IF(INDEX(学年度总表!$M$3:$M$1025,MATCH($E197,学年度总表!$E$3:$E$1025,0))="","",INDEX(学年度总表!$M$3:$M$1025,MATCH($E197,学年度总表!$E$3:$E$1025,0)))</f>
        <v>4.0999999999999996</v>
      </c>
      <c r="N197" s="3">
        <f>IF(INDEX(学年度总表!$N$3:$N$1025,MATCH($E197,学年度总表!$E$3:$E$1025,0))="","",INDEX(学年度总表!$N$3:$N$1025,MATCH($E197,学年度总表!$E$3:$E$1025,0)))</f>
        <v>69.7</v>
      </c>
      <c r="O197" s="3">
        <f>IF(INDEX(学年度总表!$O$3:$O$1025,MATCH($E197,学年度总表!$E$3:$E$1025,0))="","",INDEX(学年度总表!$O$3:$O$1025,MATCH($E197,学年度总表!$E$3:$E$1025,0)))</f>
        <v>136</v>
      </c>
      <c r="P197" s="2" t="str">
        <f>IF(INDEX(学年度总表!$P$3:$P$1025,MATCH($E197,学年度总表!$E$3:$E$1025,0))="","",INDEX(学年度总表!$P$3:$P$1025,MATCH($E197,学年度总表!$E$3:$E$1025,0)))</f>
        <v/>
      </c>
      <c r="Q197" s="5" t="str">
        <f>IF(INDEX(学年度总表!$Q$3:$Q$1025,MATCH($E197,学年度总表!$E$3:$E$1025,0))="","",INDEX(学年度总表!$Q$3:$Q$1025,MATCH($E197,学年度总表!$E$3:$E$1025,0)))</f>
        <v/>
      </c>
    </row>
    <row r="198" spans="1:17">
      <c r="A198" s="2">
        <f>IF(INDEX(学年度总表!$A$3:$A$1025,MATCH($E198,学年度总表!$E$3:$E$1025,0))="","",INDEX(学年度总表!$A$3:$A$1025,MATCH($E198,学年度总表!$E$3:$E$1025,0)))</f>
        <v>597</v>
      </c>
      <c r="B198" s="2">
        <f>IF(INDEX(学年度总表!$B$3:$B$1025,MATCH($E198,学年度总表!$E$3:$E$1025,0))="","",INDEX(学年度总表!$B$3:$B$1025,MATCH($E198,学年度总表!$E$3:$E$1025,0)))</f>
        <v>196</v>
      </c>
      <c r="C198" s="2" t="str">
        <f>IF(INDEX(学年度总表!$C$3:$C$1025,MATCH($E198,学年度总表!$E$3:$E$1025,0))="","",INDEX(学年度总表!$C$3:$C$1025,MATCH($E198,学年度总表!$E$3:$E$1025,0)))</f>
        <v>信管</v>
      </c>
      <c r="D198" s="2" t="str">
        <f>IF(INDEX(学年度总表!$D$3:$D$1025,MATCH($E198,学年度总表!$E$3:$E$1025,0))="","",INDEX(学年度总表!$D$3:$D$1025,MATCH($E198,学年度总表!$E$3:$E$1025,0)))</f>
        <v>信管24班</v>
      </c>
      <c r="E198" s="2" t="s">
        <v>1255</v>
      </c>
      <c r="F198" s="2" t="str">
        <f>IF(INDEX(学年度总表!$F$3:$F$1025,MATCH($E198,学年度总表!$E$3:$E$1025,0))="","",INDEX(学年度总表!$F$3:$F$1025,MATCH($E198,学年度总表!$E$3:$E$1025,0)))</f>
        <v>杨璨</v>
      </c>
      <c r="G198" s="3">
        <f>IF(INDEX(学年度总表!$G$3:$G$1025,MATCH($E198,学年度总表!$E$3:$E$1025,0))="","",INDEX(学年度总表!$G$3:$G$1025,MATCH($E198,学年度总表!$E$3:$E$1025,0)))</f>
        <v>10</v>
      </c>
      <c r="H198" s="3">
        <f>IF(INDEX(学年度总表!$H$3:$H$1025,MATCH($E198,学年度总表!$E$3:$E$1025,0))="","",INDEX(学年度总表!$H$3:$H$1025,MATCH($E198,学年度总表!$E$3:$E$1025,0)))</f>
        <v>54.61</v>
      </c>
      <c r="I198" s="3">
        <f>IF(INDEX(学年度总表!$I$3:$I$1025,MATCH($E198,学年度总表!$E$3:$E$1025,0))="","",INDEX(学年度总表!$I$3:$I$1025,MATCH($E198,学年度总表!$E$3:$E$1025,0)))</f>
        <v>3</v>
      </c>
      <c r="J198" s="3">
        <f>IF(INDEX(学年度总表!$J$3:$J$1025,MATCH($E198,学年度总表!$E$3:$E$1025,0))="","",INDEX(学年度总表!$J$3:$J$1025,MATCH($E198,学年度总表!$E$3:$E$1025,0)))</f>
        <v>67.61</v>
      </c>
      <c r="K198" s="3">
        <f>IF(INDEX(学年度总表!$K$3:$K$1025,MATCH($E198,学年度总表!$E$3:$E$1025,0))="","",INDEX(学年度总表!$K$3:$K$1025,MATCH($E198,学年度总表!$E$3:$E$1025,0)))</f>
        <v>10</v>
      </c>
      <c r="L198" s="3">
        <f>IF(INDEX(学年度总表!$L$3:$L$1025,MATCH($E198,学年度总表!$E$3:$E$1025,0))="","",INDEX(学年度总表!$L$3:$L$1025,MATCH($E198,学年度总表!$E$3:$E$1025,0)))</f>
        <v>54.99</v>
      </c>
      <c r="M198" s="3">
        <f>IF(INDEX(学年度总表!$M$3:$M$1025,MATCH($E198,学年度总表!$E$3:$E$1025,0))="","",INDEX(学年度总表!$M$3:$M$1025,MATCH($E198,学年度总表!$E$3:$E$1025,0)))</f>
        <v>3</v>
      </c>
      <c r="N198" s="3">
        <f>IF(INDEX(学年度总表!$N$3:$N$1025,MATCH($E198,学年度总表!$E$3:$E$1025,0))="","",INDEX(学年度总表!$N$3:$N$1025,MATCH($E198,学年度总表!$E$3:$E$1025,0)))</f>
        <v>67.989999999999995</v>
      </c>
      <c r="O198" s="3">
        <f>IF(INDEX(学年度总表!$O$3:$O$1025,MATCH($E198,学年度总表!$E$3:$E$1025,0))="","",INDEX(学年度总表!$O$3:$O$1025,MATCH($E198,学年度总表!$E$3:$E$1025,0)))</f>
        <v>135.6</v>
      </c>
      <c r="P198" s="4" t="str">
        <f>IF(INDEX(学年度总表!$P$3:$P$1025,MATCH($E198,学年度总表!$E$3:$E$1025,0))="","",INDEX(学年度总表!$P$3:$P$1025,MATCH($E198,学年度总表!$E$3:$E$1025,0)))</f>
        <v>校励</v>
      </c>
      <c r="Q198" s="5" t="str">
        <f>IF(INDEX(学年度总表!$Q$3:$Q$1025,MATCH($E198,学年度总表!$E$3:$E$1025,0))="","",INDEX(学年度总表!$Q$3:$Q$1025,MATCH($E198,学年度总表!$E$3:$E$1025,0)))</f>
        <v/>
      </c>
    </row>
    <row r="199" spans="1:17">
      <c r="A199" s="2">
        <f>IF(INDEX(学年度总表!$A$3:$A$1025,MATCH($E199,学年度总表!$E$3:$E$1025,0))="","",INDEX(学年度总表!$A$3:$A$1025,MATCH($E199,学年度总表!$E$3:$E$1025,0)))</f>
        <v>599</v>
      </c>
      <c r="B199" s="2">
        <f>IF(INDEX(学年度总表!$B$3:$B$1025,MATCH($E199,学年度总表!$E$3:$E$1025,0))="","",INDEX(学年度总表!$B$3:$B$1025,MATCH($E199,学年度总表!$E$3:$E$1025,0)))</f>
        <v>197</v>
      </c>
      <c r="C199" s="2" t="str">
        <f>IF(INDEX(学年度总表!$C$3:$C$1025,MATCH($E199,学年度总表!$E$3:$E$1025,0))="","",INDEX(学年度总表!$C$3:$C$1025,MATCH($E199,学年度总表!$E$3:$E$1025,0)))</f>
        <v>信管</v>
      </c>
      <c r="D199" s="2" t="str">
        <f>IF(INDEX(学年度总表!$D$3:$D$1025,MATCH($E199,学年度总表!$E$3:$E$1025,0))="","",INDEX(学年度总表!$D$3:$D$1025,MATCH($E199,学年度总表!$E$3:$E$1025,0)))</f>
        <v>信管28班</v>
      </c>
      <c r="E199" s="2" t="s">
        <v>1259</v>
      </c>
      <c r="F199" s="2" t="str">
        <f>IF(INDEX(学年度总表!$F$3:$F$1025,MATCH($E199,学年度总表!$E$3:$E$1025,0))="","",INDEX(学年度总表!$F$3:$F$1025,MATCH($E199,学年度总表!$E$3:$E$1025,0)))</f>
        <v>苏稚晴</v>
      </c>
      <c r="G199" s="3">
        <f>IF(INDEX(学年度总表!$G$3:$G$1025,MATCH($E199,学年度总表!$E$3:$E$1025,0))="","",INDEX(学年度总表!$G$3:$G$1025,MATCH($E199,学年度总表!$E$3:$E$1025,0)))</f>
        <v>9.8000000000000007</v>
      </c>
      <c r="H199" s="3">
        <f>IF(INDEX(学年度总表!$H$3:$H$1025,MATCH($E199,学年度总表!$E$3:$E$1025,0))="","",INDEX(学年度总表!$H$3:$H$1025,MATCH($E199,学年度总表!$E$3:$E$1025,0)))</f>
        <v>60.62</v>
      </c>
      <c r="I199" s="3">
        <f>IF(INDEX(学年度总表!$I$3:$I$1025,MATCH($E199,学年度总表!$E$3:$E$1025,0))="","",INDEX(学年度总表!$I$3:$I$1025,MATCH($E199,学年度总表!$E$3:$E$1025,0)))</f>
        <v>3</v>
      </c>
      <c r="J199" s="3">
        <f>IF(INDEX(学年度总表!$J$3:$J$1025,MATCH($E199,学年度总表!$E$3:$E$1025,0))="","",INDEX(学年度总表!$J$3:$J$1025,MATCH($E199,学年度总表!$E$3:$E$1025,0)))</f>
        <v>73.42</v>
      </c>
      <c r="K199" s="3">
        <f>IF(INDEX(学年度总表!$K$3:$K$1025,MATCH($E199,学年度总表!$E$3:$E$1025,0))="","",INDEX(学年度总表!$K$3:$K$1025,MATCH($E199,学年度总表!$E$3:$E$1025,0)))</f>
        <v>7.5</v>
      </c>
      <c r="L199" s="3">
        <f>IF(INDEX(学年度总表!$L$3:$L$1025,MATCH($E199,学年度总表!$E$3:$E$1025,0))="","",INDEX(学年度总表!$L$3:$L$1025,MATCH($E199,学年度总表!$E$3:$E$1025,0)))</f>
        <v>51.15</v>
      </c>
      <c r="M199" s="3">
        <f>IF(INDEX(学年度总表!$M$3:$M$1025,MATCH($E199,学年度总表!$E$3:$E$1025,0))="","",INDEX(学年度总表!$M$3:$M$1025,MATCH($E199,学年度总表!$E$3:$E$1025,0)))</f>
        <v>3.5</v>
      </c>
      <c r="N199" s="3">
        <f>IF(INDEX(学年度总表!$N$3:$N$1025,MATCH($E199,学年度总表!$E$3:$E$1025,0))="","",INDEX(学年度总表!$N$3:$N$1025,MATCH($E199,学年度总表!$E$3:$E$1025,0)))</f>
        <v>62.15</v>
      </c>
      <c r="O199" s="3">
        <f>IF(INDEX(学年度总表!$O$3:$O$1025,MATCH($E199,学年度总表!$E$3:$E$1025,0))="","",INDEX(学年度总表!$O$3:$O$1025,MATCH($E199,学年度总表!$E$3:$E$1025,0)))</f>
        <v>135.57</v>
      </c>
      <c r="P199" s="2" t="str">
        <f>IF(INDEX(学年度总表!$P$3:$P$1025,MATCH($E199,学年度总表!$E$3:$E$1025,0))="","",INDEX(学年度总表!$P$3:$P$1025,MATCH($E199,学年度总表!$E$3:$E$1025,0)))</f>
        <v/>
      </c>
      <c r="Q199" s="5" t="str">
        <f>IF(INDEX(学年度总表!$Q$3:$Q$1025,MATCH($E199,学年度总表!$E$3:$E$1025,0))="","",INDEX(学年度总表!$Q$3:$Q$1025,MATCH($E199,学年度总表!$E$3:$E$1025,0)))</f>
        <v/>
      </c>
    </row>
    <row r="200" spans="1:17">
      <c r="A200" s="2">
        <f>IF(INDEX(学年度总表!$A$3:$A$1025,MATCH($E200,学年度总表!$E$3:$E$1025,0))="","",INDEX(学年度总表!$A$3:$A$1025,MATCH($E200,学年度总表!$E$3:$E$1025,0)))</f>
        <v>600</v>
      </c>
      <c r="B200" s="2">
        <f>IF(INDEX(学年度总表!$B$3:$B$1025,MATCH($E200,学年度总表!$E$3:$E$1025,0))="","",INDEX(学年度总表!$B$3:$B$1025,MATCH($E200,学年度总表!$E$3:$E$1025,0)))</f>
        <v>198</v>
      </c>
      <c r="C200" s="2" t="str">
        <f>IF(INDEX(学年度总表!$C$3:$C$1025,MATCH($E200,学年度总表!$E$3:$E$1025,0))="","",INDEX(学年度总表!$C$3:$C$1025,MATCH($E200,学年度总表!$E$3:$E$1025,0)))</f>
        <v>信管</v>
      </c>
      <c r="D200" s="2" t="str">
        <f>IF(INDEX(学年度总表!$D$3:$D$1025,MATCH($E200,学年度总表!$E$3:$E$1025,0))="","",INDEX(学年度总表!$D$3:$D$1025,MATCH($E200,学年度总表!$E$3:$E$1025,0)))</f>
        <v>信管23班</v>
      </c>
      <c r="E200" s="2" t="s">
        <v>1261</v>
      </c>
      <c r="F200" s="2" t="str">
        <f>IF(INDEX(学年度总表!$F$3:$F$1025,MATCH($E200,学年度总表!$E$3:$E$1025,0))="","",INDEX(学年度总表!$F$3:$F$1025,MATCH($E200,学年度总表!$E$3:$E$1025,0)))</f>
        <v>马语晗</v>
      </c>
      <c r="G200" s="3">
        <f>IF(INDEX(学年度总表!$G$3:$G$1025,MATCH($E200,学年度总表!$E$3:$E$1025,0))="","",INDEX(学年度总表!$G$3:$G$1025,MATCH($E200,学年度总表!$E$3:$E$1025,0)))</f>
        <v>10</v>
      </c>
      <c r="H200" s="3">
        <f>IF(INDEX(学年度总表!$H$3:$H$1025,MATCH($E200,学年度总表!$E$3:$E$1025,0))="","",INDEX(学年度总表!$H$3:$H$1025,MATCH($E200,学年度总表!$E$3:$E$1025,0)))</f>
        <v>55.11</v>
      </c>
      <c r="I200" s="3">
        <f>IF(INDEX(学年度总表!$I$3:$I$1025,MATCH($E200,学年度总表!$E$3:$E$1025,0))="","",INDEX(学年度总表!$I$3:$I$1025,MATCH($E200,学年度总表!$E$3:$E$1025,0)))</f>
        <v>3.9</v>
      </c>
      <c r="J200" s="3">
        <f>IF(INDEX(学年度总表!$J$3:$J$1025,MATCH($E200,学年度总表!$E$3:$E$1025,0))="","",INDEX(学年度总表!$J$3:$J$1025,MATCH($E200,学年度总表!$E$3:$E$1025,0)))</f>
        <v>69.010000000000005</v>
      </c>
      <c r="K200" s="3">
        <f>IF(INDEX(学年度总表!$K$3:$K$1025,MATCH($E200,学年度总表!$E$3:$E$1025,0))="","",INDEX(学年度总表!$K$3:$K$1025,MATCH($E200,学年度总表!$E$3:$E$1025,0)))</f>
        <v>10</v>
      </c>
      <c r="L200" s="3">
        <f>IF(INDEX(学年度总表!$L$3:$L$1025,MATCH($E200,学年度总表!$E$3:$E$1025,0))="","",INDEX(学年度总表!$L$3:$L$1025,MATCH($E200,学年度总表!$E$3:$E$1025,0)))</f>
        <v>51.31</v>
      </c>
      <c r="M200" s="3">
        <f>IF(INDEX(学年度总表!$M$3:$M$1025,MATCH($E200,学年度总表!$E$3:$E$1025,0))="","",INDEX(学年度总表!$M$3:$M$1025,MATCH($E200,学年度总表!$E$3:$E$1025,0)))</f>
        <v>5.2</v>
      </c>
      <c r="N200" s="3">
        <f>IF(INDEX(学年度总表!$N$3:$N$1025,MATCH($E200,学年度总表!$E$3:$E$1025,0))="","",INDEX(学年度总表!$N$3:$N$1025,MATCH($E200,学年度总表!$E$3:$E$1025,0)))</f>
        <v>66.510000000000005</v>
      </c>
      <c r="O200" s="3">
        <f>IF(INDEX(学年度总表!$O$3:$O$1025,MATCH($E200,学年度总表!$E$3:$E$1025,0))="","",INDEX(学年度总表!$O$3:$O$1025,MATCH($E200,学年度总表!$E$3:$E$1025,0)))</f>
        <v>135.52000000000001</v>
      </c>
      <c r="P200" s="2" t="str">
        <f>IF(INDEX(学年度总表!$P$3:$P$1025,MATCH($E200,学年度总表!$E$3:$E$1025,0))="","",INDEX(学年度总表!$P$3:$P$1025,MATCH($E200,学年度总表!$E$3:$E$1025,0)))</f>
        <v/>
      </c>
      <c r="Q200" s="5" t="str">
        <f>IF(INDEX(学年度总表!$Q$3:$Q$1025,MATCH($E200,学年度总表!$E$3:$E$1025,0))="","",INDEX(学年度总表!$Q$3:$Q$1025,MATCH($E200,学年度总表!$E$3:$E$1025,0)))</f>
        <v/>
      </c>
    </row>
    <row r="201" spans="1:17">
      <c r="A201" s="2">
        <f>IF(INDEX(学年度总表!$A$3:$A$1025,MATCH($E201,学年度总表!$E$3:$E$1025,0))="","",INDEX(学年度总表!$A$3:$A$1025,MATCH($E201,学年度总表!$E$3:$E$1025,0)))</f>
        <v>605</v>
      </c>
      <c r="B201" s="2">
        <f>IF(INDEX(学年度总表!$B$3:$B$1025,MATCH($E201,学年度总表!$E$3:$E$1025,0))="","",INDEX(学年度总表!$B$3:$B$1025,MATCH($E201,学年度总表!$E$3:$E$1025,0)))</f>
        <v>199</v>
      </c>
      <c r="C201" s="2" t="str">
        <f>IF(INDEX(学年度总表!$C$3:$C$1025,MATCH($E201,学年度总表!$E$3:$E$1025,0))="","",INDEX(学年度总表!$C$3:$C$1025,MATCH($E201,学年度总表!$E$3:$E$1025,0)))</f>
        <v>信管</v>
      </c>
      <c r="D201" s="2" t="str">
        <f>IF(INDEX(学年度总表!$D$3:$D$1025,MATCH($E201,学年度总表!$E$3:$E$1025,0))="","",INDEX(学年度总表!$D$3:$D$1025,MATCH($E201,学年度总表!$E$3:$E$1025,0)))</f>
        <v>信管20班</v>
      </c>
      <c r="E201" s="2" t="s">
        <v>1271</v>
      </c>
      <c r="F201" s="2" t="str">
        <f>IF(INDEX(学年度总表!$F$3:$F$1025,MATCH($E201,学年度总表!$E$3:$E$1025,0))="","",INDEX(学年度总表!$F$3:$F$1025,MATCH($E201,学年度总表!$E$3:$E$1025,0)))</f>
        <v>刘亦非</v>
      </c>
      <c r="G201" s="3">
        <f>IF(INDEX(学年度总表!$G$3:$G$1025,MATCH($E201,学年度总表!$E$3:$E$1025,0))="","",INDEX(学年度总表!$G$3:$G$1025,MATCH($E201,学年度总表!$E$3:$E$1025,0)))</f>
        <v>9.8000000000000007</v>
      </c>
      <c r="H201" s="3">
        <f>IF(INDEX(学年度总表!$H$3:$H$1025,MATCH($E201,学年度总表!$E$3:$E$1025,0))="","",INDEX(学年度总表!$H$3:$H$1025,MATCH($E201,学年度总表!$E$3:$E$1025,0)))</f>
        <v>54.61</v>
      </c>
      <c r="I201" s="3">
        <f>IF(INDEX(学年度总表!$I$3:$I$1025,MATCH($E201,学年度总表!$E$3:$E$1025,0))="","",INDEX(学年度总表!$I$3:$I$1025,MATCH($E201,学年度总表!$E$3:$E$1025,0)))</f>
        <v>3.4</v>
      </c>
      <c r="J201" s="3">
        <f>IF(INDEX(学年度总表!$J$3:$J$1025,MATCH($E201,学年度总表!$E$3:$E$1025,0))="","",INDEX(学年度总表!$J$3:$J$1025,MATCH($E201,学年度总表!$E$3:$E$1025,0)))</f>
        <v>67.81</v>
      </c>
      <c r="K201" s="3">
        <f>IF(INDEX(学年度总表!$K$3:$K$1025,MATCH($E201,学年度总表!$E$3:$E$1025,0))="","",INDEX(学年度总表!$K$3:$K$1025,MATCH($E201,学年度总表!$E$3:$E$1025,0)))</f>
        <v>10</v>
      </c>
      <c r="L201" s="3">
        <f>IF(INDEX(学年度总表!$L$3:$L$1025,MATCH($E201,学年度总表!$E$3:$E$1025,0))="","",INDEX(学年度总表!$L$3:$L$1025,MATCH($E201,学年度总表!$E$3:$E$1025,0)))</f>
        <v>53.48</v>
      </c>
      <c r="M201" s="3">
        <f>IF(INDEX(学年度总表!$M$3:$M$1025,MATCH($E201,学年度总表!$E$3:$E$1025,0))="","",INDEX(学年度总表!$M$3:$M$1025,MATCH($E201,学年度总表!$E$3:$E$1025,0)))</f>
        <v>3.9</v>
      </c>
      <c r="N201" s="3">
        <f>IF(INDEX(学年度总表!$N$3:$N$1025,MATCH($E201,学年度总表!$E$3:$E$1025,0))="","",INDEX(学年度总表!$N$3:$N$1025,MATCH($E201,学年度总表!$E$3:$E$1025,0)))</f>
        <v>67.38</v>
      </c>
      <c r="O201" s="3">
        <f>IF(INDEX(学年度总表!$O$3:$O$1025,MATCH($E201,学年度总表!$E$3:$E$1025,0))="","",INDEX(学年度总表!$O$3:$O$1025,MATCH($E201,学年度总表!$E$3:$E$1025,0)))</f>
        <v>135.19</v>
      </c>
      <c r="P201" s="2" t="str">
        <f>IF(INDEX(学年度总表!$P$3:$P$1025,MATCH($E201,学年度总表!$E$3:$E$1025,0))="","",INDEX(学年度总表!$P$3:$P$1025,MATCH($E201,学年度总表!$E$3:$E$1025,0)))</f>
        <v/>
      </c>
      <c r="Q201" s="5" t="str">
        <f>IF(INDEX(学年度总表!$Q$3:$Q$1025,MATCH($E201,学年度总表!$E$3:$E$1025,0))="","",INDEX(学年度总表!$Q$3:$Q$1025,MATCH($E201,学年度总表!$E$3:$E$1025,0)))</f>
        <v/>
      </c>
    </row>
    <row r="202" spans="1:17">
      <c r="A202" s="2">
        <f>IF(INDEX(学年度总表!$A$3:$A$1025,MATCH($E202,学年度总表!$E$3:$E$1025,0))="","",INDEX(学年度总表!$A$3:$A$1025,MATCH($E202,学年度总表!$E$3:$E$1025,0)))</f>
        <v>608</v>
      </c>
      <c r="B202" s="2">
        <f>IF(INDEX(学年度总表!$B$3:$B$1025,MATCH($E202,学年度总表!$E$3:$E$1025,0))="","",INDEX(学年度总表!$B$3:$B$1025,MATCH($E202,学年度总表!$E$3:$E$1025,0)))</f>
        <v>200</v>
      </c>
      <c r="C202" s="2" t="str">
        <f>IF(INDEX(学年度总表!$C$3:$C$1025,MATCH($E202,学年度总表!$E$3:$E$1025,0))="","",INDEX(学年度总表!$C$3:$C$1025,MATCH($E202,学年度总表!$E$3:$E$1025,0)))</f>
        <v>信管</v>
      </c>
      <c r="D202" s="2" t="str">
        <f>IF(INDEX(学年度总表!$D$3:$D$1025,MATCH($E202,学年度总表!$E$3:$E$1025,0))="","",INDEX(学年度总表!$D$3:$D$1025,MATCH($E202,学年度总表!$E$3:$E$1025,0)))</f>
        <v>信管27班</v>
      </c>
      <c r="E202" s="2" t="s">
        <v>1277</v>
      </c>
      <c r="F202" s="2" t="str">
        <f>IF(INDEX(学年度总表!$F$3:$F$1025,MATCH($E202,学年度总表!$E$3:$E$1025,0))="","",INDEX(学年度总表!$F$3:$F$1025,MATCH($E202,学年度总表!$E$3:$E$1025,0)))</f>
        <v>宫玺泽慧</v>
      </c>
      <c r="G202" s="3">
        <f>IF(INDEX(学年度总表!$G$3:$G$1025,MATCH($E202,学年度总表!$E$3:$E$1025,0))="","",INDEX(学年度总表!$G$3:$G$1025,MATCH($E202,学年度总表!$E$3:$E$1025,0)))</f>
        <v>9.8000000000000007</v>
      </c>
      <c r="H202" s="3">
        <f>IF(INDEX(学年度总表!$H$3:$H$1025,MATCH($E202,学年度总表!$E$3:$E$1025,0))="","",INDEX(学年度总表!$H$3:$H$1025,MATCH($E202,学年度总表!$E$3:$E$1025,0)))</f>
        <v>57.58</v>
      </c>
      <c r="I202" s="3">
        <f>IF(INDEX(学年度总表!$I$3:$I$1025,MATCH($E202,学年度总表!$E$3:$E$1025,0))="","",INDEX(学年度总表!$I$3:$I$1025,MATCH($E202,学年度总表!$E$3:$E$1025,0)))</f>
        <v>3</v>
      </c>
      <c r="J202" s="3">
        <f>IF(INDEX(学年度总表!$J$3:$J$1025,MATCH($E202,学年度总表!$E$3:$E$1025,0))="","",INDEX(学年度总表!$J$3:$J$1025,MATCH($E202,学年度总表!$E$3:$E$1025,0)))</f>
        <v>70.38</v>
      </c>
      <c r="K202" s="3">
        <f>IF(INDEX(学年度总表!$K$3:$K$1025,MATCH($E202,学年度总表!$E$3:$E$1025,0))="","",INDEX(学年度总表!$K$3:$K$1025,MATCH($E202,学年度总表!$E$3:$E$1025,0)))</f>
        <v>7.3000000000000007</v>
      </c>
      <c r="L202" s="3">
        <f>IF(INDEX(学年度总表!$L$3:$L$1025,MATCH($E202,学年度总表!$E$3:$E$1025,0))="","",INDEX(学年度总表!$L$3:$L$1025,MATCH($E202,学年度总表!$E$3:$E$1025,0)))</f>
        <v>52.84</v>
      </c>
      <c r="M202" s="3">
        <f>IF(INDEX(学年度总表!$M$3:$M$1025,MATCH($E202,学年度总表!$E$3:$E$1025,0))="","",INDEX(学年度总表!$M$3:$M$1025,MATCH($E202,学年度总表!$E$3:$E$1025,0)))</f>
        <v>4.5</v>
      </c>
      <c r="N202" s="3">
        <f>IF(INDEX(学年度总表!$N$3:$N$1025,MATCH($E202,学年度总表!$E$3:$E$1025,0))="","",INDEX(学年度总表!$N$3:$N$1025,MATCH($E202,学年度总表!$E$3:$E$1025,0)))</f>
        <v>64.64</v>
      </c>
      <c r="O202" s="3">
        <f>IF(INDEX(学年度总表!$O$3:$O$1025,MATCH($E202,学年度总表!$E$3:$E$1025,0))="","",INDEX(学年度总表!$O$3:$O$1025,MATCH($E202,学年度总表!$E$3:$E$1025,0)))</f>
        <v>135.02000000000001</v>
      </c>
      <c r="P202" s="2" t="str">
        <f>IF(INDEX(学年度总表!$P$3:$P$1025,MATCH($E202,学年度总表!$E$3:$E$1025,0))="","",INDEX(学年度总表!$P$3:$P$1025,MATCH($E202,学年度总表!$E$3:$E$1025,0)))</f>
        <v/>
      </c>
      <c r="Q202" s="5" t="str">
        <f>IF(INDEX(学年度总表!$Q$3:$Q$1025,MATCH($E202,学年度总表!$E$3:$E$1025,0))="","",INDEX(学年度总表!$Q$3:$Q$1025,MATCH($E202,学年度总表!$E$3:$E$1025,0)))</f>
        <v/>
      </c>
    </row>
    <row r="203" spans="1:17">
      <c r="A203" s="2">
        <f>IF(INDEX(学年度总表!$A$3:$A$1025,MATCH($E203,学年度总表!$E$3:$E$1025,0))="","",INDEX(学年度总表!$A$3:$A$1025,MATCH($E203,学年度总表!$E$3:$E$1025,0)))</f>
        <v>609</v>
      </c>
      <c r="B203" s="2">
        <f>IF(INDEX(学年度总表!$B$3:$B$1025,MATCH($E203,学年度总表!$E$3:$E$1025,0))="","",INDEX(学年度总表!$B$3:$B$1025,MATCH($E203,学年度总表!$E$3:$E$1025,0)))</f>
        <v>201</v>
      </c>
      <c r="C203" s="2" t="str">
        <f>IF(INDEX(学年度总表!$C$3:$C$1025,MATCH($E203,学年度总表!$E$3:$E$1025,0))="","",INDEX(学年度总表!$C$3:$C$1025,MATCH($E203,学年度总表!$E$3:$E$1025,0)))</f>
        <v>信管</v>
      </c>
      <c r="D203" s="2" t="str">
        <f>IF(INDEX(学年度总表!$D$3:$D$1025,MATCH($E203,学年度总表!$E$3:$E$1025,0))="","",INDEX(学年度总表!$D$3:$D$1025,MATCH($E203,学年度总表!$E$3:$E$1025,0)))</f>
        <v>信管28班</v>
      </c>
      <c r="E203" s="2" t="s">
        <v>1279</v>
      </c>
      <c r="F203" s="2" t="str">
        <f>IF(INDEX(学年度总表!$F$3:$F$1025,MATCH($E203,学年度总表!$E$3:$E$1025,0))="","",INDEX(学年度总表!$F$3:$F$1025,MATCH($E203,学年度总表!$E$3:$E$1025,0)))</f>
        <v>李铭昊</v>
      </c>
      <c r="G203" s="3">
        <f>IF(INDEX(学年度总表!$G$3:$G$1025,MATCH($E203,学年度总表!$E$3:$E$1025,0))="","",INDEX(学年度总表!$G$3:$G$1025,MATCH($E203,学年度总表!$E$3:$E$1025,0)))</f>
        <v>9.8000000000000007</v>
      </c>
      <c r="H203" s="3">
        <f>IF(INDEX(学年度总表!$H$3:$H$1025,MATCH($E203,学年度总表!$E$3:$E$1025,0))="","",INDEX(学年度总表!$H$3:$H$1025,MATCH($E203,学年度总表!$E$3:$E$1025,0)))</f>
        <v>56.69</v>
      </c>
      <c r="I203" s="3">
        <f>IF(INDEX(学年度总表!$I$3:$I$1025,MATCH($E203,学年度总表!$E$3:$E$1025,0))="","",INDEX(学年度总表!$I$3:$I$1025,MATCH($E203,学年度总表!$E$3:$E$1025,0)))</f>
        <v>3</v>
      </c>
      <c r="J203" s="3">
        <f>IF(INDEX(学年度总表!$J$3:$J$1025,MATCH($E203,学年度总表!$E$3:$E$1025,0))="","",INDEX(学年度总表!$J$3:$J$1025,MATCH($E203,学年度总表!$E$3:$E$1025,0)))</f>
        <v>69.489999999999995</v>
      </c>
      <c r="K203" s="3">
        <f>IF(INDEX(学年度总表!$K$3:$K$1025,MATCH($E203,学年度总表!$E$3:$E$1025,0))="","",INDEX(学年度总表!$K$3:$K$1025,MATCH($E203,学年度总表!$E$3:$E$1025,0)))</f>
        <v>9.8000000000000007</v>
      </c>
      <c r="L203" s="3">
        <f>IF(INDEX(学年度总表!$L$3:$L$1025,MATCH($E203,学年度总表!$E$3:$E$1025,0))="","",INDEX(学年度总表!$L$3:$L$1025,MATCH($E203,学年度总表!$E$3:$E$1025,0)))</f>
        <v>52.07</v>
      </c>
      <c r="M203" s="3">
        <f>IF(INDEX(学年度总表!$M$3:$M$1025,MATCH($E203,学年度总表!$E$3:$E$1025,0))="","",INDEX(学年度总表!$M$3:$M$1025,MATCH($E203,学年度总表!$E$3:$E$1025,0)))</f>
        <v>3.5</v>
      </c>
      <c r="N203" s="3">
        <f>IF(INDEX(学年度总表!$N$3:$N$1025,MATCH($E203,学年度总表!$E$3:$E$1025,0))="","",INDEX(学年度总表!$N$3:$N$1025,MATCH($E203,学年度总表!$E$3:$E$1025,0)))</f>
        <v>65.37</v>
      </c>
      <c r="O203" s="3">
        <f>IF(INDEX(学年度总表!$O$3:$O$1025,MATCH($E203,学年度总表!$E$3:$E$1025,0))="","",INDEX(学年度总表!$O$3:$O$1025,MATCH($E203,学年度总表!$E$3:$E$1025,0)))</f>
        <v>134.86000000000001</v>
      </c>
      <c r="P203" s="2" t="str">
        <f>IF(INDEX(学年度总表!$P$3:$P$1025,MATCH($E203,学年度总表!$E$3:$E$1025,0))="","",INDEX(学年度总表!$P$3:$P$1025,MATCH($E203,学年度总表!$E$3:$E$1025,0)))</f>
        <v/>
      </c>
      <c r="Q203" s="5" t="str">
        <f>IF(INDEX(学年度总表!$Q$3:$Q$1025,MATCH($E203,学年度总表!$E$3:$E$1025,0))="","",INDEX(学年度总表!$Q$3:$Q$1025,MATCH($E203,学年度总表!$E$3:$E$1025,0)))</f>
        <v/>
      </c>
    </row>
    <row r="204" spans="1:17">
      <c r="A204" s="2">
        <f>IF(INDEX(学年度总表!$A$3:$A$1025,MATCH($E204,学年度总表!$E$3:$E$1025,0))="","",INDEX(学年度总表!$A$3:$A$1025,MATCH($E204,学年度总表!$E$3:$E$1025,0)))</f>
        <v>611</v>
      </c>
      <c r="B204" s="2">
        <f>IF(INDEX(学年度总表!$B$3:$B$1025,MATCH($E204,学年度总表!$E$3:$E$1025,0))="","",INDEX(学年度总表!$B$3:$B$1025,MATCH($E204,学年度总表!$E$3:$E$1025,0)))</f>
        <v>202</v>
      </c>
      <c r="C204" s="2" t="str">
        <f>IF(INDEX(学年度总表!$C$3:$C$1025,MATCH($E204,学年度总表!$E$3:$E$1025,0))="","",INDEX(学年度总表!$C$3:$C$1025,MATCH($E204,学年度总表!$E$3:$E$1025,0)))</f>
        <v>信管</v>
      </c>
      <c r="D204" s="2" t="str">
        <f>IF(INDEX(学年度总表!$D$3:$D$1025,MATCH($E204,学年度总表!$E$3:$E$1025,0))="","",INDEX(学年度总表!$D$3:$D$1025,MATCH($E204,学年度总表!$E$3:$E$1025,0)))</f>
        <v>信管25班</v>
      </c>
      <c r="E204" s="2" t="s">
        <v>1283</v>
      </c>
      <c r="F204" s="2" t="str">
        <f>IF(INDEX(学年度总表!$F$3:$F$1025,MATCH($E204,学年度总表!$E$3:$E$1025,0))="","",INDEX(学年度总表!$F$3:$F$1025,MATCH($E204,学年度总表!$E$3:$E$1025,0)))</f>
        <v>车祉萱</v>
      </c>
      <c r="G204" s="3">
        <f>IF(INDEX(学年度总表!$G$3:$G$1025,MATCH($E204,学年度总表!$E$3:$E$1025,0))="","",INDEX(学年度总表!$G$3:$G$1025,MATCH($E204,学年度总表!$E$3:$E$1025,0)))</f>
        <v>10.8</v>
      </c>
      <c r="H204" s="3">
        <f>IF(INDEX(学年度总表!$H$3:$H$1025,MATCH($E204,学年度总表!$E$3:$E$1025,0))="","",INDEX(学年度总表!$H$3:$H$1025,MATCH($E204,学年度总表!$E$3:$E$1025,0)))</f>
        <v>57.12</v>
      </c>
      <c r="I204" s="3">
        <f>IF(INDEX(学年度总表!$I$3:$I$1025,MATCH($E204,学年度总表!$E$3:$E$1025,0))="","",INDEX(学年度总表!$I$3:$I$1025,MATCH($E204,学年度总表!$E$3:$E$1025,0)))</f>
        <v>5.15</v>
      </c>
      <c r="J204" s="3">
        <f>IF(INDEX(学年度总表!$J$3:$J$1025,MATCH($E204,学年度总表!$E$3:$E$1025,0))="","",INDEX(学年度总表!$J$3:$J$1025,MATCH($E204,学年度总表!$E$3:$E$1025,0)))</f>
        <v>73.069999999999993</v>
      </c>
      <c r="K204" s="3">
        <f>IF(INDEX(学年度总表!$K$3:$K$1025,MATCH($E204,学年度总表!$E$3:$E$1025,0))="","",INDEX(学年度总表!$K$3:$K$1025,MATCH($E204,学年度总表!$E$3:$E$1025,0)))</f>
        <v>7.3000000000000007</v>
      </c>
      <c r="L204" s="3">
        <f>IF(INDEX(学年度总表!$L$3:$L$1025,MATCH($E204,学年度总表!$E$3:$E$1025,0))="","",INDEX(学年度总表!$L$3:$L$1025,MATCH($E204,学年度总表!$E$3:$E$1025,0)))</f>
        <v>49.99</v>
      </c>
      <c r="M204" s="3">
        <f>IF(INDEX(学年度总表!$M$3:$M$1025,MATCH($E204,学年度总表!$E$3:$E$1025,0))="","",INDEX(学年度总表!$M$3:$M$1025,MATCH($E204,学年度总表!$E$3:$E$1025,0)))</f>
        <v>4.4000000000000004</v>
      </c>
      <c r="N204" s="3">
        <f>IF(INDEX(学年度总表!$N$3:$N$1025,MATCH($E204,学年度总表!$E$3:$E$1025,0))="","",INDEX(学年度总表!$N$3:$N$1025,MATCH($E204,学年度总表!$E$3:$E$1025,0)))</f>
        <v>61.69</v>
      </c>
      <c r="O204" s="3">
        <f>IF(INDEX(学年度总表!$O$3:$O$1025,MATCH($E204,学年度总表!$E$3:$E$1025,0))="","",INDEX(学年度总表!$O$3:$O$1025,MATCH($E204,学年度总表!$E$3:$E$1025,0)))</f>
        <v>134.76</v>
      </c>
      <c r="P204" s="2" t="str">
        <f>IF(INDEX(学年度总表!$P$3:$P$1025,MATCH($E204,学年度总表!$E$3:$E$1025,0))="","",INDEX(学年度总表!$P$3:$P$1025,MATCH($E204,学年度总表!$E$3:$E$1025,0)))</f>
        <v/>
      </c>
      <c r="Q204" s="5" t="str">
        <f>IF(INDEX(学年度总表!$Q$3:$Q$1025,MATCH($E204,学年度总表!$E$3:$E$1025,0))="","",INDEX(学年度总表!$Q$3:$Q$1025,MATCH($E204,学年度总表!$E$3:$E$1025,0)))</f>
        <v/>
      </c>
    </row>
    <row r="205" spans="1:17">
      <c r="A205" s="2">
        <f>IF(INDEX(学年度总表!$A$3:$A$1025,MATCH($E205,学年度总表!$E$3:$E$1025,0))="","",INDEX(学年度总表!$A$3:$A$1025,MATCH($E205,学年度总表!$E$3:$E$1025,0)))</f>
        <v>612</v>
      </c>
      <c r="B205" s="2">
        <f>IF(INDEX(学年度总表!$B$3:$B$1025,MATCH($E205,学年度总表!$E$3:$E$1025,0))="","",INDEX(学年度总表!$B$3:$B$1025,MATCH($E205,学年度总表!$E$3:$E$1025,0)))</f>
        <v>203</v>
      </c>
      <c r="C205" s="2" t="str">
        <f>IF(INDEX(学年度总表!$C$3:$C$1025,MATCH($E205,学年度总表!$E$3:$E$1025,0))="","",INDEX(学年度总表!$C$3:$C$1025,MATCH($E205,学年度总表!$E$3:$E$1025,0)))</f>
        <v>信管</v>
      </c>
      <c r="D205" s="2" t="str">
        <f>IF(INDEX(学年度总表!$D$3:$D$1025,MATCH($E205,学年度总表!$E$3:$E$1025,0))="","",INDEX(学年度总表!$D$3:$D$1025,MATCH($E205,学年度总表!$E$3:$E$1025,0)))</f>
        <v>信管19班</v>
      </c>
      <c r="E205" s="2" t="s">
        <v>1285</v>
      </c>
      <c r="F205" s="2" t="str">
        <f>IF(INDEX(学年度总表!$F$3:$F$1025,MATCH($E205,学年度总表!$E$3:$E$1025,0))="","",INDEX(学年度总表!$F$3:$F$1025,MATCH($E205,学年度总表!$E$3:$E$1025,0)))</f>
        <v>李悦菲</v>
      </c>
      <c r="G205" s="3">
        <f>IF(INDEX(学年度总表!$G$3:$G$1025,MATCH($E205,学年度总表!$E$3:$E$1025,0))="","",INDEX(学年度总表!$G$3:$G$1025,MATCH($E205,学年度总表!$E$3:$E$1025,0)))</f>
        <v>10.3</v>
      </c>
      <c r="H205" s="3">
        <f>IF(INDEX(学年度总表!$H$3:$H$1025,MATCH($E205,学年度总表!$E$3:$E$1025,0))="","",INDEX(学年度总表!$H$3:$H$1025,MATCH($E205,学年度总表!$E$3:$E$1025,0)))</f>
        <v>53.14</v>
      </c>
      <c r="I205" s="3">
        <f>IF(INDEX(学年度总表!$I$3:$I$1025,MATCH($E205,学年度总表!$E$3:$E$1025,0))="","",INDEX(学年度总表!$I$3:$I$1025,MATCH($E205,学年度总表!$E$3:$E$1025,0)))</f>
        <v>5.3</v>
      </c>
      <c r="J205" s="3">
        <f>IF(INDEX(学年度总表!$J$3:$J$1025,MATCH($E205,学年度总表!$E$3:$E$1025,0))="","",INDEX(学年度总表!$J$3:$J$1025,MATCH($E205,学年度总表!$E$3:$E$1025,0)))</f>
        <v>68.739999999999995</v>
      </c>
      <c r="K205" s="3">
        <f>IF(INDEX(学年度总表!$K$3:$K$1025,MATCH($E205,学年度总表!$E$3:$E$1025,0))="","",INDEX(学年度总表!$K$3:$K$1025,MATCH($E205,学年度总表!$E$3:$E$1025,0)))</f>
        <v>9.8000000000000007</v>
      </c>
      <c r="L205" s="3">
        <f>IF(INDEX(学年度总表!$L$3:$L$1025,MATCH($E205,学年度总表!$E$3:$E$1025,0))="","",INDEX(学年度总表!$L$3:$L$1025,MATCH($E205,学年度总表!$E$3:$E$1025,0)))</f>
        <v>51.72</v>
      </c>
      <c r="M205" s="3">
        <f>IF(INDEX(学年度总表!$M$3:$M$1025,MATCH($E205,学年度总表!$E$3:$E$1025,0))="","",INDEX(学年度总表!$M$3:$M$1025,MATCH($E205,学年度总表!$E$3:$E$1025,0)))</f>
        <v>4.4000000000000004</v>
      </c>
      <c r="N205" s="3">
        <f>IF(INDEX(学年度总表!$N$3:$N$1025,MATCH($E205,学年度总表!$E$3:$E$1025,0))="","",INDEX(学年度总表!$N$3:$N$1025,MATCH($E205,学年度总表!$E$3:$E$1025,0)))</f>
        <v>65.92</v>
      </c>
      <c r="O205" s="3">
        <f>IF(INDEX(学年度总表!$O$3:$O$1025,MATCH($E205,学年度总表!$E$3:$E$1025,0))="","",INDEX(学年度总表!$O$3:$O$1025,MATCH($E205,学年度总表!$E$3:$E$1025,0)))</f>
        <v>134.66</v>
      </c>
      <c r="P205" s="2" t="str">
        <f>IF(INDEX(学年度总表!$P$3:$P$1025,MATCH($E205,学年度总表!$E$3:$E$1025,0))="","",INDEX(学年度总表!$P$3:$P$1025,MATCH($E205,学年度总表!$E$3:$E$1025,0)))</f>
        <v/>
      </c>
      <c r="Q205" s="5" t="str">
        <f>IF(INDEX(学年度总表!$Q$3:$Q$1025,MATCH($E205,学年度总表!$E$3:$E$1025,0))="","",INDEX(学年度总表!$Q$3:$Q$1025,MATCH($E205,学年度总表!$E$3:$E$1025,0)))</f>
        <v/>
      </c>
    </row>
    <row r="206" spans="1:17">
      <c r="A206" s="2">
        <f>IF(INDEX(学年度总表!$A$3:$A$1025,MATCH($E206,学年度总表!$E$3:$E$1025,0))="","",INDEX(学年度总表!$A$3:$A$1025,MATCH($E206,学年度总表!$E$3:$E$1025,0)))</f>
        <v>615</v>
      </c>
      <c r="B206" s="2">
        <f>IF(INDEX(学年度总表!$B$3:$B$1025,MATCH($E206,学年度总表!$E$3:$E$1025,0))="","",INDEX(学年度总表!$B$3:$B$1025,MATCH($E206,学年度总表!$E$3:$E$1025,0)))</f>
        <v>204</v>
      </c>
      <c r="C206" s="2" t="str">
        <f>IF(INDEX(学年度总表!$C$3:$C$1025,MATCH($E206,学年度总表!$E$3:$E$1025,0))="","",INDEX(学年度总表!$C$3:$C$1025,MATCH($E206,学年度总表!$E$3:$E$1025,0)))</f>
        <v>信管</v>
      </c>
      <c r="D206" s="2" t="str">
        <f>IF(INDEX(学年度总表!$D$3:$D$1025,MATCH($E206,学年度总表!$E$3:$E$1025,0))="","",INDEX(学年度总表!$D$3:$D$1025,MATCH($E206,学年度总表!$E$3:$E$1025,0)))</f>
        <v>信管28班</v>
      </c>
      <c r="E206" s="2" t="s">
        <v>1291</v>
      </c>
      <c r="F206" s="2" t="str">
        <f>IF(INDEX(学年度总表!$F$3:$F$1025,MATCH($E206,学年度总表!$E$3:$E$1025,0))="","",INDEX(学年度总表!$F$3:$F$1025,MATCH($E206,学年度总表!$E$3:$E$1025,0)))</f>
        <v>张云赫</v>
      </c>
      <c r="G206" s="3">
        <f>IF(INDEX(学年度总表!$G$3:$G$1025,MATCH($E206,学年度总表!$E$3:$E$1025,0))="","",INDEX(学年度总表!$G$3:$G$1025,MATCH($E206,学年度总表!$E$3:$E$1025,0)))</f>
        <v>9.8000000000000007</v>
      </c>
      <c r="H206" s="3">
        <f>IF(INDEX(学年度总表!$H$3:$H$1025,MATCH($E206,学年度总表!$E$3:$E$1025,0))="","",INDEX(学年度总表!$H$3:$H$1025,MATCH($E206,学年度总表!$E$3:$E$1025,0)))</f>
        <v>57.86</v>
      </c>
      <c r="I206" s="3">
        <f>IF(INDEX(学年度总表!$I$3:$I$1025,MATCH($E206,学年度总表!$E$3:$E$1025,0))="","",INDEX(学年度总表!$I$3:$I$1025,MATCH($E206,学年度总表!$E$3:$E$1025,0)))</f>
        <v>3.8</v>
      </c>
      <c r="J206" s="3">
        <f>IF(INDEX(学年度总表!$J$3:$J$1025,MATCH($E206,学年度总表!$E$3:$E$1025,0))="","",INDEX(学年度总表!$J$3:$J$1025,MATCH($E206,学年度总表!$E$3:$E$1025,0)))</f>
        <v>71.459999999999994</v>
      </c>
      <c r="K206" s="3">
        <f>IF(INDEX(学年度总表!$K$3:$K$1025,MATCH($E206,学年度总表!$E$3:$E$1025,0))="","",INDEX(学年度总表!$K$3:$K$1025,MATCH($E206,学年度总表!$E$3:$E$1025,0)))</f>
        <v>9.8000000000000007</v>
      </c>
      <c r="L206" s="3">
        <f>IF(INDEX(学年度总表!$L$3:$L$1025,MATCH($E206,学年度总表!$E$3:$E$1025,0))="","",INDEX(学年度总表!$L$3:$L$1025,MATCH($E206,学年度总表!$E$3:$E$1025,0)))</f>
        <v>49.65</v>
      </c>
      <c r="M206" s="3">
        <f>IF(INDEX(学年度总表!$M$3:$M$1025,MATCH($E206,学年度总表!$E$3:$E$1025,0))="","",INDEX(学年度总表!$M$3:$M$1025,MATCH($E206,学年度总表!$E$3:$E$1025,0)))</f>
        <v>3.7</v>
      </c>
      <c r="N206" s="3">
        <f>IF(INDEX(学年度总表!$N$3:$N$1025,MATCH($E206,学年度总表!$E$3:$E$1025,0))="","",INDEX(学年度总表!$N$3:$N$1025,MATCH($E206,学年度总表!$E$3:$E$1025,0)))</f>
        <v>63.15</v>
      </c>
      <c r="O206" s="3">
        <f>IF(INDEX(学年度总表!$O$3:$O$1025,MATCH($E206,学年度总表!$E$3:$E$1025,0))="","",INDEX(学年度总表!$O$3:$O$1025,MATCH($E206,学年度总表!$E$3:$E$1025,0)))</f>
        <v>134.61000000000001</v>
      </c>
      <c r="P206" s="2" t="str">
        <f>IF(INDEX(学年度总表!$P$3:$P$1025,MATCH($E206,学年度总表!$E$3:$E$1025,0))="","",INDEX(学年度总表!$P$3:$P$1025,MATCH($E206,学年度总表!$E$3:$E$1025,0)))</f>
        <v/>
      </c>
      <c r="Q206" s="5" t="str">
        <f>IF(INDEX(学年度总表!$Q$3:$Q$1025,MATCH($E206,学年度总表!$E$3:$E$1025,0))="","",INDEX(学年度总表!$Q$3:$Q$1025,MATCH($E206,学年度总表!$E$3:$E$1025,0)))</f>
        <v/>
      </c>
    </row>
    <row r="207" spans="1:17">
      <c r="A207" s="2">
        <f>IF(INDEX(学年度总表!$A$3:$A$1025,MATCH($E207,学年度总表!$E$3:$E$1025,0))="","",INDEX(学年度总表!$A$3:$A$1025,MATCH($E207,学年度总表!$E$3:$E$1025,0)))</f>
        <v>619</v>
      </c>
      <c r="B207" s="2">
        <f>IF(INDEX(学年度总表!$B$3:$B$1025,MATCH($E207,学年度总表!$E$3:$E$1025,0))="","",INDEX(学年度总表!$B$3:$B$1025,MATCH($E207,学年度总表!$E$3:$E$1025,0)))</f>
        <v>205</v>
      </c>
      <c r="C207" s="2" t="str">
        <f>IF(INDEX(学年度总表!$C$3:$C$1025,MATCH($E207,学年度总表!$E$3:$E$1025,0))="","",INDEX(学年度总表!$C$3:$C$1025,MATCH($E207,学年度总表!$E$3:$E$1025,0)))</f>
        <v>信管</v>
      </c>
      <c r="D207" s="2" t="str">
        <f>IF(INDEX(学年度总表!$D$3:$D$1025,MATCH($E207,学年度总表!$E$3:$E$1025,0))="","",INDEX(学年度总表!$D$3:$D$1025,MATCH($E207,学年度总表!$E$3:$E$1025,0)))</f>
        <v>信管22班</v>
      </c>
      <c r="E207" s="2" t="s">
        <v>1299</v>
      </c>
      <c r="F207" s="2" t="str">
        <f>IF(INDEX(学年度总表!$F$3:$F$1025,MATCH($E207,学年度总表!$E$3:$E$1025,0))="","",INDEX(学年度总表!$F$3:$F$1025,MATCH($E207,学年度总表!$E$3:$E$1025,0)))</f>
        <v>曹潇丹</v>
      </c>
      <c r="G207" s="3">
        <f>IF(INDEX(学年度总表!$G$3:$G$1025,MATCH($E207,学年度总表!$E$3:$E$1025,0))="","",INDEX(学年度总表!$G$3:$G$1025,MATCH($E207,学年度总表!$E$3:$E$1025,0)))</f>
        <v>9.8000000000000007</v>
      </c>
      <c r="H207" s="3">
        <f>IF(INDEX(学年度总表!$H$3:$H$1025,MATCH($E207,学年度总表!$E$3:$E$1025,0))="","",INDEX(学年度总表!$H$3:$H$1025,MATCH($E207,学年度总表!$E$3:$E$1025,0)))</f>
        <v>58.26</v>
      </c>
      <c r="I207" s="3">
        <f>IF(INDEX(学年度总表!$I$3:$I$1025,MATCH($E207,学年度总表!$E$3:$E$1025,0))="","",INDEX(学年度总表!$I$3:$I$1025,MATCH($E207,学年度总表!$E$3:$E$1025,0)))</f>
        <v>3.2</v>
      </c>
      <c r="J207" s="3">
        <f>IF(INDEX(学年度总表!$J$3:$J$1025,MATCH($E207,学年度总表!$E$3:$E$1025,0))="","",INDEX(学年度总表!$J$3:$J$1025,MATCH($E207,学年度总表!$E$3:$E$1025,0)))</f>
        <v>71.260000000000005</v>
      </c>
      <c r="K207" s="3">
        <f>IF(INDEX(学年度总表!$K$3:$K$1025,MATCH($E207,学年度总表!$E$3:$E$1025,0))="","",INDEX(学年度总表!$K$3:$K$1025,MATCH($E207,学年度总表!$E$3:$E$1025,0)))</f>
        <v>9.8000000000000007</v>
      </c>
      <c r="L207" s="3">
        <f>IF(INDEX(学年度总表!$L$3:$L$1025,MATCH($E207,学年度总表!$E$3:$E$1025,0))="","",INDEX(学年度总表!$L$3:$L$1025,MATCH($E207,学年度总表!$E$3:$E$1025,0)))</f>
        <v>49.76</v>
      </c>
      <c r="M207" s="3">
        <f>IF(INDEX(学年度总表!$M$3:$M$1025,MATCH($E207,学年度总表!$E$3:$E$1025,0))="","",INDEX(学年度总表!$M$3:$M$1025,MATCH($E207,学年度总表!$E$3:$E$1025,0)))</f>
        <v>3.5</v>
      </c>
      <c r="N207" s="3">
        <f>IF(INDEX(学年度总表!$N$3:$N$1025,MATCH($E207,学年度总表!$E$3:$E$1025,0))="","",INDEX(学年度总表!$N$3:$N$1025,MATCH($E207,学年度总表!$E$3:$E$1025,0)))</f>
        <v>63.06</v>
      </c>
      <c r="O207" s="3">
        <f>IF(INDEX(学年度总表!$O$3:$O$1025,MATCH($E207,学年度总表!$E$3:$E$1025,0))="","",INDEX(学年度总表!$O$3:$O$1025,MATCH($E207,学年度总表!$E$3:$E$1025,0)))</f>
        <v>134.32</v>
      </c>
      <c r="P207" s="2" t="str">
        <f>IF(INDEX(学年度总表!$P$3:$P$1025,MATCH($E207,学年度总表!$E$3:$E$1025,0))="","",INDEX(学年度总表!$P$3:$P$1025,MATCH($E207,学年度总表!$E$3:$E$1025,0)))</f>
        <v/>
      </c>
      <c r="Q207" s="5" t="str">
        <f>IF(INDEX(学年度总表!$Q$3:$Q$1025,MATCH($E207,学年度总表!$E$3:$E$1025,0))="","",INDEX(学年度总表!$Q$3:$Q$1025,MATCH($E207,学年度总表!$E$3:$E$1025,0)))</f>
        <v/>
      </c>
    </row>
    <row r="208" spans="1:17">
      <c r="A208" s="2">
        <f>IF(INDEX(学年度总表!$A$3:$A$1025,MATCH($E208,学年度总表!$E$3:$E$1025,0))="","",INDEX(学年度总表!$A$3:$A$1025,MATCH($E208,学年度总表!$E$3:$E$1025,0)))</f>
        <v>621</v>
      </c>
      <c r="B208" s="2">
        <f>IF(INDEX(学年度总表!$B$3:$B$1025,MATCH($E208,学年度总表!$E$3:$E$1025,0))="","",INDEX(学年度总表!$B$3:$B$1025,MATCH($E208,学年度总表!$E$3:$E$1025,0)))</f>
        <v>206</v>
      </c>
      <c r="C208" s="2" t="str">
        <f>IF(INDEX(学年度总表!$C$3:$C$1025,MATCH($E208,学年度总表!$E$3:$E$1025,0))="","",INDEX(学年度总表!$C$3:$C$1025,MATCH($E208,学年度总表!$E$3:$E$1025,0)))</f>
        <v>信管</v>
      </c>
      <c r="D208" s="2" t="str">
        <f>IF(INDEX(学年度总表!$D$3:$D$1025,MATCH($E208,学年度总表!$E$3:$E$1025,0))="","",INDEX(学年度总表!$D$3:$D$1025,MATCH($E208,学年度总表!$E$3:$E$1025,0)))</f>
        <v>信管24班</v>
      </c>
      <c r="E208" s="2" t="s">
        <v>1305</v>
      </c>
      <c r="F208" s="2" t="str">
        <f>IF(INDEX(学年度总表!$F$3:$F$1025,MATCH($E208,学年度总表!$E$3:$E$1025,0))="","",INDEX(学年度总表!$F$3:$F$1025,MATCH($E208,学年度总表!$E$3:$E$1025,0)))</f>
        <v>霍祉钰</v>
      </c>
      <c r="G208" s="3">
        <f>IF(INDEX(学年度总表!$G$3:$G$1025,MATCH($E208,学年度总表!$E$3:$E$1025,0))="","",INDEX(学年度总表!$G$3:$G$1025,MATCH($E208,学年度总表!$E$3:$E$1025,0)))</f>
        <v>10.3</v>
      </c>
      <c r="H208" s="3">
        <f>IF(INDEX(学年度总表!$H$3:$H$1025,MATCH($E208,学年度总表!$E$3:$E$1025,0))="","",INDEX(学年度总表!$H$3:$H$1025,MATCH($E208,学年度总表!$E$3:$E$1025,0)))</f>
        <v>52.68</v>
      </c>
      <c r="I208" s="3">
        <f>IF(INDEX(学年度总表!$I$3:$I$1025,MATCH($E208,学年度总表!$E$3:$E$1025,0))="","",INDEX(学年度总表!$I$3:$I$1025,MATCH($E208,学年度总表!$E$3:$E$1025,0)))</f>
        <v>5.55</v>
      </c>
      <c r="J208" s="3">
        <f>IF(INDEX(学年度总表!$J$3:$J$1025,MATCH($E208,学年度总表!$E$3:$E$1025,0))="","",INDEX(学年度总表!$J$3:$J$1025,MATCH($E208,学年度总表!$E$3:$E$1025,0)))</f>
        <v>68.53</v>
      </c>
      <c r="K208" s="3">
        <f>IF(INDEX(学年度总表!$K$3:$K$1025,MATCH($E208,学年度总表!$E$3:$E$1025,0))="","",INDEX(学年度总表!$K$3:$K$1025,MATCH($E208,学年度总表!$E$3:$E$1025,0)))</f>
        <v>9.8000000000000007</v>
      </c>
      <c r="L208" s="3">
        <f>IF(INDEX(学年度总表!$L$3:$L$1025,MATCH($E208,学年度总表!$E$3:$E$1025,0))="","",INDEX(学年度总表!$L$3:$L$1025,MATCH($E208,学年度总表!$E$3:$E$1025,0)))</f>
        <v>50.87</v>
      </c>
      <c r="M208" s="3">
        <f>IF(INDEX(学年度总表!$M$3:$M$1025,MATCH($E208,学年度总表!$E$3:$E$1025,0))="","",INDEX(学年度总表!$M$3:$M$1025,MATCH($E208,学年度总表!$E$3:$E$1025,0)))</f>
        <v>5.0999999999999996</v>
      </c>
      <c r="N208" s="3">
        <f>IF(INDEX(学年度总表!$N$3:$N$1025,MATCH($E208,学年度总表!$E$3:$E$1025,0))="","",INDEX(学年度总表!$N$3:$N$1025,MATCH($E208,学年度总表!$E$3:$E$1025,0)))</f>
        <v>65.77</v>
      </c>
      <c r="O208" s="3">
        <f>IF(INDEX(学年度总表!$O$3:$O$1025,MATCH($E208,学年度总表!$E$3:$E$1025,0))="","",INDEX(学年度总表!$O$3:$O$1025,MATCH($E208,学年度总表!$E$3:$E$1025,0)))</f>
        <v>134.30000000000001</v>
      </c>
      <c r="P208" s="2" t="str">
        <f>IF(INDEX(学年度总表!$P$3:$P$1025,MATCH($E208,学年度总表!$E$3:$E$1025,0))="","",INDEX(学年度总表!$P$3:$P$1025,MATCH($E208,学年度总表!$E$3:$E$1025,0)))</f>
        <v/>
      </c>
      <c r="Q208" s="5" t="str">
        <f>IF(INDEX(学年度总表!$Q$3:$Q$1025,MATCH($E208,学年度总表!$E$3:$E$1025,0))="","",INDEX(学年度总表!$Q$3:$Q$1025,MATCH($E208,学年度总表!$E$3:$E$1025,0)))</f>
        <v/>
      </c>
    </row>
    <row r="209" spans="1:17">
      <c r="A209" s="2">
        <f>IF(INDEX(学年度总表!$A$3:$A$1025,MATCH($E209,学年度总表!$E$3:$E$1025,0))="","",INDEX(学年度总表!$A$3:$A$1025,MATCH($E209,学年度总表!$E$3:$E$1025,0)))</f>
        <v>623</v>
      </c>
      <c r="B209" s="2">
        <f>IF(INDEX(学年度总表!$B$3:$B$1025,MATCH($E209,学年度总表!$E$3:$E$1025,0))="","",INDEX(学年度总表!$B$3:$B$1025,MATCH($E209,学年度总表!$E$3:$E$1025,0)))</f>
        <v>207</v>
      </c>
      <c r="C209" s="2" t="str">
        <f>IF(INDEX(学年度总表!$C$3:$C$1025,MATCH($E209,学年度总表!$E$3:$E$1025,0))="","",INDEX(学年度总表!$C$3:$C$1025,MATCH($E209,学年度总表!$E$3:$E$1025,0)))</f>
        <v>信管</v>
      </c>
      <c r="D209" s="2" t="str">
        <f>IF(INDEX(学年度总表!$D$3:$D$1025,MATCH($E209,学年度总表!$E$3:$E$1025,0))="","",INDEX(学年度总表!$D$3:$D$1025,MATCH($E209,学年度总表!$E$3:$E$1025,0)))</f>
        <v>信管25班</v>
      </c>
      <c r="E209" s="2" t="s">
        <v>1307</v>
      </c>
      <c r="F209" s="2" t="str">
        <f>IF(INDEX(学年度总表!$F$3:$F$1025,MATCH($E209,学年度总表!$E$3:$E$1025,0))="","",INDEX(学年度总表!$F$3:$F$1025,MATCH($E209,学年度总表!$E$3:$E$1025,0)))</f>
        <v>付佳</v>
      </c>
      <c r="G209" s="3">
        <f>IF(INDEX(学年度总表!$G$3:$G$1025,MATCH($E209,学年度总表!$E$3:$E$1025,0))="","",INDEX(学年度总表!$G$3:$G$1025,MATCH($E209,学年度总表!$E$3:$E$1025,0)))</f>
        <v>10</v>
      </c>
      <c r="H209" s="3">
        <f>IF(INDEX(学年度总表!$H$3:$H$1025,MATCH($E209,学年度总表!$E$3:$E$1025,0))="","",INDEX(学年度总表!$H$3:$H$1025,MATCH($E209,学年度总表!$E$3:$E$1025,0)))</f>
        <v>54.21</v>
      </c>
      <c r="I209" s="3">
        <f>IF(INDEX(学年度总表!$I$3:$I$1025,MATCH($E209,学年度总表!$E$3:$E$1025,0))="","",INDEX(学年度总表!$I$3:$I$1025,MATCH($E209,学年度总表!$E$3:$E$1025,0)))</f>
        <v>5</v>
      </c>
      <c r="J209" s="3">
        <f>IF(INDEX(学年度总表!$J$3:$J$1025,MATCH($E209,学年度总表!$E$3:$E$1025,0))="","",INDEX(学年度总表!$J$3:$J$1025,MATCH($E209,学年度总表!$E$3:$E$1025,0)))</f>
        <v>69.209999999999994</v>
      </c>
      <c r="K209" s="3">
        <f>IF(INDEX(学年度总表!$K$3:$K$1025,MATCH($E209,学年度总表!$E$3:$E$1025,0))="","",INDEX(学年度总表!$K$3:$K$1025,MATCH($E209,学年度总表!$E$3:$E$1025,0)))</f>
        <v>10</v>
      </c>
      <c r="L209" s="3">
        <f>IF(INDEX(学年度总表!$L$3:$L$1025,MATCH($E209,学年度总表!$E$3:$E$1025,0))="","",INDEX(学年度总表!$L$3:$L$1025,MATCH($E209,学年度总表!$E$3:$E$1025,0)))</f>
        <v>49.34</v>
      </c>
      <c r="M209" s="3">
        <f>IF(INDEX(学年度总表!$M$3:$M$1025,MATCH($E209,学年度总表!$E$3:$E$1025,0))="","",INDEX(学年度总表!$M$3:$M$1025,MATCH($E209,学年度总表!$E$3:$E$1025,0)))</f>
        <v>5.7</v>
      </c>
      <c r="N209" s="3">
        <f>IF(INDEX(学年度总表!$N$3:$N$1025,MATCH($E209,学年度总表!$E$3:$E$1025,0))="","",INDEX(学年度总表!$N$3:$N$1025,MATCH($E209,学年度总表!$E$3:$E$1025,0)))</f>
        <v>65.040000000000006</v>
      </c>
      <c r="O209" s="3">
        <f>IF(INDEX(学年度总表!$O$3:$O$1025,MATCH($E209,学年度总表!$E$3:$E$1025,0))="","",INDEX(学年度总表!$O$3:$O$1025,MATCH($E209,学年度总表!$E$3:$E$1025,0)))</f>
        <v>134.25</v>
      </c>
      <c r="P209" s="2" t="str">
        <f>IF(INDEX(学年度总表!$P$3:$P$1025,MATCH($E209,学年度总表!$E$3:$E$1025,0))="","",INDEX(学年度总表!$P$3:$P$1025,MATCH($E209,学年度总表!$E$3:$E$1025,0)))</f>
        <v/>
      </c>
      <c r="Q209" s="5" t="str">
        <f>IF(INDEX(学年度总表!$Q$3:$Q$1025,MATCH($E209,学年度总表!$E$3:$E$1025,0))="","",INDEX(学年度总表!$Q$3:$Q$1025,MATCH($E209,学年度总表!$E$3:$E$1025,0)))</f>
        <v/>
      </c>
    </row>
    <row r="210" spans="1:17">
      <c r="A210" s="2">
        <f>IF(INDEX(学年度总表!$A$3:$A$1025,MATCH($E210,学年度总表!$E$3:$E$1025,0))="","",INDEX(学年度总表!$A$3:$A$1025,MATCH($E210,学年度总表!$E$3:$E$1025,0)))</f>
        <v>624</v>
      </c>
      <c r="B210" s="2">
        <f>IF(INDEX(学年度总表!$B$3:$B$1025,MATCH($E210,学年度总表!$E$3:$E$1025,0))="","",INDEX(学年度总表!$B$3:$B$1025,MATCH($E210,学年度总表!$E$3:$E$1025,0)))</f>
        <v>208</v>
      </c>
      <c r="C210" s="2" t="str">
        <f>IF(INDEX(学年度总表!$C$3:$C$1025,MATCH($E210,学年度总表!$E$3:$E$1025,0))="","",INDEX(学年度总表!$C$3:$C$1025,MATCH($E210,学年度总表!$E$3:$E$1025,0)))</f>
        <v>信管</v>
      </c>
      <c r="D210" s="2" t="str">
        <f>IF(INDEX(学年度总表!$D$3:$D$1025,MATCH($E210,学年度总表!$E$3:$E$1025,0))="","",INDEX(学年度总表!$D$3:$D$1025,MATCH($E210,学年度总表!$E$3:$E$1025,0)))</f>
        <v>信管20班</v>
      </c>
      <c r="E210" s="2" t="s">
        <v>1309</v>
      </c>
      <c r="F210" s="2" t="str">
        <f>IF(INDEX(学年度总表!$F$3:$F$1025,MATCH($E210,学年度总表!$E$3:$E$1025,0))="","",INDEX(学年度总表!$F$3:$F$1025,MATCH($E210,学年度总表!$E$3:$E$1025,0)))</f>
        <v>齐洋</v>
      </c>
      <c r="G210" s="3">
        <f>IF(INDEX(学年度总表!$G$3:$G$1025,MATCH($E210,学年度总表!$E$3:$E$1025,0))="","",INDEX(学年度总表!$G$3:$G$1025,MATCH($E210,学年度总表!$E$3:$E$1025,0)))</f>
        <v>9.8000000000000007</v>
      </c>
      <c r="H210" s="3">
        <f>IF(INDEX(学年度总表!$H$3:$H$1025,MATCH($E210,学年度总表!$E$3:$E$1025,0))="","",INDEX(学年度总表!$H$3:$H$1025,MATCH($E210,学年度总表!$E$3:$E$1025,0)))</f>
        <v>60.63</v>
      </c>
      <c r="I210" s="3">
        <f>IF(INDEX(学年度总表!$I$3:$I$1025,MATCH($E210,学年度总表!$E$3:$E$1025,0))="","",INDEX(学年度总表!$I$3:$I$1025,MATCH($E210,学年度总表!$E$3:$E$1025,0)))</f>
        <v>4.9000000000000004</v>
      </c>
      <c r="J210" s="3">
        <f>IF(INDEX(学年度总表!$J$3:$J$1025,MATCH($E210,学年度总表!$E$3:$E$1025,0))="","",INDEX(学年度总表!$J$3:$J$1025,MATCH($E210,学年度总表!$E$3:$E$1025,0)))</f>
        <v>75.33</v>
      </c>
      <c r="K210" s="3">
        <f>IF(INDEX(学年度总表!$K$3:$K$1025,MATCH($E210,学年度总表!$E$3:$E$1025,0))="","",INDEX(学年度总表!$K$3:$K$1025,MATCH($E210,学年度总表!$E$3:$E$1025,0)))</f>
        <v>6.9</v>
      </c>
      <c r="L210" s="3">
        <f>IF(INDEX(学年度总表!$L$3:$L$1025,MATCH($E210,学年度总表!$E$3:$E$1025,0))="","",INDEX(学年度总表!$L$3:$L$1025,MATCH($E210,学年度总表!$E$3:$E$1025,0)))</f>
        <v>47.5</v>
      </c>
      <c r="M210" s="3">
        <f>IF(INDEX(学年度总表!$M$3:$M$1025,MATCH($E210,学年度总表!$E$3:$E$1025,0))="","",INDEX(学年度总表!$M$3:$M$1025,MATCH($E210,学年度总表!$E$3:$E$1025,0)))</f>
        <v>4.5</v>
      </c>
      <c r="N210" s="3">
        <f>IF(INDEX(学年度总表!$N$3:$N$1025,MATCH($E210,学年度总表!$E$3:$E$1025,0))="","",INDEX(学年度总表!$N$3:$N$1025,MATCH($E210,学年度总表!$E$3:$E$1025,0)))</f>
        <v>58.9</v>
      </c>
      <c r="O210" s="3">
        <f>IF(INDEX(学年度总表!$O$3:$O$1025,MATCH($E210,学年度总表!$E$3:$E$1025,0))="","",INDEX(学年度总表!$O$3:$O$1025,MATCH($E210,学年度总表!$E$3:$E$1025,0)))</f>
        <v>134.22999999999999</v>
      </c>
      <c r="P210" s="2" t="str">
        <f>IF(INDEX(学年度总表!$P$3:$P$1025,MATCH($E210,学年度总表!$E$3:$E$1025,0))="","",INDEX(学年度总表!$P$3:$P$1025,MATCH($E210,学年度总表!$E$3:$E$1025,0)))</f>
        <v/>
      </c>
      <c r="Q210" s="5" t="str">
        <f>IF(INDEX(学年度总表!$Q$3:$Q$1025,MATCH($E210,学年度总表!$E$3:$E$1025,0))="","",INDEX(学年度总表!$Q$3:$Q$1025,MATCH($E210,学年度总表!$E$3:$E$1025,0)))</f>
        <v/>
      </c>
    </row>
    <row r="211" spans="1:17">
      <c r="A211" s="2">
        <f>IF(INDEX(学年度总表!$A$3:$A$1025,MATCH($E211,学年度总表!$E$3:$E$1025,0))="","",INDEX(学年度总表!$A$3:$A$1025,MATCH($E211,学年度总表!$E$3:$E$1025,0)))</f>
        <v>627</v>
      </c>
      <c r="B211" s="2">
        <f>IF(INDEX(学年度总表!$B$3:$B$1025,MATCH($E211,学年度总表!$E$3:$E$1025,0))="","",INDEX(学年度总表!$B$3:$B$1025,MATCH($E211,学年度总表!$E$3:$E$1025,0)))</f>
        <v>209</v>
      </c>
      <c r="C211" s="2" t="str">
        <f>IF(INDEX(学年度总表!$C$3:$C$1025,MATCH($E211,学年度总表!$E$3:$E$1025,0))="","",INDEX(学年度总表!$C$3:$C$1025,MATCH($E211,学年度总表!$E$3:$E$1025,0)))</f>
        <v>信管</v>
      </c>
      <c r="D211" s="2" t="str">
        <f>IF(INDEX(学年度总表!$D$3:$D$1025,MATCH($E211,学年度总表!$E$3:$E$1025,0))="","",INDEX(学年度总表!$D$3:$D$1025,MATCH($E211,学年度总表!$E$3:$E$1025,0)))</f>
        <v>信管26班</v>
      </c>
      <c r="E211" s="2" t="s">
        <v>1315</v>
      </c>
      <c r="F211" s="2" t="str">
        <f>IF(INDEX(学年度总表!$F$3:$F$1025,MATCH($E211,学年度总表!$E$3:$E$1025,0))="","",INDEX(学年度总表!$F$3:$F$1025,MATCH($E211,学年度总表!$E$3:$E$1025,0)))</f>
        <v>张婧博</v>
      </c>
      <c r="G211" s="3">
        <f>IF(INDEX(学年度总表!$G$3:$G$1025,MATCH($E211,学年度总表!$E$3:$E$1025,0))="","",INDEX(学年度总表!$G$3:$G$1025,MATCH($E211,学年度总表!$E$3:$E$1025,0)))</f>
        <v>11.6</v>
      </c>
      <c r="H211" s="3">
        <f>IF(INDEX(学年度总表!$H$3:$H$1025,MATCH($E211,学年度总表!$E$3:$E$1025,0))="","",INDEX(学年度总表!$H$3:$H$1025,MATCH($E211,学年度总表!$E$3:$E$1025,0)))</f>
        <v>54.66</v>
      </c>
      <c r="I211" s="3">
        <f>IF(INDEX(学年度总表!$I$3:$I$1025,MATCH($E211,学年度总表!$E$3:$E$1025,0))="","",INDEX(学年度总表!$I$3:$I$1025,MATCH($E211,学年度总表!$E$3:$E$1025,0)))</f>
        <v>4.5</v>
      </c>
      <c r="J211" s="3">
        <f>IF(INDEX(学年度总表!$J$3:$J$1025,MATCH($E211,学年度总表!$E$3:$E$1025,0))="","",INDEX(学年度总表!$J$3:$J$1025,MATCH($E211,学年度总表!$E$3:$E$1025,0)))</f>
        <v>70.760000000000005</v>
      </c>
      <c r="K211" s="3">
        <f>IF(INDEX(学年度总表!$K$3:$K$1025,MATCH($E211,学年度总表!$E$3:$E$1025,0))="","",INDEX(学年度总表!$K$3:$K$1025,MATCH($E211,学年度总表!$E$3:$E$1025,0)))</f>
        <v>7.3000000000000007</v>
      </c>
      <c r="L211" s="3">
        <f>IF(INDEX(学年度总表!$L$3:$L$1025,MATCH($E211,学年度总表!$E$3:$E$1025,0))="","",INDEX(学年度总表!$L$3:$L$1025,MATCH($E211,学年度总表!$E$3:$E$1025,0)))</f>
        <v>50.83</v>
      </c>
      <c r="M211" s="3">
        <f>IF(INDEX(学年度总表!$M$3:$M$1025,MATCH($E211,学年度总表!$E$3:$E$1025,0))="","",INDEX(学年度总表!$M$3:$M$1025,MATCH($E211,学年度总表!$E$3:$E$1025,0)))</f>
        <v>5.2</v>
      </c>
      <c r="N211" s="3">
        <f>IF(INDEX(学年度总表!$N$3:$N$1025,MATCH($E211,学年度总表!$E$3:$E$1025,0))="","",INDEX(学年度总表!$N$3:$N$1025,MATCH($E211,学年度总表!$E$3:$E$1025,0)))</f>
        <v>63.33</v>
      </c>
      <c r="O211" s="3">
        <f>IF(INDEX(学年度总表!$O$3:$O$1025,MATCH($E211,学年度总表!$E$3:$E$1025,0))="","",INDEX(学年度总表!$O$3:$O$1025,MATCH($E211,学年度总表!$E$3:$E$1025,0)))</f>
        <v>134.09</v>
      </c>
      <c r="P211" s="2" t="str">
        <f>IF(INDEX(学年度总表!$P$3:$P$1025,MATCH($E211,学年度总表!$E$3:$E$1025,0))="","",INDEX(学年度总表!$P$3:$P$1025,MATCH($E211,学年度总表!$E$3:$E$1025,0)))</f>
        <v/>
      </c>
      <c r="Q211" s="5" t="str">
        <f>IF(INDEX(学年度总表!$Q$3:$Q$1025,MATCH($E211,学年度总表!$E$3:$E$1025,0))="","",INDEX(学年度总表!$Q$3:$Q$1025,MATCH($E211,学年度总表!$E$3:$E$1025,0)))</f>
        <v/>
      </c>
    </row>
    <row r="212" spans="1:17">
      <c r="A212" s="2">
        <f>IF(INDEX(学年度总表!$A$3:$A$1025,MATCH($E212,学年度总表!$E$3:$E$1025,0))="","",INDEX(学年度总表!$A$3:$A$1025,MATCH($E212,学年度总表!$E$3:$E$1025,0)))</f>
        <v>630</v>
      </c>
      <c r="B212" s="2">
        <f>IF(INDEX(学年度总表!$B$3:$B$1025,MATCH($E212,学年度总表!$E$3:$E$1025,0))="","",INDEX(学年度总表!$B$3:$B$1025,MATCH($E212,学年度总表!$E$3:$E$1025,0)))</f>
        <v>210</v>
      </c>
      <c r="C212" s="2" t="str">
        <f>IF(INDEX(学年度总表!$C$3:$C$1025,MATCH($E212,学年度总表!$E$3:$E$1025,0))="","",INDEX(学年度总表!$C$3:$C$1025,MATCH($E212,学年度总表!$E$3:$E$1025,0)))</f>
        <v>信管</v>
      </c>
      <c r="D212" s="2" t="str">
        <f>IF(INDEX(学年度总表!$D$3:$D$1025,MATCH($E212,学年度总表!$E$3:$E$1025,0))="","",INDEX(学年度总表!$D$3:$D$1025,MATCH($E212,学年度总表!$E$3:$E$1025,0)))</f>
        <v>信管19班</v>
      </c>
      <c r="E212" s="2" t="s">
        <v>1321</v>
      </c>
      <c r="F212" s="2" t="str">
        <f>IF(INDEX(学年度总表!$F$3:$F$1025,MATCH($E212,学年度总表!$E$3:$E$1025,0))="","",INDEX(学年度总表!$F$3:$F$1025,MATCH($E212,学年度总表!$E$3:$E$1025,0)))</f>
        <v>秦雨楠</v>
      </c>
      <c r="G212" s="3">
        <f>IF(INDEX(学年度总表!$G$3:$G$1025,MATCH($E212,学年度总表!$E$3:$E$1025,0))="","",INDEX(学年度总表!$G$3:$G$1025,MATCH($E212,学年度总表!$E$3:$E$1025,0)))</f>
        <v>9.8000000000000007</v>
      </c>
      <c r="H212" s="3">
        <f>IF(INDEX(学年度总表!$H$3:$H$1025,MATCH($E212,学年度总表!$E$3:$E$1025,0))="","",INDEX(学年度总表!$H$3:$H$1025,MATCH($E212,学年度总表!$E$3:$E$1025,0)))</f>
        <v>52.57</v>
      </c>
      <c r="I212" s="3">
        <f>IF(INDEX(学年度总表!$I$3:$I$1025,MATCH($E212,学年度总表!$E$3:$E$1025,0))="","",INDEX(学年度总表!$I$3:$I$1025,MATCH($E212,学年度总表!$E$3:$E$1025,0)))</f>
        <v>4.7</v>
      </c>
      <c r="J212" s="3">
        <f>IF(INDEX(学年度总表!$J$3:$J$1025,MATCH($E212,学年度总表!$E$3:$E$1025,0))="","",INDEX(学年度总表!$J$3:$J$1025,MATCH($E212,学年度总表!$E$3:$E$1025,0)))</f>
        <v>67.069999999999993</v>
      </c>
      <c r="K212" s="3">
        <f>IF(INDEX(学年度总表!$K$3:$K$1025,MATCH($E212,学年度总表!$E$3:$E$1025,0))="","",INDEX(学年度总表!$K$3:$K$1025,MATCH($E212,学年度总表!$E$3:$E$1025,0)))</f>
        <v>9.8000000000000007</v>
      </c>
      <c r="L212" s="3">
        <f>IF(INDEX(学年度总表!$L$3:$L$1025,MATCH($E212,学年度总表!$E$3:$E$1025,0))="","",INDEX(学年度总表!$L$3:$L$1025,MATCH($E212,学年度总表!$E$3:$E$1025,0)))</f>
        <v>51.24</v>
      </c>
      <c r="M212" s="3">
        <f>IF(INDEX(学年度总表!$M$3:$M$1025,MATCH($E212,学年度总表!$E$3:$E$1025,0))="","",INDEX(学年度总表!$M$3:$M$1025,MATCH($E212,学年度总表!$E$3:$E$1025,0)))</f>
        <v>5.9</v>
      </c>
      <c r="N212" s="3">
        <f>IF(INDEX(学年度总表!$N$3:$N$1025,MATCH($E212,学年度总表!$E$3:$E$1025,0))="","",INDEX(学年度总表!$N$3:$N$1025,MATCH($E212,学年度总表!$E$3:$E$1025,0)))</f>
        <v>66.94</v>
      </c>
      <c r="O212" s="3">
        <f>IF(INDEX(学年度总表!$O$3:$O$1025,MATCH($E212,学年度总表!$E$3:$E$1025,0))="","",INDEX(学年度总表!$O$3:$O$1025,MATCH($E212,学年度总表!$E$3:$E$1025,0)))</f>
        <v>134.01</v>
      </c>
      <c r="P212" s="2" t="str">
        <f>IF(INDEX(学年度总表!$P$3:$P$1025,MATCH($E212,学年度总表!$E$3:$E$1025,0))="","",INDEX(学年度总表!$P$3:$P$1025,MATCH($E212,学年度总表!$E$3:$E$1025,0)))</f>
        <v/>
      </c>
      <c r="Q212" s="5" t="str">
        <f>IF(INDEX(学年度总表!$Q$3:$Q$1025,MATCH($E212,学年度总表!$E$3:$E$1025,0))="","",INDEX(学年度总表!$Q$3:$Q$1025,MATCH($E212,学年度总表!$E$3:$E$1025,0)))</f>
        <v/>
      </c>
    </row>
    <row r="213" spans="1:17">
      <c r="A213" s="2">
        <f>IF(INDEX(学年度总表!$A$3:$A$1025,MATCH($E213,学年度总表!$E$3:$E$1025,0))="","",INDEX(学年度总表!$A$3:$A$1025,MATCH($E213,学年度总表!$E$3:$E$1025,0)))</f>
        <v>631</v>
      </c>
      <c r="B213" s="2">
        <f>IF(INDEX(学年度总表!$B$3:$B$1025,MATCH($E213,学年度总表!$E$3:$E$1025,0))="","",INDEX(学年度总表!$B$3:$B$1025,MATCH($E213,学年度总表!$E$3:$E$1025,0)))</f>
        <v>211</v>
      </c>
      <c r="C213" s="2" t="str">
        <f>IF(INDEX(学年度总表!$C$3:$C$1025,MATCH($E213,学年度总表!$E$3:$E$1025,0))="","",INDEX(学年度总表!$C$3:$C$1025,MATCH($E213,学年度总表!$E$3:$E$1025,0)))</f>
        <v>信管</v>
      </c>
      <c r="D213" s="2" t="str">
        <f>IF(INDEX(学年度总表!$D$3:$D$1025,MATCH($E213,学年度总表!$E$3:$E$1025,0))="","",INDEX(学年度总表!$D$3:$D$1025,MATCH($E213,学年度总表!$E$3:$E$1025,0)))</f>
        <v>信管24班</v>
      </c>
      <c r="E213" s="2" t="s">
        <v>1325</v>
      </c>
      <c r="F213" s="2" t="str">
        <f>IF(INDEX(学年度总表!$F$3:$F$1025,MATCH($E213,学年度总表!$E$3:$E$1025,0))="","",INDEX(学年度总表!$F$3:$F$1025,MATCH($E213,学年度总表!$E$3:$E$1025,0)))</f>
        <v>张译匀</v>
      </c>
      <c r="G213" s="3">
        <f>IF(INDEX(学年度总表!$G$3:$G$1025,MATCH($E213,学年度总表!$E$3:$E$1025,0))="","",INDEX(学年度总表!$G$3:$G$1025,MATCH($E213,学年度总表!$E$3:$E$1025,0)))</f>
        <v>11</v>
      </c>
      <c r="H213" s="3">
        <f>IF(INDEX(学年度总表!$H$3:$H$1025,MATCH($E213,学年度总表!$E$3:$E$1025,0))="","",INDEX(学年度总表!$H$3:$H$1025,MATCH($E213,学年度总表!$E$3:$E$1025,0)))</f>
        <v>53.94</v>
      </c>
      <c r="I213" s="3">
        <f>IF(INDEX(学年度总表!$I$3:$I$1025,MATCH($E213,学年度总表!$E$3:$E$1025,0))="","",INDEX(学年度总表!$I$3:$I$1025,MATCH($E213,学年度总表!$E$3:$E$1025,0)))</f>
        <v>4.4000000000000004</v>
      </c>
      <c r="J213" s="3">
        <f>IF(INDEX(学年度总表!$J$3:$J$1025,MATCH($E213,学年度总表!$E$3:$E$1025,0))="","",INDEX(学年度总表!$J$3:$J$1025,MATCH($E213,学年度总表!$E$3:$E$1025,0)))</f>
        <v>69.34</v>
      </c>
      <c r="K213" s="3">
        <f>IF(INDEX(学年度总表!$K$3:$K$1025,MATCH($E213,学年度总表!$E$3:$E$1025,0))="","",INDEX(学年度总表!$K$3:$K$1025,MATCH($E213,学年度总表!$E$3:$E$1025,0)))</f>
        <v>10</v>
      </c>
      <c r="L213" s="3">
        <f>IF(INDEX(学年度总表!$L$3:$L$1025,MATCH($E213,学年度总表!$E$3:$E$1025,0))="","",INDEX(学年度总表!$L$3:$L$1025,MATCH($E213,学年度总表!$E$3:$E$1025,0)))</f>
        <v>51.16</v>
      </c>
      <c r="M213" s="3">
        <f>IF(INDEX(学年度总表!$M$3:$M$1025,MATCH($E213,学年度总表!$E$3:$E$1025,0))="","",INDEX(学年度总表!$M$3:$M$1025,MATCH($E213,学年度总表!$E$3:$E$1025,0)))</f>
        <v>3.5</v>
      </c>
      <c r="N213" s="3">
        <f>IF(INDEX(学年度总表!$N$3:$N$1025,MATCH($E213,学年度总表!$E$3:$E$1025,0))="","",INDEX(学年度总表!$N$3:$N$1025,MATCH($E213,学年度总表!$E$3:$E$1025,0)))</f>
        <v>64.66</v>
      </c>
      <c r="O213" s="3">
        <f>IF(INDEX(学年度总表!$O$3:$O$1025,MATCH($E213,学年度总表!$E$3:$E$1025,0))="","",INDEX(学年度总表!$O$3:$O$1025,MATCH($E213,学年度总表!$E$3:$E$1025,0)))</f>
        <v>134</v>
      </c>
      <c r="P213" s="2" t="str">
        <f>IF(INDEX(学年度总表!$P$3:$P$1025,MATCH($E213,学年度总表!$E$3:$E$1025,0))="","",INDEX(学年度总表!$P$3:$P$1025,MATCH($E213,学年度总表!$E$3:$E$1025,0)))</f>
        <v/>
      </c>
      <c r="Q213" s="5" t="str">
        <f>IF(INDEX(学年度总表!$Q$3:$Q$1025,MATCH($E213,学年度总表!$E$3:$E$1025,0))="","",INDEX(学年度总表!$Q$3:$Q$1025,MATCH($E213,学年度总表!$E$3:$E$1025,0)))</f>
        <v/>
      </c>
    </row>
    <row r="214" spans="1:17">
      <c r="A214" s="2">
        <f>IF(INDEX(学年度总表!$A$3:$A$1025,MATCH($E214,学年度总表!$E$3:$E$1025,0))="","",INDEX(学年度总表!$A$3:$A$1025,MATCH($E214,学年度总表!$E$3:$E$1025,0)))</f>
        <v>635</v>
      </c>
      <c r="B214" s="2">
        <f>IF(INDEX(学年度总表!$B$3:$B$1025,MATCH($E214,学年度总表!$E$3:$E$1025,0))="","",INDEX(学年度总表!$B$3:$B$1025,MATCH($E214,学年度总表!$E$3:$E$1025,0)))</f>
        <v>212</v>
      </c>
      <c r="C214" s="2" t="str">
        <f>IF(INDEX(学年度总表!$C$3:$C$1025,MATCH($E214,学年度总表!$E$3:$E$1025,0))="","",INDEX(学年度总表!$C$3:$C$1025,MATCH($E214,学年度总表!$E$3:$E$1025,0)))</f>
        <v>信管</v>
      </c>
      <c r="D214" s="2" t="str">
        <f>IF(INDEX(学年度总表!$D$3:$D$1025,MATCH($E214,学年度总表!$E$3:$E$1025,0))="","",INDEX(学年度总表!$D$3:$D$1025,MATCH($E214,学年度总表!$E$3:$E$1025,0)))</f>
        <v>信管23班</v>
      </c>
      <c r="E214" s="2" t="s">
        <v>1331</v>
      </c>
      <c r="F214" s="2" t="str">
        <f>IF(INDEX(学年度总表!$F$3:$F$1025,MATCH($E214,学年度总表!$E$3:$E$1025,0))="","",INDEX(学年度总表!$F$3:$F$1025,MATCH($E214,学年度总表!$E$3:$E$1025,0)))</f>
        <v>韩淼</v>
      </c>
      <c r="G214" s="3">
        <f>IF(INDEX(学年度总表!$G$3:$G$1025,MATCH($E214,学年度总表!$E$3:$E$1025,0))="","",INDEX(学年度总表!$G$3:$G$1025,MATCH($E214,学年度总表!$E$3:$E$1025,0)))</f>
        <v>9.8000000000000007</v>
      </c>
      <c r="H214" s="3">
        <f>IF(INDEX(学年度总表!$H$3:$H$1025,MATCH($E214,学年度总表!$E$3:$E$1025,0))="","",INDEX(学年度总表!$H$3:$H$1025,MATCH($E214,学年度总表!$E$3:$E$1025,0)))</f>
        <v>55.33</v>
      </c>
      <c r="I214" s="3">
        <f>IF(INDEX(学年度总表!$I$3:$I$1025,MATCH($E214,学年度总表!$E$3:$E$1025,0))="","",INDEX(学年度总表!$I$3:$I$1025,MATCH($E214,学年度总表!$E$3:$E$1025,0)))</f>
        <v>3</v>
      </c>
      <c r="J214" s="3">
        <f>IF(INDEX(学年度总表!$J$3:$J$1025,MATCH($E214,学年度总表!$E$3:$E$1025,0))="","",INDEX(学年度总表!$J$3:$J$1025,MATCH($E214,学年度总表!$E$3:$E$1025,0)))</f>
        <v>68.13</v>
      </c>
      <c r="K214" s="3">
        <f>IF(INDEX(学年度总表!$K$3:$K$1025,MATCH($E214,学年度总表!$E$3:$E$1025,0))="","",INDEX(学年度总表!$K$3:$K$1025,MATCH($E214,学年度总表!$E$3:$E$1025,0)))</f>
        <v>9.8000000000000007</v>
      </c>
      <c r="L214" s="3">
        <f>IF(INDEX(学年度总表!$L$3:$L$1025,MATCH($E214,学年度总表!$E$3:$E$1025,0))="","",INDEX(学年度总表!$L$3:$L$1025,MATCH($E214,学年度总表!$E$3:$E$1025,0)))</f>
        <v>52.53</v>
      </c>
      <c r="M214" s="3">
        <f>IF(INDEX(学年度总表!$M$3:$M$1025,MATCH($E214,学年度总表!$E$3:$E$1025,0))="","",INDEX(学年度总表!$M$3:$M$1025,MATCH($E214,学年度总表!$E$3:$E$1025,0)))</f>
        <v>3.5</v>
      </c>
      <c r="N214" s="3">
        <f>IF(INDEX(学年度总表!$N$3:$N$1025,MATCH($E214,学年度总表!$E$3:$E$1025,0))="","",INDEX(学年度总表!$N$3:$N$1025,MATCH($E214,学年度总表!$E$3:$E$1025,0)))</f>
        <v>65.83</v>
      </c>
      <c r="O214" s="3">
        <f>IF(INDEX(学年度总表!$O$3:$O$1025,MATCH($E214,学年度总表!$E$3:$E$1025,0))="","",INDEX(学年度总表!$O$3:$O$1025,MATCH($E214,学年度总表!$E$3:$E$1025,0)))</f>
        <v>133.96</v>
      </c>
      <c r="P214" s="2" t="str">
        <f>IF(INDEX(学年度总表!$P$3:$P$1025,MATCH($E214,学年度总表!$E$3:$E$1025,0))="","",INDEX(学年度总表!$P$3:$P$1025,MATCH($E214,学年度总表!$E$3:$E$1025,0)))</f>
        <v/>
      </c>
      <c r="Q214" s="5" t="str">
        <f>IF(INDEX(学年度总表!$Q$3:$Q$1025,MATCH($E214,学年度总表!$E$3:$E$1025,0))="","",INDEX(学年度总表!$Q$3:$Q$1025,MATCH($E214,学年度总表!$E$3:$E$1025,0)))</f>
        <v/>
      </c>
    </row>
    <row r="215" spans="1:17">
      <c r="A215" s="2">
        <f>IF(INDEX(学年度总表!$A$3:$A$1025,MATCH($E215,学年度总表!$E$3:$E$1025,0))="","",INDEX(学年度总表!$A$3:$A$1025,MATCH($E215,学年度总表!$E$3:$E$1025,0)))</f>
        <v>637</v>
      </c>
      <c r="B215" s="2">
        <f>IF(INDEX(学年度总表!$B$3:$B$1025,MATCH($E215,学年度总表!$E$3:$E$1025,0))="","",INDEX(学年度总表!$B$3:$B$1025,MATCH($E215,学年度总表!$E$3:$E$1025,0)))</f>
        <v>213</v>
      </c>
      <c r="C215" s="2" t="str">
        <f>IF(INDEX(学年度总表!$C$3:$C$1025,MATCH($E215,学年度总表!$E$3:$E$1025,0))="","",INDEX(学年度总表!$C$3:$C$1025,MATCH($E215,学年度总表!$E$3:$E$1025,0)))</f>
        <v>信管</v>
      </c>
      <c r="D215" s="2" t="str">
        <f>IF(INDEX(学年度总表!$D$3:$D$1025,MATCH($E215,学年度总表!$E$3:$E$1025,0))="","",INDEX(学年度总表!$D$3:$D$1025,MATCH($E215,学年度总表!$E$3:$E$1025,0)))</f>
        <v>信管20班</v>
      </c>
      <c r="E215" s="2" t="s">
        <v>1335</v>
      </c>
      <c r="F215" s="2" t="str">
        <f>IF(INDEX(学年度总表!$F$3:$F$1025,MATCH($E215,学年度总表!$E$3:$E$1025,0))="","",INDEX(学年度总表!$F$3:$F$1025,MATCH($E215,学年度总表!$E$3:$E$1025,0)))</f>
        <v>赵偲含</v>
      </c>
      <c r="G215" s="3">
        <f>IF(INDEX(学年度总表!$G$3:$G$1025,MATCH($E215,学年度总表!$E$3:$E$1025,0))="","",INDEX(学年度总表!$G$3:$G$1025,MATCH($E215,学年度总表!$E$3:$E$1025,0)))</f>
        <v>10</v>
      </c>
      <c r="H215" s="3">
        <f>IF(INDEX(学年度总表!$H$3:$H$1025,MATCH($E215,学年度总表!$E$3:$E$1025,0))="","",INDEX(学年度总表!$H$3:$H$1025,MATCH($E215,学年度总表!$E$3:$E$1025,0)))</f>
        <v>52.81</v>
      </c>
      <c r="I215" s="3">
        <f>IF(INDEX(学年度总表!$I$3:$I$1025,MATCH($E215,学年度总表!$E$3:$E$1025,0))="","",INDEX(学年度总表!$I$3:$I$1025,MATCH($E215,学年度总表!$E$3:$E$1025,0)))</f>
        <v>4.4000000000000004</v>
      </c>
      <c r="J215" s="3">
        <f>IF(INDEX(学年度总表!$J$3:$J$1025,MATCH($E215,学年度总表!$E$3:$E$1025,0))="","",INDEX(学年度总表!$J$3:$J$1025,MATCH($E215,学年度总表!$E$3:$E$1025,0)))</f>
        <v>67.209999999999994</v>
      </c>
      <c r="K215" s="3">
        <f>IF(INDEX(学年度总表!$K$3:$K$1025,MATCH($E215,学年度总表!$E$3:$E$1025,0))="","",INDEX(学年度总表!$K$3:$K$1025,MATCH($E215,学年度总表!$E$3:$E$1025,0)))</f>
        <v>10</v>
      </c>
      <c r="L215" s="3">
        <f>IF(INDEX(学年度总表!$L$3:$L$1025,MATCH($E215,学年度总表!$E$3:$E$1025,0))="","",INDEX(学年度总表!$L$3:$L$1025,MATCH($E215,学年度总表!$E$3:$E$1025,0)))</f>
        <v>51.87</v>
      </c>
      <c r="M215" s="3">
        <f>IF(INDEX(学年度总表!$M$3:$M$1025,MATCH($E215,学年度总表!$E$3:$E$1025,0))="","",INDEX(学年度总表!$M$3:$M$1025,MATCH($E215,学年度总表!$E$3:$E$1025,0)))</f>
        <v>4.7</v>
      </c>
      <c r="N215" s="3">
        <f>IF(INDEX(学年度总表!$N$3:$N$1025,MATCH($E215,学年度总表!$E$3:$E$1025,0))="","",INDEX(学年度总表!$N$3:$N$1025,MATCH($E215,学年度总表!$E$3:$E$1025,0)))</f>
        <v>66.569999999999993</v>
      </c>
      <c r="O215" s="3">
        <f>IF(INDEX(学年度总表!$O$3:$O$1025,MATCH($E215,学年度总表!$E$3:$E$1025,0))="","",INDEX(学年度总表!$O$3:$O$1025,MATCH($E215,学年度总表!$E$3:$E$1025,0)))</f>
        <v>133.78</v>
      </c>
      <c r="P215" s="2" t="str">
        <f>IF(INDEX(学年度总表!$P$3:$P$1025,MATCH($E215,学年度总表!$E$3:$E$1025,0))="","",INDEX(学年度总表!$P$3:$P$1025,MATCH($E215,学年度总表!$E$3:$E$1025,0)))</f>
        <v/>
      </c>
      <c r="Q215" s="5" t="str">
        <f>IF(INDEX(学年度总表!$Q$3:$Q$1025,MATCH($E215,学年度总表!$E$3:$E$1025,0))="","",INDEX(学年度总表!$Q$3:$Q$1025,MATCH($E215,学年度总表!$E$3:$E$1025,0)))</f>
        <v/>
      </c>
    </row>
    <row r="216" spans="1:17">
      <c r="A216" s="2">
        <f>IF(INDEX(学年度总表!$A$3:$A$1025,MATCH($E216,学年度总表!$E$3:$E$1025,0))="","",INDEX(学年度总表!$A$3:$A$1025,MATCH($E216,学年度总表!$E$3:$E$1025,0)))</f>
        <v>638</v>
      </c>
      <c r="B216" s="2">
        <f>IF(INDEX(学年度总表!$B$3:$B$1025,MATCH($E216,学年度总表!$E$3:$E$1025,0))="","",INDEX(学年度总表!$B$3:$B$1025,MATCH($E216,学年度总表!$E$3:$E$1025,0)))</f>
        <v>214</v>
      </c>
      <c r="C216" s="2" t="str">
        <f>IF(INDEX(学年度总表!$C$3:$C$1025,MATCH($E216,学年度总表!$E$3:$E$1025,0))="","",INDEX(学年度总表!$C$3:$C$1025,MATCH($E216,学年度总表!$E$3:$E$1025,0)))</f>
        <v>信管</v>
      </c>
      <c r="D216" s="2" t="str">
        <f>IF(INDEX(学年度总表!$D$3:$D$1025,MATCH($E216,学年度总表!$E$3:$E$1025,0))="","",INDEX(学年度总表!$D$3:$D$1025,MATCH($E216,学年度总表!$E$3:$E$1025,0)))</f>
        <v>信管25班</v>
      </c>
      <c r="E216" s="2" t="s">
        <v>1337</v>
      </c>
      <c r="F216" s="2" t="str">
        <f>IF(INDEX(学年度总表!$F$3:$F$1025,MATCH($E216,学年度总表!$E$3:$E$1025,0))="","",INDEX(学年度总表!$F$3:$F$1025,MATCH($E216,学年度总表!$E$3:$E$1025,0)))</f>
        <v>孙鹤桔</v>
      </c>
      <c r="G216" s="3">
        <f>IF(INDEX(学年度总表!$G$3:$G$1025,MATCH($E216,学年度总表!$E$3:$E$1025,0))="","",INDEX(学年度总表!$G$3:$G$1025,MATCH($E216,学年度总表!$E$3:$E$1025,0)))</f>
        <v>9.8000000000000007</v>
      </c>
      <c r="H216" s="3">
        <f>IF(INDEX(学年度总表!$H$3:$H$1025,MATCH($E216,学年度总表!$E$3:$E$1025,0))="","",INDEX(学年度总表!$H$3:$H$1025,MATCH($E216,学年度总表!$E$3:$E$1025,0)))</f>
        <v>54.13</v>
      </c>
      <c r="I216" s="3">
        <f>IF(INDEX(学年度总表!$I$3:$I$1025,MATCH($E216,学年度总表!$E$3:$E$1025,0))="","",INDEX(学年度总表!$I$3:$I$1025,MATCH($E216,学年度总表!$E$3:$E$1025,0)))</f>
        <v>4.7</v>
      </c>
      <c r="J216" s="3">
        <f>IF(INDEX(学年度总表!$J$3:$J$1025,MATCH($E216,学年度总表!$E$3:$E$1025,0))="","",INDEX(学年度总表!$J$3:$J$1025,MATCH($E216,学年度总表!$E$3:$E$1025,0)))</f>
        <v>68.63</v>
      </c>
      <c r="K216" s="3">
        <f>IF(INDEX(学年度总表!$K$3:$K$1025,MATCH($E216,学年度总表!$E$3:$E$1025,0))="","",INDEX(学年度总表!$K$3:$K$1025,MATCH($E216,学年度总表!$E$3:$E$1025,0)))</f>
        <v>7.3000000000000007</v>
      </c>
      <c r="L216" s="3">
        <f>IF(INDEX(学年度总表!$L$3:$L$1025,MATCH($E216,学年度总表!$E$3:$E$1025,0))="","",INDEX(学年度总表!$L$3:$L$1025,MATCH($E216,学年度总表!$E$3:$E$1025,0)))</f>
        <v>53.92</v>
      </c>
      <c r="M216" s="3">
        <f>IF(INDEX(学年度总表!$M$3:$M$1025,MATCH($E216,学年度总表!$E$3:$E$1025,0))="","",INDEX(学年度总表!$M$3:$M$1025,MATCH($E216,学年度总表!$E$3:$E$1025,0)))</f>
        <v>3.9</v>
      </c>
      <c r="N216" s="3">
        <f>IF(INDEX(学年度总表!$N$3:$N$1025,MATCH($E216,学年度总表!$E$3:$E$1025,0))="","",INDEX(学年度总表!$N$3:$N$1025,MATCH($E216,学年度总表!$E$3:$E$1025,0)))</f>
        <v>65.12</v>
      </c>
      <c r="O216" s="3">
        <f>IF(INDEX(学年度总表!$O$3:$O$1025,MATCH($E216,学年度总表!$E$3:$E$1025,0))="","",INDEX(学年度总表!$O$3:$O$1025,MATCH($E216,学年度总表!$E$3:$E$1025,0)))</f>
        <v>133.75</v>
      </c>
      <c r="P216" s="2" t="str">
        <f>IF(INDEX(学年度总表!$P$3:$P$1025,MATCH($E216,学年度总表!$E$3:$E$1025,0))="","",INDEX(学年度总表!$P$3:$P$1025,MATCH($E216,学年度总表!$E$3:$E$1025,0)))</f>
        <v/>
      </c>
      <c r="Q216" s="5" t="str">
        <f>IF(INDEX(学年度总表!$Q$3:$Q$1025,MATCH($E216,学年度总表!$E$3:$E$1025,0))="","",INDEX(学年度总表!$Q$3:$Q$1025,MATCH($E216,学年度总表!$E$3:$E$1025,0)))</f>
        <v/>
      </c>
    </row>
    <row r="217" spans="1:17">
      <c r="A217" s="2">
        <f>IF(INDEX(学年度总表!$A$3:$A$1025,MATCH($E217,学年度总表!$E$3:$E$1025,0))="","",INDEX(学年度总表!$A$3:$A$1025,MATCH($E217,学年度总表!$E$3:$E$1025,0)))</f>
        <v>640</v>
      </c>
      <c r="B217" s="2">
        <f>IF(INDEX(学年度总表!$B$3:$B$1025,MATCH($E217,学年度总表!$E$3:$E$1025,0))="","",INDEX(学年度总表!$B$3:$B$1025,MATCH($E217,学年度总表!$E$3:$E$1025,0)))</f>
        <v>215</v>
      </c>
      <c r="C217" s="2" t="str">
        <f>IF(INDEX(学年度总表!$C$3:$C$1025,MATCH($E217,学年度总表!$E$3:$E$1025,0))="","",INDEX(学年度总表!$C$3:$C$1025,MATCH($E217,学年度总表!$E$3:$E$1025,0)))</f>
        <v>信管</v>
      </c>
      <c r="D217" s="2" t="str">
        <f>IF(INDEX(学年度总表!$D$3:$D$1025,MATCH($E217,学年度总表!$E$3:$E$1025,0))="","",INDEX(学年度总表!$D$3:$D$1025,MATCH($E217,学年度总表!$E$3:$E$1025,0)))</f>
        <v>信管20班</v>
      </c>
      <c r="E217" s="2" t="s">
        <v>1341</v>
      </c>
      <c r="F217" s="2" t="str">
        <f>IF(INDEX(学年度总表!$F$3:$F$1025,MATCH($E217,学年度总表!$E$3:$E$1025,0))="","",INDEX(学年度总表!$F$3:$F$1025,MATCH($E217,学年度总表!$E$3:$E$1025,0)))</f>
        <v>晁浩铭</v>
      </c>
      <c r="G217" s="3">
        <f>IF(INDEX(学年度总表!$G$3:$G$1025,MATCH($E217,学年度总表!$E$3:$E$1025,0))="","",INDEX(学年度总表!$G$3:$G$1025,MATCH($E217,学年度总表!$E$3:$E$1025,0)))</f>
        <v>9.8000000000000007</v>
      </c>
      <c r="H217" s="3">
        <f>IF(INDEX(学年度总表!$H$3:$H$1025,MATCH($E217,学年度总表!$E$3:$E$1025,0))="","",INDEX(学年度总表!$H$3:$H$1025,MATCH($E217,学年度总表!$E$3:$E$1025,0)))</f>
        <v>53.34</v>
      </c>
      <c r="I217" s="3">
        <f>IF(INDEX(学年度总表!$I$3:$I$1025,MATCH($E217,学年度总表!$E$3:$E$1025,0))="","",INDEX(学年度总表!$I$3:$I$1025,MATCH($E217,学年度总表!$E$3:$E$1025,0)))</f>
        <v>4.9000000000000004</v>
      </c>
      <c r="J217" s="3">
        <f>IF(INDEX(学年度总表!$J$3:$J$1025,MATCH($E217,学年度总表!$E$3:$E$1025,0))="","",INDEX(学年度总表!$J$3:$J$1025,MATCH($E217,学年度总表!$E$3:$E$1025,0)))</f>
        <v>68.040000000000006</v>
      </c>
      <c r="K217" s="3">
        <f>IF(INDEX(学年度总表!$K$3:$K$1025,MATCH($E217,学年度总表!$E$3:$E$1025,0))="","",INDEX(学年度总表!$K$3:$K$1025,MATCH($E217,学年度总表!$E$3:$E$1025,0)))</f>
        <v>9.8000000000000007</v>
      </c>
      <c r="L217" s="3">
        <f>IF(INDEX(学年度总表!$L$3:$L$1025,MATCH($E217,学年度总表!$E$3:$E$1025,0))="","",INDEX(学年度总表!$L$3:$L$1025,MATCH($E217,学年度总表!$E$3:$E$1025,0)))</f>
        <v>50.38</v>
      </c>
      <c r="M217" s="3">
        <f>IF(INDEX(学年度总表!$M$3:$M$1025,MATCH($E217,学年度总表!$E$3:$E$1025,0))="","",INDEX(学年度总表!$M$3:$M$1025,MATCH($E217,学年度总表!$E$3:$E$1025,0)))</f>
        <v>5.4</v>
      </c>
      <c r="N217" s="3">
        <f>IF(INDEX(学年度总表!$N$3:$N$1025,MATCH($E217,学年度总表!$E$3:$E$1025,0))="","",INDEX(学年度总表!$N$3:$N$1025,MATCH($E217,学年度总表!$E$3:$E$1025,0)))</f>
        <v>65.58</v>
      </c>
      <c r="O217" s="3">
        <f>IF(INDEX(学年度总表!$O$3:$O$1025,MATCH($E217,学年度总表!$E$3:$E$1025,0))="","",INDEX(学年度总表!$O$3:$O$1025,MATCH($E217,学年度总表!$E$3:$E$1025,0)))</f>
        <v>133.62</v>
      </c>
      <c r="P217" s="2" t="str">
        <f>IF(INDEX(学年度总表!$P$3:$P$1025,MATCH($E217,学年度总表!$E$3:$E$1025,0))="","",INDEX(学年度总表!$P$3:$P$1025,MATCH($E217,学年度总表!$E$3:$E$1025,0)))</f>
        <v/>
      </c>
      <c r="Q217" s="5" t="str">
        <f>IF(INDEX(学年度总表!$Q$3:$Q$1025,MATCH($E217,学年度总表!$E$3:$E$1025,0))="","",INDEX(学年度总表!$Q$3:$Q$1025,MATCH($E217,学年度总表!$E$3:$E$1025,0)))</f>
        <v/>
      </c>
    </row>
    <row r="218" spans="1:17">
      <c r="A218" s="2">
        <f>IF(INDEX(学年度总表!$A$3:$A$1025,MATCH($E218,学年度总表!$E$3:$E$1025,0))="","",INDEX(学年度总表!$A$3:$A$1025,MATCH($E218,学年度总表!$E$3:$E$1025,0)))</f>
        <v>644</v>
      </c>
      <c r="B218" s="2">
        <f>IF(INDEX(学年度总表!$B$3:$B$1025,MATCH($E218,学年度总表!$E$3:$E$1025,0))="","",INDEX(学年度总表!$B$3:$B$1025,MATCH($E218,学年度总表!$E$3:$E$1025,0)))</f>
        <v>216</v>
      </c>
      <c r="C218" s="2" t="str">
        <f>IF(INDEX(学年度总表!$C$3:$C$1025,MATCH($E218,学年度总表!$E$3:$E$1025,0))="","",INDEX(学年度总表!$C$3:$C$1025,MATCH($E218,学年度总表!$E$3:$E$1025,0)))</f>
        <v>信管</v>
      </c>
      <c r="D218" s="2" t="str">
        <f>IF(INDEX(学年度总表!$D$3:$D$1025,MATCH($E218,学年度总表!$E$3:$E$1025,0))="","",INDEX(学年度总表!$D$3:$D$1025,MATCH($E218,学年度总表!$E$3:$E$1025,0)))</f>
        <v>信管20班</v>
      </c>
      <c r="E218" s="2" t="s">
        <v>1351</v>
      </c>
      <c r="F218" s="2" t="str">
        <f>IF(INDEX(学年度总表!$F$3:$F$1025,MATCH($E218,学年度总表!$E$3:$E$1025,0))="","",INDEX(学年度总表!$F$3:$F$1025,MATCH($E218,学年度总表!$E$3:$E$1025,0)))</f>
        <v>高梦辰</v>
      </c>
      <c r="G218" s="3">
        <f>IF(INDEX(学年度总表!$G$3:$G$1025,MATCH($E218,学年度总表!$E$3:$E$1025,0))="","",INDEX(学年度总表!$G$3:$G$1025,MATCH($E218,学年度总表!$E$3:$E$1025,0)))</f>
        <v>10</v>
      </c>
      <c r="H218" s="3">
        <f>IF(INDEX(学年度总表!$H$3:$H$1025,MATCH($E218,学年度总表!$E$3:$E$1025,0))="","",INDEX(学年度总表!$H$3:$H$1025,MATCH($E218,学年度总表!$E$3:$E$1025,0)))</f>
        <v>52.53</v>
      </c>
      <c r="I218" s="3">
        <f>IF(INDEX(学年度总表!$I$3:$I$1025,MATCH($E218,学年度总表!$E$3:$E$1025,0))="","",INDEX(学年度总表!$I$3:$I$1025,MATCH($E218,学年度总表!$E$3:$E$1025,0)))</f>
        <v>3.7</v>
      </c>
      <c r="J218" s="3">
        <f>IF(INDEX(学年度总表!$J$3:$J$1025,MATCH($E218,学年度总表!$E$3:$E$1025,0))="","",INDEX(学年度总表!$J$3:$J$1025,MATCH($E218,学年度总表!$E$3:$E$1025,0)))</f>
        <v>66.23</v>
      </c>
      <c r="K218" s="3">
        <f>IF(INDEX(学年度总表!$K$3:$K$1025,MATCH($E218,学年度总表!$E$3:$E$1025,0))="","",INDEX(学年度总表!$K$3:$K$1025,MATCH($E218,学年度总表!$E$3:$E$1025,0)))</f>
        <v>10</v>
      </c>
      <c r="L218" s="3">
        <f>IF(INDEX(学年度总表!$L$3:$L$1025,MATCH($E218,学年度总表!$E$3:$E$1025,0))="","",INDEX(学年度总表!$L$3:$L$1025,MATCH($E218,学年度总表!$E$3:$E$1025,0)))</f>
        <v>51.52</v>
      </c>
      <c r="M218" s="3">
        <f>IF(INDEX(学年度总表!$M$3:$M$1025,MATCH($E218,学年度总表!$E$3:$E$1025,0))="","",INDEX(学年度总表!$M$3:$M$1025,MATCH($E218,学年度总表!$E$3:$E$1025,0)))</f>
        <v>5.7</v>
      </c>
      <c r="N218" s="3">
        <f>IF(INDEX(学年度总表!$N$3:$N$1025,MATCH($E218,学年度总表!$E$3:$E$1025,0))="","",INDEX(学年度总表!$N$3:$N$1025,MATCH($E218,学年度总表!$E$3:$E$1025,0)))</f>
        <v>67.22</v>
      </c>
      <c r="O218" s="3">
        <f>IF(INDEX(学年度总表!$O$3:$O$1025,MATCH($E218,学年度总表!$E$3:$E$1025,0))="","",INDEX(学年度总表!$O$3:$O$1025,MATCH($E218,学年度总表!$E$3:$E$1025,0)))</f>
        <v>133.44999999999999</v>
      </c>
      <c r="P218" s="2" t="str">
        <f>IF(INDEX(学年度总表!$P$3:$P$1025,MATCH($E218,学年度总表!$E$3:$E$1025,0))="","",INDEX(学年度总表!$P$3:$P$1025,MATCH($E218,学年度总表!$E$3:$E$1025,0)))</f>
        <v/>
      </c>
      <c r="Q218" s="5" t="str">
        <f>IF(INDEX(学年度总表!$Q$3:$Q$1025,MATCH($E218,学年度总表!$E$3:$E$1025,0))="","",INDEX(学年度总表!$Q$3:$Q$1025,MATCH($E218,学年度总表!$E$3:$E$1025,0)))</f>
        <v/>
      </c>
    </row>
    <row r="219" spans="1:17">
      <c r="A219" s="2">
        <f>IF(INDEX(学年度总表!$A$3:$A$1025,MATCH($E219,学年度总表!$E$3:$E$1025,0))="","",INDEX(学年度总表!$A$3:$A$1025,MATCH($E219,学年度总表!$E$3:$E$1025,0)))</f>
        <v>650</v>
      </c>
      <c r="B219" s="2">
        <f>IF(INDEX(学年度总表!$B$3:$B$1025,MATCH($E219,学年度总表!$E$3:$E$1025,0))="","",INDEX(学年度总表!$B$3:$B$1025,MATCH($E219,学年度总表!$E$3:$E$1025,0)))</f>
        <v>217</v>
      </c>
      <c r="C219" s="2" t="str">
        <f>IF(INDEX(学年度总表!$C$3:$C$1025,MATCH($E219,学年度总表!$E$3:$E$1025,0))="","",INDEX(学年度总表!$C$3:$C$1025,MATCH($E219,学年度总表!$E$3:$E$1025,0)))</f>
        <v>信管</v>
      </c>
      <c r="D219" s="2" t="str">
        <f>IF(INDEX(学年度总表!$D$3:$D$1025,MATCH($E219,学年度总表!$E$3:$E$1025,0))="","",INDEX(学年度总表!$D$3:$D$1025,MATCH($E219,学年度总表!$E$3:$E$1025,0)))</f>
        <v>信管23班</v>
      </c>
      <c r="E219" s="2" t="s">
        <v>1363</v>
      </c>
      <c r="F219" s="2" t="str">
        <f>IF(INDEX(学年度总表!$F$3:$F$1025,MATCH($E219,学年度总表!$E$3:$E$1025,0))="","",INDEX(学年度总表!$F$3:$F$1025,MATCH($E219,学年度总表!$E$3:$E$1025,0)))</f>
        <v>赵杨可欣</v>
      </c>
      <c r="G219" s="3">
        <f>IF(INDEX(学年度总表!$G$3:$G$1025,MATCH($E219,学年度总表!$E$3:$E$1025,0))="","",INDEX(学年度总表!$G$3:$G$1025,MATCH($E219,学年度总表!$E$3:$E$1025,0)))</f>
        <v>9.8000000000000007</v>
      </c>
      <c r="H219" s="3">
        <f>IF(INDEX(学年度总表!$H$3:$H$1025,MATCH($E219,学年度总表!$E$3:$E$1025,0))="","",INDEX(学年度总表!$H$3:$H$1025,MATCH($E219,学年度总表!$E$3:$E$1025,0)))</f>
        <v>54.92</v>
      </c>
      <c r="I219" s="3">
        <f>IF(INDEX(学年度总表!$I$3:$I$1025,MATCH($E219,学年度总表!$E$3:$E$1025,0))="","",INDEX(学年度总表!$I$3:$I$1025,MATCH($E219,学年度总表!$E$3:$E$1025,0)))</f>
        <v>3</v>
      </c>
      <c r="J219" s="3">
        <f>IF(INDEX(学年度总表!$J$3:$J$1025,MATCH($E219,学年度总表!$E$3:$E$1025,0))="","",INDEX(学年度总表!$J$3:$J$1025,MATCH($E219,学年度总表!$E$3:$E$1025,0)))</f>
        <v>67.72</v>
      </c>
      <c r="K219" s="3">
        <f>IF(INDEX(学年度总表!$K$3:$K$1025,MATCH($E219,学年度总表!$E$3:$E$1025,0))="","",INDEX(学年度总表!$K$3:$K$1025,MATCH($E219,学年度总表!$E$3:$E$1025,0)))</f>
        <v>9.8000000000000007</v>
      </c>
      <c r="L219" s="3">
        <f>IF(INDEX(学年度总表!$L$3:$L$1025,MATCH($E219,学年度总表!$E$3:$E$1025,0))="","",INDEX(学年度总表!$L$3:$L$1025,MATCH($E219,学年度总表!$E$3:$E$1025,0)))</f>
        <v>52.66</v>
      </c>
      <c r="M219" s="3">
        <f>IF(INDEX(学年度总表!$M$3:$M$1025,MATCH($E219,学年度总表!$E$3:$E$1025,0))="","",INDEX(学年度总表!$M$3:$M$1025,MATCH($E219,学年度总表!$E$3:$E$1025,0)))</f>
        <v>3</v>
      </c>
      <c r="N219" s="3">
        <f>IF(INDEX(学年度总表!$N$3:$N$1025,MATCH($E219,学年度总表!$E$3:$E$1025,0))="","",INDEX(学年度总表!$N$3:$N$1025,MATCH($E219,学年度总表!$E$3:$E$1025,0)))</f>
        <v>65.459999999999994</v>
      </c>
      <c r="O219" s="3">
        <f>IF(INDEX(学年度总表!$O$3:$O$1025,MATCH($E219,学年度总表!$E$3:$E$1025,0))="","",INDEX(学年度总表!$O$3:$O$1025,MATCH($E219,学年度总表!$E$3:$E$1025,0)))</f>
        <v>133.18</v>
      </c>
      <c r="P219" s="2" t="str">
        <f>IF(INDEX(学年度总表!$P$3:$P$1025,MATCH($E219,学年度总表!$E$3:$E$1025,0))="","",INDEX(学年度总表!$P$3:$P$1025,MATCH($E219,学年度总表!$E$3:$E$1025,0)))</f>
        <v/>
      </c>
      <c r="Q219" s="5" t="str">
        <f>IF(INDEX(学年度总表!$Q$3:$Q$1025,MATCH($E219,学年度总表!$E$3:$E$1025,0))="","",INDEX(学年度总表!$Q$3:$Q$1025,MATCH($E219,学年度总表!$E$3:$E$1025,0)))</f>
        <v/>
      </c>
    </row>
    <row r="220" spans="1:17">
      <c r="A220" s="2">
        <f>IF(INDEX(学年度总表!$A$3:$A$1025,MATCH($E220,学年度总表!$E$3:$E$1025,0))="","",INDEX(学年度总表!$A$3:$A$1025,MATCH($E220,学年度总表!$E$3:$E$1025,0)))</f>
        <v>652</v>
      </c>
      <c r="B220" s="2">
        <f>IF(INDEX(学年度总表!$B$3:$B$1025,MATCH($E220,学年度总表!$E$3:$E$1025,0))="","",INDEX(学年度总表!$B$3:$B$1025,MATCH($E220,学年度总表!$E$3:$E$1025,0)))</f>
        <v>218</v>
      </c>
      <c r="C220" s="2" t="str">
        <f>IF(INDEX(学年度总表!$C$3:$C$1025,MATCH($E220,学年度总表!$E$3:$E$1025,0))="","",INDEX(学年度总表!$C$3:$C$1025,MATCH($E220,学年度总表!$E$3:$E$1025,0)))</f>
        <v>信管</v>
      </c>
      <c r="D220" s="2" t="str">
        <f>IF(INDEX(学年度总表!$D$3:$D$1025,MATCH($E220,学年度总表!$E$3:$E$1025,0))="","",INDEX(学年度总表!$D$3:$D$1025,MATCH($E220,学年度总表!$E$3:$E$1025,0)))</f>
        <v>信管27班</v>
      </c>
      <c r="E220" s="2" t="s">
        <v>1365</v>
      </c>
      <c r="F220" s="2" t="str">
        <f>IF(INDEX(学年度总表!$F$3:$F$1025,MATCH($E220,学年度总表!$E$3:$E$1025,0))="","",INDEX(学年度总表!$F$3:$F$1025,MATCH($E220,学年度总表!$E$3:$E$1025,0)))</f>
        <v>杨嘉木</v>
      </c>
      <c r="G220" s="3">
        <f>IF(INDEX(学年度总表!$G$3:$G$1025,MATCH($E220,学年度总表!$E$3:$E$1025,0))="","",INDEX(学年度总表!$G$3:$G$1025,MATCH($E220,学年度总表!$E$3:$E$1025,0)))</f>
        <v>10</v>
      </c>
      <c r="H220" s="3">
        <f>IF(INDEX(学年度总表!$H$3:$H$1025,MATCH($E220,学年度总表!$E$3:$E$1025,0))="","",INDEX(学年度总表!$H$3:$H$1025,MATCH($E220,学年度总表!$E$3:$E$1025,0)))</f>
        <v>55.74</v>
      </c>
      <c r="I220" s="3">
        <f>IF(INDEX(学年度总表!$I$3:$I$1025,MATCH($E220,学年度总表!$E$3:$E$1025,0))="","",INDEX(学年度总表!$I$3:$I$1025,MATCH($E220,学年度总表!$E$3:$E$1025,0)))</f>
        <v>3.2</v>
      </c>
      <c r="J220" s="3">
        <f>IF(INDEX(学年度总表!$J$3:$J$1025,MATCH($E220,学年度总表!$E$3:$E$1025,0))="","",INDEX(学年度总表!$J$3:$J$1025,MATCH($E220,学年度总表!$E$3:$E$1025,0)))</f>
        <v>68.94</v>
      </c>
      <c r="K220" s="3">
        <f>IF(INDEX(学年度总表!$K$3:$K$1025,MATCH($E220,学年度总表!$E$3:$E$1025,0))="","",INDEX(学年度总表!$K$3:$K$1025,MATCH($E220,学年度总表!$E$3:$E$1025,0)))</f>
        <v>7.5</v>
      </c>
      <c r="L220" s="3">
        <f>IF(INDEX(学年度总表!$L$3:$L$1025,MATCH($E220,学年度总表!$E$3:$E$1025,0))="","",INDEX(学年度总表!$L$3:$L$1025,MATCH($E220,学年度总表!$E$3:$E$1025,0)))</f>
        <v>53.18</v>
      </c>
      <c r="M220" s="3">
        <f>IF(INDEX(学年度总表!$M$3:$M$1025,MATCH($E220,学年度总表!$E$3:$E$1025,0))="","",INDEX(学年度总表!$M$3:$M$1025,MATCH($E220,学年度总表!$E$3:$E$1025,0)))</f>
        <v>3.5</v>
      </c>
      <c r="N220" s="3">
        <f>IF(INDEX(学年度总表!$N$3:$N$1025,MATCH($E220,学年度总表!$E$3:$E$1025,0))="","",INDEX(学年度总表!$N$3:$N$1025,MATCH($E220,学年度总表!$E$3:$E$1025,0)))</f>
        <v>64.180000000000007</v>
      </c>
      <c r="O220" s="3">
        <f>IF(INDEX(学年度总表!$O$3:$O$1025,MATCH($E220,学年度总表!$E$3:$E$1025,0))="","",INDEX(学年度总表!$O$3:$O$1025,MATCH($E220,学年度总表!$E$3:$E$1025,0)))</f>
        <v>133.12</v>
      </c>
      <c r="P220" s="2" t="str">
        <f>IF(INDEX(学年度总表!$P$3:$P$1025,MATCH($E220,学年度总表!$E$3:$E$1025,0))="","",INDEX(学年度总表!$P$3:$P$1025,MATCH($E220,学年度总表!$E$3:$E$1025,0)))</f>
        <v/>
      </c>
      <c r="Q220" s="5" t="str">
        <f>IF(INDEX(学年度总表!$Q$3:$Q$1025,MATCH($E220,学年度总表!$E$3:$E$1025,0))="","",INDEX(学年度总表!$Q$3:$Q$1025,MATCH($E220,学年度总表!$E$3:$E$1025,0)))</f>
        <v/>
      </c>
    </row>
    <row r="221" spans="1:17">
      <c r="A221" s="2">
        <f>IF(INDEX(学年度总表!$A$3:$A$1025,MATCH($E221,学年度总表!$E$3:$E$1025,0))="","",INDEX(学年度总表!$A$3:$A$1025,MATCH($E221,学年度总表!$E$3:$E$1025,0)))</f>
        <v>653</v>
      </c>
      <c r="B221" s="2">
        <f>IF(INDEX(学年度总表!$B$3:$B$1025,MATCH($E221,学年度总表!$E$3:$E$1025,0))="","",INDEX(学年度总表!$B$3:$B$1025,MATCH($E221,学年度总表!$E$3:$E$1025,0)))</f>
        <v>219</v>
      </c>
      <c r="C221" s="2" t="str">
        <f>IF(INDEX(学年度总表!$C$3:$C$1025,MATCH($E221,学年度总表!$E$3:$E$1025,0))="","",INDEX(学年度总表!$C$3:$C$1025,MATCH($E221,学年度总表!$E$3:$E$1025,0)))</f>
        <v>信管</v>
      </c>
      <c r="D221" s="2" t="str">
        <f>IF(INDEX(学年度总表!$D$3:$D$1025,MATCH($E221,学年度总表!$E$3:$E$1025,0))="","",INDEX(学年度总表!$D$3:$D$1025,MATCH($E221,学年度总表!$E$3:$E$1025,0)))</f>
        <v>信管21班</v>
      </c>
      <c r="E221" s="2" t="s">
        <v>1367</v>
      </c>
      <c r="F221" s="2" t="str">
        <f>IF(INDEX(学年度总表!$F$3:$F$1025,MATCH($E221,学年度总表!$E$3:$E$1025,0))="","",INDEX(学年度总表!$F$3:$F$1025,MATCH($E221,学年度总表!$E$3:$E$1025,0)))</f>
        <v>王馨瑷</v>
      </c>
      <c r="G221" s="3">
        <f>IF(INDEX(学年度总表!$G$3:$G$1025,MATCH($E221,学年度总表!$E$3:$E$1025,0))="","",INDEX(学年度总表!$G$3:$G$1025,MATCH($E221,学年度总表!$E$3:$E$1025,0)))</f>
        <v>10.8</v>
      </c>
      <c r="H221" s="3">
        <f>IF(INDEX(学年度总表!$H$3:$H$1025,MATCH($E221,学年度总表!$E$3:$E$1025,0))="","",INDEX(学年度总表!$H$3:$H$1025,MATCH($E221,学年度总表!$E$3:$E$1025,0)))</f>
        <v>56.94</v>
      </c>
      <c r="I221" s="3">
        <f>IF(INDEX(学年度总表!$I$3:$I$1025,MATCH($E221,学年度总表!$E$3:$E$1025,0))="","",INDEX(学年度总表!$I$3:$I$1025,MATCH($E221,学年度总表!$E$3:$E$1025,0)))</f>
        <v>3.6</v>
      </c>
      <c r="J221" s="3">
        <f>IF(INDEX(学年度总表!$J$3:$J$1025,MATCH($E221,学年度总表!$E$3:$E$1025,0))="","",INDEX(学年度总表!$J$3:$J$1025,MATCH($E221,学年度总表!$E$3:$E$1025,0)))</f>
        <v>71.34</v>
      </c>
      <c r="K221" s="3">
        <f>IF(INDEX(学年度总表!$K$3:$K$1025,MATCH($E221,学年度总表!$E$3:$E$1025,0))="","",INDEX(学年度总表!$K$3:$K$1025,MATCH($E221,学年度总表!$E$3:$E$1025,0)))</f>
        <v>9.8000000000000007</v>
      </c>
      <c r="L221" s="3">
        <f>IF(INDEX(学年度总表!$L$3:$L$1025,MATCH($E221,学年度总表!$E$3:$E$1025,0))="","",INDEX(学年度总表!$L$3:$L$1025,MATCH($E221,学年度总表!$E$3:$E$1025,0)))</f>
        <v>47.61</v>
      </c>
      <c r="M221" s="3">
        <f>IF(INDEX(学年度总表!$M$3:$M$1025,MATCH($E221,学年度总表!$E$3:$E$1025,0))="","",INDEX(学年度总表!$M$3:$M$1025,MATCH($E221,学年度总表!$E$3:$E$1025,0)))</f>
        <v>4.3</v>
      </c>
      <c r="N221" s="3">
        <f>IF(INDEX(学年度总表!$N$3:$N$1025,MATCH($E221,学年度总表!$E$3:$E$1025,0))="","",INDEX(学年度总表!$N$3:$N$1025,MATCH($E221,学年度总表!$E$3:$E$1025,0)))</f>
        <v>61.71</v>
      </c>
      <c r="O221" s="3">
        <f>IF(INDEX(学年度总表!$O$3:$O$1025,MATCH($E221,学年度总表!$E$3:$E$1025,0))="","",INDEX(学年度总表!$O$3:$O$1025,MATCH($E221,学年度总表!$E$3:$E$1025,0)))</f>
        <v>133.05000000000001</v>
      </c>
      <c r="P221" s="2" t="str">
        <f>IF(INDEX(学年度总表!$P$3:$P$1025,MATCH($E221,学年度总表!$E$3:$E$1025,0))="","",INDEX(学年度总表!$P$3:$P$1025,MATCH($E221,学年度总表!$E$3:$E$1025,0)))</f>
        <v/>
      </c>
      <c r="Q221" s="5" t="str">
        <f>IF(INDEX(学年度总表!$Q$3:$Q$1025,MATCH($E221,学年度总表!$E$3:$E$1025,0))="","",INDEX(学年度总表!$Q$3:$Q$1025,MATCH($E221,学年度总表!$E$3:$E$1025,0)))</f>
        <v/>
      </c>
    </row>
    <row r="222" spans="1:17">
      <c r="A222" s="2">
        <f>IF(INDEX(学年度总表!$A$3:$A$1025,MATCH($E222,学年度总表!$E$3:$E$1025,0))="","",INDEX(学年度总表!$A$3:$A$1025,MATCH($E222,学年度总表!$E$3:$E$1025,0)))</f>
        <v>658</v>
      </c>
      <c r="B222" s="2">
        <f>IF(INDEX(学年度总表!$B$3:$B$1025,MATCH($E222,学年度总表!$E$3:$E$1025,0))="","",INDEX(学年度总表!$B$3:$B$1025,MATCH($E222,学年度总表!$E$3:$E$1025,0)))</f>
        <v>220</v>
      </c>
      <c r="C222" s="2" t="str">
        <f>IF(INDEX(学年度总表!$C$3:$C$1025,MATCH($E222,学年度总表!$E$3:$E$1025,0))="","",INDEX(学年度总表!$C$3:$C$1025,MATCH($E222,学年度总表!$E$3:$E$1025,0)))</f>
        <v>信管</v>
      </c>
      <c r="D222" s="2" t="str">
        <f>IF(INDEX(学年度总表!$D$3:$D$1025,MATCH($E222,学年度总表!$E$3:$E$1025,0))="","",INDEX(学年度总表!$D$3:$D$1025,MATCH($E222,学年度总表!$E$3:$E$1025,0)))</f>
        <v>信管28班</v>
      </c>
      <c r="E222" s="2" t="s">
        <v>1377</v>
      </c>
      <c r="F222" s="2" t="str">
        <f>IF(INDEX(学年度总表!$F$3:$F$1025,MATCH($E222,学年度总表!$E$3:$E$1025,0))="","",INDEX(学年度总表!$F$3:$F$1025,MATCH($E222,学年度总表!$E$3:$E$1025,0)))</f>
        <v>赵师闻</v>
      </c>
      <c r="G222" s="3">
        <f>IF(INDEX(学年度总表!$G$3:$G$1025,MATCH($E222,学年度总表!$E$3:$E$1025,0))="","",INDEX(学年度总表!$G$3:$G$1025,MATCH($E222,学年度总表!$E$3:$E$1025,0)))</f>
        <v>10</v>
      </c>
      <c r="H222" s="3">
        <f>IF(INDEX(学年度总表!$H$3:$H$1025,MATCH($E222,学年度总表!$E$3:$E$1025,0))="","",INDEX(学年度总表!$H$3:$H$1025,MATCH($E222,学年度总表!$E$3:$E$1025,0)))</f>
        <v>56.54</v>
      </c>
      <c r="I222" s="3">
        <f>IF(INDEX(学年度总表!$I$3:$I$1025,MATCH($E222,学年度总表!$E$3:$E$1025,0))="","",INDEX(学年度总表!$I$3:$I$1025,MATCH($E222,学年度总表!$E$3:$E$1025,0)))</f>
        <v>3.7</v>
      </c>
      <c r="J222" s="3">
        <f>IF(INDEX(学年度总表!$J$3:$J$1025,MATCH($E222,学年度总表!$E$3:$E$1025,0))="","",INDEX(学年度总表!$J$3:$J$1025,MATCH($E222,学年度总表!$E$3:$E$1025,0)))</f>
        <v>70.239999999999995</v>
      </c>
      <c r="K222" s="3">
        <f>IF(INDEX(学年度总表!$K$3:$K$1025,MATCH($E222,学年度总表!$E$3:$E$1025,0))="","",INDEX(学年度总表!$K$3:$K$1025,MATCH($E222,学年度总表!$E$3:$E$1025,0)))</f>
        <v>7.3000000000000007</v>
      </c>
      <c r="L222" s="3">
        <f>IF(INDEX(学年度总表!$L$3:$L$1025,MATCH($E222,学年度总表!$E$3:$E$1025,0))="","",INDEX(学年度总表!$L$3:$L$1025,MATCH($E222,学年度总表!$E$3:$E$1025,0)))</f>
        <v>50.43</v>
      </c>
      <c r="M222" s="3">
        <f>IF(INDEX(学年度总表!$M$3:$M$1025,MATCH($E222,学年度总表!$E$3:$E$1025,0))="","",INDEX(学年度总表!$M$3:$M$1025,MATCH($E222,学年度总表!$E$3:$E$1025,0)))</f>
        <v>4.5</v>
      </c>
      <c r="N222" s="3">
        <f>IF(INDEX(学年度总表!$N$3:$N$1025,MATCH($E222,学年度总表!$E$3:$E$1025,0))="","",INDEX(学年度总表!$N$3:$N$1025,MATCH($E222,学年度总表!$E$3:$E$1025,0)))</f>
        <v>62.23</v>
      </c>
      <c r="O222" s="3">
        <f>IF(INDEX(学年度总表!$O$3:$O$1025,MATCH($E222,学年度总表!$E$3:$E$1025,0))="","",INDEX(学年度总表!$O$3:$O$1025,MATCH($E222,学年度总表!$E$3:$E$1025,0)))</f>
        <v>132.47</v>
      </c>
      <c r="P222" s="2" t="str">
        <f>IF(INDEX(学年度总表!$P$3:$P$1025,MATCH($E222,学年度总表!$E$3:$E$1025,0))="","",INDEX(学年度总表!$P$3:$P$1025,MATCH($E222,学年度总表!$E$3:$E$1025,0)))</f>
        <v/>
      </c>
      <c r="Q222" s="5" t="str">
        <f>IF(INDEX(学年度总表!$Q$3:$Q$1025,MATCH($E222,学年度总表!$E$3:$E$1025,0))="","",INDEX(学年度总表!$Q$3:$Q$1025,MATCH($E222,学年度总表!$E$3:$E$1025,0)))</f>
        <v/>
      </c>
    </row>
    <row r="223" spans="1:17">
      <c r="A223" s="2">
        <f>IF(INDEX(学年度总表!$A$3:$A$1025,MATCH($E223,学年度总表!$E$3:$E$1025,0))="","",INDEX(学年度总表!$A$3:$A$1025,MATCH($E223,学年度总表!$E$3:$E$1025,0)))</f>
        <v>661</v>
      </c>
      <c r="B223" s="2">
        <f>IF(INDEX(学年度总表!$B$3:$B$1025,MATCH($E223,学年度总表!$E$3:$E$1025,0))="","",INDEX(学年度总表!$B$3:$B$1025,MATCH($E223,学年度总表!$E$3:$E$1025,0)))</f>
        <v>221</v>
      </c>
      <c r="C223" s="2" t="str">
        <f>IF(INDEX(学年度总表!$C$3:$C$1025,MATCH($E223,学年度总表!$E$3:$E$1025,0))="","",INDEX(学年度总表!$C$3:$C$1025,MATCH($E223,学年度总表!$E$3:$E$1025,0)))</f>
        <v>信管</v>
      </c>
      <c r="D223" s="2" t="str">
        <f>IF(INDEX(学年度总表!$D$3:$D$1025,MATCH($E223,学年度总表!$E$3:$E$1025,0))="","",INDEX(学年度总表!$D$3:$D$1025,MATCH($E223,学年度总表!$E$3:$E$1025,0)))</f>
        <v>信管23班</v>
      </c>
      <c r="E223" s="2" t="s">
        <v>1383</v>
      </c>
      <c r="F223" s="2" t="str">
        <f>IF(INDEX(学年度总表!$F$3:$F$1025,MATCH($E223,学年度总表!$E$3:$E$1025,0))="","",INDEX(学年度总表!$F$3:$F$1025,MATCH($E223,学年度总表!$E$3:$E$1025,0)))</f>
        <v>周佳伊</v>
      </c>
      <c r="G223" s="3">
        <f>IF(INDEX(学年度总表!$G$3:$G$1025,MATCH($E223,学年度总表!$E$3:$E$1025,0))="","",INDEX(学年度总表!$G$3:$G$1025,MATCH($E223,学年度总表!$E$3:$E$1025,0)))</f>
        <v>9.8000000000000007</v>
      </c>
      <c r="H223" s="3">
        <f>IF(INDEX(学年度总表!$H$3:$H$1025,MATCH($E223,学年度总表!$E$3:$E$1025,0))="","",INDEX(学年度总表!$H$3:$H$1025,MATCH($E223,学年度总表!$E$3:$E$1025,0)))</f>
        <v>56.57</v>
      </c>
      <c r="I223" s="3">
        <f>IF(INDEX(学年度总表!$I$3:$I$1025,MATCH($E223,学年度总表!$E$3:$E$1025,0))="","",INDEX(学年度总表!$I$3:$I$1025,MATCH($E223,学年度总表!$E$3:$E$1025,0)))</f>
        <v>3</v>
      </c>
      <c r="J223" s="3">
        <f>IF(INDEX(学年度总表!$J$3:$J$1025,MATCH($E223,学年度总表!$E$3:$E$1025,0))="","",INDEX(学年度总表!$J$3:$J$1025,MATCH($E223,学年度总表!$E$3:$E$1025,0)))</f>
        <v>69.37</v>
      </c>
      <c r="K223" s="3">
        <f>IF(INDEX(学年度总表!$K$3:$K$1025,MATCH($E223,学年度总表!$E$3:$E$1025,0))="","",INDEX(学年度总表!$K$3:$K$1025,MATCH($E223,学年度总表!$E$3:$E$1025,0)))</f>
        <v>9.8000000000000007</v>
      </c>
      <c r="L223" s="3">
        <f>IF(INDEX(学年度总表!$L$3:$L$1025,MATCH($E223,学年度总表!$E$3:$E$1025,0))="","",INDEX(学年度总表!$L$3:$L$1025,MATCH($E223,学年度总表!$E$3:$E$1025,0)))</f>
        <v>50.22</v>
      </c>
      <c r="M223" s="3">
        <f>IF(INDEX(学年度总表!$M$3:$M$1025,MATCH($E223,学年度总表!$E$3:$E$1025,0))="","",INDEX(学年度总表!$M$3:$M$1025,MATCH($E223,学年度总表!$E$3:$E$1025,0)))</f>
        <v>3</v>
      </c>
      <c r="N223" s="3">
        <f>IF(INDEX(学年度总表!$N$3:$N$1025,MATCH($E223,学年度总表!$E$3:$E$1025,0))="","",INDEX(学年度总表!$N$3:$N$1025,MATCH($E223,学年度总表!$E$3:$E$1025,0)))</f>
        <v>63.02</v>
      </c>
      <c r="O223" s="3">
        <f>IF(INDEX(学年度总表!$O$3:$O$1025,MATCH($E223,学年度总表!$E$3:$E$1025,0))="","",INDEX(学年度总表!$O$3:$O$1025,MATCH($E223,学年度总表!$E$3:$E$1025,0)))</f>
        <v>132.38999999999999</v>
      </c>
      <c r="P223" s="2" t="str">
        <f>IF(INDEX(学年度总表!$P$3:$P$1025,MATCH($E223,学年度总表!$E$3:$E$1025,0))="","",INDEX(学年度总表!$P$3:$P$1025,MATCH($E223,学年度总表!$E$3:$E$1025,0)))</f>
        <v/>
      </c>
      <c r="Q223" s="5" t="str">
        <f>IF(INDEX(学年度总表!$Q$3:$Q$1025,MATCH($E223,学年度总表!$E$3:$E$1025,0))="","",INDEX(学年度总表!$Q$3:$Q$1025,MATCH($E223,学年度总表!$E$3:$E$1025,0)))</f>
        <v/>
      </c>
    </row>
    <row r="224" spans="1:17">
      <c r="A224" s="2">
        <f>IF(INDEX(学年度总表!$A$3:$A$1025,MATCH($E224,学年度总表!$E$3:$E$1025,0))="","",INDEX(学年度总表!$A$3:$A$1025,MATCH($E224,学年度总表!$E$3:$E$1025,0)))</f>
        <v>662</v>
      </c>
      <c r="B224" s="2">
        <f>IF(INDEX(学年度总表!$B$3:$B$1025,MATCH($E224,学年度总表!$E$3:$E$1025,0))="","",INDEX(学年度总表!$B$3:$B$1025,MATCH($E224,学年度总表!$E$3:$E$1025,0)))</f>
        <v>222</v>
      </c>
      <c r="C224" s="2" t="str">
        <f>IF(INDEX(学年度总表!$C$3:$C$1025,MATCH($E224,学年度总表!$E$3:$E$1025,0))="","",INDEX(学年度总表!$C$3:$C$1025,MATCH($E224,学年度总表!$E$3:$E$1025,0)))</f>
        <v>信管</v>
      </c>
      <c r="D224" s="2" t="str">
        <f>IF(INDEX(学年度总表!$D$3:$D$1025,MATCH($E224,学年度总表!$E$3:$E$1025,0))="","",INDEX(学年度总表!$D$3:$D$1025,MATCH($E224,学年度总表!$E$3:$E$1025,0)))</f>
        <v>信管22班</v>
      </c>
      <c r="E224" s="2" t="s">
        <v>1385</v>
      </c>
      <c r="F224" s="2" t="str">
        <f>IF(INDEX(学年度总表!$F$3:$F$1025,MATCH($E224,学年度总表!$E$3:$E$1025,0))="","",INDEX(学年度总表!$F$3:$F$1025,MATCH($E224,学年度总表!$E$3:$E$1025,0)))</f>
        <v>盛新竹</v>
      </c>
      <c r="G224" s="3">
        <f>IF(INDEX(学年度总表!$G$3:$G$1025,MATCH($E224,学年度总表!$E$3:$E$1025,0))="","",INDEX(学年度总表!$G$3:$G$1025,MATCH($E224,学年度总表!$E$3:$E$1025,0)))</f>
        <v>9.8000000000000007</v>
      </c>
      <c r="H224" s="3">
        <f>IF(INDEX(学年度总表!$H$3:$H$1025,MATCH($E224,学年度总表!$E$3:$E$1025,0))="","",INDEX(学年度总表!$H$3:$H$1025,MATCH($E224,学年度总表!$E$3:$E$1025,0)))</f>
        <v>51.4</v>
      </c>
      <c r="I224" s="3">
        <f>IF(INDEX(学年度总表!$I$3:$I$1025,MATCH($E224,学年度总表!$E$3:$E$1025,0))="","",INDEX(学年度总表!$I$3:$I$1025,MATCH($E224,学年度总表!$E$3:$E$1025,0)))</f>
        <v>3.9</v>
      </c>
      <c r="J224" s="3">
        <f>IF(INDEX(学年度总表!$J$3:$J$1025,MATCH($E224,学年度总表!$E$3:$E$1025,0))="","",INDEX(学年度总表!$J$3:$J$1025,MATCH($E224,学年度总表!$E$3:$E$1025,0)))</f>
        <v>65.099999999999994</v>
      </c>
      <c r="K224" s="3">
        <f>IF(INDEX(学年度总表!$K$3:$K$1025,MATCH($E224,学年度总表!$E$3:$E$1025,0))="","",INDEX(学年度总表!$K$3:$K$1025,MATCH($E224,学年度总表!$E$3:$E$1025,0)))</f>
        <v>9.8000000000000007</v>
      </c>
      <c r="L224" s="3">
        <f>IF(INDEX(学年度总表!$L$3:$L$1025,MATCH($E224,学年度总表!$E$3:$E$1025,0))="","",INDEX(学年度总表!$L$3:$L$1025,MATCH($E224,学年度总表!$E$3:$E$1025,0)))</f>
        <v>52.84</v>
      </c>
      <c r="M224" s="3">
        <f>IF(INDEX(学年度总表!$M$3:$M$1025,MATCH($E224,学年度总表!$E$3:$E$1025,0))="","",INDEX(学年度总表!$M$3:$M$1025,MATCH($E224,学年度总表!$E$3:$E$1025,0)))</f>
        <v>4.6000000000000014</v>
      </c>
      <c r="N224" s="3">
        <f>IF(INDEX(学年度总表!$N$3:$N$1025,MATCH($E224,学年度总表!$E$3:$E$1025,0))="","",INDEX(学年度总表!$N$3:$N$1025,MATCH($E224,学年度总表!$E$3:$E$1025,0)))</f>
        <v>67.239999999999995</v>
      </c>
      <c r="O224" s="3">
        <f>IF(INDEX(学年度总表!$O$3:$O$1025,MATCH($E224,学年度总表!$E$3:$E$1025,0))="","",INDEX(学年度总表!$O$3:$O$1025,MATCH($E224,学年度总表!$E$3:$E$1025,0)))</f>
        <v>132.34</v>
      </c>
      <c r="P224" s="2" t="str">
        <f>IF(INDEX(学年度总表!$P$3:$P$1025,MATCH($E224,学年度总表!$E$3:$E$1025,0))="","",INDEX(学年度总表!$P$3:$P$1025,MATCH($E224,学年度总表!$E$3:$E$1025,0)))</f>
        <v/>
      </c>
      <c r="Q224" s="5" t="str">
        <f>IF(INDEX(学年度总表!$Q$3:$Q$1025,MATCH($E224,学年度总表!$E$3:$E$1025,0))="","",INDEX(学年度总表!$Q$3:$Q$1025,MATCH($E224,学年度总表!$E$3:$E$1025,0)))</f>
        <v/>
      </c>
    </row>
    <row r="225" spans="1:17">
      <c r="A225" s="2">
        <f>IF(INDEX(学年度总表!$A$3:$A$1025,MATCH($E225,学年度总表!$E$3:$E$1025,0))="","",INDEX(学年度总表!$A$3:$A$1025,MATCH($E225,学年度总表!$E$3:$E$1025,0)))</f>
        <v>663</v>
      </c>
      <c r="B225" s="2">
        <f>IF(INDEX(学年度总表!$B$3:$B$1025,MATCH($E225,学年度总表!$E$3:$E$1025,0))="","",INDEX(学年度总表!$B$3:$B$1025,MATCH($E225,学年度总表!$E$3:$E$1025,0)))</f>
        <v>223</v>
      </c>
      <c r="C225" s="2" t="str">
        <f>IF(INDEX(学年度总表!$C$3:$C$1025,MATCH($E225,学年度总表!$E$3:$E$1025,0))="","",INDEX(学年度总表!$C$3:$C$1025,MATCH($E225,学年度总表!$E$3:$E$1025,0)))</f>
        <v>信管</v>
      </c>
      <c r="D225" s="2" t="str">
        <f>IF(INDEX(学年度总表!$D$3:$D$1025,MATCH($E225,学年度总表!$E$3:$E$1025,0))="","",INDEX(学年度总表!$D$3:$D$1025,MATCH($E225,学年度总表!$E$3:$E$1025,0)))</f>
        <v>信管28班</v>
      </c>
      <c r="E225" s="2" t="s">
        <v>1387</v>
      </c>
      <c r="F225" s="2" t="str">
        <f>IF(INDEX(学年度总表!$F$3:$F$1025,MATCH($E225,学年度总表!$E$3:$E$1025,0))="","",INDEX(学年度总表!$F$3:$F$1025,MATCH($E225,学年度总表!$E$3:$E$1025,0)))</f>
        <v>王一轩</v>
      </c>
      <c r="G225" s="3">
        <f>IF(INDEX(学年度总表!$G$3:$G$1025,MATCH($E225,学年度总表!$E$3:$E$1025,0))="","",INDEX(学年度总表!$G$3:$G$1025,MATCH($E225,学年度总表!$E$3:$E$1025,0)))</f>
        <v>9.8000000000000007</v>
      </c>
      <c r="H225" s="3">
        <f>IF(INDEX(学年度总表!$H$3:$H$1025,MATCH($E225,学年度总表!$E$3:$E$1025,0))="","",INDEX(学年度总表!$H$3:$H$1025,MATCH($E225,学年度总表!$E$3:$E$1025,0)))</f>
        <v>57.4</v>
      </c>
      <c r="I225" s="3">
        <f>IF(INDEX(学年度总表!$I$3:$I$1025,MATCH($E225,学年度总表!$E$3:$E$1025,0))="","",INDEX(学年度总表!$I$3:$I$1025,MATCH($E225,学年度总表!$E$3:$E$1025,0)))</f>
        <v>4.55</v>
      </c>
      <c r="J225" s="3">
        <f>IF(INDEX(学年度总表!$J$3:$J$1025,MATCH($E225,学年度总表!$E$3:$E$1025,0))="","",INDEX(学年度总表!$J$3:$J$1025,MATCH($E225,学年度总表!$E$3:$E$1025,0)))</f>
        <v>71.75</v>
      </c>
      <c r="K225" s="3">
        <f>IF(INDEX(学年度总表!$K$3:$K$1025,MATCH($E225,学年度总表!$E$3:$E$1025,0))="","",INDEX(学年度总表!$K$3:$K$1025,MATCH($E225,学年度总表!$E$3:$E$1025,0)))</f>
        <v>7.3000000000000007</v>
      </c>
      <c r="L225" s="3">
        <f>IF(INDEX(学年度总表!$L$3:$L$1025,MATCH($E225,学年度总表!$E$3:$E$1025,0))="","",INDEX(学年度总表!$L$3:$L$1025,MATCH($E225,学年度总表!$E$3:$E$1025,0)))</f>
        <v>48.55</v>
      </c>
      <c r="M225" s="3">
        <f>IF(INDEX(学年度总表!$M$3:$M$1025,MATCH($E225,学年度总表!$E$3:$E$1025,0))="","",INDEX(学年度总表!$M$3:$M$1025,MATCH($E225,学年度总表!$E$3:$E$1025,0)))</f>
        <v>4.7</v>
      </c>
      <c r="N225" s="3">
        <f>IF(INDEX(学年度总表!$N$3:$N$1025,MATCH($E225,学年度总表!$E$3:$E$1025,0))="","",INDEX(学年度总表!$N$3:$N$1025,MATCH($E225,学年度总表!$E$3:$E$1025,0)))</f>
        <v>60.55</v>
      </c>
      <c r="O225" s="3">
        <f>IF(INDEX(学年度总表!$O$3:$O$1025,MATCH($E225,学年度总表!$E$3:$E$1025,0))="","",INDEX(学年度总表!$O$3:$O$1025,MATCH($E225,学年度总表!$E$3:$E$1025,0)))</f>
        <v>132.30000000000001</v>
      </c>
      <c r="P225" s="2" t="str">
        <f>IF(INDEX(学年度总表!$P$3:$P$1025,MATCH($E225,学年度总表!$E$3:$E$1025,0))="","",INDEX(学年度总表!$P$3:$P$1025,MATCH($E225,学年度总表!$E$3:$E$1025,0)))</f>
        <v/>
      </c>
      <c r="Q225" s="5" t="str">
        <f>IF(INDEX(学年度总表!$Q$3:$Q$1025,MATCH($E225,学年度总表!$E$3:$E$1025,0))="","",INDEX(学年度总表!$Q$3:$Q$1025,MATCH($E225,学年度总表!$E$3:$E$1025,0)))</f>
        <v/>
      </c>
    </row>
    <row r="226" spans="1:17">
      <c r="A226" s="2">
        <f>IF(INDEX(学年度总表!$A$3:$A$1025,MATCH($E226,学年度总表!$E$3:$E$1025,0))="","",INDEX(学年度总表!$A$3:$A$1025,MATCH($E226,学年度总表!$E$3:$E$1025,0)))</f>
        <v>664</v>
      </c>
      <c r="B226" s="2">
        <f>IF(INDEX(学年度总表!$B$3:$B$1025,MATCH($E226,学年度总表!$E$3:$E$1025,0))="","",INDEX(学年度总表!$B$3:$B$1025,MATCH($E226,学年度总表!$E$3:$E$1025,0)))</f>
        <v>224</v>
      </c>
      <c r="C226" s="2" t="str">
        <f>IF(INDEX(学年度总表!$C$3:$C$1025,MATCH($E226,学年度总表!$E$3:$E$1025,0))="","",INDEX(学年度总表!$C$3:$C$1025,MATCH($E226,学年度总表!$E$3:$E$1025,0)))</f>
        <v>信管</v>
      </c>
      <c r="D226" s="2" t="str">
        <f>IF(INDEX(学年度总表!$D$3:$D$1025,MATCH($E226,学年度总表!$E$3:$E$1025,0))="","",INDEX(学年度总表!$D$3:$D$1025,MATCH($E226,学年度总表!$E$3:$E$1025,0)))</f>
        <v>信管23班</v>
      </c>
      <c r="E226" s="2" t="s">
        <v>1389</v>
      </c>
      <c r="F226" s="2" t="str">
        <f>IF(INDEX(学年度总表!$F$3:$F$1025,MATCH($E226,学年度总表!$E$3:$E$1025,0))="","",INDEX(学年度总表!$F$3:$F$1025,MATCH($E226,学年度总表!$E$3:$E$1025,0)))</f>
        <v>王静浛</v>
      </c>
      <c r="G226" s="3">
        <f>IF(INDEX(学年度总表!$G$3:$G$1025,MATCH($E226,学年度总表!$E$3:$E$1025,0))="","",INDEX(学年度总表!$G$3:$G$1025,MATCH($E226,学年度总表!$E$3:$E$1025,0)))</f>
        <v>9.8000000000000007</v>
      </c>
      <c r="H226" s="3">
        <f>IF(INDEX(学年度总表!$H$3:$H$1025,MATCH($E226,学年度总表!$E$3:$E$1025,0))="","",INDEX(学年度总表!$H$3:$H$1025,MATCH($E226,学年度总表!$E$3:$E$1025,0)))</f>
        <v>55.04</v>
      </c>
      <c r="I226" s="3">
        <f>IF(INDEX(学年度总表!$I$3:$I$1025,MATCH($E226,学年度总表!$E$3:$E$1025,0))="","",INDEX(学年度总表!$I$3:$I$1025,MATCH($E226,学年度总表!$E$3:$E$1025,0)))</f>
        <v>3</v>
      </c>
      <c r="J226" s="3">
        <f>IF(INDEX(学年度总表!$J$3:$J$1025,MATCH($E226,学年度总表!$E$3:$E$1025,0))="","",INDEX(学年度总表!$J$3:$J$1025,MATCH($E226,学年度总表!$E$3:$E$1025,0)))</f>
        <v>67.84</v>
      </c>
      <c r="K226" s="3">
        <f>IF(INDEX(学年度总表!$K$3:$K$1025,MATCH($E226,学年度总表!$E$3:$E$1025,0))="","",INDEX(学年度总表!$K$3:$K$1025,MATCH($E226,学年度总表!$E$3:$E$1025,0)))</f>
        <v>9.8000000000000007</v>
      </c>
      <c r="L226" s="3">
        <f>IF(INDEX(学年度总表!$L$3:$L$1025,MATCH($E226,学年度总表!$E$3:$E$1025,0))="","",INDEX(学年度总表!$L$3:$L$1025,MATCH($E226,学年度总表!$E$3:$E$1025,0)))</f>
        <v>51.64</v>
      </c>
      <c r="M226" s="3">
        <f>IF(INDEX(学年度总表!$M$3:$M$1025,MATCH($E226,学年度总表!$E$3:$E$1025,0))="","",INDEX(学年度总表!$M$3:$M$1025,MATCH($E226,学年度总表!$E$3:$E$1025,0)))</f>
        <v>3</v>
      </c>
      <c r="N226" s="3">
        <f>IF(INDEX(学年度总表!$N$3:$N$1025,MATCH($E226,学年度总表!$E$3:$E$1025,0))="","",INDEX(学年度总表!$N$3:$N$1025,MATCH($E226,学年度总表!$E$3:$E$1025,0)))</f>
        <v>64.44</v>
      </c>
      <c r="O226" s="3">
        <f>IF(INDEX(学年度总表!$O$3:$O$1025,MATCH($E226,学年度总表!$E$3:$E$1025,0))="","",INDEX(学年度总表!$O$3:$O$1025,MATCH($E226,学年度总表!$E$3:$E$1025,0)))</f>
        <v>132.28</v>
      </c>
      <c r="P226" s="2" t="str">
        <f>IF(INDEX(学年度总表!$P$3:$P$1025,MATCH($E226,学年度总表!$E$3:$E$1025,0))="","",INDEX(学年度总表!$P$3:$P$1025,MATCH($E226,学年度总表!$E$3:$E$1025,0)))</f>
        <v/>
      </c>
      <c r="Q226" s="5" t="str">
        <f>IF(INDEX(学年度总表!$Q$3:$Q$1025,MATCH($E226,学年度总表!$E$3:$E$1025,0))="","",INDEX(学年度总表!$Q$3:$Q$1025,MATCH($E226,学年度总表!$E$3:$E$1025,0)))</f>
        <v/>
      </c>
    </row>
    <row r="227" spans="1:17">
      <c r="A227" s="2">
        <f>IF(INDEX(学年度总表!$A$3:$A$1025,MATCH($E227,学年度总表!$E$3:$E$1025,0))="","",INDEX(学年度总表!$A$3:$A$1025,MATCH($E227,学年度总表!$E$3:$E$1025,0)))</f>
        <v>665</v>
      </c>
      <c r="B227" s="2">
        <f>IF(INDEX(学年度总表!$B$3:$B$1025,MATCH($E227,学年度总表!$E$3:$E$1025,0))="","",INDEX(学年度总表!$B$3:$B$1025,MATCH($E227,学年度总表!$E$3:$E$1025,0)))</f>
        <v>225</v>
      </c>
      <c r="C227" s="2" t="str">
        <f>IF(INDEX(学年度总表!$C$3:$C$1025,MATCH($E227,学年度总表!$E$3:$E$1025,0))="","",INDEX(学年度总表!$C$3:$C$1025,MATCH($E227,学年度总表!$E$3:$E$1025,0)))</f>
        <v>信管</v>
      </c>
      <c r="D227" s="2" t="str">
        <f>IF(INDEX(学年度总表!$D$3:$D$1025,MATCH($E227,学年度总表!$E$3:$E$1025,0))="","",INDEX(学年度总表!$D$3:$D$1025,MATCH($E227,学年度总表!$E$3:$E$1025,0)))</f>
        <v>信管27班</v>
      </c>
      <c r="E227" s="2" t="s">
        <v>1391</v>
      </c>
      <c r="F227" s="2" t="str">
        <f>IF(INDEX(学年度总表!$F$3:$F$1025,MATCH($E227,学年度总表!$E$3:$E$1025,0))="","",INDEX(学年度总表!$F$3:$F$1025,MATCH($E227,学年度总表!$E$3:$E$1025,0)))</f>
        <v>倪曼雅</v>
      </c>
      <c r="G227" s="3">
        <f>IF(INDEX(学年度总表!$G$3:$G$1025,MATCH($E227,学年度总表!$E$3:$E$1025,0))="","",INDEX(学年度总表!$G$3:$G$1025,MATCH($E227,学年度总表!$E$3:$E$1025,0)))</f>
        <v>9.8000000000000007</v>
      </c>
      <c r="H227" s="3">
        <f>IF(INDEX(学年度总表!$H$3:$H$1025,MATCH($E227,学年度总表!$E$3:$E$1025,0))="","",INDEX(学年度总表!$H$3:$H$1025,MATCH($E227,学年度总表!$E$3:$E$1025,0)))</f>
        <v>58.29</v>
      </c>
      <c r="I227" s="3">
        <f>IF(INDEX(学年度总表!$I$3:$I$1025,MATCH($E227,学年度总表!$E$3:$E$1025,0))="","",INDEX(学年度总表!$I$3:$I$1025,MATCH($E227,学年度总表!$E$3:$E$1025,0)))</f>
        <v>3.9</v>
      </c>
      <c r="J227" s="3">
        <f>IF(INDEX(学年度总表!$J$3:$J$1025,MATCH($E227,学年度总表!$E$3:$E$1025,0))="","",INDEX(学年度总表!$J$3:$J$1025,MATCH($E227,学年度总表!$E$3:$E$1025,0)))</f>
        <v>71.989999999999995</v>
      </c>
      <c r="K227" s="3">
        <f>IF(INDEX(学年度总表!$K$3:$K$1025,MATCH($E227,学年度总表!$E$3:$E$1025,0))="","",INDEX(学年度总表!$K$3:$K$1025,MATCH($E227,学年度总表!$E$3:$E$1025,0)))</f>
        <v>7.3000000000000007</v>
      </c>
      <c r="L227" s="3">
        <f>IF(INDEX(学年度总表!$L$3:$L$1025,MATCH($E227,学年度总表!$E$3:$E$1025,0))="","",INDEX(学年度总表!$L$3:$L$1025,MATCH($E227,学年度总表!$E$3:$E$1025,0)))</f>
        <v>49.48</v>
      </c>
      <c r="M227" s="3">
        <f>IF(INDEX(学年度总表!$M$3:$M$1025,MATCH($E227,学年度总表!$E$3:$E$1025,0))="","",INDEX(学年度总表!$M$3:$M$1025,MATCH($E227,学年度总表!$E$3:$E$1025,0)))</f>
        <v>3.5</v>
      </c>
      <c r="N227" s="3">
        <f>IF(INDEX(学年度总表!$N$3:$N$1025,MATCH($E227,学年度总表!$E$3:$E$1025,0))="","",INDEX(学年度总表!$N$3:$N$1025,MATCH($E227,学年度总表!$E$3:$E$1025,0)))</f>
        <v>60.28</v>
      </c>
      <c r="O227" s="3">
        <f>IF(INDEX(学年度总表!$O$3:$O$1025,MATCH($E227,学年度总表!$E$3:$E$1025,0))="","",INDEX(学年度总表!$O$3:$O$1025,MATCH($E227,学年度总表!$E$3:$E$1025,0)))</f>
        <v>132.27000000000001</v>
      </c>
      <c r="P227" s="2" t="str">
        <f>IF(INDEX(学年度总表!$P$3:$P$1025,MATCH($E227,学年度总表!$E$3:$E$1025,0))="","",INDEX(学年度总表!$P$3:$P$1025,MATCH($E227,学年度总表!$E$3:$E$1025,0)))</f>
        <v/>
      </c>
      <c r="Q227" s="5" t="str">
        <f>IF(INDEX(学年度总表!$Q$3:$Q$1025,MATCH($E227,学年度总表!$E$3:$E$1025,0))="","",INDEX(学年度总表!$Q$3:$Q$1025,MATCH($E227,学年度总表!$E$3:$E$1025,0)))</f>
        <v/>
      </c>
    </row>
    <row r="228" spans="1:17">
      <c r="A228" s="2">
        <f>IF(INDEX(学年度总表!$A$3:$A$1025,MATCH($E228,学年度总表!$E$3:$E$1025,0))="","",INDEX(学年度总表!$A$3:$A$1025,MATCH($E228,学年度总表!$E$3:$E$1025,0)))</f>
        <v>667</v>
      </c>
      <c r="B228" s="2">
        <f>IF(INDEX(学年度总表!$B$3:$B$1025,MATCH($E228,学年度总表!$E$3:$E$1025,0))="","",INDEX(学年度总表!$B$3:$B$1025,MATCH($E228,学年度总表!$E$3:$E$1025,0)))</f>
        <v>226</v>
      </c>
      <c r="C228" s="2" t="str">
        <f>IF(INDEX(学年度总表!$C$3:$C$1025,MATCH($E228,学年度总表!$E$3:$E$1025,0))="","",INDEX(学年度总表!$C$3:$C$1025,MATCH($E228,学年度总表!$E$3:$E$1025,0)))</f>
        <v>信管</v>
      </c>
      <c r="D228" s="2" t="str">
        <f>IF(INDEX(学年度总表!$D$3:$D$1025,MATCH($E228,学年度总表!$E$3:$E$1025,0))="","",INDEX(学年度总表!$D$3:$D$1025,MATCH($E228,学年度总表!$E$3:$E$1025,0)))</f>
        <v>信管25班</v>
      </c>
      <c r="E228" s="2" t="s">
        <v>1395</v>
      </c>
      <c r="F228" s="2" t="str">
        <f>IF(INDEX(学年度总表!$F$3:$F$1025,MATCH($E228,学年度总表!$E$3:$E$1025,0))="","",INDEX(学年度总表!$F$3:$F$1025,MATCH($E228,学年度总表!$E$3:$E$1025,0)))</f>
        <v>宋自馨</v>
      </c>
      <c r="G228" s="3">
        <f>IF(INDEX(学年度总表!$G$3:$G$1025,MATCH($E228,学年度总表!$E$3:$E$1025,0))="","",INDEX(学年度总表!$G$3:$G$1025,MATCH($E228,学年度总表!$E$3:$E$1025,0)))</f>
        <v>9.8000000000000007</v>
      </c>
      <c r="H228" s="3">
        <f>IF(INDEX(学年度总表!$H$3:$H$1025,MATCH($E228,学年度总表!$E$3:$E$1025,0))="","",INDEX(学年度总表!$H$3:$H$1025,MATCH($E228,学年度总表!$E$3:$E$1025,0)))</f>
        <v>53.63</v>
      </c>
      <c r="I228" s="3">
        <f>IF(INDEX(学年度总表!$I$3:$I$1025,MATCH($E228,学年度总表!$E$3:$E$1025,0))="","",INDEX(学年度总表!$I$3:$I$1025,MATCH($E228,学年度总表!$E$3:$E$1025,0)))</f>
        <v>3.4</v>
      </c>
      <c r="J228" s="3">
        <f>IF(INDEX(学年度总表!$J$3:$J$1025,MATCH($E228,学年度总表!$E$3:$E$1025,0))="","",INDEX(学年度总表!$J$3:$J$1025,MATCH($E228,学年度总表!$E$3:$E$1025,0)))</f>
        <v>66.83</v>
      </c>
      <c r="K228" s="3">
        <f>IF(INDEX(学年度总表!$K$3:$K$1025,MATCH($E228,学年度总表!$E$3:$E$1025,0))="","",INDEX(学年度总表!$K$3:$K$1025,MATCH($E228,学年度总表!$E$3:$E$1025,0)))</f>
        <v>9.8000000000000007</v>
      </c>
      <c r="L228" s="3">
        <f>IF(INDEX(学年度总表!$L$3:$L$1025,MATCH($E228,学年度总表!$E$3:$E$1025,0))="","",INDEX(学年度总表!$L$3:$L$1025,MATCH($E228,学年度总表!$E$3:$E$1025,0)))</f>
        <v>52.01</v>
      </c>
      <c r="M228" s="3">
        <f>IF(INDEX(学年度总表!$M$3:$M$1025,MATCH($E228,学年度总表!$E$3:$E$1025,0))="","",INDEX(学年度总表!$M$3:$M$1025,MATCH($E228,学年度总表!$E$3:$E$1025,0)))</f>
        <v>3.5</v>
      </c>
      <c r="N228" s="3">
        <f>IF(INDEX(学年度总表!$N$3:$N$1025,MATCH($E228,学年度总表!$E$3:$E$1025,0))="","",INDEX(学年度总表!$N$3:$N$1025,MATCH($E228,学年度总表!$E$3:$E$1025,0)))</f>
        <v>65.31</v>
      </c>
      <c r="O228" s="3">
        <f>IF(INDEX(学年度总表!$O$3:$O$1025,MATCH($E228,学年度总表!$E$3:$E$1025,0))="","",INDEX(学年度总表!$O$3:$O$1025,MATCH($E228,学年度总表!$E$3:$E$1025,0)))</f>
        <v>132.13999999999999</v>
      </c>
      <c r="P228" s="2" t="str">
        <f>IF(INDEX(学年度总表!$P$3:$P$1025,MATCH($E228,学年度总表!$E$3:$E$1025,0))="","",INDEX(学年度总表!$P$3:$P$1025,MATCH($E228,学年度总表!$E$3:$E$1025,0)))</f>
        <v/>
      </c>
      <c r="Q228" s="5" t="str">
        <f>IF(INDEX(学年度总表!$Q$3:$Q$1025,MATCH($E228,学年度总表!$E$3:$E$1025,0))="","",INDEX(学年度总表!$Q$3:$Q$1025,MATCH($E228,学年度总表!$E$3:$E$1025,0)))</f>
        <v/>
      </c>
    </row>
    <row r="229" spans="1:17">
      <c r="A229" s="2">
        <f>IF(INDEX(学年度总表!$A$3:$A$1025,MATCH($E229,学年度总表!$E$3:$E$1025,0))="","",INDEX(学年度总表!$A$3:$A$1025,MATCH($E229,学年度总表!$E$3:$E$1025,0)))</f>
        <v>672</v>
      </c>
      <c r="B229" s="2">
        <f>IF(INDEX(学年度总表!$B$3:$B$1025,MATCH($E229,学年度总表!$E$3:$E$1025,0))="","",INDEX(学年度总表!$B$3:$B$1025,MATCH($E229,学年度总表!$E$3:$E$1025,0)))</f>
        <v>227</v>
      </c>
      <c r="C229" s="2" t="str">
        <f>IF(INDEX(学年度总表!$C$3:$C$1025,MATCH($E229,学年度总表!$E$3:$E$1025,0))="","",INDEX(学年度总表!$C$3:$C$1025,MATCH($E229,学年度总表!$E$3:$E$1025,0)))</f>
        <v>信管</v>
      </c>
      <c r="D229" s="2" t="str">
        <f>IF(INDEX(学年度总表!$D$3:$D$1025,MATCH($E229,学年度总表!$E$3:$E$1025,0))="","",INDEX(学年度总表!$D$3:$D$1025,MATCH($E229,学年度总表!$E$3:$E$1025,0)))</f>
        <v>信管28班</v>
      </c>
      <c r="E229" s="2" t="s">
        <v>1405</v>
      </c>
      <c r="F229" s="2" t="str">
        <f>IF(INDEX(学年度总表!$F$3:$F$1025,MATCH($E229,学年度总表!$E$3:$E$1025,0))="","",INDEX(学年度总表!$F$3:$F$1025,MATCH($E229,学年度总表!$E$3:$E$1025,0)))</f>
        <v>宫锦</v>
      </c>
      <c r="G229" s="3">
        <f>IF(INDEX(学年度总表!$G$3:$G$1025,MATCH($E229,学年度总表!$E$3:$E$1025,0))="","",INDEX(学年度总表!$G$3:$G$1025,MATCH($E229,学年度总表!$E$3:$E$1025,0)))</f>
        <v>9.8000000000000007</v>
      </c>
      <c r="H229" s="3">
        <f>IF(INDEX(学年度总表!$H$3:$H$1025,MATCH($E229,学年度总表!$E$3:$E$1025,0))="","",INDEX(学年度总表!$H$3:$H$1025,MATCH($E229,学年度总表!$E$3:$E$1025,0)))</f>
        <v>56.78</v>
      </c>
      <c r="I229" s="3">
        <f>IF(INDEX(学年度总表!$I$3:$I$1025,MATCH($E229,学年度总表!$E$3:$E$1025,0))="","",INDEX(学年度总表!$I$3:$I$1025,MATCH($E229,学年度总表!$E$3:$E$1025,0)))</f>
        <v>3</v>
      </c>
      <c r="J229" s="3">
        <f>IF(INDEX(学年度总表!$J$3:$J$1025,MATCH($E229,学年度总表!$E$3:$E$1025,0))="","",INDEX(学年度总表!$J$3:$J$1025,MATCH($E229,学年度总表!$E$3:$E$1025,0)))</f>
        <v>69.58</v>
      </c>
      <c r="K229" s="3">
        <f>IF(INDEX(学年度总表!$K$3:$K$1025,MATCH($E229,学年度总表!$E$3:$E$1025,0))="","",INDEX(学年度总表!$K$3:$K$1025,MATCH($E229,学年度总表!$E$3:$E$1025,0)))</f>
        <v>7.3000000000000007</v>
      </c>
      <c r="L229" s="3">
        <f>IF(INDEX(学年度总表!$L$3:$L$1025,MATCH($E229,学年度总表!$E$3:$E$1025,0))="","",INDEX(学年度总表!$L$3:$L$1025,MATCH($E229,学年度总表!$E$3:$E$1025,0)))</f>
        <v>51.97</v>
      </c>
      <c r="M229" s="3">
        <f>IF(INDEX(学年度总表!$M$3:$M$1025,MATCH($E229,学年度总表!$E$3:$E$1025,0))="","",INDEX(学年度总表!$M$3:$M$1025,MATCH($E229,学年度总表!$E$3:$E$1025,0)))</f>
        <v>3</v>
      </c>
      <c r="N229" s="3">
        <f>IF(INDEX(学年度总表!$N$3:$N$1025,MATCH($E229,学年度总表!$E$3:$E$1025,0))="","",INDEX(学年度总表!$N$3:$N$1025,MATCH($E229,学年度总表!$E$3:$E$1025,0)))</f>
        <v>62.27</v>
      </c>
      <c r="O229" s="3">
        <f>IF(INDEX(学年度总表!$O$3:$O$1025,MATCH($E229,学年度总表!$E$3:$E$1025,0))="","",INDEX(学年度总表!$O$3:$O$1025,MATCH($E229,学年度总表!$E$3:$E$1025,0)))</f>
        <v>131.85</v>
      </c>
      <c r="P229" s="2" t="str">
        <f>IF(INDEX(学年度总表!$P$3:$P$1025,MATCH($E229,学年度总表!$E$3:$E$1025,0))="","",INDEX(学年度总表!$P$3:$P$1025,MATCH($E229,学年度总表!$E$3:$E$1025,0)))</f>
        <v/>
      </c>
      <c r="Q229" s="5" t="str">
        <f>IF(INDEX(学年度总表!$Q$3:$Q$1025,MATCH($E229,学年度总表!$E$3:$E$1025,0))="","",INDEX(学年度总表!$Q$3:$Q$1025,MATCH($E229,学年度总表!$E$3:$E$1025,0)))</f>
        <v/>
      </c>
    </row>
    <row r="230" spans="1:17">
      <c r="A230" s="2">
        <f>IF(INDEX(学年度总表!$A$3:$A$1025,MATCH($E230,学年度总表!$E$3:$E$1025,0))="","",INDEX(学年度总表!$A$3:$A$1025,MATCH($E230,学年度总表!$E$3:$E$1025,0)))</f>
        <v>677</v>
      </c>
      <c r="B230" s="2">
        <f>IF(INDEX(学年度总表!$B$3:$B$1025,MATCH($E230,学年度总表!$E$3:$E$1025,0))="","",INDEX(学年度总表!$B$3:$B$1025,MATCH($E230,学年度总表!$E$3:$E$1025,0)))</f>
        <v>228</v>
      </c>
      <c r="C230" s="2" t="str">
        <f>IF(INDEX(学年度总表!$C$3:$C$1025,MATCH($E230,学年度总表!$E$3:$E$1025,0))="","",INDEX(学年度总表!$C$3:$C$1025,MATCH($E230,学年度总表!$E$3:$E$1025,0)))</f>
        <v>信管</v>
      </c>
      <c r="D230" s="2" t="str">
        <f>IF(INDEX(学年度总表!$D$3:$D$1025,MATCH($E230,学年度总表!$E$3:$E$1025,0))="","",INDEX(学年度总表!$D$3:$D$1025,MATCH($E230,学年度总表!$E$3:$E$1025,0)))</f>
        <v>信管23班</v>
      </c>
      <c r="E230" s="2" t="s">
        <v>1415</v>
      </c>
      <c r="F230" s="2" t="str">
        <f>IF(INDEX(学年度总表!$F$3:$F$1025,MATCH($E230,学年度总表!$E$3:$E$1025,0))="","",INDEX(学年度总表!$F$3:$F$1025,MATCH($E230,学年度总表!$E$3:$E$1025,0)))</f>
        <v>张乐群</v>
      </c>
      <c r="G230" s="3">
        <f>IF(INDEX(学年度总表!$G$3:$G$1025,MATCH($E230,学年度总表!$E$3:$E$1025,0))="","",INDEX(学年度总表!$G$3:$G$1025,MATCH($E230,学年度总表!$E$3:$E$1025,0)))</f>
        <v>9.8000000000000007</v>
      </c>
      <c r="H230" s="3">
        <f>IF(INDEX(学年度总表!$H$3:$H$1025,MATCH($E230,学年度总表!$E$3:$E$1025,0))="","",INDEX(学年度总表!$H$3:$H$1025,MATCH($E230,学年度总表!$E$3:$E$1025,0)))</f>
        <v>55.44</v>
      </c>
      <c r="I230" s="3">
        <f>IF(INDEX(学年度总表!$I$3:$I$1025,MATCH($E230,学年度总表!$E$3:$E$1025,0))="","",INDEX(学年度总表!$I$3:$I$1025,MATCH($E230,学年度总表!$E$3:$E$1025,0)))</f>
        <v>3</v>
      </c>
      <c r="J230" s="3">
        <f>IF(INDEX(学年度总表!$J$3:$J$1025,MATCH($E230,学年度总表!$E$3:$E$1025,0))="","",INDEX(学年度总表!$J$3:$J$1025,MATCH($E230,学年度总表!$E$3:$E$1025,0)))</f>
        <v>68.239999999999995</v>
      </c>
      <c r="K230" s="3">
        <f>IF(INDEX(学年度总表!$K$3:$K$1025,MATCH($E230,学年度总表!$E$3:$E$1025,0))="","",INDEX(学年度总表!$K$3:$K$1025,MATCH($E230,学年度总表!$E$3:$E$1025,0)))</f>
        <v>9.8000000000000007</v>
      </c>
      <c r="L230" s="3">
        <f>IF(INDEX(学年度总表!$L$3:$L$1025,MATCH($E230,学年度总表!$E$3:$E$1025,0))="","",INDEX(学年度总表!$L$3:$L$1025,MATCH($E230,学年度总表!$E$3:$E$1025,0)))</f>
        <v>50.33</v>
      </c>
      <c r="M230" s="3">
        <f>IF(INDEX(学年度总表!$M$3:$M$1025,MATCH($E230,学年度总表!$E$3:$E$1025,0))="","",INDEX(学年度总表!$M$3:$M$1025,MATCH($E230,学年度总表!$E$3:$E$1025,0)))</f>
        <v>3</v>
      </c>
      <c r="N230" s="3">
        <f>IF(INDEX(学年度总表!$N$3:$N$1025,MATCH($E230,学年度总表!$E$3:$E$1025,0))="","",INDEX(学年度总表!$N$3:$N$1025,MATCH($E230,学年度总表!$E$3:$E$1025,0)))</f>
        <v>63.13</v>
      </c>
      <c r="O230" s="3">
        <f>IF(INDEX(学年度总表!$O$3:$O$1025,MATCH($E230,学年度总表!$E$3:$E$1025,0))="","",INDEX(学年度总表!$O$3:$O$1025,MATCH($E230,学年度总表!$E$3:$E$1025,0)))</f>
        <v>131.37</v>
      </c>
      <c r="P230" s="2" t="str">
        <f>IF(INDEX(学年度总表!$P$3:$P$1025,MATCH($E230,学年度总表!$E$3:$E$1025,0))="","",INDEX(学年度总表!$P$3:$P$1025,MATCH($E230,学年度总表!$E$3:$E$1025,0)))</f>
        <v/>
      </c>
      <c r="Q230" s="5" t="str">
        <f>IF(INDEX(学年度总表!$Q$3:$Q$1025,MATCH($E230,学年度总表!$E$3:$E$1025,0))="","",INDEX(学年度总表!$Q$3:$Q$1025,MATCH($E230,学年度总表!$E$3:$E$1025,0)))</f>
        <v/>
      </c>
    </row>
    <row r="231" spans="1:17">
      <c r="A231" s="2">
        <f>IF(INDEX(学年度总表!$A$3:$A$1025,MATCH($E231,学年度总表!$E$3:$E$1025,0))="","",INDEX(学年度总表!$A$3:$A$1025,MATCH($E231,学年度总表!$E$3:$E$1025,0)))</f>
        <v>689</v>
      </c>
      <c r="B231" s="2">
        <f>IF(INDEX(学年度总表!$B$3:$B$1025,MATCH($E231,学年度总表!$E$3:$E$1025,0))="","",INDEX(学年度总表!$B$3:$B$1025,MATCH($E231,学年度总表!$E$3:$E$1025,0)))</f>
        <v>229</v>
      </c>
      <c r="C231" s="2" t="str">
        <f>IF(INDEX(学年度总表!$C$3:$C$1025,MATCH($E231,学年度总表!$E$3:$E$1025,0))="","",INDEX(学年度总表!$C$3:$C$1025,MATCH($E231,学年度总表!$E$3:$E$1025,0)))</f>
        <v>信管</v>
      </c>
      <c r="D231" s="2" t="str">
        <f>IF(INDEX(学年度总表!$D$3:$D$1025,MATCH($E231,学年度总表!$E$3:$E$1025,0))="","",INDEX(学年度总表!$D$3:$D$1025,MATCH($E231,学年度总表!$E$3:$E$1025,0)))</f>
        <v>信管19班</v>
      </c>
      <c r="E231" s="2" t="s">
        <v>1441</v>
      </c>
      <c r="F231" s="2" t="str">
        <f>IF(INDEX(学年度总表!$F$3:$F$1025,MATCH($E231,学年度总表!$E$3:$E$1025,0))="","",INDEX(学年度总表!$F$3:$F$1025,MATCH($E231,学年度总表!$E$3:$E$1025,0)))</f>
        <v>张展伊</v>
      </c>
      <c r="G231" s="3">
        <f>IF(INDEX(学年度总表!$G$3:$G$1025,MATCH($E231,学年度总表!$E$3:$E$1025,0))="","",INDEX(学年度总表!$G$3:$G$1025,MATCH($E231,学年度总表!$E$3:$E$1025,0)))</f>
        <v>9.8000000000000007</v>
      </c>
      <c r="H231" s="3">
        <f>IF(INDEX(学年度总表!$H$3:$H$1025,MATCH($E231,学年度总表!$E$3:$E$1025,0))="","",INDEX(学年度总表!$H$3:$H$1025,MATCH($E231,学年度总表!$E$3:$E$1025,0)))</f>
        <v>51.71</v>
      </c>
      <c r="I231" s="3">
        <f>IF(INDEX(学年度总表!$I$3:$I$1025,MATCH($E231,学年度总表!$E$3:$E$1025,0))="","",INDEX(学年度总表!$I$3:$I$1025,MATCH($E231,学年度总表!$E$3:$E$1025,0)))</f>
        <v>4.0999999999999996</v>
      </c>
      <c r="J231" s="3">
        <f>IF(INDEX(学年度总表!$J$3:$J$1025,MATCH($E231,学年度总表!$E$3:$E$1025,0))="","",INDEX(学年度总表!$J$3:$J$1025,MATCH($E231,学年度总表!$E$3:$E$1025,0)))</f>
        <v>65.61</v>
      </c>
      <c r="K231" s="3">
        <f>IF(INDEX(学年度总表!$K$3:$K$1025,MATCH($E231,学年度总表!$E$3:$E$1025,0))="","",INDEX(学年度总表!$K$3:$K$1025,MATCH($E231,学年度总表!$E$3:$E$1025,0)))</f>
        <v>9.8000000000000007</v>
      </c>
      <c r="L231" s="3">
        <f>IF(INDEX(学年度总表!$L$3:$L$1025,MATCH($E231,学年度总表!$E$3:$E$1025,0))="","",INDEX(学年度总表!$L$3:$L$1025,MATCH($E231,学年度总表!$E$3:$E$1025,0)))</f>
        <v>50.91</v>
      </c>
      <c r="M231" s="3">
        <f>IF(INDEX(学年度总表!$M$3:$M$1025,MATCH($E231,学年度总表!$E$3:$E$1025,0))="","",INDEX(学年度总表!$M$3:$M$1025,MATCH($E231,学年度总表!$E$3:$E$1025,0)))</f>
        <v>4.5</v>
      </c>
      <c r="N231" s="3">
        <f>IF(INDEX(学年度总表!$N$3:$N$1025,MATCH($E231,学年度总表!$E$3:$E$1025,0))="","",INDEX(学年度总表!$N$3:$N$1025,MATCH($E231,学年度总表!$E$3:$E$1025,0)))</f>
        <v>65.209999999999994</v>
      </c>
      <c r="O231" s="3">
        <f>IF(INDEX(学年度总表!$O$3:$O$1025,MATCH($E231,学年度总表!$E$3:$E$1025,0))="","",INDEX(学年度总表!$O$3:$O$1025,MATCH($E231,学年度总表!$E$3:$E$1025,0)))</f>
        <v>130.82</v>
      </c>
      <c r="P231" s="2" t="str">
        <f>IF(INDEX(学年度总表!$P$3:$P$1025,MATCH($E231,学年度总表!$E$3:$E$1025,0))="","",INDEX(学年度总表!$P$3:$P$1025,MATCH($E231,学年度总表!$E$3:$E$1025,0)))</f>
        <v/>
      </c>
      <c r="Q231" s="5" t="str">
        <f>IF(INDEX(学年度总表!$Q$3:$Q$1025,MATCH($E231,学年度总表!$E$3:$E$1025,0))="","",INDEX(学年度总表!$Q$3:$Q$1025,MATCH($E231,学年度总表!$E$3:$E$1025,0)))</f>
        <v/>
      </c>
    </row>
    <row r="232" spans="1:17">
      <c r="A232" s="2">
        <f>IF(INDEX(学年度总表!$A$3:$A$1025,MATCH($E232,学年度总表!$E$3:$E$1025,0))="","",INDEX(学年度总表!$A$3:$A$1025,MATCH($E232,学年度总表!$E$3:$E$1025,0)))</f>
        <v>694</v>
      </c>
      <c r="B232" s="2">
        <f>IF(INDEX(学年度总表!$B$3:$B$1025,MATCH($E232,学年度总表!$E$3:$E$1025,0))="","",INDEX(学年度总表!$B$3:$B$1025,MATCH($E232,学年度总表!$E$3:$E$1025,0)))</f>
        <v>230</v>
      </c>
      <c r="C232" s="2" t="str">
        <f>IF(INDEX(学年度总表!$C$3:$C$1025,MATCH($E232,学年度总表!$E$3:$E$1025,0))="","",INDEX(学年度总表!$C$3:$C$1025,MATCH($E232,学年度总表!$E$3:$E$1025,0)))</f>
        <v>信管</v>
      </c>
      <c r="D232" s="2" t="str">
        <f>IF(INDEX(学年度总表!$D$3:$D$1025,MATCH($E232,学年度总表!$E$3:$E$1025,0))="","",INDEX(学年度总表!$D$3:$D$1025,MATCH($E232,学年度总表!$E$3:$E$1025,0)))</f>
        <v>信管20班</v>
      </c>
      <c r="E232" s="2" t="s">
        <v>1449</v>
      </c>
      <c r="F232" s="2" t="str">
        <f>IF(INDEX(学年度总表!$F$3:$F$1025,MATCH($E232,学年度总表!$E$3:$E$1025,0))="","",INDEX(学年度总表!$F$3:$F$1025,MATCH($E232,学年度总表!$E$3:$E$1025,0)))</f>
        <v>李洪莹</v>
      </c>
      <c r="G232" s="3">
        <f>IF(INDEX(学年度总表!$G$3:$G$1025,MATCH($E232,学年度总表!$E$3:$E$1025,0))="","",INDEX(学年度总表!$G$3:$G$1025,MATCH($E232,学年度总表!$E$3:$E$1025,0)))</f>
        <v>9.8000000000000007</v>
      </c>
      <c r="H232" s="3">
        <f>IF(INDEX(学年度总表!$H$3:$H$1025,MATCH($E232,学年度总表!$E$3:$E$1025,0))="","",INDEX(学年度总表!$H$3:$H$1025,MATCH($E232,学年度总表!$E$3:$E$1025,0)))</f>
        <v>54.83</v>
      </c>
      <c r="I232" s="3">
        <f>IF(INDEX(学年度总表!$I$3:$I$1025,MATCH($E232,学年度总表!$E$3:$E$1025,0))="","",INDEX(学年度总表!$I$3:$I$1025,MATCH($E232,学年度总表!$E$3:$E$1025,0)))</f>
        <v>4</v>
      </c>
      <c r="J232" s="3">
        <f>IF(INDEX(学年度总表!$J$3:$J$1025,MATCH($E232,学年度总表!$E$3:$E$1025,0))="","",INDEX(学年度总表!$J$3:$J$1025,MATCH($E232,学年度总表!$E$3:$E$1025,0)))</f>
        <v>68.63</v>
      </c>
      <c r="K232" s="3">
        <f>IF(INDEX(学年度总表!$K$3:$K$1025,MATCH($E232,学年度总表!$E$3:$E$1025,0))="","",INDEX(学年度总表!$K$3:$K$1025,MATCH($E232,学年度总表!$E$3:$E$1025,0)))</f>
        <v>6.9</v>
      </c>
      <c r="L232" s="3">
        <f>IF(INDEX(学年度总表!$L$3:$L$1025,MATCH($E232,学年度总表!$E$3:$E$1025,0))="","",INDEX(学年度总表!$L$3:$L$1025,MATCH($E232,学年度总表!$E$3:$E$1025,0)))</f>
        <v>50.57</v>
      </c>
      <c r="M232" s="3">
        <f>IF(INDEX(学年度总表!$M$3:$M$1025,MATCH($E232,学年度总表!$E$3:$E$1025,0))="","",INDEX(学年度总表!$M$3:$M$1025,MATCH($E232,学年度总表!$E$3:$E$1025,0)))</f>
        <v>4.5</v>
      </c>
      <c r="N232" s="3">
        <f>IF(INDEX(学年度总表!$N$3:$N$1025,MATCH($E232,学年度总表!$E$3:$E$1025,0))="","",INDEX(学年度总表!$N$3:$N$1025,MATCH($E232,学年度总表!$E$3:$E$1025,0)))</f>
        <v>61.97</v>
      </c>
      <c r="O232" s="3">
        <f>IF(INDEX(学年度总表!$O$3:$O$1025,MATCH($E232,学年度总表!$E$3:$E$1025,0))="","",INDEX(学年度总表!$O$3:$O$1025,MATCH($E232,学年度总表!$E$3:$E$1025,0)))</f>
        <v>130.6</v>
      </c>
      <c r="P232" s="2" t="str">
        <f>IF(INDEX(学年度总表!$P$3:$P$1025,MATCH($E232,学年度总表!$E$3:$E$1025,0))="","",INDEX(学年度总表!$P$3:$P$1025,MATCH($E232,学年度总表!$E$3:$E$1025,0)))</f>
        <v/>
      </c>
      <c r="Q232" s="5" t="str">
        <f>IF(INDEX(学年度总表!$Q$3:$Q$1025,MATCH($E232,学年度总表!$E$3:$E$1025,0))="","",INDEX(学年度总表!$Q$3:$Q$1025,MATCH($E232,学年度总表!$E$3:$E$1025,0)))</f>
        <v/>
      </c>
    </row>
    <row r="233" spans="1:17">
      <c r="A233" s="2">
        <f>IF(INDEX(学年度总表!$A$3:$A$1025,MATCH($E233,学年度总表!$E$3:$E$1025,0))="","",INDEX(学年度总表!$A$3:$A$1025,MATCH($E233,学年度总表!$E$3:$E$1025,0)))</f>
        <v>695</v>
      </c>
      <c r="B233" s="2">
        <f>IF(INDEX(学年度总表!$B$3:$B$1025,MATCH($E233,学年度总表!$E$3:$E$1025,0))="","",INDEX(学年度总表!$B$3:$B$1025,MATCH($E233,学年度总表!$E$3:$E$1025,0)))</f>
        <v>231</v>
      </c>
      <c r="C233" s="2" t="str">
        <f>IF(INDEX(学年度总表!$C$3:$C$1025,MATCH($E233,学年度总表!$E$3:$E$1025,0))="","",INDEX(学年度总表!$C$3:$C$1025,MATCH($E233,学年度总表!$E$3:$E$1025,0)))</f>
        <v>信管</v>
      </c>
      <c r="D233" s="2" t="str">
        <f>IF(INDEX(学年度总表!$D$3:$D$1025,MATCH($E233,学年度总表!$E$3:$E$1025,0))="","",INDEX(学年度总表!$D$3:$D$1025,MATCH($E233,学年度总表!$E$3:$E$1025,0)))</f>
        <v>信管20班</v>
      </c>
      <c r="E233" s="2" t="s">
        <v>1451</v>
      </c>
      <c r="F233" s="2" t="str">
        <f>IF(INDEX(学年度总表!$F$3:$F$1025,MATCH($E233,学年度总表!$E$3:$E$1025,0))="","",INDEX(学年度总表!$F$3:$F$1025,MATCH($E233,学年度总表!$E$3:$E$1025,0)))</f>
        <v>刘雨霏</v>
      </c>
      <c r="G233" s="3">
        <f>IF(INDEX(学年度总表!$G$3:$G$1025,MATCH($E233,学年度总表!$E$3:$E$1025,0))="","",INDEX(学年度总表!$G$3:$G$1025,MATCH($E233,学年度总表!$E$3:$E$1025,0)))</f>
        <v>10</v>
      </c>
      <c r="H233" s="3">
        <f>IF(INDEX(学年度总表!$H$3:$H$1025,MATCH($E233,学年度总表!$E$3:$E$1025,0))="","",INDEX(学年度总表!$H$3:$H$1025,MATCH($E233,学年度总表!$E$3:$E$1025,0)))</f>
        <v>53.32</v>
      </c>
      <c r="I233" s="3">
        <f>IF(INDEX(学年度总表!$I$3:$I$1025,MATCH($E233,学年度总表!$E$3:$E$1025,0))="","",INDEX(学年度总表!$I$3:$I$1025,MATCH($E233,学年度总表!$E$3:$E$1025,0)))</f>
        <v>4.9000000000000004</v>
      </c>
      <c r="J233" s="3">
        <f>IF(INDEX(学年度总表!$J$3:$J$1025,MATCH($E233,学年度总表!$E$3:$E$1025,0))="","",INDEX(学年度总表!$J$3:$J$1025,MATCH($E233,学年度总表!$E$3:$E$1025,0)))</f>
        <v>68.22</v>
      </c>
      <c r="K233" s="3">
        <f>IF(INDEX(学年度总表!$K$3:$K$1025,MATCH($E233,学年度总表!$E$3:$E$1025,0))="","",INDEX(学年度总表!$K$3:$K$1025,MATCH($E233,学年度总表!$E$3:$E$1025,0)))</f>
        <v>9.6</v>
      </c>
      <c r="L233" s="3">
        <f>IF(INDEX(学年度总表!$L$3:$L$1025,MATCH($E233,学年度总表!$E$3:$E$1025,0))="","",INDEX(学年度总表!$L$3:$L$1025,MATCH($E233,学年度总表!$E$3:$E$1025,0)))</f>
        <v>48.26</v>
      </c>
      <c r="M233" s="3">
        <f>IF(INDEX(学年度总表!$M$3:$M$1025,MATCH($E233,学年度总表!$E$3:$E$1025,0))="","",INDEX(学年度总表!$M$3:$M$1025,MATCH($E233,学年度总表!$E$3:$E$1025,0)))</f>
        <v>4.5</v>
      </c>
      <c r="N233" s="3">
        <f>IF(INDEX(学年度总表!$N$3:$N$1025,MATCH($E233,学年度总表!$E$3:$E$1025,0))="","",INDEX(学年度总表!$N$3:$N$1025,MATCH($E233,学年度总表!$E$3:$E$1025,0)))</f>
        <v>62.36</v>
      </c>
      <c r="O233" s="3">
        <f>IF(INDEX(学年度总表!$O$3:$O$1025,MATCH($E233,学年度总表!$E$3:$E$1025,0))="","",INDEX(学年度总表!$O$3:$O$1025,MATCH($E233,学年度总表!$E$3:$E$1025,0)))</f>
        <v>130.58000000000001</v>
      </c>
      <c r="P233" s="2" t="str">
        <f>IF(INDEX(学年度总表!$P$3:$P$1025,MATCH($E233,学年度总表!$E$3:$E$1025,0))="","",INDEX(学年度总表!$P$3:$P$1025,MATCH($E233,学年度总表!$E$3:$E$1025,0)))</f>
        <v/>
      </c>
      <c r="Q233" s="5" t="str">
        <f>IF(INDEX(学年度总表!$Q$3:$Q$1025,MATCH($E233,学年度总表!$E$3:$E$1025,0))="","",INDEX(学年度总表!$Q$3:$Q$1025,MATCH($E233,学年度总表!$E$3:$E$1025,0)))</f>
        <v/>
      </c>
    </row>
    <row r="234" spans="1:17">
      <c r="A234" s="2">
        <f>IF(INDEX(学年度总表!$A$3:$A$1025,MATCH($E234,学年度总表!$E$3:$E$1025,0))="","",INDEX(学年度总表!$A$3:$A$1025,MATCH($E234,学年度总表!$E$3:$E$1025,0)))</f>
        <v>696</v>
      </c>
      <c r="B234" s="2">
        <f>IF(INDEX(学年度总表!$B$3:$B$1025,MATCH($E234,学年度总表!$E$3:$E$1025,0))="","",INDEX(学年度总表!$B$3:$B$1025,MATCH($E234,学年度总表!$E$3:$E$1025,0)))</f>
        <v>232</v>
      </c>
      <c r="C234" s="2" t="str">
        <f>IF(INDEX(学年度总表!$C$3:$C$1025,MATCH($E234,学年度总表!$E$3:$E$1025,0))="","",INDEX(学年度总表!$C$3:$C$1025,MATCH($E234,学年度总表!$E$3:$E$1025,0)))</f>
        <v>信管</v>
      </c>
      <c r="D234" s="2" t="str">
        <f>IF(INDEX(学年度总表!$D$3:$D$1025,MATCH($E234,学年度总表!$E$3:$E$1025,0))="","",INDEX(学年度总表!$D$3:$D$1025,MATCH($E234,学年度总表!$E$3:$E$1025,0)))</f>
        <v>信管22班</v>
      </c>
      <c r="E234" s="2" t="s">
        <v>1453</v>
      </c>
      <c r="F234" s="2" t="str">
        <f>IF(INDEX(学年度总表!$F$3:$F$1025,MATCH($E234,学年度总表!$E$3:$E$1025,0))="","",INDEX(学年度总表!$F$3:$F$1025,MATCH($E234,学年度总表!$E$3:$E$1025,0)))</f>
        <v>于瀚群</v>
      </c>
      <c r="G234" s="3">
        <f>IF(INDEX(学年度总表!$G$3:$G$1025,MATCH($E234,学年度总表!$E$3:$E$1025,0))="","",INDEX(学年度总表!$G$3:$G$1025,MATCH($E234,学年度总表!$E$3:$E$1025,0)))</f>
        <v>9.8000000000000007</v>
      </c>
      <c r="H234" s="3">
        <f>IF(INDEX(学年度总表!$H$3:$H$1025,MATCH($E234,学年度总表!$E$3:$E$1025,0))="","",INDEX(学年度总表!$H$3:$H$1025,MATCH($E234,学年度总表!$E$3:$E$1025,0)))</f>
        <v>54.7</v>
      </c>
      <c r="I234" s="3">
        <f>IF(INDEX(学年度总表!$I$3:$I$1025,MATCH($E234,学年度总表!$E$3:$E$1025,0))="","",INDEX(学年度总表!$I$3:$I$1025,MATCH($E234,学年度总表!$E$3:$E$1025,0)))</f>
        <v>3</v>
      </c>
      <c r="J234" s="3">
        <f>IF(INDEX(学年度总表!$J$3:$J$1025,MATCH($E234,学年度总表!$E$3:$E$1025,0))="","",INDEX(学年度总表!$J$3:$J$1025,MATCH($E234,学年度总表!$E$3:$E$1025,0)))</f>
        <v>67.5</v>
      </c>
      <c r="K234" s="3">
        <f>IF(INDEX(学年度总表!$K$3:$K$1025,MATCH($E234,学年度总表!$E$3:$E$1025,0))="","",INDEX(学年度总表!$K$3:$K$1025,MATCH($E234,学年度总表!$E$3:$E$1025,0)))</f>
        <v>9.8000000000000007</v>
      </c>
      <c r="L234" s="3">
        <f>IF(INDEX(学年度总表!$L$3:$L$1025,MATCH($E234,学年度总表!$E$3:$E$1025,0))="","",INDEX(学年度总表!$L$3:$L$1025,MATCH($E234,学年度总表!$E$3:$E$1025,0)))</f>
        <v>50.07</v>
      </c>
      <c r="M234" s="3">
        <f>IF(INDEX(学年度总表!$M$3:$M$1025,MATCH($E234,学年度总表!$E$3:$E$1025,0))="","",INDEX(学年度总表!$M$3:$M$1025,MATCH($E234,学年度总表!$E$3:$E$1025,0)))</f>
        <v>3</v>
      </c>
      <c r="N234" s="3">
        <f>IF(INDEX(学年度总表!$N$3:$N$1025,MATCH($E234,学年度总表!$E$3:$E$1025,0))="","",INDEX(学年度总表!$N$3:$N$1025,MATCH($E234,学年度总表!$E$3:$E$1025,0)))</f>
        <v>62.87</v>
      </c>
      <c r="O234" s="3">
        <f>IF(INDEX(学年度总表!$O$3:$O$1025,MATCH($E234,学年度总表!$E$3:$E$1025,0))="","",INDEX(学年度总表!$O$3:$O$1025,MATCH($E234,学年度总表!$E$3:$E$1025,0)))</f>
        <v>130.37</v>
      </c>
      <c r="P234" s="2" t="str">
        <f>IF(INDEX(学年度总表!$P$3:$P$1025,MATCH($E234,学年度总表!$E$3:$E$1025,0))="","",INDEX(学年度总表!$P$3:$P$1025,MATCH($E234,学年度总表!$E$3:$E$1025,0)))</f>
        <v/>
      </c>
      <c r="Q234" s="5" t="str">
        <f>IF(INDEX(学年度总表!$Q$3:$Q$1025,MATCH($E234,学年度总表!$E$3:$E$1025,0))="","",INDEX(学年度总表!$Q$3:$Q$1025,MATCH($E234,学年度总表!$E$3:$E$1025,0)))</f>
        <v/>
      </c>
    </row>
    <row r="235" spans="1:17">
      <c r="A235" s="2">
        <f>IF(INDEX(学年度总表!$A$3:$A$1025,MATCH($E235,学年度总表!$E$3:$E$1025,0))="","",INDEX(学年度总表!$A$3:$A$1025,MATCH($E235,学年度总表!$E$3:$E$1025,0)))</f>
        <v>698</v>
      </c>
      <c r="B235" s="2">
        <f>IF(INDEX(学年度总表!$B$3:$B$1025,MATCH($E235,学年度总表!$E$3:$E$1025,0))="","",INDEX(学年度总表!$B$3:$B$1025,MATCH($E235,学年度总表!$E$3:$E$1025,0)))</f>
        <v>233</v>
      </c>
      <c r="C235" s="2" t="str">
        <f>IF(INDEX(学年度总表!$C$3:$C$1025,MATCH($E235,学年度总表!$E$3:$E$1025,0))="","",INDEX(学年度总表!$C$3:$C$1025,MATCH($E235,学年度总表!$E$3:$E$1025,0)))</f>
        <v>信管</v>
      </c>
      <c r="D235" s="2" t="str">
        <f>IF(INDEX(学年度总表!$D$3:$D$1025,MATCH($E235,学年度总表!$E$3:$E$1025,0))="","",INDEX(学年度总表!$D$3:$D$1025,MATCH($E235,学年度总表!$E$3:$E$1025,0)))</f>
        <v>信管28班</v>
      </c>
      <c r="E235" s="2" t="s">
        <v>1457</v>
      </c>
      <c r="F235" s="2" t="str">
        <f>IF(INDEX(学年度总表!$F$3:$F$1025,MATCH($E235,学年度总表!$E$3:$E$1025,0))="","",INDEX(学年度总表!$F$3:$F$1025,MATCH($E235,学年度总表!$E$3:$E$1025,0)))</f>
        <v>滕俊良</v>
      </c>
      <c r="G235" s="3">
        <f>IF(INDEX(学年度总表!$G$3:$G$1025,MATCH($E235,学年度总表!$E$3:$E$1025,0))="","",INDEX(学年度总表!$G$3:$G$1025,MATCH($E235,学年度总表!$E$3:$E$1025,0)))</f>
        <v>9.8000000000000007</v>
      </c>
      <c r="H235" s="3">
        <f>IF(INDEX(学年度总表!$H$3:$H$1025,MATCH($E235,学年度总表!$E$3:$E$1025,0))="","",INDEX(学年度总表!$H$3:$H$1025,MATCH($E235,学年度总表!$E$3:$E$1025,0)))</f>
        <v>53.46</v>
      </c>
      <c r="I235" s="3">
        <f>IF(INDEX(学年度总表!$I$3:$I$1025,MATCH($E235,学年度总表!$E$3:$E$1025,0))="","",INDEX(学年度总表!$I$3:$I$1025,MATCH($E235,学年度总表!$E$3:$E$1025,0)))</f>
        <v>5.3</v>
      </c>
      <c r="J235" s="3">
        <f>IF(INDEX(学年度总表!$J$3:$J$1025,MATCH($E235,学年度总表!$E$3:$E$1025,0))="","",INDEX(学年度总表!$J$3:$J$1025,MATCH($E235,学年度总表!$E$3:$E$1025,0)))</f>
        <v>68.56</v>
      </c>
      <c r="K235" s="3">
        <f>IF(INDEX(学年度总表!$K$3:$K$1025,MATCH($E235,学年度总表!$E$3:$E$1025,0))="","",INDEX(学年度总表!$K$3:$K$1025,MATCH($E235,学年度总表!$E$3:$E$1025,0)))</f>
        <v>7.3000000000000007</v>
      </c>
      <c r="L235" s="3">
        <f>IF(INDEX(学年度总表!$L$3:$L$1025,MATCH($E235,学年度总表!$E$3:$E$1025,0))="","",INDEX(学年度总表!$L$3:$L$1025,MATCH($E235,学年度总表!$E$3:$E$1025,0)))</f>
        <v>49.84</v>
      </c>
      <c r="M235" s="3">
        <f>IF(INDEX(学年度总表!$M$3:$M$1025,MATCH($E235,学年度总表!$E$3:$E$1025,0))="","",INDEX(学年度总表!$M$3:$M$1025,MATCH($E235,学年度总表!$E$3:$E$1025,0)))</f>
        <v>4.5999999999999996</v>
      </c>
      <c r="N235" s="3">
        <f>IF(INDEX(学年度总表!$N$3:$N$1025,MATCH($E235,学年度总表!$E$3:$E$1025,0))="","",INDEX(学年度总表!$N$3:$N$1025,MATCH($E235,学年度总表!$E$3:$E$1025,0)))</f>
        <v>61.74</v>
      </c>
      <c r="O235" s="3">
        <f>IF(INDEX(学年度总表!$O$3:$O$1025,MATCH($E235,学年度总表!$E$3:$E$1025,0))="","",INDEX(学年度总表!$O$3:$O$1025,MATCH($E235,学年度总表!$E$3:$E$1025,0)))</f>
        <v>130.30000000000001</v>
      </c>
      <c r="P235" s="2" t="str">
        <f>IF(INDEX(学年度总表!$P$3:$P$1025,MATCH($E235,学年度总表!$E$3:$E$1025,0))="","",INDEX(学年度总表!$P$3:$P$1025,MATCH($E235,学年度总表!$E$3:$E$1025,0)))</f>
        <v/>
      </c>
      <c r="Q235" s="5" t="str">
        <f>IF(INDEX(学年度总表!$Q$3:$Q$1025,MATCH($E235,学年度总表!$E$3:$E$1025,0))="","",INDEX(学年度总表!$Q$3:$Q$1025,MATCH($E235,学年度总表!$E$3:$E$1025,0)))</f>
        <v/>
      </c>
    </row>
    <row r="236" spans="1:17">
      <c r="A236" s="2">
        <f>IF(INDEX(学年度总表!$A$3:$A$1025,MATCH($E236,学年度总表!$E$3:$E$1025,0))="","",INDEX(学年度总表!$A$3:$A$1025,MATCH($E236,学年度总表!$E$3:$E$1025,0)))</f>
        <v>699</v>
      </c>
      <c r="B236" s="2">
        <f>IF(INDEX(学年度总表!$B$3:$B$1025,MATCH($E236,学年度总表!$E$3:$E$1025,0))="","",INDEX(学年度总表!$B$3:$B$1025,MATCH($E236,学年度总表!$E$3:$E$1025,0)))</f>
        <v>234</v>
      </c>
      <c r="C236" s="2" t="str">
        <f>IF(INDEX(学年度总表!$C$3:$C$1025,MATCH($E236,学年度总表!$E$3:$E$1025,0))="","",INDEX(学年度总表!$C$3:$C$1025,MATCH($E236,学年度总表!$E$3:$E$1025,0)))</f>
        <v>信管</v>
      </c>
      <c r="D236" s="2" t="str">
        <f>IF(INDEX(学年度总表!$D$3:$D$1025,MATCH($E236,学年度总表!$E$3:$E$1025,0))="","",INDEX(学年度总表!$D$3:$D$1025,MATCH($E236,学年度总表!$E$3:$E$1025,0)))</f>
        <v>信管25班</v>
      </c>
      <c r="E236" s="2" t="s">
        <v>1459</v>
      </c>
      <c r="F236" s="2" t="str">
        <f>IF(INDEX(学年度总表!$F$3:$F$1025,MATCH($E236,学年度总表!$E$3:$E$1025,0))="","",INDEX(学年度总表!$F$3:$F$1025,MATCH($E236,学年度总表!$E$3:$E$1025,0)))</f>
        <v>丛梓烨</v>
      </c>
      <c r="G236" s="3">
        <f>IF(INDEX(学年度总表!$G$3:$G$1025,MATCH($E236,学年度总表!$E$3:$E$1025,0))="","",INDEX(学年度总表!$G$3:$G$1025,MATCH($E236,学年度总表!$E$3:$E$1025,0)))</f>
        <v>10</v>
      </c>
      <c r="H236" s="3">
        <f>IF(INDEX(学年度总表!$H$3:$H$1025,MATCH($E236,学年度总表!$E$3:$E$1025,0))="","",INDEX(学年度总表!$H$3:$H$1025,MATCH($E236,学年度总表!$E$3:$E$1025,0)))</f>
        <v>56.63</v>
      </c>
      <c r="I236" s="3">
        <f>IF(INDEX(学年度总表!$I$3:$I$1025,MATCH($E236,学年度总表!$E$3:$E$1025,0))="","",INDEX(学年度总表!$I$3:$I$1025,MATCH($E236,学年度总表!$E$3:$E$1025,0)))</f>
        <v>3</v>
      </c>
      <c r="J236" s="3">
        <f>IF(INDEX(学年度总表!$J$3:$J$1025,MATCH($E236,学年度总表!$E$3:$E$1025,0))="","",INDEX(学年度总表!$J$3:$J$1025,MATCH($E236,学年度总表!$E$3:$E$1025,0)))</f>
        <v>69.63</v>
      </c>
      <c r="K236" s="3">
        <f>IF(INDEX(学年度总表!$K$3:$K$1025,MATCH($E236,学年度总表!$E$3:$E$1025,0))="","",INDEX(学年度总表!$K$3:$K$1025,MATCH($E236,学年度总表!$E$3:$E$1025,0)))</f>
        <v>7.5</v>
      </c>
      <c r="L236" s="3">
        <f>IF(INDEX(学年度总表!$L$3:$L$1025,MATCH($E236,学年度总表!$E$3:$E$1025,0))="","",INDEX(学年度总表!$L$3:$L$1025,MATCH($E236,学年度总表!$E$3:$E$1025,0)))</f>
        <v>50.04</v>
      </c>
      <c r="M236" s="3">
        <f>IF(INDEX(学年度总表!$M$3:$M$1025,MATCH($E236,学年度总表!$E$3:$E$1025,0))="","",INDEX(学年度总表!$M$3:$M$1025,MATCH($E236,学年度总表!$E$3:$E$1025,0)))</f>
        <v>3</v>
      </c>
      <c r="N236" s="3">
        <f>IF(INDEX(学年度总表!$N$3:$N$1025,MATCH($E236,学年度总表!$E$3:$E$1025,0))="","",INDEX(学年度总表!$N$3:$N$1025,MATCH($E236,学年度总表!$E$3:$E$1025,0)))</f>
        <v>60.54</v>
      </c>
      <c r="O236" s="3">
        <f>IF(INDEX(学年度总表!$O$3:$O$1025,MATCH($E236,学年度总表!$E$3:$E$1025,0))="","",INDEX(学年度总表!$O$3:$O$1025,MATCH($E236,学年度总表!$E$3:$E$1025,0)))</f>
        <v>130.16999999999999</v>
      </c>
      <c r="P236" s="2" t="str">
        <f>IF(INDEX(学年度总表!$P$3:$P$1025,MATCH($E236,学年度总表!$E$3:$E$1025,0))="","",INDEX(学年度总表!$P$3:$P$1025,MATCH($E236,学年度总表!$E$3:$E$1025,0)))</f>
        <v/>
      </c>
      <c r="Q236" s="5" t="str">
        <f>IF(INDEX(学年度总表!$Q$3:$Q$1025,MATCH($E236,学年度总表!$E$3:$E$1025,0))="","",INDEX(学年度总表!$Q$3:$Q$1025,MATCH($E236,学年度总表!$E$3:$E$1025,0)))</f>
        <v/>
      </c>
    </row>
    <row r="237" spans="1:17">
      <c r="A237" s="2">
        <f>IF(INDEX(学年度总表!$A$3:$A$1025,MATCH($E237,学年度总表!$E$3:$E$1025,0))="","",INDEX(学年度总表!$A$3:$A$1025,MATCH($E237,学年度总表!$E$3:$E$1025,0)))</f>
        <v>700</v>
      </c>
      <c r="B237" s="2">
        <f>IF(INDEX(学年度总表!$B$3:$B$1025,MATCH($E237,学年度总表!$E$3:$E$1025,0))="","",INDEX(学年度总表!$B$3:$B$1025,MATCH($E237,学年度总表!$E$3:$E$1025,0)))</f>
        <v>235</v>
      </c>
      <c r="C237" s="2" t="str">
        <f>IF(INDEX(学年度总表!$C$3:$C$1025,MATCH($E237,学年度总表!$E$3:$E$1025,0))="","",INDEX(学年度总表!$C$3:$C$1025,MATCH($E237,学年度总表!$E$3:$E$1025,0)))</f>
        <v>信管</v>
      </c>
      <c r="D237" s="2" t="str">
        <f>IF(INDEX(学年度总表!$D$3:$D$1025,MATCH($E237,学年度总表!$E$3:$E$1025,0))="","",INDEX(学年度总表!$D$3:$D$1025,MATCH($E237,学年度总表!$E$3:$E$1025,0)))</f>
        <v>信管26班</v>
      </c>
      <c r="E237" s="2" t="s">
        <v>1461</v>
      </c>
      <c r="F237" s="2" t="str">
        <f>IF(INDEX(学年度总表!$F$3:$F$1025,MATCH($E237,学年度总表!$E$3:$E$1025,0))="","",INDEX(学年度总表!$F$3:$F$1025,MATCH($E237,学年度总表!$E$3:$E$1025,0)))</f>
        <v>席文煊</v>
      </c>
      <c r="G237" s="3">
        <f>IF(INDEX(学年度总表!$G$3:$G$1025,MATCH($E237,学年度总表!$E$3:$E$1025,0))="","",INDEX(学年度总表!$G$3:$G$1025,MATCH($E237,学年度总表!$E$3:$E$1025,0)))</f>
        <v>10</v>
      </c>
      <c r="H237" s="3">
        <f>IF(INDEX(学年度总表!$H$3:$H$1025,MATCH($E237,学年度总表!$E$3:$E$1025,0))="","",INDEX(学年度总表!$H$3:$H$1025,MATCH($E237,学年度总表!$E$3:$E$1025,0)))</f>
        <v>48.47</v>
      </c>
      <c r="I237" s="3">
        <f>IF(INDEX(学年度总表!$I$3:$I$1025,MATCH($E237,学年度总表!$E$3:$E$1025,0))="","",INDEX(学年度总表!$I$3:$I$1025,MATCH($E237,学年度总表!$E$3:$E$1025,0)))</f>
        <v>4.5</v>
      </c>
      <c r="J237" s="3">
        <f>IF(INDEX(学年度总表!$J$3:$J$1025,MATCH($E237,学年度总表!$E$3:$E$1025,0))="","",INDEX(学年度总表!$J$3:$J$1025,MATCH($E237,学年度总表!$E$3:$E$1025,0)))</f>
        <v>62.97</v>
      </c>
      <c r="K237" s="3">
        <f>IF(INDEX(学年度总表!$K$3:$K$1025,MATCH($E237,学年度总表!$E$3:$E$1025,0))="","",INDEX(学年度总表!$K$3:$K$1025,MATCH($E237,学年度总表!$E$3:$E$1025,0)))</f>
        <v>10</v>
      </c>
      <c r="L237" s="3">
        <f>IF(INDEX(学年度总表!$L$3:$L$1025,MATCH($E237,学年度总表!$E$3:$E$1025,0))="","",INDEX(学年度总表!$L$3:$L$1025,MATCH($E237,学年度总表!$E$3:$E$1025,0)))</f>
        <v>51.66</v>
      </c>
      <c r="M237" s="3">
        <f>IF(INDEX(学年度总表!$M$3:$M$1025,MATCH($E237,学年度总表!$E$3:$E$1025,0))="","",INDEX(学年度总表!$M$3:$M$1025,MATCH($E237,学年度总表!$E$3:$E$1025,0)))</f>
        <v>5.5</v>
      </c>
      <c r="N237" s="3">
        <f>IF(INDEX(学年度总表!$N$3:$N$1025,MATCH($E237,学年度总表!$E$3:$E$1025,0))="","",INDEX(学年度总表!$N$3:$N$1025,MATCH($E237,学年度总表!$E$3:$E$1025,0)))</f>
        <v>67.16</v>
      </c>
      <c r="O237" s="3">
        <f>IF(INDEX(学年度总表!$O$3:$O$1025,MATCH($E237,学年度总表!$E$3:$E$1025,0))="","",INDEX(学年度总表!$O$3:$O$1025,MATCH($E237,学年度总表!$E$3:$E$1025,0)))</f>
        <v>130.13</v>
      </c>
      <c r="P237" s="2" t="str">
        <f>IF(INDEX(学年度总表!$P$3:$P$1025,MATCH($E237,学年度总表!$E$3:$E$1025,0))="","",INDEX(学年度总表!$P$3:$P$1025,MATCH($E237,学年度总表!$E$3:$E$1025,0)))</f>
        <v/>
      </c>
      <c r="Q237" s="5" t="str">
        <f>IF(INDEX(学年度总表!$Q$3:$Q$1025,MATCH($E237,学年度总表!$E$3:$E$1025,0))="","",INDEX(学年度总表!$Q$3:$Q$1025,MATCH($E237,学年度总表!$E$3:$E$1025,0)))</f>
        <v/>
      </c>
    </row>
    <row r="238" spans="1:17">
      <c r="A238" s="2">
        <f>IF(INDEX(学年度总表!$A$3:$A$1025,MATCH($E238,学年度总表!$E$3:$E$1025,0))="","",INDEX(学年度总表!$A$3:$A$1025,MATCH($E238,学年度总表!$E$3:$E$1025,0)))</f>
        <v>702</v>
      </c>
      <c r="B238" s="2">
        <f>IF(INDEX(学年度总表!$B$3:$B$1025,MATCH($E238,学年度总表!$E$3:$E$1025,0))="","",INDEX(学年度总表!$B$3:$B$1025,MATCH($E238,学年度总表!$E$3:$E$1025,0)))</f>
        <v>236</v>
      </c>
      <c r="C238" s="2" t="str">
        <f>IF(INDEX(学年度总表!$C$3:$C$1025,MATCH($E238,学年度总表!$E$3:$E$1025,0))="","",INDEX(学年度总表!$C$3:$C$1025,MATCH($E238,学年度总表!$E$3:$E$1025,0)))</f>
        <v>信管</v>
      </c>
      <c r="D238" s="2" t="str">
        <f>IF(INDEX(学年度总表!$D$3:$D$1025,MATCH($E238,学年度总表!$E$3:$E$1025,0))="","",INDEX(学年度总表!$D$3:$D$1025,MATCH($E238,学年度总表!$E$3:$E$1025,0)))</f>
        <v>信管28班</v>
      </c>
      <c r="E238" s="2" t="s">
        <v>1465</v>
      </c>
      <c r="F238" s="2" t="str">
        <f>IF(INDEX(学年度总表!$F$3:$F$1025,MATCH($E238,学年度总表!$E$3:$E$1025,0))="","",INDEX(学年度总表!$F$3:$F$1025,MATCH($E238,学年度总表!$E$3:$E$1025,0)))</f>
        <v>唐语辛</v>
      </c>
      <c r="G238" s="3">
        <f>IF(INDEX(学年度总表!$G$3:$G$1025,MATCH($E238,学年度总表!$E$3:$E$1025,0))="","",INDEX(学年度总表!$G$3:$G$1025,MATCH($E238,学年度总表!$E$3:$E$1025,0)))</f>
        <v>9.8000000000000007</v>
      </c>
      <c r="H238" s="3">
        <f>IF(INDEX(学年度总表!$H$3:$H$1025,MATCH($E238,学年度总表!$E$3:$E$1025,0))="","",INDEX(学年度总表!$H$3:$H$1025,MATCH($E238,学年度总表!$E$3:$E$1025,0)))</f>
        <v>50.88</v>
      </c>
      <c r="I238" s="3">
        <f>IF(INDEX(学年度总表!$I$3:$I$1025,MATCH($E238,学年度总表!$E$3:$E$1025,0))="","",INDEX(学年度总表!$I$3:$I$1025,MATCH($E238,学年度总表!$E$3:$E$1025,0)))</f>
        <v>4.4000000000000004</v>
      </c>
      <c r="J238" s="3">
        <f>IF(INDEX(学年度总表!$J$3:$J$1025,MATCH($E238,学年度总表!$E$3:$E$1025,0))="","",INDEX(学年度总表!$J$3:$J$1025,MATCH($E238,学年度总表!$E$3:$E$1025,0)))</f>
        <v>65.08</v>
      </c>
      <c r="K238" s="3">
        <f>IF(INDEX(学年度总表!$K$3:$K$1025,MATCH($E238,学年度总表!$E$3:$E$1025,0))="","",INDEX(学年度总表!$K$3:$K$1025,MATCH($E238,学年度总表!$E$3:$E$1025,0)))</f>
        <v>7.5</v>
      </c>
      <c r="L238" s="3">
        <f>IF(INDEX(学年度总表!$L$3:$L$1025,MATCH($E238,学年度总表!$E$3:$E$1025,0))="","",INDEX(学年度总表!$L$3:$L$1025,MATCH($E238,学年度总表!$E$3:$E$1025,0)))</f>
        <v>52.91</v>
      </c>
      <c r="M238" s="3">
        <f>IF(INDEX(学年度总表!$M$3:$M$1025,MATCH($E238,学年度总表!$E$3:$E$1025,0))="","",INDEX(学年度总表!$M$3:$M$1025,MATCH($E238,学年度总表!$E$3:$E$1025,0)))</f>
        <v>4.5</v>
      </c>
      <c r="N238" s="3">
        <f>IF(INDEX(学年度总表!$N$3:$N$1025,MATCH($E238,学年度总表!$E$3:$E$1025,0))="","",INDEX(学年度总表!$N$3:$N$1025,MATCH($E238,学年度总表!$E$3:$E$1025,0)))</f>
        <v>64.91</v>
      </c>
      <c r="O238" s="3">
        <f>IF(INDEX(学年度总表!$O$3:$O$1025,MATCH($E238,学年度总表!$E$3:$E$1025,0))="","",INDEX(学年度总表!$O$3:$O$1025,MATCH($E238,学年度总表!$E$3:$E$1025,0)))</f>
        <v>129.99</v>
      </c>
      <c r="P238" s="2" t="str">
        <f>IF(INDEX(学年度总表!$P$3:$P$1025,MATCH($E238,学年度总表!$E$3:$E$1025,0))="","",INDEX(学年度总表!$P$3:$P$1025,MATCH($E238,学年度总表!$E$3:$E$1025,0)))</f>
        <v/>
      </c>
      <c r="Q238" s="5" t="str">
        <f>IF(INDEX(学年度总表!$Q$3:$Q$1025,MATCH($E238,学年度总表!$E$3:$E$1025,0))="","",INDEX(学年度总表!$Q$3:$Q$1025,MATCH($E238,学年度总表!$E$3:$E$1025,0)))</f>
        <v/>
      </c>
    </row>
    <row r="239" spans="1:17">
      <c r="A239" s="2">
        <f>IF(INDEX(学年度总表!$A$3:$A$1025,MATCH($E239,学年度总表!$E$3:$E$1025,0))="","",INDEX(学年度总表!$A$3:$A$1025,MATCH($E239,学年度总表!$E$3:$E$1025,0)))</f>
        <v>703</v>
      </c>
      <c r="B239" s="2">
        <f>IF(INDEX(学年度总表!$B$3:$B$1025,MATCH($E239,学年度总表!$E$3:$E$1025,0))="","",INDEX(学年度总表!$B$3:$B$1025,MATCH($E239,学年度总表!$E$3:$E$1025,0)))</f>
        <v>237</v>
      </c>
      <c r="C239" s="2" t="str">
        <f>IF(INDEX(学年度总表!$C$3:$C$1025,MATCH($E239,学年度总表!$E$3:$E$1025,0))="","",INDEX(学年度总表!$C$3:$C$1025,MATCH($E239,学年度总表!$E$3:$E$1025,0)))</f>
        <v>信管</v>
      </c>
      <c r="D239" s="2" t="str">
        <f>IF(INDEX(学年度总表!$D$3:$D$1025,MATCH($E239,学年度总表!$E$3:$E$1025,0))="","",INDEX(学年度总表!$D$3:$D$1025,MATCH($E239,学年度总表!$E$3:$E$1025,0)))</f>
        <v>信管23班</v>
      </c>
      <c r="E239" s="2" t="s">
        <v>1467</v>
      </c>
      <c r="F239" s="2" t="str">
        <f>IF(INDEX(学年度总表!$F$3:$F$1025,MATCH($E239,学年度总表!$E$3:$E$1025,0))="","",INDEX(学年度总表!$F$3:$F$1025,MATCH($E239,学年度总表!$E$3:$E$1025,0)))</f>
        <v>张力元</v>
      </c>
      <c r="G239" s="3">
        <f>IF(INDEX(学年度总表!$G$3:$G$1025,MATCH($E239,学年度总表!$E$3:$E$1025,0))="","",INDEX(学年度总表!$G$3:$G$1025,MATCH($E239,学年度总表!$E$3:$E$1025,0)))</f>
        <v>9.8000000000000007</v>
      </c>
      <c r="H239" s="3">
        <f>IF(INDEX(学年度总表!$H$3:$H$1025,MATCH($E239,学年度总表!$E$3:$E$1025,0))="","",INDEX(学年度总表!$H$3:$H$1025,MATCH($E239,学年度总表!$E$3:$E$1025,0)))</f>
        <v>50.86</v>
      </c>
      <c r="I239" s="3">
        <f>IF(INDEX(学年度总表!$I$3:$I$1025,MATCH($E239,学年度总表!$E$3:$E$1025,0))="","",INDEX(学年度总表!$I$3:$I$1025,MATCH($E239,学年度总表!$E$3:$E$1025,0)))</f>
        <v>4</v>
      </c>
      <c r="J239" s="3">
        <f>IF(INDEX(学年度总表!$J$3:$J$1025,MATCH($E239,学年度总表!$E$3:$E$1025,0))="","",INDEX(学年度总表!$J$3:$J$1025,MATCH($E239,学年度总表!$E$3:$E$1025,0)))</f>
        <v>64.66</v>
      </c>
      <c r="K239" s="3">
        <f>IF(INDEX(学年度总表!$K$3:$K$1025,MATCH($E239,学年度总表!$E$3:$E$1025,0))="","",INDEX(学年度总表!$K$3:$K$1025,MATCH($E239,学年度总表!$E$3:$E$1025,0)))</f>
        <v>9.8000000000000007</v>
      </c>
      <c r="L239" s="3">
        <f>IF(INDEX(学年度总表!$L$3:$L$1025,MATCH($E239,学年度总表!$E$3:$E$1025,0))="","",INDEX(学年度总表!$L$3:$L$1025,MATCH($E239,学年度总表!$E$3:$E$1025,0)))</f>
        <v>52.48</v>
      </c>
      <c r="M239" s="3">
        <f>IF(INDEX(学年度总表!$M$3:$M$1025,MATCH($E239,学年度总表!$E$3:$E$1025,0))="","",INDEX(学年度总表!$M$3:$M$1025,MATCH($E239,学年度总表!$E$3:$E$1025,0)))</f>
        <v>3</v>
      </c>
      <c r="N239" s="3">
        <f>IF(INDEX(学年度总表!$N$3:$N$1025,MATCH($E239,学年度总表!$E$3:$E$1025,0))="","",INDEX(学年度总表!$N$3:$N$1025,MATCH($E239,学年度总表!$E$3:$E$1025,0)))</f>
        <v>65.28</v>
      </c>
      <c r="O239" s="3">
        <f>IF(INDEX(学年度总表!$O$3:$O$1025,MATCH($E239,学年度总表!$E$3:$E$1025,0))="","",INDEX(学年度总表!$O$3:$O$1025,MATCH($E239,学年度总表!$E$3:$E$1025,0)))</f>
        <v>129.94</v>
      </c>
      <c r="P239" s="2" t="str">
        <f>IF(INDEX(学年度总表!$P$3:$P$1025,MATCH($E239,学年度总表!$E$3:$E$1025,0))="","",INDEX(学年度总表!$P$3:$P$1025,MATCH($E239,学年度总表!$E$3:$E$1025,0)))</f>
        <v/>
      </c>
      <c r="Q239" s="5" t="str">
        <f>IF(INDEX(学年度总表!$Q$3:$Q$1025,MATCH($E239,学年度总表!$E$3:$E$1025,0))="","",INDEX(学年度总表!$Q$3:$Q$1025,MATCH($E239,学年度总表!$E$3:$E$1025,0)))</f>
        <v/>
      </c>
    </row>
    <row r="240" spans="1:17">
      <c r="A240" s="2">
        <f>IF(INDEX(学年度总表!$A$3:$A$1025,MATCH($E240,学年度总表!$E$3:$E$1025,0))="","",INDEX(学年度总表!$A$3:$A$1025,MATCH($E240,学年度总表!$E$3:$E$1025,0)))</f>
        <v>704</v>
      </c>
      <c r="B240" s="2">
        <f>IF(INDEX(学年度总表!$B$3:$B$1025,MATCH($E240,学年度总表!$E$3:$E$1025,0))="","",INDEX(学年度总表!$B$3:$B$1025,MATCH($E240,学年度总表!$E$3:$E$1025,0)))</f>
        <v>238</v>
      </c>
      <c r="C240" s="2" t="str">
        <f>IF(INDEX(学年度总表!$C$3:$C$1025,MATCH($E240,学年度总表!$E$3:$E$1025,0))="","",INDEX(学年度总表!$C$3:$C$1025,MATCH($E240,学年度总表!$E$3:$E$1025,0)))</f>
        <v>信管</v>
      </c>
      <c r="D240" s="2" t="str">
        <f>IF(INDEX(学年度总表!$D$3:$D$1025,MATCH($E240,学年度总表!$E$3:$E$1025,0))="","",INDEX(学年度总表!$D$3:$D$1025,MATCH($E240,学年度总表!$E$3:$E$1025,0)))</f>
        <v>信管24班</v>
      </c>
      <c r="E240" s="2" t="s">
        <v>1469</v>
      </c>
      <c r="F240" s="2" t="str">
        <f>IF(INDEX(学年度总表!$F$3:$F$1025,MATCH($E240,学年度总表!$E$3:$E$1025,0))="","",INDEX(学年度总表!$F$3:$F$1025,MATCH($E240,学年度总表!$E$3:$E$1025,0)))</f>
        <v>崔雪</v>
      </c>
      <c r="G240" s="3">
        <f>IF(INDEX(学年度总表!$G$3:$G$1025,MATCH($E240,学年度总表!$E$3:$E$1025,0))="","",INDEX(学年度总表!$G$3:$G$1025,MATCH($E240,学年度总表!$E$3:$E$1025,0)))</f>
        <v>9.8000000000000007</v>
      </c>
      <c r="H240" s="3">
        <f>IF(INDEX(学年度总表!$H$3:$H$1025,MATCH($E240,学年度总表!$E$3:$E$1025,0))="","",INDEX(学年度总表!$H$3:$H$1025,MATCH($E240,学年度总表!$E$3:$E$1025,0)))</f>
        <v>52.53</v>
      </c>
      <c r="I240" s="3">
        <f>IF(INDEX(学年度总表!$I$3:$I$1025,MATCH($E240,学年度总表!$E$3:$E$1025,0))="","",INDEX(学年度总表!$I$3:$I$1025,MATCH($E240,学年度总表!$E$3:$E$1025,0)))</f>
        <v>3</v>
      </c>
      <c r="J240" s="3">
        <f>IF(INDEX(学年度总表!$J$3:$J$1025,MATCH($E240,学年度总表!$E$3:$E$1025,0))="","",INDEX(学年度总表!$J$3:$J$1025,MATCH($E240,学年度总表!$E$3:$E$1025,0)))</f>
        <v>65.33</v>
      </c>
      <c r="K240" s="3">
        <f>IF(INDEX(学年度总表!$K$3:$K$1025,MATCH($E240,学年度总表!$E$3:$E$1025,0))="","",INDEX(学年度总表!$K$3:$K$1025,MATCH($E240,学年度总表!$E$3:$E$1025,0)))</f>
        <v>7.3000000000000007</v>
      </c>
      <c r="L240" s="3">
        <f>IF(INDEX(学年度总表!$L$3:$L$1025,MATCH($E240,学年度总表!$E$3:$E$1025,0))="","",INDEX(学年度总表!$L$3:$L$1025,MATCH($E240,学年度总表!$E$3:$E$1025,0)))</f>
        <v>53.8</v>
      </c>
      <c r="M240" s="3">
        <f>IF(INDEX(学年度总表!$M$3:$M$1025,MATCH($E240,学年度总表!$E$3:$E$1025,0))="","",INDEX(学年度总表!$M$3:$M$1025,MATCH($E240,学年度总表!$E$3:$E$1025,0)))</f>
        <v>3.5</v>
      </c>
      <c r="N240" s="3">
        <f>IF(INDEX(学年度总表!$N$3:$N$1025,MATCH($E240,学年度总表!$E$3:$E$1025,0))="","",INDEX(学年度总表!$N$3:$N$1025,MATCH($E240,学年度总表!$E$3:$E$1025,0)))</f>
        <v>64.599999999999994</v>
      </c>
      <c r="O240" s="3">
        <f>IF(INDEX(学年度总表!$O$3:$O$1025,MATCH($E240,学年度总表!$E$3:$E$1025,0))="","",INDEX(学年度总表!$O$3:$O$1025,MATCH($E240,学年度总表!$E$3:$E$1025,0)))</f>
        <v>129.93</v>
      </c>
      <c r="P240" s="2" t="str">
        <f>IF(INDEX(学年度总表!$P$3:$P$1025,MATCH($E240,学年度总表!$E$3:$E$1025,0))="","",INDEX(学年度总表!$P$3:$P$1025,MATCH($E240,学年度总表!$E$3:$E$1025,0)))</f>
        <v/>
      </c>
      <c r="Q240" s="5" t="str">
        <f>IF(INDEX(学年度总表!$Q$3:$Q$1025,MATCH($E240,学年度总表!$E$3:$E$1025,0))="","",INDEX(学年度总表!$Q$3:$Q$1025,MATCH($E240,学年度总表!$E$3:$E$1025,0)))</f>
        <v/>
      </c>
    </row>
    <row r="241" spans="1:17">
      <c r="A241" s="2">
        <f>IF(INDEX(学年度总表!$A$3:$A$1025,MATCH($E241,学年度总表!$E$3:$E$1025,0))="","",INDEX(学年度总表!$A$3:$A$1025,MATCH($E241,学年度总表!$E$3:$E$1025,0)))</f>
        <v>707</v>
      </c>
      <c r="B241" s="2">
        <f>IF(INDEX(学年度总表!$B$3:$B$1025,MATCH($E241,学年度总表!$E$3:$E$1025,0))="","",INDEX(学年度总表!$B$3:$B$1025,MATCH($E241,学年度总表!$E$3:$E$1025,0)))</f>
        <v>239</v>
      </c>
      <c r="C241" s="2" t="str">
        <f>IF(INDEX(学年度总表!$C$3:$C$1025,MATCH($E241,学年度总表!$E$3:$E$1025,0))="","",INDEX(学年度总表!$C$3:$C$1025,MATCH($E241,学年度总表!$E$3:$E$1025,0)))</f>
        <v>信管</v>
      </c>
      <c r="D241" s="2" t="str">
        <f>IF(INDEX(学年度总表!$D$3:$D$1025,MATCH($E241,学年度总表!$E$3:$E$1025,0))="","",INDEX(学年度总表!$D$3:$D$1025,MATCH($E241,学年度总表!$E$3:$E$1025,0)))</f>
        <v>信管28班</v>
      </c>
      <c r="E241" s="2" t="s">
        <v>1475</v>
      </c>
      <c r="F241" s="2" t="str">
        <f>IF(INDEX(学年度总表!$F$3:$F$1025,MATCH($E241,学年度总表!$E$3:$E$1025,0))="","",INDEX(学年度总表!$F$3:$F$1025,MATCH($E241,学年度总表!$E$3:$E$1025,0)))</f>
        <v>姜昌浩</v>
      </c>
      <c r="G241" s="3">
        <f>IF(INDEX(学年度总表!$G$3:$G$1025,MATCH($E241,学年度总表!$E$3:$E$1025,0))="","",INDEX(学年度总表!$G$3:$G$1025,MATCH($E241,学年度总表!$E$3:$E$1025,0)))</f>
        <v>9.8000000000000007</v>
      </c>
      <c r="H241" s="3">
        <f>IF(INDEX(学年度总表!$H$3:$H$1025,MATCH($E241,学年度总表!$E$3:$E$1025,0))="","",INDEX(学年度总表!$H$3:$H$1025,MATCH($E241,学年度总表!$E$3:$E$1025,0)))</f>
        <v>56.72</v>
      </c>
      <c r="I241" s="3">
        <f>IF(INDEX(学年度总表!$I$3:$I$1025,MATCH($E241,学年度总表!$E$3:$E$1025,0))="","",INDEX(学年度总表!$I$3:$I$1025,MATCH($E241,学年度总表!$E$3:$E$1025,0)))</f>
        <v>5</v>
      </c>
      <c r="J241" s="3">
        <f>IF(INDEX(学年度总表!$J$3:$J$1025,MATCH($E241,学年度总表!$E$3:$E$1025,0))="","",INDEX(学年度总表!$J$3:$J$1025,MATCH($E241,学年度总表!$E$3:$E$1025,0)))</f>
        <v>71.52</v>
      </c>
      <c r="K241" s="3">
        <f>IF(INDEX(学年度总表!$K$3:$K$1025,MATCH($E241,学年度总表!$E$3:$E$1025,0))="","",INDEX(学年度总表!$K$3:$K$1025,MATCH($E241,学年度总表!$E$3:$E$1025,0)))</f>
        <v>7.3000000000000007</v>
      </c>
      <c r="L241" s="3">
        <f>IF(INDEX(学年度总表!$L$3:$L$1025,MATCH($E241,学年度总表!$E$3:$E$1025,0))="","",INDEX(学年度总表!$L$3:$L$1025,MATCH($E241,学年度总表!$E$3:$E$1025,0)))</f>
        <v>45.49</v>
      </c>
      <c r="M241" s="3">
        <f>IF(INDEX(学年度总表!$M$3:$M$1025,MATCH($E241,学年度总表!$E$3:$E$1025,0))="","",INDEX(学年度总表!$M$3:$M$1025,MATCH($E241,学年度总表!$E$3:$E$1025,0)))</f>
        <v>5.5</v>
      </c>
      <c r="N241" s="3">
        <f>IF(INDEX(学年度总表!$N$3:$N$1025,MATCH($E241,学年度总表!$E$3:$E$1025,0))="","",INDEX(学年度总表!$N$3:$N$1025,MATCH($E241,学年度总表!$E$3:$E$1025,0)))</f>
        <v>58.29</v>
      </c>
      <c r="O241" s="3">
        <f>IF(INDEX(学年度总表!$O$3:$O$1025,MATCH($E241,学年度总表!$E$3:$E$1025,0))="","",INDEX(学年度总表!$O$3:$O$1025,MATCH($E241,学年度总表!$E$3:$E$1025,0)))</f>
        <v>129.81</v>
      </c>
      <c r="P241" s="2" t="str">
        <f>IF(INDEX(学年度总表!$P$3:$P$1025,MATCH($E241,学年度总表!$E$3:$E$1025,0))="","",INDEX(学年度总表!$P$3:$P$1025,MATCH($E241,学年度总表!$E$3:$E$1025,0)))</f>
        <v/>
      </c>
      <c r="Q241" s="5" t="str">
        <f>IF(INDEX(学年度总表!$Q$3:$Q$1025,MATCH($E241,学年度总表!$E$3:$E$1025,0))="","",INDEX(学年度总表!$Q$3:$Q$1025,MATCH($E241,学年度总表!$E$3:$E$1025,0)))</f>
        <v/>
      </c>
    </row>
    <row r="242" spans="1:17">
      <c r="A242" s="2">
        <f>IF(INDEX(学年度总表!$A$3:$A$1025,MATCH($E242,学年度总表!$E$3:$E$1025,0))="","",INDEX(学年度总表!$A$3:$A$1025,MATCH($E242,学年度总表!$E$3:$E$1025,0)))</f>
        <v>712</v>
      </c>
      <c r="B242" s="2">
        <f>IF(INDEX(学年度总表!$B$3:$B$1025,MATCH($E242,学年度总表!$E$3:$E$1025,0))="","",INDEX(学年度总表!$B$3:$B$1025,MATCH($E242,学年度总表!$E$3:$E$1025,0)))</f>
        <v>240</v>
      </c>
      <c r="C242" s="2" t="str">
        <f>IF(INDEX(学年度总表!$C$3:$C$1025,MATCH($E242,学年度总表!$E$3:$E$1025,0))="","",INDEX(学年度总表!$C$3:$C$1025,MATCH($E242,学年度总表!$E$3:$E$1025,0)))</f>
        <v>信管</v>
      </c>
      <c r="D242" s="2" t="str">
        <f>IF(INDEX(学年度总表!$D$3:$D$1025,MATCH($E242,学年度总表!$E$3:$E$1025,0))="","",INDEX(学年度总表!$D$3:$D$1025,MATCH($E242,学年度总表!$E$3:$E$1025,0)))</f>
        <v>信管28班</v>
      </c>
      <c r="E242" s="2" t="s">
        <v>1485</v>
      </c>
      <c r="F242" s="2" t="str">
        <f>IF(INDEX(学年度总表!$F$3:$F$1025,MATCH($E242,学年度总表!$E$3:$E$1025,0))="","",INDEX(学年度总表!$F$3:$F$1025,MATCH($E242,学年度总表!$E$3:$E$1025,0)))</f>
        <v>张佳琪</v>
      </c>
      <c r="G242" s="3">
        <f>IF(INDEX(学年度总表!$G$3:$G$1025,MATCH($E242,学年度总表!$E$3:$E$1025,0))="","",INDEX(学年度总表!$G$3:$G$1025,MATCH($E242,学年度总表!$E$3:$E$1025,0)))</f>
        <v>10.3</v>
      </c>
      <c r="H242" s="3">
        <f>IF(INDEX(学年度总表!$H$3:$H$1025,MATCH($E242,学年度总表!$E$3:$E$1025,0))="","",INDEX(学年度总表!$H$3:$H$1025,MATCH($E242,学年度总表!$E$3:$E$1025,0)))</f>
        <v>52.87</v>
      </c>
      <c r="I242" s="3">
        <f>IF(INDEX(学年度总表!$I$3:$I$1025,MATCH($E242,学年度总表!$E$3:$E$1025,0))="","",INDEX(学年度总表!$I$3:$I$1025,MATCH($E242,学年度总表!$E$3:$E$1025,0)))</f>
        <v>3</v>
      </c>
      <c r="J242" s="3">
        <f>IF(INDEX(学年度总表!$J$3:$J$1025,MATCH($E242,学年度总表!$E$3:$E$1025,0))="","",INDEX(学年度总表!$J$3:$J$1025,MATCH($E242,学年度总表!$E$3:$E$1025,0)))</f>
        <v>66.17</v>
      </c>
      <c r="K242" s="3">
        <f>IF(INDEX(学年度总表!$K$3:$K$1025,MATCH($E242,学年度总表!$E$3:$E$1025,0))="","",INDEX(学年度总表!$K$3:$K$1025,MATCH($E242,学年度总表!$E$3:$E$1025,0)))</f>
        <v>7.3000000000000007</v>
      </c>
      <c r="L242" s="3">
        <f>IF(INDEX(学年度总表!$L$3:$L$1025,MATCH($E242,学年度总表!$E$3:$E$1025,0))="","",INDEX(学年度总表!$L$3:$L$1025,MATCH($E242,学年度总表!$E$3:$E$1025,0)))</f>
        <v>52.74</v>
      </c>
      <c r="M242" s="3">
        <f>IF(INDEX(学年度总表!$M$3:$M$1025,MATCH($E242,学年度总表!$E$3:$E$1025,0))="","",INDEX(学年度总表!$M$3:$M$1025,MATCH($E242,学年度总表!$E$3:$E$1025,0)))</f>
        <v>3.5</v>
      </c>
      <c r="N242" s="3">
        <f>IF(INDEX(学年度总表!$N$3:$N$1025,MATCH($E242,学年度总表!$E$3:$E$1025,0))="","",INDEX(学年度总表!$N$3:$N$1025,MATCH($E242,学年度总表!$E$3:$E$1025,0)))</f>
        <v>63.54</v>
      </c>
      <c r="O242" s="3">
        <f>IF(INDEX(学年度总表!$O$3:$O$1025,MATCH($E242,学年度总表!$E$3:$E$1025,0))="","",INDEX(学年度总表!$O$3:$O$1025,MATCH($E242,学年度总表!$E$3:$E$1025,0)))</f>
        <v>129.71</v>
      </c>
      <c r="P242" s="2" t="str">
        <f>IF(INDEX(学年度总表!$P$3:$P$1025,MATCH($E242,学年度总表!$E$3:$E$1025,0))="","",INDEX(学年度总表!$P$3:$P$1025,MATCH($E242,学年度总表!$E$3:$E$1025,0)))</f>
        <v/>
      </c>
      <c r="Q242" s="5" t="str">
        <f>IF(INDEX(学年度总表!$Q$3:$Q$1025,MATCH($E242,学年度总表!$E$3:$E$1025,0))="","",INDEX(学年度总表!$Q$3:$Q$1025,MATCH($E242,学年度总表!$E$3:$E$1025,0)))</f>
        <v/>
      </c>
    </row>
    <row r="243" spans="1:17">
      <c r="A243" s="2">
        <f>IF(INDEX(学年度总表!$A$3:$A$1025,MATCH($E243,学年度总表!$E$3:$E$1025,0))="","",INDEX(学年度总表!$A$3:$A$1025,MATCH($E243,学年度总表!$E$3:$E$1025,0)))</f>
        <v>716</v>
      </c>
      <c r="B243" s="2">
        <f>IF(INDEX(学年度总表!$B$3:$B$1025,MATCH($E243,学年度总表!$E$3:$E$1025,0))="","",INDEX(学年度总表!$B$3:$B$1025,MATCH($E243,学年度总表!$E$3:$E$1025,0)))</f>
        <v>241</v>
      </c>
      <c r="C243" s="2" t="str">
        <f>IF(INDEX(学年度总表!$C$3:$C$1025,MATCH($E243,学年度总表!$E$3:$E$1025,0))="","",INDEX(学年度总表!$C$3:$C$1025,MATCH($E243,学年度总表!$E$3:$E$1025,0)))</f>
        <v>信管</v>
      </c>
      <c r="D243" s="2" t="str">
        <f>IF(INDEX(学年度总表!$D$3:$D$1025,MATCH($E243,学年度总表!$E$3:$E$1025,0))="","",INDEX(学年度总表!$D$3:$D$1025,MATCH($E243,学年度总表!$E$3:$E$1025,0)))</f>
        <v>信管25班</v>
      </c>
      <c r="E243" s="2" t="s">
        <v>1493</v>
      </c>
      <c r="F243" s="2" t="str">
        <f>IF(INDEX(学年度总表!$F$3:$F$1025,MATCH($E243,学年度总表!$E$3:$E$1025,0))="","",INDEX(学年度总表!$F$3:$F$1025,MATCH($E243,学年度总表!$E$3:$E$1025,0)))</f>
        <v>杜金峰</v>
      </c>
      <c r="G243" s="3">
        <f>IF(INDEX(学年度总表!$G$3:$G$1025,MATCH($E243,学年度总表!$E$3:$E$1025,0))="","",INDEX(学年度总表!$G$3:$G$1025,MATCH($E243,学年度总表!$E$3:$E$1025,0)))</f>
        <v>10.8</v>
      </c>
      <c r="H243" s="3">
        <f>IF(INDEX(学年度总表!$H$3:$H$1025,MATCH($E243,学年度总表!$E$3:$E$1025,0))="","",INDEX(学年度总表!$H$3:$H$1025,MATCH($E243,学年度总表!$E$3:$E$1025,0)))</f>
        <v>56.11</v>
      </c>
      <c r="I243" s="3">
        <f>IF(INDEX(学年度总表!$I$3:$I$1025,MATCH($E243,学年度总表!$E$3:$E$1025,0))="","",INDEX(学年度总表!$I$3:$I$1025,MATCH($E243,学年度总表!$E$3:$E$1025,0)))</f>
        <v>3.2</v>
      </c>
      <c r="J243" s="3">
        <f>IF(INDEX(学年度总表!$J$3:$J$1025,MATCH($E243,学年度总表!$E$3:$E$1025,0))="","",INDEX(学年度总表!$J$3:$J$1025,MATCH($E243,学年度总表!$E$3:$E$1025,0)))</f>
        <v>70.11</v>
      </c>
      <c r="K243" s="3">
        <f>IF(INDEX(学年度总表!$K$3:$K$1025,MATCH($E243,学年度总表!$E$3:$E$1025,0))="","",INDEX(学年度总表!$K$3:$K$1025,MATCH($E243,学年度总表!$E$3:$E$1025,0)))</f>
        <v>7.3000000000000007</v>
      </c>
      <c r="L243" s="3">
        <f>IF(INDEX(学年度总表!$L$3:$L$1025,MATCH($E243,学年度总表!$E$3:$E$1025,0))="","",INDEX(学年度总表!$L$3:$L$1025,MATCH($E243,学年度总表!$E$3:$E$1025,0)))</f>
        <v>49.14</v>
      </c>
      <c r="M243" s="3">
        <f>IF(INDEX(学年度总表!$M$3:$M$1025,MATCH($E243,学年度总表!$E$3:$E$1025,0))="","",INDEX(学年度总表!$M$3:$M$1025,MATCH($E243,学年度总表!$E$3:$E$1025,0)))</f>
        <v>3</v>
      </c>
      <c r="N243" s="3">
        <f>IF(INDEX(学年度总表!$N$3:$N$1025,MATCH($E243,学年度总表!$E$3:$E$1025,0))="","",INDEX(学年度总表!$N$3:$N$1025,MATCH($E243,学年度总表!$E$3:$E$1025,0)))</f>
        <v>59.44</v>
      </c>
      <c r="O243" s="3">
        <f>IF(INDEX(学年度总表!$O$3:$O$1025,MATCH($E243,学年度总表!$E$3:$E$1025,0))="","",INDEX(学年度总表!$O$3:$O$1025,MATCH($E243,学年度总表!$E$3:$E$1025,0)))</f>
        <v>129.55000000000001</v>
      </c>
      <c r="P243" s="2" t="str">
        <f>IF(INDEX(学年度总表!$P$3:$P$1025,MATCH($E243,学年度总表!$E$3:$E$1025,0))="","",INDEX(学年度总表!$P$3:$P$1025,MATCH($E243,学年度总表!$E$3:$E$1025,0)))</f>
        <v/>
      </c>
      <c r="Q243" s="5" t="str">
        <f>IF(INDEX(学年度总表!$Q$3:$Q$1025,MATCH($E243,学年度总表!$E$3:$E$1025,0))="","",INDEX(学年度总表!$Q$3:$Q$1025,MATCH($E243,学年度总表!$E$3:$E$1025,0)))</f>
        <v/>
      </c>
    </row>
    <row r="244" spans="1:17">
      <c r="A244" s="2">
        <f>IF(INDEX(学年度总表!$A$3:$A$1025,MATCH($E244,学年度总表!$E$3:$E$1025,0))="","",INDEX(学年度总表!$A$3:$A$1025,MATCH($E244,学年度总表!$E$3:$E$1025,0)))</f>
        <v>718</v>
      </c>
      <c r="B244" s="2">
        <f>IF(INDEX(学年度总表!$B$3:$B$1025,MATCH($E244,学年度总表!$E$3:$E$1025,0))="","",INDEX(学年度总表!$B$3:$B$1025,MATCH($E244,学年度总表!$E$3:$E$1025,0)))</f>
        <v>242</v>
      </c>
      <c r="C244" s="2" t="str">
        <f>IF(INDEX(学年度总表!$C$3:$C$1025,MATCH($E244,学年度总表!$E$3:$E$1025,0))="","",INDEX(学年度总表!$C$3:$C$1025,MATCH($E244,学年度总表!$E$3:$E$1025,0)))</f>
        <v>信管</v>
      </c>
      <c r="D244" s="2" t="str">
        <f>IF(INDEX(学年度总表!$D$3:$D$1025,MATCH($E244,学年度总表!$E$3:$E$1025,0))="","",INDEX(学年度总表!$D$3:$D$1025,MATCH($E244,学年度总表!$E$3:$E$1025,0)))</f>
        <v>信管28班</v>
      </c>
      <c r="E244" s="2" t="s">
        <v>1497</v>
      </c>
      <c r="F244" s="2" t="str">
        <f>IF(INDEX(学年度总表!$F$3:$F$1025,MATCH($E244,学年度总表!$E$3:$E$1025,0))="","",INDEX(学年度总表!$F$3:$F$1025,MATCH($E244,学年度总表!$E$3:$E$1025,0)))</f>
        <v>张懿慰</v>
      </c>
      <c r="G244" s="3">
        <f>IF(INDEX(学年度总表!$G$3:$G$1025,MATCH($E244,学年度总表!$E$3:$E$1025,0))="","",INDEX(学年度总表!$G$3:$G$1025,MATCH($E244,学年度总表!$E$3:$E$1025,0)))</f>
        <v>10</v>
      </c>
      <c r="H244" s="3">
        <f>IF(INDEX(学年度总表!$H$3:$H$1025,MATCH($E244,学年度总表!$E$3:$E$1025,0))="","",INDEX(学年度总表!$H$3:$H$1025,MATCH($E244,学年度总表!$E$3:$E$1025,0)))</f>
        <v>56.38</v>
      </c>
      <c r="I244" s="3">
        <f>IF(INDEX(学年度总表!$I$3:$I$1025,MATCH($E244,学年度总表!$E$3:$E$1025,0))="","",INDEX(学年度总表!$I$3:$I$1025,MATCH($E244,学年度总表!$E$3:$E$1025,0)))</f>
        <v>3.2</v>
      </c>
      <c r="J244" s="3">
        <f>IF(INDEX(学年度总表!$J$3:$J$1025,MATCH($E244,学年度总表!$E$3:$E$1025,0))="","",INDEX(学年度总表!$J$3:$J$1025,MATCH($E244,学年度总表!$E$3:$E$1025,0)))</f>
        <v>69.58</v>
      </c>
      <c r="K244" s="3">
        <f>IF(INDEX(学年度总表!$K$3:$K$1025,MATCH($E244,学年度总表!$E$3:$E$1025,0))="","",INDEX(学年度总表!$K$3:$K$1025,MATCH($E244,学年度总表!$E$3:$E$1025,0)))</f>
        <v>7.3000000000000007</v>
      </c>
      <c r="L244" s="3">
        <f>IF(INDEX(学年度总表!$L$3:$L$1025,MATCH($E244,学年度总表!$E$3:$E$1025,0))="","",INDEX(学年度总表!$L$3:$L$1025,MATCH($E244,学年度总表!$E$3:$E$1025,0)))</f>
        <v>48.37</v>
      </c>
      <c r="M244" s="3">
        <f>IF(INDEX(学年度总表!$M$3:$M$1025,MATCH($E244,学年度总表!$E$3:$E$1025,0))="","",INDEX(学年度总表!$M$3:$M$1025,MATCH($E244,学年度总表!$E$3:$E$1025,0)))</f>
        <v>4.2</v>
      </c>
      <c r="N244" s="3">
        <f>IF(INDEX(学年度总表!$N$3:$N$1025,MATCH($E244,学年度总表!$E$3:$E$1025,0))="","",INDEX(学年度总表!$N$3:$N$1025,MATCH($E244,学年度总表!$E$3:$E$1025,0)))</f>
        <v>59.87</v>
      </c>
      <c r="O244" s="3">
        <f>IF(INDEX(学年度总表!$O$3:$O$1025,MATCH($E244,学年度总表!$E$3:$E$1025,0))="","",INDEX(学年度总表!$O$3:$O$1025,MATCH($E244,学年度总表!$E$3:$E$1025,0)))</f>
        <v>129.44999999999999</v>
      </c>
      <c r="P244" s="2" t="str">
        <f>IF(INDEX(学年度总表!$P$3:$P$1025,MATCH($E244,学年度总表!$E$3:$E$1025,0))="","",INDEX(学年度总表!$P$3:$P$1025,MATCH($E244,学年度总表!$E$3:$E$1025,0)))</f>
        <v/>
      </c>
      <c r="Q244" s="5" t="str">
        <f>IF(INDEX(学年度总表!$Q$3:$Q$1025,MATCH($E244,学年度总表!$E$3:$E$1025,0))="","",INDEX(学年度总表!$Q$3:$Q$1025,MATCH($E244,学年度总表!$E$3:$E$1025,0)))</f>
        <v/>
      </c>
    </row>
    <row r="245" spans="1:17">
      <c r="A245" s="2">
        <f>IF(INDEX(学年度总表!$A$3:$A$1025,MATCH($E245,学年度总表!$E$3:$E$1025,0))="","",INDEX(学年度总表!$A$3:$A$1025,MATCH($E245,学年度总表!$E$3:$E$1025,0)))</f>
        <v>723</v>
      </c>
      <c r="B245" s="2">
        <f>IF(INDEX(学年度总表!$B$3:$B$1025,MATCH($E245,学年度总表!$E$3:$E$1025,0))="","",INDEX(学年度总表!$B$3:$B$1025,MATCH($E245,学年度总表!$E$3:$E$1025,0)))</f>
        <v>243</v>
      </c>
      <c r="C245" s="2" t="str">
        <f>IF(INDEX(学年度总表!$C$3:$C$1025,MATCH($E245,学年度总表!$E$3:$E$1025,0))="","",INDEX(学年度总表!$C$3:$C$1025,MATCH($E245,学年度总表!$E$3:$E$1025,0)))</f>
        <v>信管</v>
      </c>
      <c r="D245" s="2" t="str">
        <f>IF(INDEX(学年度总表!$D$3:$D$1025,MATCH($E245,学年度总表!$E$3:$E$1025,0))="","",INDEX(学年度总表!$D$3:$D$1025,MATCH($E245,学年度总表!$E$3:$E$1025,0)))</f>
        <v>信管20班</v>
      </c>
      <c r="E245" s="2" t="s">
        <v>1507</v>
      </c>
      <c r="F245" s="2" t="str">
        <f>IF(INDEX(学年度总表!$F$3:$F$1025,MATCH($E245,学年度总表!$E$3:$E$1025,0))="","",INDEX(学年度总表!$F$3:$F$1025,MATCH($E245,学年度总表!$E$3:$E$1025,0)))</f>
        <v>唐庆宁</v>
      </c>
      <c r="G245" s="3">
        <f>IF(INDEX(学年度总表!$G$3:$G$1025,MATCH($E245,学年度总表!$E$3:$E$1025,0))="","",INDEX(学年度总表!$G$3:$G$1025,MATCH($E245,学年度总表!$E$3:$E$1025,0)))</f>
        <v>10.8</v>
      </c>
      <c r="H245" s="3">
        <f>IF(INDEX(学年度总表!$H$3:$H$1025,MATCH($E245,学年度总表!$E$3:$E$1025,0))="","",INDEX(学年度总表!$H$3:$H$1025,MATCH($E245,学年度总表!$E$3:$E$1025,0)))</f>
        <v>55.38</v>
      </c>
      <c r="I245" s="3">
        <f>IF(INDEX(学年度总表!$I$3:$I$1025,MATCH($E245,学年度总表!$E$3:$E$1025,0))="","",INDEX(学年度总表!$I$3:$I$1025,MATCH($E245,学年度总表!$E$3:$E$1025,0)))</f>
        <v>3</v>
      </c>
      <c r="J245" s="3">
        <f>IF(INDEX(学年度总表!$J$3:$J$1025,MATCH($E245,学年度总表!$E$3:$E$1025,0))="","",INDEX(学年度总表!$J$3:$J$1025,MATCH($E245,学年度总表!$E$3:$E$1025,0)))</f>
        <v>69.180000000000007</v>
      </c>
      <c r="K245" s="3">
        <f>IF(INDEX(学年度总表!$K$3:$K$1025,MATCH($E245,学年度总表!$E$3:$E$1025,0))="","",INDEX(学年度总表!$K$3:$K$1025,MATCH($E245,学年度总表!$E$3:$E$1025,0)))</f>
        <v>9.8000000000000007</v>
      </c>
      <c r="L245" s="3">
        <f>IF(INDEX(学年度总表!$L$3:$L$1025,MATCH($E245,学年度总表!$E$3:$E$1025,0))="","",INDEX(学年度总表!$L$3:$L$1025,MATCH($E245,学年度总表!$E$3:$E$1025,0)))</f>
        <v>46.74</v>
      </c>
      <c r="M245" s="3">
        <f>IF(INDEX(学年度总表!$M$3:$M$1025,MATCH($E245,学年度总表!$E$3:$E$1025,0))="","",INDEX(学年度总表!$M$3:$M$1025,MATCH($E245,学年度总表!$E$3:$E$1025,0)))</f>
        <v>3.5</v>
      </c>
      <c r="N245" s="3">
        <f>IF(INDEX(学年度总表!$N$3:$N$1025,MATCH($E245,学年度总表!$E$3:$E$1025,0))="","",INDEX(学年度总表!$N$3:$N$1025,MATCH($E245,学年度总表!$E$3:$E$1025,0)))</f>
        <v>60.04</v>
      </c>
      <c r="O245" s="3">
        <f>IF(INDEX(学年度总表!$O$3:$O$1025,MATCH($E245,学年度总表!$E$3:$E$1025,0))="","",INDEX(学年度总表!$O$3:$O$1025,MATCH($E245,学年度总表!$E$3:$E$1025,0)))</f>
        <v>129.22</v>
      </c>
      <c r="P245" s="2" t="str">
        <f>IF(INDEX(学年度总表!$P$3:$P$1025,MATCH($E245,学年度总表!$E$3:$E$1025,0))="","",INDEX(学年度总表!$P$3:$P$1025,MATCH($E245,学年度总表!$E$3:$E$1025,0)))</f>
        <v/>
      </c>
      <c r="Q245" s="5" t="str">
        <f>IF(INDEX(学年度总表!$Q$3:$Q$1025,MATCH($E245,学年度总表!$E$3:$E$1025,0))="","",INDEX(学年度总表!$Q$3:$Q$1025,MATCH($E245,学年度总表!$E$3:$E$1025,0)))</f>
        <v/>
      </c>
    </row>
    <row r="246" spans="1:17">
      <c r="A246" s="2">
        <f>IF(INDEX(学年度总表!$A$3:$A$1025,MATCH($E246,学年度总表!$E$3:$E$1025,0))="","",INDEX(学年度总表!$A$3:$A$1025,MATCH($E246,学年度总表!$E$3:$E$1025,0)))</f>
        <v>725</v>
      </c>
      <c r="B246" s="2">
        <f>IF(INDEX(学年度总表!$B$3:$B$1025,MATCH($E246,学年度总表!$E$3:$E$1025,0))="","",INDEX(学年度总表!$B$3:$B$1025,MATCH($E246,学年度总表!$E$3:$E$1025,0)))</f>
        <v>244</v>
      </c>
      <c r="C246" s="2" t="str">
        <f>IF(INDEX(学年度总表!$C$3:$C$1025,MATCH($E246,学年度总表!$E$3:$E$1025,0))="","",INDEX(学年度总表!$C$3:$C$1025,MATCH($E246,学年度总表!$E$3:$E$1025,0)))</f>
        <v>信管</v>
      </c>
      <c r="D246" s="2" t="str">
        <f>IF(INDEX(学年度总表!$D$3:$D$1025,MATCH($E246,学年度总表!$E$3:$E$1025,0))="","",INDEX(学年度总表!$D$3:$D$1025,MATCH($E246,学年度总表!$E$3:$E$1025,0)))</f>
        <v>信管26班</v>
      </c>
      <c r="E246" s="2" t="s">
        <v>1511</v>
      </c>
      <c r="F246" s="2" t="str">
        <f>IF(INDEX(学年度总表!$F$3:$F$1025,MATCH($E246,学年度总表!$E$3:$E$1025,0))="","",INDEX(学年度总表!$F$3:$F$1025,MATCH($E246,学年度总表!$E$3:$E$1025,0)))</f>
        <v>钱睿昶</v>
      </c>
      <c r="G246" s="3">
        <f>IF(INDEX(学年度总表!$G$3:$G$1025,MATCH($E246,学年度总表!$E$3:$E$1025,0))="","",INDEX(学年度总表!$G$3:$G$1025,MATCH($E246,学年度总表!$E$3:$E$1025,0)))</f>
        <v>9.8000000000000007</v>
      </c>
      <c r="H246" s="3">
        <f>IF(INDEX(学年度总表!$H$3:$H$1025,MATCH($E246,学年度总表!$E$3:$E$1025,0))="","",INDEX(学年度总表!$H$3:$H$1025,MATCH($E246,学年度总表!$E$3:$E$1025,0)))</f>
        <v>50.63</v>
      </c>
      <c r="I246" s="3">
        <f>IF(INDEX(学年度总表!$I$3:$I$1025,MATCH($E246,学年度总表!$E$3:$E$1025,0))="","",INDEX(学年度总表!$I$3:$I$1025,MATCH($E246,学年度总表!$E$3:$E$1025,0)))</f>
        <v>4</v>
      </c>
      <c r="J246" s="3">
        <f>IF(INDEX(学年度总表!$J$3:$J$1025,MATCH($E246,学年度总表!$E$3:$E$1025,0))="","",INDEX(学年度总表!$J$3:$J$1025,MATCH($E246,学年度总表!$E$3:$E$1025,0)))</f>
        <v>64.430000000000007</v>
      </c>
      <c r="K246" s="3">
        <f>IF(INDEX(学年度总表!$K$3:$K$1025,MATCH($E246,学年度总表!$E$3:$E$1025,0))="","",INDEX(学年度总表!$K$3:$K$1025,MATCH($E246,学年度总表!$E$3:$E$1025,0)))</f>
        <v>7.3000000000000007</v>
      </c>
      <c r="L246" s="3">
        <f>IF(INDEX(学年度总表!$L$3:$L$1025,MATCH($E246,学年度总表!$E$3:$E$1025,0))="","",INDEX(学年度总表!$L$3:$L$1025,MATCH($E246,学年度总表!$E$3:$E$1025,0)))</f>
        <v>54.4</v>
      </c>
      <c r="M246" s="3">
        <f>IF(INDEX(学年度总表!$M$3:$M$1025,MATCH($E246,学年度总表!$E$3:$E$1025,0))="","",INDEX(学年度总表!$M$3:$M$1025,MATCH($E246,学年度总表!$E$3:$E$1025,0)))</f>
        <v>3</v>
      </c>
      <c r="N246" s="3">
        <f>IF(INDEX(学年度总表!$N$3:$N$1025,MATCH($E246,学年度总表!$E$3:$E$1025,0))="","",INDEX(学年度总表!$N$3:$N$1025,MATCH($E246,学年度总表!$E$3:$E$1025,0)))</f>
        <v>64.7</v>
      </c>
      <c r="O246" s="3">
        <f>IF(INDEX(学年度总表!$O$3:$O$1025,MATCH($E246,学年度总表!$E$3:$E$1025,0))="","",INDEX(学年度总表!$O$3:$O$1025,MATCH($E246,学年度总表!$E$3:$E$1025,0)))</f>
        <v>129.13</v>
      </c>
      <c r="P246" s="2" t="str">
        <f>IF(INDEX(学年度总表!$P$3:$P$1025,MATCH($E246,学年度总表!$E$3:$E$1025,0))="","",INDEX(学年度总表!$P$3:$P$1025,MATCH($E246,学年度总表!$E$3:$E$1025,0)))</f>
        <v/>
      </c>
      <c r="Q246" s="5" t="str">
        <f>IF(INDEX(学年度总表!$Q$3:$Q$1025,MATCH($E246,学年度总表!$E$3:$E$1025,0))="","",INDEX(学年度总表!$Q$3:$Q$1025,MATCH($E246,学年度总表!$E$3:$E$1025,0)))</f>
        <v/>
      </c>
    </row>
    <row r="247" spans="1:17">
      <c r="A247" s="2">
        <f>IF(INDEX(学年度总表!$A$3:$A$1025,MATCH($E247,学年度总表!$E$3:$E$1025,0))="","",INDEX(学年度总表!$A$3:$A$1025,MATCH($E247,学年度总表!$E$3:$E$1025,0)))</f>
        <v>726</v>
      </c>
      <c r="B247" s="2">
        <f>IF(INDEX(学年度总表!$B$3:$B$1025,MATCH($E247,学年度总表!$E$3:$E$1025,0))="","",INDEX(学年度总表!$B$3:$B$1025,MATCH($E247,学年度总表!$E$3:$E$1025,0)))</f>
        <v>245</v>
      </c>
      <c r="C247" s="2" t="str">
        <f>IF(INDEX(学年度总表!$C$3:$C$1025,MATCH($E247,学年度总表!$E$3:$E$1025,0))="","",INDEX(学年度总表!$C$3:$C$1025,MATCH($E247,学年度总表!$E$3:$E$1025,0)))</f>
        <v>信管</v>
      </c>
      <c r="D247" s="2" t="str">
        <f>IF(INDEX(学年度总表!$D$3:$D$1025,MATCH($E247,学年度总表!$E$3:$E$1025,0))="","",INDEX(学年度总表!$D$3:$D$1025,MATCH($E247,学年度总表!$E$3:$E$1025,0)))</f>
        <v>信管23班</v>
      </c>
      <c r="E247" s="2" t="s">
        <v>1513</v>
      </c>
      <c r="F247" s="2" t="str">
        <f>IF(INDEX(学年度总表!$F$3:$F$1025,MATCH($E247,学年度总表!$E$3:$E$1025,0))="","",INDEX(学年度总表!$F$3:$F$1025,MATCH($E247,学年度总表!$E$3:$E$1025,0)))</f>
        <v>宁伊宁</v>
      </c>
      <c r="G247" s="3">
        <f>IF(INDEX(学年度总表!$G$3:$G$1025,MATCH($E247,学年度总表!$E$3:$E$1025,0))="","",INDEX(学年度总表!$G$3:$G$1025,MATCH($E247,学年度总表!$E$3:$E$1025,0)))</f>
        <v>9.8000000000000007</v>
      </c>
      <c r="H247" s="3">
        <f>IF(INDEX(学年度总表!$H$3:$H$1025,MATCH($E247,学年度总表!$E$3:$E$1025,0))="","",INDEX(学年度总表!$H$3:$H$1025,MATCH($E247,学年度总表!$E$3:$E$1025,0)))</f>
        <v>50.01</v>
      </c>
      <c r="I247" s="3">
        <f>IF(INDEX(学年度总表!$I$3:$I$1025,MATCH($E247,学年度总表!$E$3:$E$1025,0))="","",INDEX(学年度总表!$I$3:$I$1025,MATCH($E247,学年度总表!$E$3:$E$1025,0)))</f>
        <v>3</v>
      </c>
      <c r="J247" s="3">
        <f>IF(INDEX(学年度总表!$J$3:$J$1025,MATCH($E247,学年度总表!$E$3:$E$1025,0))="","",INDEX(学年度总表!$J$3:$J$1025,MATCH($E247,学年度总表!$E$3:$E$1025,0)))</f>
        <v>62.81</v>
      </c>
      <c r="K247" s="3">
        <f>IF(INDEX(学年度总表!$K$3:$K$1025,MATCH($E247,学年度总表!$E$3:$E$1025,0))="","",INDEX(学年度总表!$K$3:$K$1025,MATCH($E247,学年度总表!$E$3:$E$1025,0)))</f>
        <v>9.8000000000000007</v>
      </c>
      <c r="L247" s="3">
        <f>IF(INDEX(学年度总表!$L$3:$L$1025,MATCH($E247,学年度总表!$E$3:$E$1025,0))="","",INDEX(学年度总表!$L$3:$L$1025,MATCH($E247,学年度总表!$E$3:$E$1025,0)))</f>
        <v>53</v>
      </c>
      <c r="M247" s="3">
        <f>IF(INDEX(学年度总表!$M$3:$M$1025,MATCH($E247,学年度总表!$E$3:$E$1025,0))="","",INDEX(学年度总表!$M$3:$M$1025,MATCH($E247,学年度总表!$E$3:$E$1025,0)))</f>
        <v>3.5</v>
      </c>
      <c r="N247" s="3">
        <f>IF(INDEX(学年度总表!$N$3:$N$1025,MATCH($E247,学年度总表!$E$3:$E$1025,0))="","",INDEX(学年度总表!$N$3:$N$1025,MATCH($E247,学年度总表!$E$3:$E$1025,0)))</f>
        <v>66.3</v>
      </c>
      <c r="O247" s="3">
        <f>IF(INDEX(学年度总表!$O$3:$O$1025,MATCH($E247,学年度总表!$E$3:$E$1025,0))="","",INDEX(学年度总表!$O$3:$O$1025,MATCH($E247,学年度总表!$E$3:$E$1025,0)))</f>
        <v>129.11000000000001</v>
      </c>
      <c r="P247" s="2" t="str">
        <f>IF(INDEX(学年度总表!$P$3:$P$1025,MATCH($E247,学年度总表!$E$3:$E$1025,0))="","",INDEX(学年度总表!$P$3:$P$1025,MATCH($E247,学年度总表!$E$3:$E$1025,0)))</f>
        <v/>
      </c>
      <c r="Q247" s="5" t="str">
        <f>IF(INDEX(学年度总表!$Q$3:$Q$1025,MATCH($E247,学年度总表!$E$3:$E$1025,0))="","",INDEX(学年度总表!$Q$3:$Q$1025,MATCH($E247,学年度总表!$E$3:$E$1025,0)))</f>
        <v/>
      </c>
    </row>
    <row r="248" spans="1:17">
      <c r="A248" s="2">
        <f>IF(INDEX(学年度总表!$A$3:$A$1025,MATCH($E248,学年度总表!$E$3:$E$1025,0))="","",INDEX(学年度总表!$A$3:$A$1025,MATCH($E248,学年度总表!$E$3:$E$1025,0)))</f>
        <v>729</v>
      </c>
      <c r="B248" s="2">
        <f>IF(INDEX(学年度总表!$B$3:$B$1025,MATCH($E248,学年度总表!$E$3:$E$1025,0))="","",INDEX(学年度总表!$B$3:$B$1025,MATCH($E248,学年度总表!$E$3:$E$1025,0)))</f>
        <v>246</v>
      </c>
      <c r="C248" s="2" t="str">
        <f>IF(INDEX(学年度总表!$C$3:$C$1025,MATCH($E248,学年度总表!$E$3:$E$1025,0))="","",INDEX(学年度总表!$C$3:$C$1025,MATCH($E248,学年度总表!$E$3:$E$1025,0)))</f>
        <v>信管</v>
      </c>
      <c r="D248" s="2" t="str">
        <f>IF(INDEX(学年度总表!$D$3:$D$1025,MATCH($E248,学年度总表!$E$3:$E$1025,0))="","",INDEX(学年度总表!$D$3:$D$1025,MATCH($E248,学年度总表!$E$3:$E$1025,0)))</f>
        <v>信管20班</v>
      </c>
      <c r="E248" s="2" t="s">
        <v>1519</v>
      </c>
      <c r="F248" s="2" t="str">
        <f>IF(INDEX(学年度总表!$F$3:$F$1025,MATCH($E248,学年度总表!$E$3:$E$1025,0))="","",INDEX(学年度总表!$F$3:$F$1025,MATCH($E248,学年度总表!$E$3:$E$1025,0)))</f>
        <v>王子健</v>
      </c>
      <c r="G248" s="3">
        <f>IF(INDEX(学年度总表!$G$3:$G$1025,MATCH($E248,学年度总表!$E$3:$E$1025,0))="","",INDEX(学年度总表!$G$3:$G$1025,MATCH($E248,学年度总表!$E$3:$E$1025,0)))</f>
        <v>9</v>
      </c>
      <c r="H248" s="3">
        <f>IF(INDEX(学年度总表!$H$3:$H$1025,MATCH($E248,学年度总表!$E$3:$E$1025,0))="","",INDEX(学年度总表!$H$3:$H$1025,MATCH($E248,学年度总表!$E$3:$E$1025,0)))</f>
        <v>53.11</v>
      </c>
      <c r="I248" s="3">
        <f>IF(INDEX(学年度总表!$I$3:$I$1025,MATCH($E248,学年度总表!$E$3:$E$1025,0))="","",INDEX(学年度总表!$I$3:$I$1025,MATCH($E248,学年度总表!$E$3:$E$1025,0)))</f>
        <v>3</v>
      </c>
      <c r="J248" s="3">
        <f>IF(INDEX(学年度总表!$J$3:$J$1025,MATCH($E248,学年度总表!$E$3:$E$1025,0))="","",INDEX(学年度总表!$J$3:$J$1025,MATCH($E248,学年度总表!$E$3:$E$1025,0)))</f>
        <v>65.11</v>
      </c>
      <c r="K248" s="3">
        <f>IF(INDEX(学年度总表!$K$3:$K$1025,MATCH($E248,学年度总表!$E$3:$E$1025,0))="","",INDEX(学年度总表!$K$3:$K$1025,MATCH($E248,学年度总表!$E$3:$E$1025,0)))</f>
        <v>9.4</v>
      </c>
      <c r="L248" s="3">
        <f>IF(INDEX(学年度总表!$L$3:$L$1025,MATCH($E248,学年度总表!$E$3:$E$1025,0))="","",INDEX(学年度总表!$L$3:$L$1025,MATCH($E248,学年度总表!$E$3:$E$1025,0)))</f>
        <v>50.6</v>
      </c>
      <c r="M248" s="3">
        <f>IF(INDEX(学年度总表!$M$3:$M$1025,MATCH($E248,学年度总表!$E$3:$E$1025,0))="","",INDEX(学年度总表!$M$3:$M$1025,MATCH($E248,学年度总表!$E$3:$E$1025,0)))</f>
        <v>3.7</v>
      </c>
      <c r="N248" s="3">
        <f>IF(INDEX(学年度总表!$N$3:$N$1025,MATCH($E248,学年度总表!$E$3:$E$1025,0))="","",INDEX(学年度总表!$N$3:$N$1025,MATCH($E248,学年度总表!$E$3:$E$1025,0)))</f>
        <v>63.7</v>
      </c>
      <c r="O248" s="3">
        <f>IF(INDEX(学年度总表!$O$3:$O$1025,MATCH($E248,学年度总表!$E$3:$E$1025,0))="","",INDEX(学年度总表!$O$3:$O$1025,MATCH($E248,学年度总表!$E$3:$E$1025,0)))</f>
        <v>128.81</v>
      </c>
      <c r="P248" s="2" t="str">
        <f>IF(INDEX(学年度总表!$P$3:$P$1025,MATCH($E248,学年度总表!$E$3:$E$1025,0))="","",INDEX(学年度总表!$P$3:$P$1025,MATCH($E248,学年度总表!$E$3:$E$1025,0)))</f>
        <v/>
      </c>
      <c r="Q248" s="5" t="str">
        <f>IF(INDEX(学年度总表!$Q$3:$Q$1025,MATCH($E248,学年度总表!$E$3:$E$1025,0))="","",INDEX(学年度总表!$Q$3:$Q$1025,MATCH($E248,学年度总表!$E$3:$E$1025,0)))</f>
        <v/>
      </c>
    </row>
    <row r="249" spans="1:17">
      <c r="A249" s="2">
        <f>IF(INDEX(学年度总表!$A$3:$A$1025,MATCH($E249,学年度总表!$E$3:$E$1025,0))="","",INDEX(学年度总表!$A$3:$A$1025,MATCH($E249,学年度总表!$E$3:$E$1025,0)))</f>
        <v>730</v>
      </c>
      <c r="B249" s="2">
        <f>IF(INDEX(学年度总表!$B$3:$B$1025,MATCH($E249,学年度总表!$E$3:$E$1025,0))="","",INDEX(学年度总表!$B$3:$B$1025,MATCH($E249,学年度总表!$E$3:$E$1025,0)))</f>
        <v>247</v>
      </c>
      <c r="C249" s="2" t="str">
        <f>IF(INDEX(学年度总表!$C$3:$C$1025,MATCH($E249,学年度总表!$E$3:$E$1025,0))="","",INDEX(学年度总表!$C$3:$C$1025,MATCH($E249,学年度总表!$E$3:$E$1025,0)))</f>
        <v>信管</v>
      </c>
      <c r="D249" s="2" t="str">
        <f>IF(INDEX(学年度总表!$D$3:$D$1025,MATCH($E249,学年度总表!$E$3:$E$1025,0))="","",INDEX(学年度总表!$D$3:$D$1025,MATCH($E249,学年度总表!$E$3:$E$1025,0)))</f>
        <v>信管27班</v>
      </c>
      <c r="E249" s="2" t="s">
        <v>1521</v>
      </c>
      <c r="F249" s="2" t="str">
        <f>IF(INDEX(学年度总表!$F$3:$F$1025,MATCH($E249,学年度总表!$E$3:$E$1025,0))="","",INDEX(学年度总表!$F$3:$F$1025,MATCH($E249,学年度总表!$E$3:$E$1025,0)))</f>
        <v>王艺璇</v>
      </c>
      <c r="G249" s="3">
        <f>IF(INDEX(学年度总表!$G$3:$G$1025,MATCH($E249,学年度总表!$E$3:$E$1025,0))="","",INDEX(学年度总表!$G$3:$G$1025,MATCH($E249,学年度总表!$E$3:$E$1025,0)))</f>
        <v>9.8000000000000007</v>
      </c>
      <c r="H249" s="3">
        <f>IF(INDEX(学年度总表!$H$3:$H$1025,MATCH($E249,学年度总表!$E$3:$E$1025,0))="","",INDEX(学年度总表!$H$3:$H$1025,MATCH($E249,学年度总表!$E$3:$E$1025,0)))</f>
        <v>55.8</v>
      </c>
      <c r="I249" s="3">
        <f>IF(INDEX(学年度总表!$I$3:$I$1025,MATCH($E249,学年度总表!$E$3:$E$1025,0))="","",INDEX(学年度总表!$I$3:$I$1025,MATCH($E249,学年度总表!$E$3:$E$1025,0)))</f>
        <v>3</v>
      </c>
      <c r="J249" s="3">
        <f>IF(INDEX(学年度总表!$J$3:$J$1025,MATCH($E249,学年度总表!$E$3:$E$1025,0))="","",INDEX(学年度总表!$J$3:$J$1025,MATCH($E249,学年度总表!$E$3:$E$1025,0)))</f>
        <v>68.599999999999994</v>
      </c>
      <c r="K249" s="3">
        <f>IF(INDEX(学年度总表!$K$3:$K$1025,MATCH($E249,学年度总表!$E$3:$E$1025,0))="","",INDEX(学年度总表!$K$3:$K$1025,MATCH($E249,学年度总表!$E$3:$E$1025,0)))</f>
        <v>7.3000000000000007</v>
      </c>
      <c r="L249" s="3">
        <f>IF(INDEX(学年度总表!$L$3:$L$1025,MATCH($E249,学年度总表!$E$3:$E$1025,0))="","",INDEX(学年度总表!$L$3:$L$1025,MATCH($E249,学年度总表!$E$3:$E$1025,0)))</f>
        <v>49.38</v>
      </c>
      <c r="M249" s="3">
        <f>IF(INDEX(学年度总表!$M$3:$M$1025,MATCH($E249,学年度总表!$E$3:$E$1025,0))="","",INDEX(学年度总表!$M$3:$M$1025,MATCH($E249,学年度总表!$E$3:$E$1025,0)))</f>
        <v>3.5</v>
      </c>
      <c r="N249" s="3">
        <f>IF(INDEX(学年度总表!$N$3:$N$1025,MATCH($E249,学年度总表!$E$3:$E$1025,0))="","",INDEX(学年度总表!$N$3:$N$1025,MATCH($E249,学年度总表!$E$3:$E$1025,0)))</f>
        <v>60.18</v>
      </c>
      <c r="O249" s="3">
        <f>IF(INDEX(学年度总表!$O$3:$O$1025,MATCH($E249,学年度总表!$E$3:$E$1025,0))="","",INDEX(学年度总表!$O$3:$O$1025,MATCH($E249,学年度总表!$E$3:$E$1025,0)))</f>
        <v>128.78</v>
      </c>
      <c r="P249" s="2" t="str">
        <f>IF(INDEX(学年度总表!$P$3:$P$1025,MATCH($E249,学年度总表!$E$3:$E$1025,0))="","",INDEX(学年度总表!$P$3:$P$1025,MATCH($E249,学年度总表!$E$3:$E$1025,0)))</f>
        <v/>
      </c>
      <c r="Q249" s="5" t="str">
        <f>IF(INDEX(学年度总表!$Q$3:$Q$1025,MATCH($E249,学年度总表!$E$3:$E$1025,0))="","",INDEX(学年度总表!$Q$3:$Q$1025,MATCH($E249,学年度总表!$E$3:$E$1025,0)))</f>
        <v/>
      </c>
    </row>
    <row r="250" spans="1:17">
      <c r="A250" s="2">
        <f>IF(INDEX(学年度总表!$A$3:$A$1025,MATCH($E250,学年度总表!$E$3:$E$1025,0))="","",INDEX(学年度总表!$A$3:$A$1025,MATCH($E250,学年度总表!$E$3:$E$1025,0)))</f>
        <v>731</v>
      </c>
      <c r="B250" s="2">
        <f>IF(INDEX(学年度总表!$B$3:$B$1025,MATCH($E250,学年度总表!$E$3:$E$1025,0))="","",INDEX(学年度总表!$B$3:$B$1025,MATCH($E250,学年度总表!$E$3:$E$1025,0)))</f>
        <v>248</v>
      </c>
      <c r="C250" s="2" t="str">
        <f>IF(INDEX(学年度总表!$C$3:$C$1025,MATCH($E250,学年度总表!$E$3:$E$1025,0))="","",INDEX(学年度总表!$C$3:$C$1025,MATCH($E250,学年度总表!$E$3:$E$1025,0)))</f>
        <v>信管</v>
      </c>
      <c r="D250" s="2" t="str">
        <f>IF(INDEX(学年度总表!$D$3:$D$1025,MATCH($E250,学年度总表!$E$3:$E$1025,0))="","",INDEX(学年度总表!$D$3:$D$1025,MATCH($E250,学年度总表!$E$3:$E$1025,0)))</f>
        <v>信管27班</v>
      </c>
      <c r="E250" s="2" t="s">
        <v>1523</v>
      </c>
      <c r="F250" s="2" t="str">
        <f>IF(INDEX(学年度总表!$F$3:$F$1025,MATCH($E250,学年度总表!$E$3:$E$1025,0))="","",INDEX(学年度总表!$F$3:$F$1025,MATCH($E250,学年度总表!$E$3:$E$1025,0)))</f>
        <v>董家妮</v>
      </c>
      <c r="G250" s="3">
        <f>IF(INDEX(学年度总表!$G$3:$G$1025,MATCH($E250,学年度总表!$E$3:$E$1025,0))="","",INDEX(学年度总表!$G$3:$G$1025,MATCH($E250,学年度总表!$E$3:$E$1025,0)))</f>
        <v>10</v>
      </c>
      <c r="H250" s="3">
        <f>IF(INDEX(学年度总表!$H$3:$H$1025,MATCH($E250,学年度总表!$E$3:$E$1025,0))="","",INDEX(学年度总表!$H$3:$H$1025,MATCH($E250,学年度总表!$E$3:$E$1025,0)))</f>
        <v>52.41</v>
      </c>
      <c r="I250" s="3">
        <f>IF(INDEX(学年度总表!$I$3:$I$1025,MATCH($E250,学年度总表!$E$3:$E$1025,0))="","",INDEX(学年度总表!$I$3:$I$1025,MATCH($E250,学年度总表!$E$3:$E$1025,0)))</f>
        <v>4.4000000000000004</v>
      </c>
      <c r="J250" s="3">
        <f>IF(INDEX(学年度总表!$J$3:$J$1025,MATCH($E250,学年度总表!$E$3:$E$1025,0))="","",INDEX(学年度总表!$J$3:$J$1025,MATCH($E250,学年度总表!$E$3:$E$1025,0)))</f>
        <v>66.81</v>
      </c>
      <c r="K250" s="3">
        <f>IF(INDEX(学年度总表!$K$3:$K$1025,MATCH($E250,学年度总表!$E$3:$E$1025,0))="","",INDEX(学年度总表!$K$3:$K$1025,MATCH($E250,学年度总表!$E$3:$E$1025,0)))</f>
        <v>10</v>
      </c>
      <c r="L250" s="3">
        <f>IF(INDEX(学年度总表!$L$3:$L$1025,MATCH($E250,学年度总表!$E$3:$E$1025,0))="","",INDEX(学年度总表!$L$3:$L$1025,MATCH($E250,学年度总表!$E$3:$E$1025,0)))</f>
        <v>47.41</v>
      </c>
      <c r="M250" s="3">
        <f>IF(INDEX(学年度总表!$M$3:$M$1025,MATCH($E250,学年度总表!$E$3:$E$1025,0))="","",INDEX(学年度总表!$M$3:$M$1025,MATCH($E250,学年度总表!$E$3:$E$1025,0)))</f>
        <v>4.5</v>
      </c>
      <c r="N250" s="3">
        <f>IF(INDEX(学年度总表!$N$3:$N$1025,MATCH($E250,学年度总表!$E$3:$E$1025,0))="","",INDEX(学年度总表!$N$3:$N$1025,MATCH($E250,学年度总表!$E$3:$E$1025,0)))</f>
        <v>61.91</v>
      </c>
      <c r="O250" s="3">
        <f>IF(INDEX(学年度总表!$O$3:$O$1025,MATCH($E250,学年度总表!$E$3:$E$1025,0))="","",INDEX(学年度总表!$O$3:$O$1025,MATCH($E250,学年度总表!$E$3:$E$1025,0)))</f>
        <v>128.72</v>
      </c>
      <c r="P250" s="2" t="str">
        <f>IF(INDEX(学年度总表!$P$3:$P$1025,MATCH($E250,学年度总表!$E$3:$E$1025,0))="","",INDEX(学年度总表!$P$3:$P$1025,MATCH($E250,学年度总表!$E$3:$E$1025,0)))</f>
        <v/>
      </c>
      <c r="Q250" s="5" t="str">
        <f>IF(INDEX(学年度总表!$Q$3:$Q$1025,MATCH($E250,学年度总表!$E$3:$E$1025,0))="","",INDEX(学年度总表!$Q$3:$Q$1025,MATCH($E250,学年度总表!$E$3:$E$1025,0)))</f>
        <v/>
      </c>
    </row>
    <row r="251" spans="1:17">
      <c r="A251" s="2">
        <f>IF(INDEX(学年度总表!$A$3:$A$1025,MATCH($E251,学年度总表!$E$3:$E$1025,0))="","",INDEX(学年度总表!$A$3:$A$1025,MATCH($E251,学年度总表!$E$3:$E$1025,0)))</f>
        <v>733</v>
      </c>
      <c r="B251" s="2">
        <f>IF(INDEX(学年度总表!$B$3:$B$1025,MATCH($E251,学年度总表!$E$3:$E$1025,0))="","",INDEX(学年度总表!$B$3:$B$1025,MATCH($E251,学年度总表!$E$3:$E$1025,0)))</f>
        <v>249</v>
      </c>
      <c r="C251" s="2" t="str">
        <f>IF(INDEX(学年度总表!$C$3:$C$1025,MATCH($E251,学年度总表!$E$3:$E$1025,0))="","",INDEX(学年度总表!$C$3:$C$1025,MATCH($E251,学年度总表!$E$3:$E$1025,0)))</f>
        <v>信管</v>
      </c>
      <c r="D251" s="2" t="str">
        <f>IF(INDEX(学年度总表!$D$3:$D$1025,MATCH($E251,学年度总表!$E$3:$E$1025,0))="","",INDEX(学年度总表!$D$3:$D$1025,MATCH($E251,学年度总表!$E$3:$E$1025,0)))</f>
        <v>信管21班</v>
      </c>
      <c r="E251" s="2" t="s">
        <v>1527</v>
      </c>
      <c r="F251" s="2" t="str">
        <f>IF(INDEX(学年度总表!$F$3:$F$1025,MATCH($E251,学年度总表!$E$3:$E$1025,0))="","",INDEX(学年度总表!$F$3:$F$1025,MATCH($E251,学年度总表!$E$3:$E$1025,0)))</f>
        <v>邢嘉倪</v>
      </c>
      <c r="G251" s="3">
        <f>IF(INDEX(学年度总表!$G$3:$G$1025,MATCH($E251,学年度总表!$E$3:$E$1025,0))="","",INDEX(学年度总表!$G$3:$G$1025,MATCH($E251,学年度总表!$E$3:$E$1025,0)))</f>
        <v>10</v>
      </c>
      <c r="H251" s="3">
        <f>IF(INDEX(学年度总表!$H$3:$H$1025,MATCH($E251,学年度总表!$E$3:$E$1025,0))="","",INDEX(学年度总表!$H$3:$H$1025,MATCH($E251,学年度总表!$E$3:$E$1025,0)))</f>
        <v>52.91</v>
      </c>
      <c r="I251" s="3">
        <f>IF(INDEX(学年度总表!$I$3:$I$1025,MATCH($E251,学年度总表!$E$3:$E$1025,0))="","",INDEX(学年度总表!$I$3:$I$1025,MATCH($E251,学年度总表!$E$3:$E$1025,0)))</f>
        <v>3.8</v>
      </c>
      <c r="J251" s="3">
        <f>IF(INDEX(学年度总表!$J$3:$J$1025,MATCH($E251,学年度总表!$E$3:$E$1025,0))="","",INDEX(学年度总表!$J$3:$J$1025,MATCH($E251,学年度总表!$E$3:$E$1025,0)))</f>
        <v>66.709999999999994</v>
      </c>
      <c r="K251" s="3">
        <f>IF(INDEX(学年度总表!$K$3:$K$1025,MATCH($E251,学年度总表!$E$3:$E$1025,0))="","",INDEX(学年度总表!$K$3:$K$1025,MATCH($E251,学年度总表!$E$3:$E$1025,0)))</f>
        <v>10</v>
      </c>
      <c r="L251" s="3">
        <f>IF(INDEX(学年度总表!$L$3:$L$1025,MATCH($E251,学年度总表!$E$3:$E$1025,0))="","",INDEX(学年度总表!$L$3:$L$1025,MATCH($E251,学年度总表!$E$3:$E$1025,0)))</f>
        <v>48.45</v>
      </c>
      <c r="M251" s="3">
        <f>IF(INDEX(学年度总表!$M$3:$M$1025,MATCH($E251,学年度总表!$E$3:$E$1025,0))="","",INDEX(学年度总表!$M$3:$M$1025,MATCH($E251,学年度总表!$E$3:$E$1025,0)))</f>
        <v>3.5</v>
      </c>
      <c r="N251" s="3">
        <f>IF(INDEX(学年度总表!$N$3:$N$1025,MATCH($E251,学年度总表!$E$3:$E$1025,0))="","",INDEX(学年度总表!$N$3:$N$1025,MATCH($E251,学年度总表!$E$3:$E$1025,0)))</f>
        <v>61.95</v>
      </c>
      <c r="O251" s="3">
        <f>IF(INDEX(学年度总表!$O$3:$O$1025,MATCH($E251,学年度总表!$E$3:$E$1025,0))="","",INDEX(学年度总表!$O$3:$O$1025,MATCH($E251,学年度总表!$E$3:$E$1025,0)))</f>
        <v>128.66</v>
      </c>
      <c r="P251" s="2" t="str">
        <f>IF(INDEX(学年度总表!$P$3:$P$1025,MATCH($E251,学年度总表!$E$3:$E$1025,0))="","",INDEX(学年度总表!$P$3:$P$1025,MATCH($E251,学年度总表!$E$3:$E$1025,0)))</f>
        <v/>
      </c>
      <c r="Q251" s="5" t="str">
        <f>IF(INDEX(学年度总表!$Q$3:$Q$1025,MATCH($E251,学年度总表!$E$3:$E$1025,0))="","",INDEX(学年度总表!$Q$3:$Q$1025,MATCH($E251,学年度总表!$E$3:$E$1025,0)))</f>
        <v/>
      </c>
    </row>
    <row r="252" spans="1:17">
      <c r="A252" s="2">
        <f>IF(INDEX(学年度总表!$A$3:$A$1025,MATCH($E252,学年度总表!$E$3:$E$1025,0))="","",INDEX(学年度总表!$A$3:$A$1025,MATCH($E252,学年度总表!$E$3:$E$1025,0)))</f>
        <v>734</v>
      </c>
      <c r="B252" s="2">
        <f>IF(INDEX(学年度总表!$B$3:$B$1025,MATCH($E252,学年度总表!$E$3:$E$1025,0))="","",INDEX(学年度总表!$B$3:$B$1025,MATCH($E252,学年度总表!$E$3:$E$1025,0)))</f>
        <v>250</v>
      </c>
      <c r="C252" s="2" t="str">
        <f>IF(INDEX(学年度总表!$C$3:$C$1025,MATCH($E252,学年度总表!$E$3:$E$1025,0))="","",INDEX(学年度总表!$C$3:$C$1025,MATCH($E252,学年度总表!$E$3:$E$1025,0)))</f>
        <v>信管</v>
      </c>
      <c r="D252" s="2" t="str">
        <f>IF(INDEX(学年度总表!$D$3:$D$1025,MATCH($E252,学年度总表!$E$3:$E$1025,0))="","",INDEX(学年度总表!$D$3:$D$1025,MATCH($E252,学年度总表!$E$3:$E$1025,0)))</f>
        <v>信管20班</v>
      </c>
      <c r="E252" s="2" t="s">
        <v>1529</v>
      </c>
      <c r="F252" s="2" t="str">
        <f>IF(INDEX(学年度总表!$F$3:$F$1025,MATCH($E252,学年度总表!$E$3:$E$1025,0))="","",INDEX(学年度总表!$F$3:$F$1025,MATCH($E252,学年度总表!$E$3:$E$1025,0)))</f>
        <v>赵婧如</v>
      </c>
      <c r="G252" s="3">
        <f>IF(INDEX(学年度总表!$G$3:$G$1025,MATCH($E252,学年度总表!$E$3:$E$1025,0))="","",INDEX(学年度总表!$G$3:$G$1025,MATCH($E252,学年度总表!$E$3:$E$1025,0)))</f>
        <v>9.8000000000000007</v>
      </c>
      <c r="H252" s="3">
        <f>IF(INDEX(学年度总表!$H$3:$H$1025,MATCH($E252,学年度总表!$E$3:$E$1025,0))="","",INDEX(学年度总表!$H$3:$H$1025,MATCH($E252,学年度总表!$E$3:$E$1025,0)))</f>
        <v>50.72</v>
      </c>
      <c r="I252" s="3">
        <f>IF(INDEX(学年度总表!$I$3:$I$1025,MATCH($E252,学年度总表!$E$3:$E$1025,0))="","",INDEX(学年度总表!$I$3:$I$1025,MATCH($E252,学年度总表!$E$3:$E$1025,0)))</f>
        <v>4.2</v>
      </c>
      <c r="J252" s="3">
        <f>IF(INDEX(学年度总表!$J$3:$J$1025,MATCH($E252,学年度总表!$E$3:$E$1025,0))="","",INDEX(学年度总表!$J$3:$J$1025,MATCH($E252,学年度总表!$E$3:$E$1025,0)))</f>
        <v>64.72</v>
      </c>
      <c r="K252" s="3">
        <f>IF(INDEX(学年度总表!$K$3:$K$1025,MATCH($E252,学年度总表!$E$3:$E$1025,0))="","",INDEX(学年度总表!$K$3:$K$1025,MATCH($E252,学年度总表!$E$3:$E$1025,0)))</f>
        <v>9.8000000000000007</v>
      </c>
      <c r="L252" s="3">
        <f>IF(INDEX(学年度总表!$L$3:$L$1025,MATCH($E252,学年度总表!$E$3:$E$1025,0))="","",INDEX(学年度总表!$L$3:$L$1025,MATCH($E252,学年度总表!$E$3:$E$1025,0)))</f>
        <v>50.1</v>
      </c>
      <c r="M252" s="3">
        <f>IF(INDEX(学年度总表!$M$3:$M$1025,MATCH($E252,学年度总表!$E$3:$E$1025,0))="","",INDEX(学年度总表!$M$3:$M$1025,MATCH($E252,学年度总表!$E$3:$E$1025,0)))</f>
        <v>4</v>
      </c>
      <c r="N252" s="3">
        <f>IF(INDEX(学年度总表!$N$3:$N$1025,MATCH($E252,学年度总表!$E$3:$E$1025,0))="","",INDEX(学年度总表!$N$3:$N$1025,MATCH($E252,学年度总表!$E$3:$E$1025,0)))</f>
        <v>63.9</v>
      </c>
      <c r="O252" s="3">
        <f>IF(INDEX(学年度总表!$O$3:$O$1025,MATCH($E252,学年度总表!$E$3:$E$1025,0))="","",INDEX(学年度总表!$O$3:$O$1025,MATCH($E252,学年度总表!$E$3:$E$1025,0)))</f>
        <v>128.62</v>
      </c>
      <c r="P252" s="2" t="str">
        <f>IF(INDEX(学年度总表!$P$3:$P$1025,MATCH($E252,学年度总表!$E$3:$E$1025,0))="","",INDEX(学年度总表!$P$3:$P$1025,MATCH($E252,学年度总表!$E$3:$E$1025,0)))</f>
        <v/>
      </c>
      <c r="Q252" s="5" t="str">
        <f>IF(INDEX(学年度总表!$Q$3:$Q$1025,MATCH($E252,学年度总表!$E$3:$E$1025,0))="","",INDEX(学年度总表!$Q$3:$Q$1025,MATCH($E252,学年度总表!$E$3:$E$1025,0)))</f>
        <v/>
      </c>
    </row>
    <row r="253" spans="1:17">
      <c r="A253" s="2">
        <f>IF(INDEX(学年度总表!$A$3:$A$1025,MATCH($E253,学年度总表!$E$3:$E$1025,0))="","",INDEX(学年度总表!$A$3:$A$1025,MATCH($E253,学年度总表!$E$3:$E$1025,0)))</f>
        <v>737</v>
      </c>
      <c r="B253" s="2">
        <f>IF(INDEX(学年度总表!$B$3:$B$1025,MATCH($E253,学年度总表!$E$3:$E$1025,0))="","",INDEX(学年度总表!$B$3:$B$1025,MATCH($E253,学年度总表!$E$3:$E$1025,0)))</f>
        <v>251</v>
      </c>
      <c r="C253" s="2" t="str">
        <f>IF(INDEX(学年度总表!$C$3:$C$1025,MATCH($E253,学年度总表!$E$3:$E$1025,0))="","",INDEX(学年度总表!$C$3:$C$1025,MATCH($E253,学年度总表!$E$3:$E$1025,0)))</f>
        <v>信管</v>
      </c>
      <c r="D253" s="2" t="str">
        <f>IF(INDEX(学年度总表!$D$3:$D$1025,MATCH($E253,学年度总表!$E$3:$E$1025,0))="","",INDEX(学年度总表!$D$3:$D$1025,MATCH($E253,学年度总表!$E$3:$E$1025,0)))</f>
        <v>信管27班</v>
      </c>
      <c r="E253" s="2" t="s">
        <v>1535</v>
      </c>
      <c r="F253" s="2" t="str">
        <f>IF(INDEX(学年度总表!$F$3:$F$1025,MATCH($E253,学年度总表!$E$3:$E$1025,0))="","",INDEX(学年度总表!$F$3:$F$1025,MATCH($E253,学年度总表!$E$3:$E$1025,0)))</f>
        <v>刘子睿</v>
      </c>
      <c r="G253" s="3">
        <f>IF(INDEX(学年度总表!$G$3:$G$1025,MATCH($E253,学年度总表!$E$3:$E$1025,0))="","",INDEX(学年度总表!$G$3:$G$1025,MATCH($E253,学年度总表!$E$3:$E$1025,0)))</f>
        <v>10.3</v>
      </c>
      <c r="H253" s="3">
        <f>IF(INDEX(学年度总表!$H$3:$H$1025,MATCH($E253,学年度总表!$E$3:$E$1025,0))="","",INDEX(学年度总表!$H$3:$H$1025,MATCH($E253,学年度总表!$E$3:$E$1025,0)))</f>
        <v>55.46</v>
      </c>
      <c r="I253" s="3">
        <f>IF(INDEX(学年度总表!$I$3:$I$1025,MATCH($E253,学年度总表!$E$3:$E$1025,0))="","",INDEX(学年度总表!$I$3:$I$1025,MATCH($E253,学年度总表!$E$3:$E$1025,0)))</f>
        <v>4.5</v>
      </c>
      <c r="J253" s="3">
        <f>IF(INDEX(学年度总表!$J$3:$J$1025,MATCH($E253,学年度总表!$E$3:$E$1025,0))="","",INDEX(学年度总表!$J$3:$J$1025,MATCH($E253,学年度总表!$E$3:$E$1025,0)))</f>
        <v>70.260000000000005</v>
      </c>
      <c r="K253" s="3">
        <f>IF(INDEX(学年度总表!$K$3:$K$1025,MATCH($E253,学年度总表!$E$3:$E$1025,0))="","",INDEX(学年度总表!$K$3:$K$1025,MATCH($E253,学年度总表!$E$3:$E$1025,0)))</f>
        <v>7.3000000000000007</v>
      </c>
      <c r="L253" s="3">
        <f>IF(INDEX(学年度总表!$L$3:$L$1025,MATCH($E253,学年度总表!$E$3:$E$1025,0))="","",INDEX(学年度总表!$L$3:$L$1025,MATCH($E253,学年度总表!$E$3:$E$1025,0)))</f>
        <v>46.31</v>
      </c>
      <c r="M253" s="3">
        <f>IF(INDEX(学年度总表!$M$3:$M$1025,MATCH($E253,学年度总表!$E$3:$E$1025,0))="","",INDEX(学年度总表!$M$3:$M$1025,MATCH($E253,学年度总表!$E$3:$E$1025,0)))</f>
        <v>4.7</v>
      </c>
      <c r="N253" s="3">
        <f>IF(INDEX(学年度总表!$N$3:$N$1025,MATCH($E253,学年度总表!$E$3:$E$1025,0))="","",INDEX(学年度总表!$N$3:$N$1025,MATCH($E253,学年度总表!$E$3:$E$1025,0)))</f>
        <v>58.31</v>
      </c>
      <c r="O253" s="3">
        <f>IF(INDEX(学年度总表!$O$3:$O$1025,MATCH($E253,学年度总表!$E$3:$E$1025,0))="","",INDEX(学年度总表!$O$3:$O$1025,MATCH($E253,学年度总表!$E$3:$E$1025,0)))</f>
        <v>128.57</v>
      </c>
      <c r="P253" s="2" t="str">
        <f>IF(INDEX(学年度总表!$P$3:$P$1025,MATCH($E253,学年度总表!$E$3:$E$1025,0))="","",INDEX(学年度总表!$P$3:$P$1025,MATCH($E253,学年度总表!$E$3:$E$1025,0)))</f>
        <v/>
      </c>
      <c r="Q253" s="5" t="str">
        <f>IF(INDEX(学年度总表!$Q$3:$Q$1025,MATCH($E253,学年度总表!$E$3:$E$1025,0))="","",INDEX(学年度总表!$Q$3:$Q$1025,MATCH($E253,学年度总表!$E$3:$E$1025,0)))</f>
        <v/>
      </c>
    </row>
    <row r="254" spans="1:17">
      <c r="A254" s="2">
        <f>IF(INDEX(学年度总表!$A$3:$A$1025,MATCH($E254,学年度总表!$E$3:$E$1025,0))="","",INDEX(学年度总表!$A$3:$A$1025,MATCH($E254,学年度总表!$E$3:$E$1025,0)))</f>
        <v>738</v>
      </c>
      <c r="B254" s="2">
        <f>IF(INDEX(学年度总表!$B$3:$B$1025,MATCH($E254,学年度总表!$E$3:$E$1025,0))="","",INDEX(学年度总表!$B$3:$B$1025,MATCH($E254,学年度总表!$E$3:$E$1025,0)))</f>
        <v>252</v>
      </c>
      <c r="C254" s="2" t="str">
        <f>IF(INDEX(学年度总表!$C$3:$C$1025,MATCH($E254,学年度总表!$E$3:$E$1025,0))="","",INDEX(学年度总表!$C$3:$C$1025,MATCH($E254,学年度总表!$E$3:$E$1025,0)))</f>
        <v>信管</v>
      </c>
      <c r="D254" s="2" t="str">
        <f>IF(INDEX(学年度总表!$D$3:$D$1025,MATCH($E254,学年度总表!$E$3:$E$1025,0))="","",INDEX(学年度总表!$D$3:$D$1025,MATCH($E254,学年度总表!$E$3:$E$1025,0)))</f>
        <v>信管28班</v>
      </c>
      <c r="E254" s="2" t="s">
        <v>1537</v>
      </c>
      <c r="F254" s="2" t="str">
        <f>IF(INDEX(学年度总表!$F$3:$F$1025,MATCH($E254,学年度总表!$E$3:$E$1025,0))="","",INDEX(学年度总表!$F$3:$F$1025,MATCH($E254,学年度总表!$E$3:$E$1025,0)))</f>
        <v>包诗琪</v>
      </c>
      <c r="G254" s="3">
        <f>IF(INDEX(学年度总表!$G$3:$G$1025,MATCH($E254,学年度总表!$E$3:$E$1025,0))="","",INDEX(学年度总表!$G$3:$G$1025,MATCH($E254,学年度总表!$E$3:$E$1025,0)))</f>
        <v>9.8000000000000007</v>
      </c>
      <c r="H254" s="3">
        <f>IF(INDEX(学年度总表!$H$3:$H$1025,MATCH($E254,学年度总表!$E$3:$E$1025,0))="","",INDEX(学年度总表!$H$3:$H$1025,MATCH($E254,学年度总表!$E$3:$E$1025,0)))</f>
        <v>53.97</v>
      </c>
      <c r="I254" s="3">
        <f>IF(INDEX(学年度总表!$I$3:$I$1025,MATCH($E254,学年度总表!$E$3:$E$1025,0))="","",INDEX(学年度总表!$I$3:$I$1025,MATCH($E254,学年度总表!$E$3:$E$1025,0)))</f>
        <v>3.9</v>
      </c>
      <c r="J254" s="3">
        <f>IF(INDEX(学年度总表!$J$3:$J$1025,MATCH($E254,学年度总表!$E$3:$E$1025,0))="","",INDEX(学年度总表!$J$3:$J$1025,MATCH($E254,学年度总表!$E$3:$E$1025,0)))</f>
        <v>67.67</v>
      </c>
      <c r="K254" s="3">
        <f>IF(INDEX(学年度总表!$K$3:$K$1025,MATCH($E254,学年度总表!$E$3:$E$1025,0))="","",INDEX(学年度总表!$K$3:$K$1025,MATCH($E254,学年度总表!$E$3:$E$1025,0)))</f>
        <v>7.3000000000000007</v>
      </c>
      <c r="L254" s="3">
        <f>IF(INDEX(学年度总表!$L$3:$L$1025,MATCH($E254,学年度总表!$E$3:$E$1025,0))="","",INDEX(学年度总表!$L$3:$L$1025,MATCH($E254,学年度总表!$E$3:$E$1025,0)))</f>
        <v>50.09</v>
      </c>
      <c r="M254" s="3">
        <f>IF(INDEX(学年度总表!$M$3:$M$1025,MATCH($E254,学年度总表!$E$3:$E$1025,0))="","",INDEX(学年度总表!$M$3:$M$1025,MATCH($E254,学年度总表!$E$3:$E$1025,0)))</f>
        <v>3.5</v>
      </c>
      <c r="N254" s="3">
        <f>IF(INDEX(学年度总表!$N$3:$N$1025,MATCH($E254,学年度总表!$E$3:$E$1025,0))="","",INDEX(学年度总表!$N$3:$N$1025,MATCH($E254,学年度总表!$E$3:$E$1025,0)))</f>
        <v>60.89</v>
      </c>
      <c r="O254" s="3">
        <f>IF(INDEX(学年度总表!$O$3:$O$1025,MATCH($E254,学年度总表!$E$3:$E$1025,0))="","",INDEX(学年度总表!$O$3:$O$1025,MATCH($E254,学年度总表!$E$3:$E$1025,0)))</f>
        <v>128.56</v>
      </c>
      <c r="P254" s="2" t="str">
        <f>IF(INDEX(学年度总表!$P$3:$P$1025,MATCH($E254,学年度总表!$E$3:$E$1025,0))="","",INDEX(学年度总表!$P$3:$P$1025,MATCH($E254,学年度总表!$E$3:$E$1025,0)))</f>
        <v/>
      </c>
      <c r="Q254" s="5" t="str">
        <f>IF(INDEX(学年度总表!$Q$3:$Q$1025,MATCH($E254,学年度总表!$E$3:$E$1025,0))="","",INDEX(学年度总表!$Q$3:$Q$1025,MATCH($E254,学年度总表!$E$3:$E$1025,0)))</f>
        <v/>
      </c>
    </row>
    <row r="255" spans="1:17">
      <c r="A255" s="2">
        <f>IF(INDEX(学年度总表!$A$3:$A$1025,MATCH($E255,学年度总表!$E$3:$E$1025,0))="","",INDEX(学年度总表!$A$3:$A$1025,MATCH($E255,学年度总表!$E$3:$E$1025,0)))</f>
        <v>740</v>
      </c>
      <c r="B255" s="2">
        <f>IF(INDEX(学年度总表!$B$3:$B$1025,MATCH($E255,学年度总表!$E$3:$E$1025,0))="","",INDEX(学年度总表!$B$3:$B$1025,MATCH($E255,学年度总表!$E$3:$E$1025,0)))</f>
        <v>253</v>
      </c>
      <c r="C255" s="2" t="str">
        <f>IF(INDEX(学年度总表!$C$3:$C$1025,MATCH($E255,学年度总表!$E$3:$E$1025,0))="","",INDEX(学年度总表!$C$3:$C$1025,MATCH($E255,学年度总表!$E$3:$E$1025,0)))</f>
        <v>信管</v>
      </c>
      <c r="D255" s="2" t="str">
        <f>IF(INDEX(学年度总表!$D$3:$D$1025,MATCH($E255,学年度总表!$E$3:$E$1025,0))="","",INDEX(学年度总表!$D$3:$D$1025,MATCH($E255,学年度总表!$E$3:$E$1025,0)))</f>
        <v>信管20班</v>
      </c>
      <c r="E255" s="2" t="s">
        <v>1541</v>
      </c>
      <c r="F255" s="2" t="str">
        <f>IF(INDEX(学年度总表!$F$3:$F$1025,MATCH($E255,学年度总表!$E$3:$E$1025,0))="","",INDEX(学年度总表!$F$3:$F$1025,MATCH($E255,学年度总表!$E$3:$E$1025,0)))</f>
        <v>王馨晨</v>
      </c>
      <c r="G255" s="3">
        <f>IF(INDEX(学年度总表!$G$3:$G$1025,MATCH($E255,学年度总表!$E$3:$E$1025,0))="","",INDEX(学年度总表!$G$3:$G$1025,MATCH($E255,学年度总表!$E$3:$E$1025,0)))</f>
        <v>9.8000000000000007</v>
      </c>
      <c r="H255" s="3">
        <f>IF(INDEX(学年度总表!$H$3:$H$1025,MATCH($E255,学年度总表!$E$3:$E$1025,0))="","",INDEX(学年度总表!$H$3:$H$1025,MATCH($E255,学年度总表!$E$3:$E$1025,0)))</f>
        <v>53.59</v>
      </c>
      <c r="I255" s="3">
        <f>IF(INDEX(学年度总表!$I$3:$I$1025,MATCH($E255,学年度总表!$E$3:$E$1025,0))="","",INDEX(学年度总表!$I$3:$I$1025,MATCH($E255,学年度总表!$E$3:$E$1025,0)))</f>
        <v>3.2</v>
      </c>
      <c r="J255" s="3">
        <f>IF(INDEX(学年度总表!$J$3:$J$1025,MATCH($E255,学年度总表!$E$3:$E$1025,0))="","",INDEX(学年度总表!$J$3:$J$1025,MATCH($E255,学年度总表!$E$3:$E$1025,0)))</f>
        <v>66.59</v>
      </c>
      <c r="K255" s="3">
        <f>IF(INDEX(学年度总表!$K$3:$K$1025,MATCH($E255,学年度总表!$E$3:$E$1025,0))="","",INDEX(学年度总表!$K$3:$K$1025,MATCH($E255,学年度总表!$E$3:$E$1025,0)))</f>
        <v>9.8000000000000007</v>
      </c>
      <c r="L255" s="3">
        <f>IF(INDEX(学年度总表!$L$3:$L$1025,MATCH($E255,学年度总表!$E$3:$E$1025,0))="","",INDEX(学年度总表!$L$3:$L$1025,MATCH($E255,学年度总表!$E$3:$E$1025,0)))</f>
        <v>48.11</v>
      </c>
      <c r="M255" s="3">
        <f>IF(INDEX(学年度总表!$M$3:$M$1025,MATCH($E255,学年度总表!$E$3:$E$1025,0))="","",INDEX(学年度总表!$M$3:$M$1025,MATCH($E255,学年度总表!$E$3:$E$1025,0)))</f>
        <v>4</v>
      </c>
      <c r="N255" s="3">
        <f>IF(INDEX(学年度总表!$N$3:$N$1025,MATCH($E255,学年度总表!$E$3:$E$1025,0))="","",INDEX(学年度总表!$N$3:$N$1025,MATCH($E255,学年度总表!$E$3:$E$1025,0)))</f>
        <v>61.91</v>
      </c>
      <c r="O255" s="3">
        <f>IF(INDEX(学年度总表!$O$3:$O$1025,MATCH($E255,学年度总表!$E$3:$E$1025,0))="","",INDEX(学年度总表!$O$3:$O$1025,MATCH($E255,学年度总表!$E$3:$E$1025,0)))</f>
        <v>128.5</v>
      </c>
      <c r="P255" s="2" t="str">
        <f>IF(INDEX(学年度总表!$P$3:$P$1025,MATCH($E255,学年度总表!$E$3:$E$1025,0))="","",INDEX(学年度总表!$P$3:$P$1025,MATCH($E255,学年度总表!$E$3:$E$1025,0)))</f>
        <v/>
      </c>
      <c r="Q255" s="5" t="str">
        <f>IF(INDEX(学年度总表!$Q$3:$Q$1025,MATCH($E255,学年度总表!$E$3:$E$1025,0))="","",INDEX(学年度总表!$Q$3:$Q$1025,MATCH($E255,学年度总表!$E$3:$E$1025,0)))</f>
        <v/>
      </c>
    </row>
    <row r="256" spans="1:17">
      <c r="A256" s="2">
        <f>IF(INDEX(学年度总表!$A$3:$A$1025,MATCH($E256,学年度总表!$E$3:$E$1025,0))="","",INDEX(学年度总表!$A$3:$A$1025,MATCH($E256,学年度总表!$E$3:$E$1025,0)))</f>
        <v>744</v>
      </c>
      <c r="B256" s="2">
        <f>IF(INDEX(学年度总表!$B$3:$B$1025,MATCH($E256,学年度总表!$E$3:$E$1025,0))="","",INDEX(学年度总表!$B$3:$B$1025,MATCH($E256,学年度总表!$E$3:$E$1025,0)))</f>
        <v>254</v>
      </c>
      <c r="C256" s="2" t="str">
        <f>IF(INDEX(学年度总表!$C$3:$C$1025,MATCH($E256,学年度总表!$E$3:$E$1025,0))="","",INDEX(学年度总表!$C$3:$C$1025,MATCH($E256,学年度总表!$E$3:$E$1025,0)))</f>
        <v>信管</v>
      </c>
      <c r="D256" s="2" t="str">
        <f>IF(INDEX(学年度总表!$D$3:$D$1025,MATCH($E256,学年度总表!$E$3:$E$1025,0))="","",INDEX(学年度总表!$D$3:$D$1025,MATCH($E256,学年度总表!$E$3:$E$1025,0)))</f>
        <v>信管27班</v>
      </c>
      <c r="E256" s="2" t="s">
        <v>1549</v>
      </c>
      <c r="F256" s="2" t="str">
        <f>IF(INDEX(学年度总表!$F$3:$F$1025,MATCH($E256,学年度总表!$E$3:$E$1025,0))="","",INDEX(学年度总表!$F$3:$F$1025,MATCH($E256,学年度总表!$E$3:$E$1025,0)))</f>
        <v>刘亦禄</v>
      </c>
      <c r="G256" s="3">
        <f>IF(INDEX(学年度总表!$G$3:$G$1025,MATCH($E256,学年度总表!$E$3:$E$1025,0))="","",INDEX(学年度总表!$G$3:$G$1025,MATCH($E256,学年度总表!$E$3:$E$1025,0)))</f>
        <v>9.8000000000000007</v>
      </c>
      <c r="H256" s="3">
        <f>IF(INDEX(学年度总表!$H$3:$H$1025,MATCH($E256,学年度总表!$E$3:$E$1025,0))="","",INDEX(学年度总表!$H$3:$H$1025,MATCH($E256,学年度总表!$E$3:$E$1025,0)))</f>
        <v>53.23</v>
      </c>
      <c r="I256" s="3">
        <f>IF(INDEX(学年度总表!$I$3:$I$1025,MATCH($E256,学年度总表!$E$3:$E$1025,0))="","",INDEX(学年度总表!$I$3:$I$1025,MATCH($E256,学年度总表!$E$3:$E$1025,0)))</f>
        <v>3</v>
      </c>
      <c r="J256" s="3">
        <f>IF(INDEX(学年度总表!$J$3:$J$1025,MATCH($E256,学年度总表!$E$3:$E$1025,0))="","",INDEX(学年度总表!$J$3:$J$1025,MATCH($E256,学年度总表!$E$3:$E$1025,0)))</f>
        <v>66.03</v>
      </c>
      <c r="K256" s="3">
        <f>IF(INDEX(学年度总表!$K$3:$K$1025,MATCH($E256,学年度总表!$E$3:$E$1025,0))="","",INDEX(学年度总表!$K$3:$K$1025,MATCH($E256,学年度总表!$E$3:$E$1025,0)))</f>
        <v>7.5</v>
      </c>
      <c r="L256" s="3">
        <f>IF(INDEX(学年度总表!$L$3:$L$1025,MATCH($E256,学年度总表!$E$3:$E$1025,0))="","",INDEX(学年度总表!$L$3:$L$1025,MATCH($E256,学年度总表!$E$3:$E$1025,0)))</f>
        <v>51.06</v>
      </c>
      <c r="M256" s="3">
        <f>IF(INDEX(学年度总表!$M$3:$M$1025,MATCH($E256,学年度总表!$E$3:$E$1025,0))="","",INDEX(学年度总表!$M$3:$M$1025,MATCH($E256,学年度总表!$E$3:$E$1025,0)))</f>
        <v>3.5</v>
      </c>
      <c r="N256" s="3">
        <f>IF(INDEX(学年度总表!$N$3:$N$1025,MATCH($E256,学年度总表!$E$3:$E$1025,0))="","",INDEX(学年度总表!$N$3:$N$1025,MATCH($E256,学年度总表!$E$3:$E$1025,0)))</f>
        <v>62.06</v>
      </c>
      <c r="O256" s="3">
        <f>IF(INDEX(学年度总表!$O$3:$O$1025,MATCH($E256,学年度总表!$E$3:$E$1025,0))="","",INDEX(学年度总表!$O$3:$O$1025,MATCH($E256,学年度总表!$E$3:$E$1025,0)))</f>
        <v>128.09</v>
      </c>
      <c r="P256" s="2" t="str">
        <f>IF(INDEX(学年度总表!$P$3:$P$1025,MATCH($E256,学年度总表!$E$3:$E$1025,0))="","",INDEX(学年度总表!$P$3:$P$1025,MATCH($E256,学年度总表!$E$3:$E$1025,0)))</f>
        <v/>
      </c>
      <c r="Q256" s="5" t="str">
        <f>IF(INDEX(学年度总表!$Q$3:$Q$1025,MATCH($E256,学年度总表!$E$3:$E$1025,0))="","",INDEX(学年度总表!$Q$3:$Q$1025,MATCH($E256,学年度总表!$E$3:$E$1025,0)))</f>
        <v/>
      </c>
    </row>
    <row r="257" spans="1:17">
      <c r="A257" s="2">
        <f>IF(INDEX(学年度总表!$A$3:$A$1025,MATCH($E257,学年度总表!$E$3:$E$1025,0))="","",INDEX(学年度总表!$A$3:$A$1025,MATCH($E257,学年度总表!$E$3:$E$1025,0)))</f>
        <v>745</v>
      </c>
      <c r="B257" s="2">
        <f>IF(INDEX(学年度总表!$B$3:$B$1025,MATCH($E257,学年度总表!$E$3:$E$1025,0))="","",INDEX(学年度总表!$B$3:$B$1025,MATCH($E257,学年度总表!$E$3:$E$1025,0)))</f>
        <v>255</v>
      </c>
      <c r="C257" s="2" t="str">
        <f>IF(INDEX(学年度总表!$C$3:$C$1025,MATCH($E257,学年度总表!$E$3:$E$1025,0))="","",INDEX(学年度总表!$C$3:$C$1025,MATCH($E257,学年度总表!$E$3:$E$1025,0)))</f>
        <v>信管</v>
      </c>
      <c r="D257" s="2" t="str">
        <f>IF(INDEX(学年度总表!$D$3:$D$1025,MATCH($E257,学年度总表!$E$3:$E$1025,0))="","",INDEX(学年度总表!$D$3:$D$1025,MATCH($E257,学年度总表!$E$3:$E$1025,0)))</f>
        <v>信管23班</v>
      </c>
      <c r="E257" s="2" t="s">
        <v>1551</v>
      </c>
      <c r="F257" s="2" t="str">
        <f>IF(INDEX(学年度总表!$F$3:$F$1025,MATCH($E257,学年度总表!$E$3:$E$1025,0))="","",INDEX(学年度总表!$F$3:$F$1025,MATCH($E257,学年度总表!$E$3:$E$1025,0)))</f>
        <v>闫茹钰彤</v>
      </c>
      <c r="G257" s="3">
        <f>IF(INDEX(学年度总表!$G$3:$G$1025,MATCH($E257,学年度总表!$E$3:$E$1025,0))="","",INDEX(学年度总表!$G$3:$G$1025,MATCH($E257,学年度总表!$E$3:$E$1025,0)))</f>
        <v>10</v>
      </c>
      <c r="H257" s="3">
        <f>IF(INDEX(学年度总表!$H$3:$H$1025,MATCH($E257,学年度总表!$E$3:$E$1025,0))="","",INDEX(学年度总表!$H$3:$H$1025,MATCH($E257,学年度总表!$E$3:$E$1025,0)))</f>
        <v>44.96</v>
      </c>
      <c r="I257" s="3">
        <f>IF(INDEX(学年度总表!$I$3:$I$1025,MATCH($E257,学年度总表!$E$3:$E$1025,0))="","",INDEX(学年度总表!$I$3:$I$1025,MATCH($E257,学年度总表!$E$3:$E$1025,0)))</f>
        <v>4.6500000000000004</v>
      </c>
      <c r="J257" s="3">
        <f>IF(INDEX(学年度总表!$J$3:$J$1025,MATCH($E257,学年度总表!$E$3:$E$1025,0))="","",INDEX(学年度总表!$J$3:$J$1025,MATCH($E257,学年度总表!$E$3:$E$1025,0)))</f>
        <v>59.61</v>
      </c>
      <c r="K257" s="3">
        <f>IF(INDEX(学年度总表!$K$3:$K$1025,MATCH($E257,学年度总表!$E$3:$E$1025,0))="","",INDEX(学年度总表!$K$3:$K$1025,MATCH($E257,学年度总表!$E$3:$E$1025,0)))</f>
        <v>10</v>
      </c>
      <c r="L257" s="3">
        <f>IF(INDEX(学年度总表!$L$3:$L$1025,MATCH($E257,学年度总表!$E$3:$E$1025,0))="","",INDEX(学年度总表!$L$3:$L$1025,MATCH($E257,学年度总表!$E$3:$E$1025,0)))</f>
        <v>53.13</v>
      </c>
      <c r="M257" s="3">
        <f>IF(INDEX(学年度总表!$M$3:$M$1025,MATCH($E257,学年度总表!$E$3:$E$1025,0))="","",INDEX(学年度总表!$M$3:$M$1025,MATCH($E257,学年度总表!$E$3:$E$1025,0)))</f>
        <v>5.3</v>
      </c>
      <c r="N257" s="3">
        <f>IF(INDEX(学年度总表!$N$3:$N$1025,MATCH($E257,学年度总表!$E$3:$E$1025,0))="","",INDEX(学年度总表!$N$3:$N$1025,MATCH($E257,学年度总表!$E$3:$E$1025,0)))</f>
        <v>68.430000000000007</v>
      </c>
      <c r="O257" s="3">
        <f>IF(INDEX(学年度总表!$O$3:$O$1025,MATCH($E257,学年度总表!$E$3:$E$1025,0))="","",INDEX(学年度总表!$O$3:$O$1025,MATCH($E257,学年度总表!$E$3:$E$1025,0)))</f>
        <v>128.04</v>
      </c>
      <c r="P257" s="2" t="str">
        <f>IF(INDEX(学年度总表!$P$3:$P$1025,MATCH($E257,学年度总表!$E$3:$E$1025,0))="","",INDEX(学年度总表!$P$3:$P$1025,MATCH($E257,学年度总表!$E$3:$E$1025,0)))</f>
        <v/>
      </c>
      <c r="Q257" s="5" t="str">
        <f>IF(INDEX(学年度总表!$Q$3:$Q$1025,MATCH($E257,学年度总表!$E$3:$E$1025,0))="","",INDEX(学年度总表!$Q$3:$Q$1025,MATCH($E257,学年度总表!$E$3:$E$1025,0)))</f>
        <v/>
      </c>
    </row>
    <row r="258" spans="1:17">
      <c r="A258" s="2">
        <f>IF(INDEX(学年度总表!$A$3:$A$1025,MATCH($E258,学年度总表!$E$3:$E$1025,0))="","",INDEX(学年度总表!$A$3:$A$1025,MATCH($E258,学年度总表!$E$3:$E$1025,0)))</f>
        <v>746</v>
      </c>
      <c r="B258" s="2">
        <f>IF(INDEX(学年度总表!$B$3:$B$1025,MATCH($E258,学年度总表!$E$3:$E$1025,0))="","",INDEX(学年度总表!$B$3:$B$1025,MATCH($E258,学年度总表!$E$3:$E$1025,0)))</f>
        <v>256</v>
      </c>
      <c r="C258" s="2" t="str">
        <f>IF(INDEX(学年度总表!$C$3:$C$1025,MATCH($E258,学年度总表!$E$3:$E$1025,0))="","",INDEX(学年度总表!$C$3:$C$1025,MATCH($E258,学年度总表!$E$3:$E$1025,0)))</f>
        <v>信管</v>
      </c>
      <c r="D258" s="2" t="str">
        <f>IF(INDEX(学年度总表!$D$3:$D$1025,MATCH($E258,学年度总表!$E$3:$E$1025,0))="","",INDEX(学年度总表!$D$3:$D$1025,MATCH($E258,学年度总表!$E$3:$E$1025,0)))</f>
        <v>信管25班</v>
      </c>
      <c r="E258" s="2" t="s">
        <v>1553</v>
      </c>
      <c r="F258" s="2" t="str">
        <f>IF(INDEX(学年度总表!$F$3:$F$1025,MATCH($E258,学年度总表!$E$3:$E$1025,0))="","",INDEX(学年度总表!$F$3:$F$1025,MATCH($E258,学年度总表!$E$3:$E$1025,0)))</f>
        <v>李宜繁</v>
      </c>
      <c r="G258" s="3">
        <f>IF(INDEX(学年度总表!$G$3:$G$1025,MATCH($E258,学年度总表!$E$3:$E$1025,0))="","",INDEX(学年度总表!$G$3:$G$1025,MATCH($E258,学年度总表!$E$3:$E$1025,0)))</f>
        <v>10</v>
      </c>
      <c r="H258" s="3">
        <f>IF(INDEX(学年度总表!$H$3:$H$1025,MATCH($E258,学年度总表!$E$3:$E$1025,0))="","",INDEX(学年度总表!$H$3:$H$1025,MATCH($E258,学年度总表!$E$3:$E$1025,0)))</f>
        <v>59.6</v>
      </c>
      <c r="I258" s="3">
        <f>IF(INDEX(学年度总表!$I$3:$I$1025,MATCH($E258,学年度总表!$E$3:$E$1025,0))="","",INDEX(学年度总表!$I$3:$I$1025,MATCH($E258,学年度总表!$E$3:$E$1025,0)))</f>
        <v>3</v>
      </c>
      <c r="J258" s="3">
        <f>IF(INDEX(学年度总表!$J$3:$J$1025,MATCH($E258,学年度总表!$E$3:$E$1025,0))="","",INDEX(学年度总表!$J$3:$J$1025,MATCH($E258,学年度总表!$E$3:$E$1025,0)))</f>
        <v>72.599999999999994</v>
      </c>
      <c r="K258" s="3">
        <f>IF(INDEX(学年度总表!$K$3:$K$1025,MATCH($E258,学年度总表!$E$3:$E$1025,0))="","",INDEX(学年度总表!$K$3:$K$1025,MATCH($E258,学年度总表!$E$3:$E$1025,0)))</f>
        <v>7.5</v>
      </c>
      <c r="L258" s="3">
        <f>IF(INDEX(学年度总表!$L$3:$L$1025,MATCH($E258,学年度总表!$E$3:$E$1025,0))="","",INDEX(学年度总表!$L$3:$L$1025,MATCH($E258,学年度总表!$E$3:$E$1025,0)))</f>
        <v>44.88</v>
      </c>
      <c r="M258" s="3">
        <f>IF(INDEX(学年度总表!$M$3:$M$1025,MATCH($E258,学年度总表!$E$3:$E$1025,0))="","",INDEX(学年度总表!$M$3:$M$1025,MATCH($E258,学年度总表!$E$3:$E$1025,0)))</f>
        <v>3</v>
      </c>
      <c r="N258" s="3">
        <f>IF(INDEX(学年度总表!$N$3:$N$1025,MATCH($E258,学年度总表!$E$3:$E$1025,0))="","",INDEX(学年度总表!$N$3:$N$1025,MATCH($E258,学年度总表!$E$3:$E$1025,0)))</f>
        <v>55.38</v>
      </c>
      <c r="O258" s="3">
        <f>IF(INDEX(学年度总表!$O$3:$O$1025,MATCH($E258,学年度总表!$E$3:$E$1025,0))="","",INDEX(学年度总表!$O$3:$O$1025,MATCH($E258,学年度总表!$E$3:$E$1025,0)))</f>
        <v>127.98</v>
      </c>
      <c r="P258" s="2" t="str">
        <f>IF(INDEX(学年度总表!$P$3:$P$1025,MATCH($E258,学年度总表!$E$3:$E$1025,0))="","",INDEX(学年度总表!$P$3:$P$1025,MATCH($E258,学年度总表!$E$3:$E$1025,0)))</f>
        <v/>
      </c>
      <c r="Q258" s="5" t="str">
        <f>IF(INDEX(学年度总表!$Q$3:$Q$1025,MATCH($E258,学年度总表!$E$3:$E$1025,0))="","",INDEX(学年度总表!$Q$3:$Q$1025,MATCH($E258,学年度总表!$E$3:$E$1025,0)))</f>
        <v/>
      </c>
    </row>
    <row r="259" spans="1:17">
      <c r="A259" s="2">
        <f>IF(INDEX(学年度总表!$A$3:$A$1025,MATCH($E259,学年度总表!$E$3:$E$1025,0))="","",INDEX(学年度总表!$A$3:$A$1025,MATCH($E259,学年度总表!$E$3:$E$1025,0)))</f>
        <v>747</v>
      </c>
      <c r="B259" s="2">
        <f>IF(INDEX(学年度总表!$B$3:$B$1025,MATCH($E259,学年度总表!$E$3:$E$1025,0))="","",INDEX(学年度总表!$B$3:$B$1025,MATCH($E259,学年度总表!$E$3:$E$1025,0)))</f>
        <v>257</v>
      </c>
      <c r="C259" s="2" t="str">
        <f>IF(INDEX(学年度总表!$C$3:$C$1025,MATCH($E259,学年度总表!$E$3:$E$1025,0))="","",INDEX(学年度总表!$C$3:$C$1025,MATCH($E259,学年度总表!$E$3:$E$1025,0)))</f>
        <v>信管</v>
      </c>
      <c r="D259" s="2" t="str">
        <f>IF(INDEX(学年度总表!$D$3:$D$1025,MATCH($E259,学年度总表!$E$3:$E$1025,0))="","",INDEX(学年度总表!$D$3:$D$1025,MATCH($E259,学年度总表!$E$3:$E$1025,0)))</f>
        <v>信管26班</v>
      </c>
      <c r="E259" s="2" t="s">
        <v>1555</v>
      </c>
      <c r="F259" s="2" t="str">
        <f>IF(INDEX(学年度总表!$F$3:$F$1025,MATCH($E259,学年度总表!$E$3:$E$1025,0))="","",INDEX(学年度总表!$F$3:$F$1025,MATCH($E259,学年度总表!$E$3:$E$1025,0)))</f>
        <v>杨旭</v>
      </c>
      <c r="G259" s="3">
        <f>IF(INDEX(学年度总表!$G$3:$G$1025,MATCH($E259,学年度总表!$E$3:$E$1025,0))="","",INDEX(学年度总表!$G$3:$G$1025,MATCH($E259,学年度总表!$E$3:$E$1025,0)))</f>
        <v>7.3</v>
      </c>
      <c r="H259" s="3">
        <f>IF(INDEX(学年度总表!$H$3:$H$1025,MATCH($E259,学年度总表!$E$3:$E$1025,0))="","",INDEX(学年度总表!$H$3:$H$1025,MATCH($E259,学年度总表!$E$3:$E$1025,0)))</f>
        <v>49.03</v>
      </c>
      <c r="I259" s="3">
        <f>IF(INDEX(学年度总表!$I$3:$I$1025,MATCH($E259,学年度总表!$E$3:$E$1025,0))="","",INDEX(学年度总表!$I$3:$I$1025,MATCH($E259,学年度总表!$E$3:$E$1025,0)))</f>
        <v>4.7</v>
      </c>
      <c r="J259" s="3">
        <f>IF(INDEX(学年度总表!$J$3:$J$1025,MATCH($E259,学年度总表!$E$3:$E$1025,0))="","",INDEX(学年度总表!$J$3:$J$1025,MATCH($E259,学年度总表!$E$3:$E$1025,0)))</f>
        <v>61.03</v>
      </c>
      <c r="K259" s="3">
        <f>IF(INDEX(学年度总表!$K$3:$K$1025,MATCH($E259,学年度总表!$E$3:$E$1025,0))="","",INDEX(学年度总表!$K$3:$K$1025,MATCH($E259,学年度总表!$E$3:$E$1025,0)))</f>
        <v>7.3000000000000007</v>
      </c>
      <c r="L259" s="3">
        <f>IF(INDEX(学年度总表!$L$3:$L$1025,MATCH($E259,学年度总表!$E$3:$E$1025,0))="","",INDEX(学年度总表!$L$3:$L$1025,MATCH($E259,学年度总表!$E$3:$E$1025,0)))</f>
        <v>54.38</v>
      </c>
      <c r="M259" s="3">
        <f>IF(INDEX(学年度总表!$M$3:$M$1025,MATCH($E259,学年度总表!$E$3:$E$1025,0))="","",INDEX(学年度总表!$M$3:$M$1025,MATCH($E259,学年度总表!$E$3:$E$1025,0)))</f>
        <v>5.2</v>
      </c>
      <c r="N259" s="3">
        <f>IF(INDEX(学年度总表!$N$3:$N$1025,MATCH($E259,学年度总表!$E$3:$E$1025,0))="","",INDEX(学年度总表!$N$3:$N$1025,MATCH($E259,学年度总表!$E$3:$E$1025,0)))</f>
        <v>66.88</v>
      </c>
      <c r="O259" s="3">
        <f>IF(INDEX(学年度总表!$O$3:$O$1025,MATCH($E259,学年度总表!$E$3:$E$1025,0))="","",INDEX(学年度总表!$O$3:$O$1025,MATCH($E259,学年度总表!$E$3:$E$1025,0)))</f>
        <v>127.91</v>
      </c>
      <c r="P259" s="2" t="str">
        <f>IF(INDEX(学年度总表!$P$3:$P$1025,MATCH($E259,学年度总表!$E$3:$E$1025,0))="","",INDEX(学年度总表!$P$3:$P$1025,MATCH($E259,学年度总表!$E$3:$E$1025,0)))</f>
        <v/>
      </c>
      <c r="Q259" s="5" t="str">
        <f>IF(INDEX(学年度总表!$Q$3:$Q$1025,MATCH($E259,学年度总表!$E$3:$E$1025,0))="","",INDEX(学年度总表!$Q$3:$Q$1025,MATCH($E259,学年度总表!$E$3:$E$1025,0)))</f>
        <v/>
      </c>
    </row>
    <row r="260" spans="1:17">
      <c r="A260" s="2">
        <f>IF(INDEX(学年度总表!$A$3:$A$1025,MATCH($E260,学年度总表!$E$3:$E$1025,0))="","",INDEX(学年度总表!$A$3:$A$1025,MATCH($E260,学年度总表!$E$3:$E$1025,0)))</f>
        <v>748</v>
      </c>
      <c r="B260" s="2">
        <f>IF(INDEX(学年度总表!$B$3:$B$1025,MATCH($E260,学年度总表!$E$3:$E$1025,0))="","",INDEX(学年度总表!$B$3:$B$1025,MATCH($E260,学年度总表!$E$3:$E$1025,0)))</f>
        <v>258</v>
      </c>
      <c r="C260" s="2" t="str">
        <f>IF(INDEX(学年度总表!$C$3:$C$1025,MATCH($E260,学年度总表!$E$3:$E$1025,0))="","",INDEX(学年度总表!$C$3:$C$1025,MATCH($E260,学年度总表!$E$3:$E$1025,0)))</f>
        <v>信管</v>
      </c>
      <c r="D260" s="2" t="str">
        <f>IF(INDEX(学年度总表!$D$3:$D$1025,MATCH($E260,学年度总表!$E$3:$E$1025,0))="","",INDEX(学年度总表!$D$3:$D$1025,MATCH($E260,学年度总表!$E$3:$E$1025,0)))</f>
        <v>信管20班</v>
      </c>
      <c r="E260" s="2" t="s">
        <v>1557</v>
      </c>
      <c r="F260" s="2" t="str">
        <f>IF(INDEX(学年度总表!$F$3:$F$1025,MATCH($E260,学年度总表!$E$3:$E$1025,0))="","",INDEX(学年度总表!$F$3:$F$1025,MATCH($E260,学年度总表!$E$3:$E$1025,0)))</f>
        <v>陈彦希</v>
      </c>
      <c r="G260" s="3">
        <f>IF(INDEX(学年度总表!$G$3:$G$1025,MATCH($E260,学年度总表!$E$3:$E$1025,0))="","",INDEX(学年度总表!$G$3:$G$1025,MATCH($E260,学年度总表!$E$3:$E$1025,0)))</f>
        <v>9.8000000000000007</v>
      </c>
      <c r="H260" s="3">
        <f>IF(INDEX(学年度总表!$H$3:$H$1025,MATCH($E260,学年度总表!$E$3:$E$1025,0))="","",INDEX(学年度总表!$H$3:$H$1025,MATCH($E260,学年度总表!$E$3:$E$1025,0)))</f>
        <v>52.98</v>
      </c>
      <c r="I260" s="3">
        <f>IF(INDEX(学年度总表!$I$3:$I$1025,MATCH($E260,学年度总表!$E$3:$E$1025,0))="","",INDEX(学年度总表!$I$3:$I$1025,MATCH($E260,学年度总表!$E$3:$E$1025,0)))</f>
        <v>3</v>
      </c>
      <c r="J260" s="3">
        <f>IF(INDEX(学年度总表!$J$3:$J$1025,MATCH($E260,学年度总表!$E$3:$E$1025,0))="","",INDEX(学年度总表!$J$3:$J$1025,MATCH($E260,学年度总表!$E$3:$E$1025,0)))</f>
        <v>65.78</v>
      </c>
      <c r="K260" s="3">
        <f>IF(INDEX(学年度总表!$K$3:$K$1025,MATCH($E260,学年度总表!$E$3:$E$1025,0))="","",INDEX(学年度总表!$K$3:$K$1025,MATCH($E260,学年度总表!$E$3:$E$1025,0)))</f>
        <v>9.4</v>
      </c>
      <c r="L260" s="3">
        <f>IF(INDEX(学年度总表!$L$3:$L$1025,MATCH($E260,学年度总表!$E$3:$E$1025,0))="","",INDEX(学年度总表!$L$3:$L$1025,MATCH($E260,学年度总表!$E$3:$E$1025,0)))</f>
        <v>49.21</v>
      </c>
      <c r="M260" s="3">
        <f>IF(INDEX(学年度总表!$M$3:$M$1025,MATCH($E260,学年度总表!$E$3:$E$1025,0))="","",INDEX(学年度总表!$M$3:$M$1025,MATCH($E260,学年度总表!$E$3:$E$1025,0)))</f>
        <v>3.5</v>
      </c>
      <c r="N260" s="3">
        <f>IF(INDEX(学年度总表!$N$3:$N$1025,MATCH($E260,学年度总表!$E$3:$E$1025,0))="","",INDEX(学年度总表!$N$3:$N$1025,MATCH($E260,学年度总表!$E$3:$E$1025,0)))</f>
        <v>62.11</v>
      </c>
      <c r="O260" s="3">
        <f>IF(INDEX(学年度总表!$O$3:$O$1025,MATCH($E260,学年度总表!$E$3:$E$1025,0))="","",INDEX(学年度总表!$O$3:$O$1025,MATCH($E260,学年度总表!$E$3:$E$1025,0)))</f>
        <v>127.89</v>
      </c>
      <c r="P260" s="2" t="str">
        <f>IF(INDEX(学年度总表!$P$3:$P$1025,MATCH($E260,学年度总表!$E$3:$E$1025,0))="","",INDEX(学年度总表!$P$3:$P$1025,MATCH($E260,学年度总表!$E$3:$E$1025,0)))</f>
        <v/>
      </c>
      <c r="Q260" s="5" t="str">
        <f>IF(INDEX(学年度总表!$Q$3:$Q$1025,MATCH($E260,学年度总表!$E$3:$E$1025,0))="","",INDEX(学年度总表!$Q$3:$Q$1025,MATCH($E260,学年度总表!$E$3:$E$1025,0)))</f>
        <v/>
      </c>
    </row>
    <row r="261" spans="1:17">
      <c r="A261" s="2">
        <f>IF(INDEX(学年度总表!$A$3:$A$1025,MATCH($E261,学年度总表!$E$3:$E$1025,0))="","",INDEX(学年度总表!$A$3:$A$1025,MATCH($E261,学年度总表!$E$3:$E$1025,0)))</f>
        <v>750</v>
      </c>
      <c r="B261" s="2">
        <f>IF(INDEX(学年度总表!$B$3:$B$1025,MATCH($E261,学年度总表!$E$3:$E$1025,0))="","",INDEX(学年度总表!$B$3:$B$1025,MATCH($E261,学年度总表!$E$3:$E$1025,0)))</f>
        <v>259</v>
      </c>
      <c r="C261" s="2" t="str">
        <f>IF(INDEX(学年度总表!$C$3:$C$1025,MATCH($E261,学年度总表!$E$3:$E$1025,0))="","",INDEX(学年度总表!$C$3:$C$1025,MATCH($E261,学年度总表!$E$3:$E$1025,0)))</f>
        <v>信管</v>
      </c>
      <c r="D261" s="2" t="str">
        <f>IF(INDEX(学年度总表!$D$3:$D$1025,MATCH($E261,学年度总表!$E$3:$E$1025,0))="","",INDEX(学年度总表!$D$3:$D$1025,MATCH($E261,学年度总表!$E$3:$E$1025,0)))</f>
        <v>信管23班</v>
      </c>
      <c r="E261" s="2" t="s">
        <v>1561</v>
      </c>
      <c r="F261" s="2" t="str">
        <f>IF(INDEX(学年度总表!$F$3:$F$1025,MATCH($E261,学年度总表!$E$3:$E$1025,0))="","",INDEX(学年度总表!$F$3:$F$1025,MATCH($E261,学年度总表!$E$3:$E$1025,0)))</f>
        <v>辛雨霏</v>
      </c>
      <c r="G261" s="3">
        <f>IF(INDEX(学年度总表!$G$3:$G$1025,MATCH($E261,学年度总表!$E$3:$E$1025,0))="","",INDEX(学年度总表!$G$3:$G$1025,MATCH($E261,学年度总表!$E$3:$E$1025,0)))</f>
        <v>10</v>
      </c>
      <c r="H261" s="3">
        <f>IF(INDEX(学年度总表!$H$3:$H$1025,MATCH($E261,学年度总表!$E$3:$E$1025,0))="","",INDEX(学年度总表!$H$3:$H$1025,MATCH($E261,学年度总表!$E$3:$E$1025,0)))</f>
        <v>50.86</v>
      </c>
      <c r="I261" s="3">
        <f>IF(INDEX(学年度总表!$I$3:$I$1025,MATCH($E261,学年度总表!$E$3:$E$1025,0))="","",INDEX(学年度总表!$I$3:$I$1025,MATCH($E261,学年度总表!$E$3:$E$1025,0)))</f>
        <v>4.5</v>
      </c>
      <c r="J261" s="3">
        <f>IF(INDEX(学年度总表!$J$3:$J$1025,MATCH($E261,学年度总表!$E$3:$E$1025,0))="","",INDEX(学年度总表!$J$3:$J$1025,MATCH($E261,学年度总表!$E$3:$E$1025,0)))</f>
        <v>65.36</v>
      </c>
      <c r="K261" s="3">
        <f>IF(INDEX(学年度总表!$K$3:$K$1025,MATCH($E261,学年度总表!$E$3:$E$1025,0))="","",INDEX(学年度总表!$K$3:$K$1025,MATCH($E261,学年度总表!$E$3:$E$1025,0)))</f>
        <v>10</v>
      </c>
      <c r="L261" s="3">
        <f>IF(INDEX(学年度总表!$L$3:$L$1025,MATCH($E261,学年度总表!$E$3:$E$1025,0))="","",INDEX(学年度总表!$L$3:$L$1025,MATCH($E261,学年度总表!$E$3:$E$1025,0)))</f>
        <v>47.12</v>
      </c>
      <c r="M261" s="3">
        <f>IF(INDEX(学年度总表!$M$3:$M$1025,MATCH($E261,学年度总表!$E$3:$E$1025,0))="","",INDEX(学年度总表!$M$3:$M$1025,MATCH($E261,学年度总表!$E$3:$E$1025,0)))</f>
        <v>5.2</v>
      </c>
      <c r="N261" s="3">
        <f>IF(INDEX(学年度总表!$N$3:$N$1025,MATCH($E261,学年度总表!$E$3:$E$1025,0))="","",INDEX(学年度总表!$N$3:$N$1025,MATCH($E261,学年度总表!$E$3:$E$1025,0)))</f>
        <v>62.32</v>
      </c>
      <c r="O261" s="3">
        <f>IF(INDEX(学年度总表!$O$3:$O$1025,MATCH($E261,学年度总表!$E$3:$E$1025,0))="","",INDEX(学年度总表!$O$3:$O$1025,MATCH($E261,学年度总表!$E$3:$E$1025,0)))</f>
        <v>127.68</v>
      </c>
      <c r="P261" s="2" t="str">
        <f>IF(INDEX(学年度总表!$P$3:$P$1025,MATCH($E261,学年度总表!$E$3:$E$1025,0))="","",INDEX(学年度总表!$P$3:$P$1025,MATCH($E261,学年度总表!$E$3:$E$1025,0)))</f>
        <v/>
      </c>
      <c r="Q261" s="5" t="str">
        <f>IF(INDEX(学年度总表!$Q$3:$Q$1025,MATCH($E261,学年度总表!$E$3:$E$1025,0))="","",INDEX(学年度总表!$Q$3:$Q$1025,MATCH($E261,学年度总表!$E$3:$E$1025,0)))</f>
        <v/>
      </c>
    </row>
    <row r="262" spans="1:17">
      <c r="A262" s="2">
        <f>IF(INDEX(学年度总表!$A$3:$A$1025,MATCH($E262,学年度总表!$E$3:$E$1025,0))="","",INDEX(学年度总表!$A$3:$A$1025,MATCH($E262,学年度总表!$E$3:$E$1025,0)))</f>
        <v>755</v>
      </c>
      <c r="B262" s="2">
        <f>IF(INDEX(学年度总表!$B$3:$B$1025,MATCH($E262,学年度总表!$E$3:$E$1025,0))="","",INDEX(学年度总表!$B$3:$B$1025,MATCH($E262,学年度总表!$E$3:$E$1025,0)))</f>
        <v>260</v>
      </c>
      <c r="C262" s="2" t="str">
        <f>IF(INDEX(学年度总表!$C$3:$C$1025,MATCH($E262,学年度总表!$E$3:$E$1025,0))="","",INDEX(学年度总表!$C$3:$C$1025,MATCH($E262,学年度总表!$E$3:$E$1025,0)))</f>
        <v>信管</v>
      </c>
      <c r="D262" s="2" t="str">
        <f>IF(INDEX(学年度总表!$D$3:$D$1025,MATCH($E262,学年度总表!$E$3:$E$1025,0))="","",INDEX(学年度总表!$D$3:$D$1025,MATCH($E262,学年度总表!$E$3:$E$1025,0)))</f>
        <v>信管21班</v>
      </c>
      <c r="E262" s="2" t="s">
        <v>1571</v>
      </c>
      <c r="F262" s="2" t="str">
        <f>IF(INDEX(学年度总表!$F$3:$F$1025,MATCH($E262,学年度总表!$E$3:$E$1025,0))="","",INDEX(学年度总表!$F$3:$F$1025,MATCH($E262,学年度总表!$E$3:$E$1025,0)))</f>
        <v>杨鑫怡</v>
      </c>
      <c r="G262" s="3">
        <f>IF(INDEX(学年度总表!$G$3:$G$1025,MATCH($E262,学年度总表!$E$3:$E$1025,0))="","",INDEX(学年度总表!$G$3:$G$1025,MATCH($E262,学年度总表!$E$3:$E$1025,0)))</f>
        <v>9.8000000000000007</v>
      </c>
      <c r="H262" s="3">
        <f>IF(INDEX(学年度总表!$H$3:$H$1025,MATCH($E262,学年度总表!$E$3:$E$1025,0))="","",INDEX(学年度总表!$H$3:$H$1025,MATCH($E262,学年度总表!$E$3:$E$1025,0)))</f>
        <v>58.35</v>
      </c>
      <c r="I262" s="3">
        <f>IF(INDEX(学年度总表!$I$3:$I$1025,MATCH($E262,学年度总表!$E$3:$E$1025,0))="","",INDEX(学年度总表!$I$3:$I$1025,MATCH($E262,学年度总表!$E$3:$E$1025,0)))</f>
        <v>4.4000000000000004</v>
      </c>
      <c r="J262" s="3">
        <f>IF(INDEX(学年度总表!$J$3:$J$1025,MATCH($E262,学年度总表!$E$3:$E$1025,0))="","",INDEX(学年度总表!$J$3:$J$1025,MATCH($E262,学年度总表!$E$3:$E$1025,0)))</f>
        <v>72.55</v>
      </c>
      <c r="K262" s="3">
        <f>IF(INDEX(学年度总表!$K$3:$K$1025,MATCH($E262,学年度总表!$E$3:$E$1025,0))="","",INDEX(学年度总表!$K$3:$K$1025,MATCH($E262,学年度总表!$E$3:$E$1025,0)))</f>
        <v>9.8000000000000007</v>
      </c>
      <c r="L262" s="3">
        <f>IF(INDEX(学年度总表!$L$3:$L$1025,MATCH($E262,学年度总表!$E$3:$E$1025,0))="","",INDEX(学年度总表!$L$3:$L$1025,MATCH($E262,学年度总表!$E$3:$E$1025,0)))</f>
        <v>40.14</v>
      </c>
      <c r="M262" s="3">
        <f>IF(INDEX(学年度总表!$M$3:$M$1025,MATCH($E262,学年度总表!$E$3:$E$1025,0))="","",INDEX(学年度总表!$M$3:$M$1025,MATCH($E262,学年度总表!$E$3:$E$1025,0)))</f>
        <v>4.9000000000000004</v>
      </c>
      <c r="N262" s="3">
        <f>IF(INDEX(学年度总表!$N$3:$N$1025,MATCH($E262,学年度总表!$E$3:$E$1025,0))="","",INDEX(学年度总表!$N$3:$N$1025,MATCH($E262,学年度总表!$E$3:$E$1025,0)))</f>
        <v>54.84</v>
      </c>
      <c r="O262" s="3">
        <f>IF(INDEX(学年度总表!$O$3:$O$1025,MATCH($E262,学年度总表!$E$3:$E$1025,0))="","",INDEX(学年度总表!$O$3:$O$1025,MATCH($E262,学年度总表!$E$3:$E$1025,0)))</f>
        <v>127.39</v>
      </c>
      <c r="P262" s="2" t="str">
        <f>IF(INDEX(学年度总表!$P$3:$P$1025,MATCH($E262,学年度总表!$E$3:$E$1025,0))="","",INDEX(学年度总表!$P$3:$P$1025,MATCH($E262,学年度总表!$E$3:$E$1025,0)))</f>
        <v/>
      </c>
      <c r="Q262" s="5" t="str">
        <f>IF(INDEX(学年度总表!$Q$3:$Q$1025,MATCH($E262,学年度总表!$E$3:$E$1025,0))="","",INDEX(学年度总表!$Q$3:$Q$1025,MATCH($E262,学年度总表!$E$3:$E$1025,0)))</f>
        <v/>
      </c>
    </row>
    <row r="263" spans="1:17">
      <c r="A263" s="2">
        <f>IF(INDEX(学年度总表!$A$3:$A$1025,MATCH($E263,学年度总表!$E$3:$E$1025,0))="","",INDEX(学年度总表!$A$3:$A$1025,MATCH($E263,学年度总表!$E$3:$E$1025,0)))</f>
        <v>757</v>
      </c>
      <c r="B263" s="2">
        <f>IF(INDEX(学年度总表!$B$3:$B$1025,MATCH($E263,学年度总表!$E$3:$E$1025,0))="","",INDEX(学年度总表!$B$3:$B$1025,MATCH($E263,学年度总表!$E$3:$E$1025,0)))</f>
        <v>261</v>
      </c>
      <c r="C263" s="2" t="str">
        <f>IF(INDEX(学年度总表!$C$3:$C$1025,MATCH($E263,学年度总表!$E$3:$E$1025,0))="","",INDEX(学年度总表!$C$3:$C$1025,MATCH($E263,学年度总表!$E$3:$E$1025,0)))</f>
        <v>信管</v>
      </c>
      <c r="D263" s="2" t="str">
        <f>IF(INDEX(学年度总表!$D$3:$D$1025,MATCH($E263,学年度总表!$E$3:$E$1025,0))="","",INDEX(学年度总表!$D$3:$D$1025,MATCH($E263,学年度总表!$E$3:$E$1025,0)))</f>
        <v>信管21班</v>
      </c>
      <c r="E263" s="2" t="s">
        <v>1575</v>
      </c>
      <c r="F263" s="2" t="str">
        <f>IF(INDEX(学年度总表!$F$3:$F$1025,MATCH($E263,学年度总表!$E$3:$E$1025,0))="","",INDEX(学年度总表!$F$3:$F$1025,MATCH($E263,学年度总表!$E$3:$E$1025,0)))</f>
        <v>侯亚宁</v>
      </c>
      <c r="G263" s="3">
        <f>IF(INDEX(学年度总表!$G$3:$G$1025,MATCH($E263,学年度总表!$E$3:$E$1025,0))="","",INDEX(学年度总表!$G$3:$G$1025,MATCH($E263,学年度总表!$E$3:$E$1025,0)))</f>
        <v>9.8000000000000007</v>
      </c>
      <c r="H263" s="3">
        <f>IF(INDEX(学年度总表!$H$3:$H$1025,MATCH($E263,学年度总表!$E$3:$E$1025,0))="","",INDEX(学年度总表!$H$3:$H$1025,MATCH($E263,学年度总表!$E$3:$E$1025,0)))</f>
        <v>60.67</v>
      </c>
      <c r="I263" s="3">
        <f>IF(INDEX(学年度总表!$I$3:$I$1025,MATCH($E263,学年度总表!$E$3:$E$1025,0))="","",INDEX(学年度总表!$I$3:$I$1025,MATCH($E263,学年度总表!$E$3:$E$1025,0)))</f>
        <v>3.85</v>
      </c>
      <c r="J263" s="3">
        <f>IF(INDEX(学年度总表!$J$3:$J$1025,MATCH($E263,学年度总表!$E$3:$E$1025,0))="","",INDEX(学年度总表!$J$3:$J$1025,MATCH($E263,学年度总表!$E$3:$E$1025,0)))</f>
        <v>74.319999999999993</v>
      </c>
      <c r="K263" s="3">
        <f>IF(INDEX(学年度总表!$K$3:$K$1025,MATCH($E263,学年度总表!$E$3:$E$1025,0))="","",INDEX(学年度总表!$K$3:$K$1025,MATCH($E263,学年度总表!$E$3:$E$1025,0)))</f>
        <v>9.8000000000000007</v>
      </c>
      <c r="L263" s="3">
        <f>IF(INDEX(学年度总表!$L$3:$L$1025,MATCH($E263,学年度总表!$E$3:$E$1025,0))="","",INDEX(学年度总表!$L$3:$L$1025,MATCH($E263,学年度总表!$E$3:$E$1025,0)))</f>
        <v>39.07</v>
      </c>
      <c r="M263" s="3">
        <f>IF(INDEX(学年度总表!$M$3:$M$1025,MATCH($E263,学年度总表!$E$3:$E$1025,0))="","",INDEX(学年度总表!$M$3:$M$1025,MATCH($E263,学年度总表!$E$3:$E$1025,0)))</f>
        <v>3.95</v>
      </c>
      <c r="N263" s="3">
        <f>IF(INDEX(学年度总表!$N$3:$N$1025,MATCH($E263,学年度总表!$E$3:$E$1025,0))="","",INDEX(学年度总表!$N$3:$N$1025,MATCH($E263,学年度总表!$E$3:$E$1025,0)))</f>
        <v>52.82</v>
      </c>
      <c r="O263" s="3">
        <f>IF(INDEX(学年度总表!$O$3:$O$1025,MATCH($E263,学年度总表!$E$3:$E$1025,0))="","",INDEX(学年度总表!$O$3:$O$1025,MATCH($E263,学年度总表!$E$3:$E$1025,0)))</f>
        <v>127.14</v>
      </c>
      <c r="P263" s="2" t="str">
        <f>IF(INDEX(学年度总表!$P$3:$P$1025,MATCH($E263,学年度总表!$E$3:$E$1025,0))="","",INDEX(学年度总表!$P$3:$P$1025,MATCH($E263,学年度总表!$E$3:$E$1025,0)))</f>
        <v/>
      </c>
      <c r="Q263" s="5" t="str">
        <f>IF(INDEX(学年度总表!$Q$3:$Q$1025,MATCH($E263,学年度总表!$E$3:$E$1025,0))="","",INDEX(学年度总表!$Q$3:$Q$1025,MATCH($E263,学年度总表!$E$3:$E$1025,0)))</f>
        <v/>
      </c>
    </row>
    <row r="264" spans="1:17">
      <c r="A264" s="2">
        <f>IF(INDEX(学年度总表!$A$3:$A$1025,MATCH($E264,学年度总表!$E$3:$E$1025,0))="","",INDEX(学年度总表!$A$3:$A$1025,MATCH($E264,学年度总表!$E$3:$E$1025,0)))</f>
        <v>758</v>
      </c>
      <c r="B264" s="2">
        <f>IF(INDEX(学年度总表!$B$3:$B$1025,MATCH($E264,学年度总表!$E$3:$E$1025,0))="","",INDEX(学年度总表!$B$3:$B$1025,MATCH($E264,学年度总表!$E$3:$E$1025,0)))</f>
        <v>262</v>
      </c>
      <c r="C264" s="2" t="str">
        <f>IF(INDEX(学年度总表!$C$3:$C$1025,MATCH($E264,学年度总表!$E$3:$E$1025,0))="","",INDEX(学年度总表!$C$3:$C$1025,MATCH($E264,学年度总表!$E$3:$E$1025,0)))</f>
        <v>信管</v>
      </c>
      <c r="D264" s="2" t="str">
        <f>IF(INDEX(学年度总表!$D$3:$D$1025,MATCH($E264,学年度总表!$E$3:$E$1025,0))="","",INDEX(学年度总表!$D$3:$D$1025,MATCH($E264,学年度总表!$E$3:$E$1025,0)))</f>
        <v>信管22班</v>
      </c>
      <c r="E264" s="2" t="s">
        <v>1577</v>
      </c>
      <c r="F264" s="2" t="str">
        <f>IF(INDEX(学年度总表!$F$3:$F$1025,MATCH($E264,学年度总表!$E$3:$E$1025,0))="","",INDEX(学年度总表!$F$3:$F$1025,MATCH($E264,学年度总表!$E$3:$E$1025,0)))</f>
        <v>王泽骞</v>
      </c>
      <c r="G264" s="3">
        <f>IF(INDEX(学年度总表!$G$3:$G$1025,MATCH($E264,学年度总表!$E$3:$E$1025,0))="","",INDEX(学年度总表!$G$3:$G$1025,MATCH($E264,学年度总表!$E$3:$E$1025,0)))</f>
        <v>9.8000000000000007</v>
      </c>
      <c r="H264" s="3">
        <f>IF(INDEX(学年度总表!$H$3:$H$1025,MATCH($E264,学年度总表!$E$3:$E$1025,0))="","",INDEX(学年度总表!$H$3:$H$1025,MATCH($E264,学年度总表!$E$3:$E$1025,0)))</f>
        <v>51.83</v>
      </c>
      <c r="I264" s="3">
        <f>IF(INDEX(学年度总表!$I$3:$I$1025,MATCH($E264,学年度总表!$E$3:$E$1025,0))="","",INDEX(学年度总表!$I$3:$I$1025,MATCH($E264,学年度总表!$E$3:$E$1025,0)))</f>
        <v>3</v>
      </c>
      <c r="J264" s="3">
        <f>IF(INDEX(学年度总表!$J$3:$J$1025,MATCH($E264,学年度总表!$E$3:$E$1025,0))="","",INDEX(学年度总表!$J$3:$J$1025,MATCH($E264,学年度总表!$E$3:$E$1025,0)))</f>
        <v>64.63</v>
      </c>
      <c r="K264" s="3">
        <f>IF(INDEX(学年度总表!$K$3:$K$1025,MATCH($E264,学年度总表!$E$3:$E$1025,0))="","",INDEX(学年度总表!$K$3:$K$1025,MATCH($E264,学年度总表!$E$3:$E$1025,0)))</f>
        <v>9.8000000000000007</v>
      </c>
      <c r="L264" s="3">
        <f>IF(INDEX(学年度总表!$L$3:$L$1025,MATCH($E264,学年度总表!$E$3:$E$1025,0))="","",INDEX(学年度总表!$L$3:$L$1025,MATCH($E264,学年度总表!$E$3:$E$1025,0)))</f>
        <v>49.66</v>
      </c>
      <c r="M264" s="3">
        <f>IF(INDEX(学年度总表!$M$3:$M$1025,MATCH($E264,学年度总表!$E$3:$E$1025,0))="","",INDEX(学年度总表!$M$3:$M$1025,MATCH($E264,学年度总表!$E$3:$E$1025,0)))</f>
        <v>3</v>
      </c>
      <c r="N264" s="3">
        <f>IF(INDEX(学年度总表!$N$3:$N$1025,MATCH($E264,学年度总表!$E$3:$E$1025,0))="","",INDEX(学年度总表!$N$3:$N$1025,MATCH($E264,学年度总表!$E$3:$E$1025,0)))</f>
        <v>62.46</v>
      </c>
      <c r="O264" s="3">
        <f>IF(INDEX(学年度总表!$O$3:$O$1025,MATCH($E264,学年度总表!$E$3:$E$1025,0))="","",INDEX(学年度总表!$O$3:$O$1025,MATCH($E264,学年度总表!$E$3:$E$1025,0)))</f>
        <v>127.09</v>
      </c>
      <c r="P264" s="2" t="str">
        <f>IF(INDEX(学年度总表!$P$3:$P$1025,MATCH($E264,学年度总表!$E$3:$E$1025,0))="","",INDEX(学年度总表!$P$3:$P$1025,MATCH($E264,学年度总表!$E$3:$E$1025,0)))</f>
        <v/>
      </c>
      <c r="Q264" s="5" t="str">
        <f>IF(INDEX(学年度总表!$Q$3:$Q$1025,MATCH($E264,学年度总表!$E$3:$E$1025,0))="","",INDEX(学年度总表!$Q$3:$Q$1025,MATCH($E264,学年度总表!$E$3:$E$1025,0)))</f>
        <v/>
      </c>
    </row>
    <row r="265" spans="1:17">
      <c r="A265" s="2">
        <f>IF(INDEX(学年度总表!$A$3:$A$1025,MATCH($E265,学年度总表!$E$3:$E$1025,0))="","",INDEX(学年度总表!$A$3:$A$1025,MATCH($E265,学年度总表!$E$3:$E$1025,0)))</f>
        <v>761</v>
      </c>
      <c r="B265" s="2">
        <f>IF(INDEX(学年度总表!$B$3:$B$1025,MATCH($E265,学年度总表!$E$3:$E$1025,0))="","",INDEX(学年度总表!$B$3:$B$1025,MATCH($E265,学年度总表!$E$3:$E$1025,0)))</f>
        <v>263</v>
      </c>
      <c r="C265" s="2" t="str">
        <f>IF(INDEX(学年度总表!$C$3:$C$1025,MATCH($E265,学年度总表!$E$3:$E$1025,0))="","",INDEX(学年度总表!$C$3:$C$1025,MATCH($E265,学年度总表!$E$3:$E$1025,0)))</f>
        <v>信管</v>
      </c>
      <c r="D265" s="2" t="str">
        <f>IF(INDEX(学年度总表!$D$3:$D$1025,MATCH($E265,学年度总表!$E$3:$E$1025,0))="","",INDEX(学年度总表!$D$3:$D$1025,MATCH($E265,学年度总表!$E$3:$E$1025,0)))</f>
        <v>信管27班</v>
      </c>
      <c r="E265" s="2" t="s">
        <v>1583</v>
      </c>
      <c r="F265" s="2" t="str">
        <f>IF(INDEX(学年度总表!$F$3:$F$1025,MATCH($E265,学年度总表!$E$3:$E$1025,0))="","",INDEX(学年度总表!$F$3:$F$1025,MATCH($E265,学年度总表!$E$3:$E$1025,0)))</f>
        <v>王新然</v>
      </c>
      <c r="G265" s="3">
        <f>IF(INDEX(学年度总表!$G$3:$G$1025,MATCH($E265,学年度总表!$E$3:$E$1025,0))="","",INDEX(学年度总表!$G$3:$G$1025,MATCH($E265,学年度总表!$E$3:$E$1025,0)))</f>
        <v>7.3</v>
      </c>
      <c r="H265" s="3">
        <f>IF(INDEX(学年度总表!$H$3:$H$1025,MATCH($E265,学年度总表!$E$3:$E$1025,0))="","",INDEX(学年度总表!$H$3:$H$1025,MATCH($E265,学年度总表!$E$3:$E$1025,0)))</f>
        <v>55.93</v>
      </c>
      <c r="I265" s="3">
        <f>IF(INDEX(学年度总表!$I$3:$I$1025,MATCH($E265,学年度总表!$E$3:$E$1025,0))="","",INDEX(学年度总表!$I$3:$I$1025,MATCH($E265,学年度总表!$E$3:$E$1025,0)))</f>
        <v>3</v>
      </c>
      <c r="J265" s="3">
        <f>IF(INDEX(学年度总表!$J$3:$J$1025,MATCH($E265,学年度总表!$E$3:$E$1025,0))="","",INDEX(学年度总表!$J$3:$J$1025,MATCH($E265,学年度总表!$E$3:$E$1025,0)))</f>
        <v>66.23</v>
      </c>
      <c r="K265" s="3">
        <f>IF(INDEX(学年度总表!$K$3:$K$1025,MATCH($E265,学年度总表!$E$3:$E$1025,0))="","",INDEX(学年度总表!$K$3:$K$1025,MATCH($E265,学年度总表!$E$3:$E$1025,0)))</f>
        <v>7.3000000000000007</v>
      </c>
      <c r="L265" s="3">
        <f>IF(INDEX(学年度总表!$L$3:$L$1025,MATCH($E265,学年度总表!$E$3:$E$1025,0))="","",INDEX(学年度总表!$L$3:$L$1025,MATCH($E265,学年度总表!$E$3:$E$1025,0)))</f>
        <v>50.41</v>
      </c>
      <c r="M265" s="3">
        <f>IF(INDEX(学年度总表!$M$3:$M$1025,MATCH($E265,学年度总表!$E$3:$E$1025,0))="","",INDEX(学年度总表!$M$3:$M$1025,MATCH($E265,学年度总表!$E$3:$E$1025,0)))</f>
        <v>3</v>
      </c>
      <c r="N265" s="3">
        <f>IF(INDEX(学年度总表!$N$3:$N$1025,MATCH($E265,学年度总表!$E$3:$E$1025,0))="","",INDEX(学年度总表!$N$3:$N$1025,MATCH($E265,学年度总表!$E$3:$E$1025,0)))</f>
        <v>60.71</v>
      </c>
      <c r="O265" s="3">
        <f>IF(INDEX(学年度总表!$O$3:$O$1025,MATCH($E265,学年度总表!$E$3:$E$1025,0))="","",INDEX(学年度总表!$O$3:$O$1025,MATCH($E265,学年度总表!$E$3:$E$1025,0)))</f>
        <v>126.94</v>
      </c>
      <c r="P265" s="2" t="str">
        <f>IF(INDEX(学年度总表!$P$3:$P$1025,MATCH($E265,学年度总表!$E$3:$E$1025,0))="","",INDEX(学年度总表!$P$3:$P$1025,MATCH($E265,学年度总表!$E$3:$E$1025,0)))</f>
        <v/>
      </c>
      <c r="Q265" s="5" t="str">
        <f>IF(INDEX(学年度总表!$Q$3:$Q$1025,MATCH($E265,学年度总表!$E$3:$E$1025,0))="","",INDEX(学年度总表!$Q$3:$Q$1025,MATCH($E265,学年度总表!$E$3:$E$1025,0)))</f>
        <v/>
      </c>
    </row>
    <row r="266" spans="1:17">
      <c r="A266" s="2">
        <f>IF(INDEX(学年度总表!$A$3:$A$1025,MATCH($E266,学年度总表!$E$3:$E$1025,0))="","",INDEX(学年度总表!$A$3:$A$1025,MATCH($E266,学年度总表!$E$3:$E$1025,0)))</f>
        <v>762</v>
      </c>
      <c r="B266" s="2">
        <f>IF(INDEX(学年度总表!$B$3:$B$1025,MATCH($E266,学年度总表!$E$3:$E$1025,0))="","",INDEX(学年度总表!$B$3:$B$1025,MATCH($E266,学年度总表!$E$3:$E$1025,0)))</f>
        <v>264</v>
      </c>
      <c r="C266" s="2" t="str">
        <f>IF(INDEX(学年度总表!$C$3:$C$1025,MATCH($E266,学年度总表!$E$3:$E$1025,0))="","",INDEX(学年度总表!$C$3:$C$1025,MATCH($E266,学年度总表!$E$3:$E$1025,0)))</f>
        <v>信管</v>
      </c>
      <c r="D266" s="2" t="str">
        <f>IF(INDEX(学年度总表!$D$3:$D$1025,MATCH($E266,学年度总表!$E$3:$E$1025,0))="","",INDEX(学年度总表!$D$3:$D$1025,MATCH($E266,学年度总表!$E$3:$E$1025,0)))</f>
        <v>信管24班</v>
      </c>
      <c r="E266" s="2" t="s">
        <v>1585</v>
      </c>
      <c r="F266" s="2" t="str">
        <f>IF(INDEX(学年度总表!$F$3:$F$1025,MATCH($E266,学年度总表!$E$3:$E$1025,0))="","",INDEX(学年度总表!$F$3:$F$1025,MATCH($E266,学年度总表!$E$3:$E$1025,0)))</f>
        <v>邢馨予</v>
      </c>
      <c r="G266" s="3">
        <f>IF(INDEX(学年度总表!$G$3:$G$1025,MATCH($E266,学年度总表!$E$3:$E$1025,0))="","",INDEX(学年度总表!$G$3:$G$1025,MATCH($E266,学年度总表!$E$3:$E$1025,0)))</f>
        <v>10.3</v>
      </c>
      <c r="H266" s="3">
        <f>IF(INDEX(学年度总表!$H$3:$H$1025,MATCH($E266,学年度总表!$E$3:$E$1025,0))="","",INDEX(学年度总表!$H$3:$H$1025,MATCH($E266,学年度总表!$E$3:$E$1025,0)))</f>
        <v>47.16</v>
      </c>
      <c r="I266" s="3">
        <f>IF(INDEX(学年度总表!$I$3:$I$1025,MATCH($E266,学年度总表!$E$3:$E$1025,0))="","",INDEX(学年度总表!$I$3:$I$1025,MATCH($E266,学年度总表!$E$3:$E$1025,0)))</f>
        <v>4.5</v>
      </c>
      <c r="J266" s="3">
        <f>IF(INDEX(学年度总表!$J$3:$J$1025,MATCH($E266,学年度总表!$E$3:$E$1025,0))="","",INDEX(学年度总表!$J$3:$J$1025,MATCH($E266,学年度总表!$E$3:$E$1025,0)))</f>
        <v>61.96</v>
      </c>
      <c r="K266" s="3">
        <f>IF(INDEX(学年度总表!$K$3:$K$1025,MATCH($E266,学年度总表!$E$3:$E$1025,0))="","",INDEX(学年度总表!$K$3:$K$1025,MATCH($E266,学年度总表!$E$3:$E$1025,0)))</f>
        <v>9.8000000000000007</v>
      </c>
      <c r="L266" s="3">
        <f>IF(INDEX(学年度总表!$L$3:$L$1025,MATCH($E266,学年度总表!$E$3:$E$1025,0))="","",INDEX(学年度总表!$L$3:$L$1025,MATCH($E266,学年度总表!$E$3:$E$1025,0)))</f>
        <v>50.91</v>
      </c>
      <c r="M266" s="3">
        <f>IF(INDEX(学年度总表!$M$3:$M$1025,MATCH($E266,学年度总表!$E$3:$E$1025,0))="","",INDEX(学年度总表!$M$3:$M$1025,MATCH($E266,学年度总表!$E$3:$E$1025,0)))</f>
        <v>4</v>
      </c>
      <c r="N266" s="3">
        <f>IF(INDEX(学年度总表!$N$3:$N$1025,MATCH($E266,学年度总表!$E$3:$E$1025,0))="","",INDEX(学年度总表!$N$3:$N$1025,MATCH($E266,学年度总表!$E$3:$E$1025,0)))</f>
        <v>64.709999999999994</v>
      </c>
      <c r="O266" s="3">
        <f>IF(INDEX(学年度总表!$O$3:$O$1025,MATCH($E266,学年度总表!$E$3:$E$1025,0))="","",INDEX(学年度总表!$O$3:$O$1025,MATCH($E266,学年度总表!$E$3:$E$1025,0)))</f>
        <v>126.67</v>
      </c>
      <c r="P266" s="2" t="str">
        <f>IF(INDEX(学年度总表!$P$3:$P$1025,MATCH($E266,学年度总表!$E$3:$E$1025,0))="","",INDEX(学年度总表!$P$3:$P$1025,MATCH($E266,学年度总表!$E$3:$E$1025,0)))</f>
        <v/>
      </c>
      <c r="Q266" s="5" t="str">
        <f>IF(INDEX(学年度总表!$Q$3:$Q$1025,MATCH($E266,学年度总表!$E$3:$E$1025,0))="","",INDEX(学年度总表!$Q$3:$Q$1025,MATCH($E266,学年度总表!$E$3:$E$1025,0)))</f>
        <v/>
      </c>
    </row>
    <row r="267" spans="1:17">
      <c r="A267" s="2">
        <f>IF(INDEX(学年度总表!$A$3:$A$1025,MATCH($E267,学年度总表!$E$3:$E$1025,0))="","",INDEX(学年度总表!$A$3:$A$1025,MATCH($E267,学年度总表!$E$3:$E$1025,0)))</f>
        <v>764</v>
      </c>
      <c r="B267" s="2">
        <f>IF(INDEX(学年度总表!$B$3:$B$1025,MATCH($E267,学年度总表!$E$3:$E$1025,0))="","",INDEX(学年度总表!$B$3:$B$1025,MATCH($E267,学年度总表!$E$3:$E$1025,0)))</f>
        <v>265</v>
      </c>
      <c r="C267" s="2" t="str">
        <f>IF(INDEX(学年度总表!$C$3:$C$1025,MATCH($E267,学年度总表!$E$3:$E$1025,0))="","",INDEX(学年度总表!$C$3:$C$1025,MATCH($E267,学年度总表!$E$3:$E$1025,0)))</f>
        <v>信管</v>
      </c>
      <c r="D267" s="2" t="str">
        <f>IF(INDEX(学年度总表!$D$3:$D$1025,MATCH($E267,学年度总表!$E$3:$E$1025,0))="","",INDEX(学年度总表!$D$3:$D$1025,MATCH($E267,学年度总表!$E$3:$E$1025,0)))</f>
        <v>信管26班</v>
      </c>
      <c r="E267" s="2" t="s">
        <v>1589</v>
      </c>
      <c r="F267" s="2" t="str">
        <f>IF(INDEX(学年度总表!$F$3:$F$1025,MATCH($E267,学年度总表!$E$3:$E$1025,0))="","",INDEX(学年度总表!$F$3:$F$1025,MATCH($E267,学年度总表!$E$3:$E$1025,0)))</f>
        <v>韩雨婷</v>
      </c>
      <c r="G267" s="3">
        <f>IF(INDEX(学年度总表!$G$3:$G$1025,MATCH($E267,学年度总表!$E$3:$E$1025,0))="","",INDEX(学年度总表!$G$3:$G$1025,MATCH($E267,学年度总表!$E$3:$E$1025,0)))</f>
        <v>10.4</v>
      </c>
      <c r="H267" s="3">
        <f>IF(INDEX(学年度总表!$H$3:$H$1025,MATCH($E267,学年度总表!$E$3:$E$1025,0))="","",INDEX(学年度总表!$H$3:$H$1025,MATCH($E267,学年度总表!$E$3:$E$1025,0)))</f>
        <v>49.66</v>
      </c>
      <c r="I267" s="3">
        <f>IF(INDEX(学年度总表!$I$3:$I$1025,MATCH($E267,学年度总表!$E$3:$E$1025,0))="","",INDEX(学年度总表!$I$3:$I$1025,MATCH($E267,学年度总表!$E$3:$E$1025,0)))</f>
        <v>3.5</v>
      </c>
      <c r="J267" s="3">
        <f>IF(INDEX(学年度总表!$J$3:$J$1025,MATCH($E267,学年度总表!$E$3:$E$1025,0))="","",INDEX(学年度总表!$J$3:$J$1025,MATCH($E267,学年度总表!$E$3:$E$1025,0)))</f>
        <v>63.56</v>
      </c>
      <c r="K267" s="3">
        <f>IF(INDEX(学年度总表!$K$3:$K$1025,MATCH($E267,学年度总表!$E$3:$E$1025,0))="","",INDEX(学年度总表!$K$3:$K$1025,MATCH($E267,学年度总表!$E$3:$E$1025,0)))</f>
        <v>7.3000000000000007</v>
      </c>
      <c r="L267" s="3">
        <f>IF(INDEX(学年度总表!$L$3:$L$1025,MATCH($E267,学年度总表!$E$3:$E$1025,0))="","",INDEX(学年度总表!$L$3:$L$1025,MATCH($E267,学年度总表!$E$3:$E$1025,0)))</f>
        <v>52.68</v>
      </c>
      <c r="M267" s="3">
        <f>IF(INDEX(学年度总表!$M$3:$M$1025,MATCH($E267,学年度总表!$E$3:$E$1025,0))="","",INDEX(学年度总表!$M$3:$M$1025,MATCH($E267,学年度总表!$E$3:$E$1025,0)))</f>
        <v>3</v>
      </c>
      <c r="N267" s="3">
        <f>IF(INDEX(学年度总表!$N$3:$N$1025,MATCH($E267,学年度总表!$E$3:$E$1025,0))="","",INDEX(学年度总表!$N$3:$N$1025,MATCH($E267,学年度总表!$E$3:$E$1025,0)))</f>
        <v>62.98</v>
      </c>
      <c r="O267" s="3">
        <f>IF(INDEX(学年度总表!$O$3:$O$1025,MATCH($E267,学年度总表!$E$3:$E$1025,0))="","",INDEX(学年度总表!$O$3:$O$1025,MATCH($E267,学年度总表!$E$3:$E$1025,0)))</f>
        <v>126.54</v>
      </c>
      <c r="P267" s="2" t="str">
        <f>IF(INDEX(学年度总表!$P$3:$P$1025,MATCH($E267,学年度总表!$E$3:$E$1025,0))="","",INDEX(学年度总表!$P$3:$P$1025,MATCH($E267,学年度总表!$E$3:$E$1025,0)))</f>
        <v/>
      </c>
      <c r="Q267" s="5" t="str">
        <f>IF(INDEX(学年度总表!$Q$3:$Q$1025,MATCH($E267,学年度总表!$E$3:$E$1025,0))="","",INDEX(学年度总表!$Q$3:$Q$1025,MATCH($E267,学年度总表!$E$3:$E$1025,0)))</f>
        <v/>
      </c>
    </row>
    <row r="268" spans="1:17">
      <c r="A268" s="2">
        <f>IF(INDEX(学年度总表!$A$3:$A$1025,MATCH($E268,学年度总表!$E$3:$E$1025,0))="","",INDEX(学年度总表!$A$3:$A$1025,MATCH($E268,学年度总表!$E$3:$E$1025,0)))</f>
        <v>765</v>
      </c>
      <c r="B268" s="2">
        <f>IF(INDEX(学年度总表!$B$3:$B$1025,MATCH($E268,学年度总表!$E$3:$E$1025,0))="","",INDEX(学年度总表!$B$3:$B$1025,MATCH($E268,学年度总表!$E$3:$E$1025,0)))</f>
        <v>266</v>
      </c>
      <c r="C268" s="2" t="str">
        <f>IF(INDEX(学年度总表!$C$3:$C$1025,MATCH($E268,学年度总表!$E$3:$E$1025,0))="","",INDEX(学年度总表!$C$3:$C$1025,MATCH($E268,学年度总表!$E$3:$E$1025,0)))</f>
        <v>信管</v>
      </c>
      <c r="D268" s="2" t="str">
        <f>IF(INDEX(学年度总表!$D$3:$D$1025,MATCH($E268,学年度总表!$E$3:$E$1025,0))="","",INDEX(学年度总表!$D$3:$D$1025,MATCH($E268,学年度总表!$E$3:$E$1025,0)))</f>
        <v>信管25班</v>
      </c>
      <c r="E268" s="2" t="s">
        <v>1593</v>
      </c>
      <c r="F268" s="2" t="str">
        <f>IF(INDEX(学年度总表!$F$3:$F$1025,MATCH($E268,学年度总表!$E$3:$E$1025,0))="","",INDEX(学年度总表!$F$3:$F$1025,MATCH($E268,学年度总表!$E$3:$E$1025,0)))</f>
        <v>李程然</v>
      </c>
      <c r="G268" s="3">
        <f>IF(INDEX(学年度总表!$G$3:$G$1025,MATCH($E268,学年度总表!$E$3:$E$1025,0))="","",INDEX(学年度总表!$G$3:$G$1025,MATCH($E268,学年度总表!$E$3:$E$1025,0)))</f>
        <v>9.8000000000000007</v>
      </c>
      <c r="H268" s="3">
        <f>IF(INDEX(学年度总表!$H$3:$H$1025,MATCH($E268,学年度总表!$E$3:$E$1025,0))="","",INDEX(学年度总表!$H$3:$H$1025,MATCH($E268,学年度总表!$E$3:$E$1025,0)))</f>
        <v>53.08</v>
      </c>
      <c r="I268" s="3">
        <f>IF(INDEX(学年度总表!$I$3:$I$1025,MATCH($E268,学年度总表!$E$3:$E$1025,0))="","",INDEX(学年度总表!$I$3:$I$1025,MATCH($E268,学年度总表!$E$3:$E$1025,0)))</f>
        <v>5.85</v>
      </c>
      <c r="J268" s="3">
        <f>IF(INDEX(学年度总表!$J$3:$J$1025,MATCH($E268,学年度总表!$E$3:$E$1025,0))="","",INDEX(学年度总表!$J$3:$J$1025,MATCH($E268,学年度总表!$E$3:$E$1025,0)))</f>
        <v>68.73</v>
      </c>
      <c r="K268" s="3">
        <f>IF(INDEX(学年度总表!$K$3:$K$1025,MATCH($E268,学年度总表!$E$3:$E$1025,0))="","",INDEX(学年度总表!$K$3:$K$1025,MATCH($E268,学年度总表!$E$3:$E$1025,0)))</f>
        <v>9.8000000000000007</v>
      </c>
      <c r="L268" s="3">
        <f>IF(INDEX(学年度总表!$L$3:$L$1025,MATCH($E268,学年度总表!$E$3:$E$1025,0))="","",INDEX(学年度总表!$L$3:$L$1025,MATCH($E268,学年度总表!$E$3:$E$1025,0)))</f>
        <v>41.64</v>
      </c>
      <c r="M268" s="3">
        <f>IF(INDEX(学年度总表!$M$3:$M$1025,MATCH($E268,学年度总表!$E$3:$E$1025,0))="","",INDEX(学年度总表!$M$3:$M$1025,MATCH($E268,学年度总表!$E$3:$E$1025,0)))</f>
        <v>6.2</v>
      </c>
      <c r="N268" s="3">
        <f>IF(INDEX(学年度总表!$N$3:$N$1025,MATCH($E268,学年度总表!$E$3:$E$1025,0))="","",INDEX(学年度总表!$N$3:$N$1025,MATCH($E268,学年度总表!$E$3:$E$1025,0)))</f>
        <v>57.64</v>
      </c>
      <c r="O268" s="3">
        <f>IF(INDEX(学年度总表!$O$3:$O$1025,MATCH($E268,学年度总表!$E$3:$E$1025,0))="","",INDEX(学年度总表!$O$3:$O$1025,MATCH($E268,学年度总表!$E$3:$E$1025,0)))</f>
        <v>126.37</v>
      </c>
      <c r="P268" s="2" t="str">
        <f>IF(INDEX(学年度总表!$P$3:$P$1025,MATCH($E268,学年度总表!$E$3:$E$1025,0))="","",INDEX(学年度总表!$P$3:$P$1025,MATCH($E268,学年度总表!$E$3:$E$1025,0)))</f>
        <v/>
      </c>
      <c r="Q268" s="5" t="str">
        <f>IF(INDEX(学年度总表!$Q$3:$Q$1025,MATCH($E268,学年度总表!$E$3:$E$1025,0))="","",INDEX(学年度总表!$Q$3:$Q$1025,MATCH($E268,学年度总表!$E$3:$E$1025,0)))</f>
        <v/>
      </c>
    </row>
    <row r="269" spans="1:17">
      <c r="A269" s="2">
        <f>IF(INDEX(学年度总表!$A$3:$A$1025,MATCH($E269,学年度总表!$E$3:$E$1025,0))="","",INDEX(学年度总表!$A$3:$A$1025,MATCH($E269,学年度总表!$E$3:$E$1025,0)))</f>
        <v>767</v>
      </c>
      <c r="B269" s="2">
        <f>IF(INDEX(学年度总表!$B$3:$B$1025,MATCH($E269,学年度总表!$E$3:$E$1025,0))="","",INDEX(学年度总表!$B$3:$B$1025,MATCH($E269,学年度总表!$E$3:$E$1025,0)))</f>
        <v>267</v>
      </c>
      <c r="C269" s="2" t="str">
        <f>IF(INDEX(学年度总表!$C$3:$C$1025,MATCH($E269,学年度总表!$E$3:$E$1025,0))="","",INDEX(学年度总表!$C$3:$C$1025,MATCH($E269,学年度总表!$E$3:$E$1025,0)))</f>
        <v>信管</v>
      </c>
      <c r="D269" s="2" t="str">
        <f>IF(INDEX(学年度总表!$D$3:$D$1025,MATCH($E269,学年度总表!$E$3:$E$1025,0))="","",INDEX(学年度总表!$D$3:$D$1025,MATCH($E269,学年度总表!$E$3:$E$1025,0)))</f>
        <v>信管22班</v>
      </c>
      <c r="E269" s="2" t="s">
        <v>1595</v>
      </c>
      <c r="F269" s="2" t="str">
        <f>IF(INDEX(学年度总表!$F$3:$F$1025,MATCH($E269,学年度总表!$E$3:$E$1025,0))="","",INDEX(学年度总表!$F$3:$F$1025,MATCH($E269,学年度总表!$E$3:$E$1025,0)))</f>
        <v>梁仪涵</v>
      </c>
      <c r="G269" s="3">
        <f>IF(INDEX(学年度总表!$G$3:$G$1025,MATCH($E269,学年度总表!$E$3:$E$1025,0))="","",INDEX(学年度总表!$G$3:$G$1025,MATCH($E269,学年度总表!$E$3:$E$1025,0)))</f>
        <v>9.4</v>
      </c>
      <c r="H269" s="3">
        <f>IF(INDEX(学年度总表!$H$3:$H$1025,MATCH($E269,学年度总表!$E$3:$E$1025,0))="","",INDEX(学年度总表!$H$3:$H$1025,MATCH($E269,学年度总表!$E$3:$E$1025,0)))</f>
        <v>54.37</v>
      </c>
      <c r="I269" s="3">
        <f>IF(INDEX(学年度总表!$I$3:$I$1025,MATCH($E269,学年度总表!$E$3:$E$1025,0))="","",INDEX(学年度总表!$I$3:$I$1025,MATCH($E269,学年度总表!$E$3:$E$1025,0)))</f>
        <v>3</v>
      </c>
      <c r="J269" s="3">
        <f>IF(INDEX(学年度总表!$J$3:$J$1025,MATCH($E269,学年度总表!$E$3:$E$1025,0))="","",INDEX(学年度总表!$J$3:$J$1025,MATCH($E269,学年度总表!$E$3:$E$1025,0)))</f>
        <v>66.77</v>
      </c>
      <c r="K269" s="3">
        <f>IF(INDEX(学年度总表!$K$3:$K$1025,MATCH($E269,学年度总表!$E$3:$E$1025,0))="","",INDEX(学年度总表!$K$3:$K$1025,MATCH($E269,学年度总表!$E$3:$E$1025,0)))</f>
        <v>9.8000000000000007</v>
      </c>
      <c r="L269" s="3">
        <f>IF(INDEX(学年度总表!$L$3:$L$1025,MATCH($E269,学年度总表!$E$3:$E$1025,0))="","",INDEX(学年度总表!$L$3:$L$1025,MATCH($E269,学年度总表!$E$3:$E$1025,0)))</f>
        <v>45.71</v>
      </c>
      <c r="M269" s="3">
        <f>IF(INDEX(学年度总表!$M$3:$M$1025,MATCH($E269,学年度总表!$E$3:$E$1025,0))="","",INDEX(学年度总表!$M$3:$M$1025,MATCH($E269,学年度总表!$E$3:$E$1025,0)))</f>
        <v>4</v>
      </c>
      <c r="N269" s="3">
        <f>IF(INDEX(学年度总表!$N$3:$N$1025,MATCH($E269,学年度总表!$E$3:$E$1025,0))="","",INDEX(学年度总表!$N$3:$N$1025,MATCH($E269,学年度总表!$E$3:$E$1025,0)))</f>
        <v>59.51</v>
      </c>
      <c r="O269" s="3">
        <f>IF(INDEX(学年度总表!$O$3:$O$1025,MATCH($E269,学年度总表!$E$3:$E$1025,0))="","",INDEX(学年度总表!$O$3:$O$1025,MATCH($E269,学年度总表!$E$3:$E$1025,0)))</f>
        <v>126.28</v>
      </c>
      <c r="P269" s="2" t="str">
        <f>IF(INDEX(学年度总表!$P$3:$P$1025,MATCH($E269,学年度总表!$E$3:$E$1025,0))="","",INDEX(学年度总表!$P$3:$P$1025,MATCH($E269,学年度总表!$E$3:$E$1025,0)))</f>
        <v/>
      </c>
      <c r="Q269" s="5" t="str">
        <f>IF(INDEX(学年度总表!$Q$3:$Q$1025,MATCH($E269,学年度总表!$E$3:$E$1025,0))="","",INDEX(学年度总表!$Q$3:$Q$1025,MATCH($E269,学年度总表!$E$3:$E$1025,0)))</f>
        <v/>
      </c>
    </row>
    <row r="270" spans="1:17">
      <c r="A270" s="2">
        <f>IF(INDEX(学年度总表!$A$3:$A$1025,MATCH($E270,学年度总表!$E$3:$E$1025,0))="","",INDEX(学年度总表!$A$3:$A$1025,MATCH($E270,学年度总表!$E$3:$E$1025,0)))</f>
        <v>769</v>
      </c>
      <c r="B270" s="2">
        <f>IF(INDEX(学年度总表!$B$3:$B$1025,MATCH($E270,学年度总表!$E$3:$E$1025,0))="","",INDEX(学年度总表!$B$3:$B$1025,MATCH($E270,学年度总表!$E$3:$E$1025,0)))</f>
        <v>268</v>
      </c>
      <c r="C270" s="2" t="str">
        <f>IF(INDEX(学年度总表!$C$3:$C$1025,MATCH($E270,学年度总表!$E$3:$E$1025,0))="","",INDEX(学年度总表!$C$3:$C$1025,MATCH($E270,学年度总表!$E$3:$E$1025,0)))</f>
        <v>信管</v>
      </c>
      <c r="D270" s="2" t="str">
        <f>IF(INDEX(学年度总表!$D$3:$D$1025,MATCH($E270,学年度总表!$E$3:$E$1025,0))="","",INDEX(学年度总表!$D$3:$D$1025,MATCH($E270,学年度总表!$E$3:$E$1025,0)))</f>
        <v>信管28班</v>
      </c>
      <c r="E270" s="2" t="s">
        <v>1599</v>
      </c>
      <c r="F270" s="2" t="str">
        <f>IF(INDEX(学年度总表!$F$3:$F$1025,MATCH($E270,学年度总表!$E$3:$E$1025,0))="","",INDEX(学年度总表!$F$3:$F$1025,MATCH($E270,学年度总表!$E$3:$E$1025,0)))</f>
        <v>高子懿</v>
      </c>
      <c r="G270" s="3">
        <f>IF(INDEX(学年度总表!$G$3:$G$1025,MATCH($E270,学年度总表!$E$3:$E$1025,0))="","",INDEX(学年度总表!$G$3:$G$1025,MATCH($E270,学年度总表!$E$3:$E$1025,0)))</f>
        <v>9.8000000000000007</v>
      </c>
      <c r="H270" s="3">
        <f>IF(INDEX(学年度总表!$H$3:$H$1025,MATCH($E270,学年度总表!$E$3:$E$1025,0))="","",INDEX(学年度总表!$H$3:$H$1025,MATCH($E270,学年度总表!$E$3:$E$1025,0)))</f>
        <v>54.73</v>
      </c>
      <c r="I270" s="3">
        <f>IF(INDEX(学年度总表!$I$3:$I$1025,MATCH($E270,学年度总表!$E$3:$E$1025,0))="","",INDEX(学年度总表!$I$3:$I$1025,MATCH($E270,学年度总表!$E$3:$E$1025,0)))</f>
        <v>3</v>
      </c>
      <c r="J270" s="3">
        <f>IF(INDEX(学年度总表!$J$3:$J$1025,MATCH($E270,学年度总表!$E$3:$E$1025,0))="","",INDEX(学年度总表!$J$3:$J$1025,MATCH($E270,学年度总表!$E$3:$E$1025,0)))</f>
        <v>67.53</v>
      </c>
      <c r="K270" s="3">
        <f>IF(INDEX(学年度总表!$K$3:$K$1025,MATCH($E270,学年度总表!$E$3:$E$1025,0))="","",INDEX(学年度总表!$K$3:$K$1025,MATCH($E270,学年度总表!$E$3:$E$1025,0)))</f>
        <v>7.3000000000000007</v>
      </c>
      <c r="L270" s="3">
        <f>IF(INDEX(学年度总表!$L$3:$L$1025,MATCH($E270,学年度总表!$E$3:$E$1025,0))="","",INDEX(学年度总表!$L$3:$L$1025,MATCH($E270,学年度总表!$E$3:$E$1025,0)))</f>
        <v>47.79</v>
      </c>
      <c r="M270" s="3">
        <f>IF(INDEX(学年度总表!$M$3:$M$1025,MATCH($E270,学年度总表!$E$3:$E$1025,0))="","",INDEX(学年度总表!$M$3:$M$1025,MATCH($E270,学年度总表!$E$3:$E$1025,0)))</f>
        <v>3.5</v>
      </c>
      <c r="N270" s="3">
        <f>IF(INDEX(学年度总表!$N$3:$N$1025,MATCH($E270,学年度总表!$E$3:$E$1025,0))="","",INDEX(学年度总表!$N$3:$N$1025,MATCH($E270,学年度总表!$E$3:$E$1025,0)))</f>
        <v>58.59</v>
      </c>
      <c r="O270" s="3">
        <f>IF(INDEX(学年度总表!$O$3:$O$1025,MATCH($E270,学年度总表!$E$3:$E$1025,0))="","",INDEX(学年度总表!$O$3:$O$1025,MATCH($E270,学年度总表!$E$3:$E$1025,0)))</f>
        <v>126.12</v>
      </c>
      <c r="P270" s="2" t="str">
        <f>IF(INDEX(学年度总表!$P$3:$P$1025,MATCH($E270,学年度总表!$E$3:$E$1025,0))="","",INDEX(学年度总表!$P$3:$P$1025,MATCH($E270,学年度总表!$E$3:$E$1025,0)))</f>
        <v/>
      </c>
      <c r="Q270" s="5" t="str">
        <f>IF(INDEX(学年度总表!$Q$3:$Q$1025,MATCH($E270,学年度总表!$E$3:$E$1025,0))="","",INDEX(学年度总表!$Q$3:$Q$1025,MATCH($E270,学年度总表!$E$3:$E$1025,0)))</f>
        <v/>
      </c>
    </row>
    <row r="271" spans="1:17">
      <c r="A271" s="2">
        <f>IF(INDEX(学年度总表!$A$3:$A$1025,MATCH($E271,学年度总表!$E$3:$E$1025,0))="","",INDEX(学年度总表!$A$3:$A$1025,MATCH($E271,学年度总表!$E$3:$E$1025,0)))</f>
        <v>772</v>
      </c>
      <c r="B271" s="2">
        <f>IF(INDEX(学年度总表!$B$3:$B$1025,MATCH($E271,学年度总表!$E$3:$E$1025,0))="","",INDEX(学年度总表!$B$3:$B$1025,MATCH($E271,学年度总表!$E$3:$E$1025,0)))</f>
        <v>269</v>
      </c>
      <c r="C271" s="2" t="str">
        <f>IF(INDEX(学年度总表!$C$3:$C$1025,MATCH($E271,学年度总表!$E$3:$E$1025,0))="","",INDEX(学年度总表!$C$3:$C$1025,MATCH($E271,学年度总表!$E$3:$E$1025,0)))</f>
        <v>信管</v>
      </c>
      <c r="D271" s="2" t="str">
        <f>IF(INDEX(学年度总表!$D$3:$D$1025,MATCH($E271,学年度总表!$E$3:$E$1025,0))="","",INDEX(学年度总表!$D$3:$D$1025,MATCH($E271,学年度总表!$E$3:$E$1025,0)))</f>
        <v>信管24班</v>
      </c>
      <c r="E271" s="2" t="s">
        <v>1605</v>
      </c>
      <c r="F271" s="2" t="str">
        <f>IF(INDEX(学年度总表!$F$3:$F$1025,MATCH($E271,学年度总表!$E$3:$E$1025,0))="","",INDEX(学年度总表!$F$3:$F$1025,MATCH($E271,学年度总表!$E$3:$E$1025,0)))</f>
        <v>张诗唯</v>
      </c>
      <c r="G271" s="3">
        <f>IF(INDEX(学年度总表!$G$3:$G$1025,MATCH($E271,学年度总表!$E$3:$E$1025,0))="","",INDEX(学年度总表!$G$3:$G$1025,MATCH($E271,学年度总表!$E$3:$E$1025,0)))</f>
        <v>9.8000000000000007</v>
      </c>
      <c r="H271" s="3">
        <f>IF(INDEX(学年度总表!$H$3:$H$1025,MATCH($E271,学年度总表!$E$3:$E$1025,0))="","",INDEX(学年度总表!$H$3:$H$1025,MATCH($E271,学年度总表!$E$3:$E$1025,0)))</f>
        <v>47.98</v>
      </c>
      <c r="I271" s="3">
        <f>IF(INDEX(学年度总表!$I$3:$I$1025,MATCH($E271,学年度总表!$E$3:$E$1025,0))="","",INDEX(学年度总表!$I$3:$I$1025,MATCH($E271,学年度总表!$E$3:$E$1025,0)))</f>
        <v>4.7</v>
      </c>
      <c r="J271" s="3">
        <f>IF(INDEX(学年度总表!$J$3:$J$1025,MATCH($E271,学年度总表!$E$3:$E$1025,0))="","",INDEX(学年度总表!$J$3:$J$1025,MATCH($E271,学年度总表!$E$3:$E$1025,0)))</f>
        <v>62.48</v>
      </c>
      <c r="K271" s="3">
        <f>IF(INDEX(学年度总表!$K$3:$K$1025,MATCH($E271,学年度总表!$E$3:$E$1025,0))="","",INDEX(学年度总表!$K$3:$K$1025,MATCH($E271,学年度总表!$E$3:$E$1025,0)))</f>
        <v>7.3000000000000007</v>
      </c>
      <c r="L271" s="3">
        <f>IF(INDEX(学年度总表!$L$3:$L$1025,MATCH($E271,学年度总表!$E$3:$E$1025,0))="","",INDEX(学年度总表!$L$3:$L$1025,MATCH($E271,学年度总表!$E$3:$E$1025,0)))</f>
        <v>52.03</v>
      </c>
      <c r="M271" s="3">
        <f>IF(INDEX(学年度总表!$M$3:$M$1025,MATCH($E271,学年度总表!$E$3:$E$1025,0))="","",INDEX(学年度总表!$M$3:$M$1025,MATCH($E271,学年度总表!$E$3:$E$1025,0)))</f>
        <v>4</v>
      </c>
      <c r="N271" s="3">
        <f>IF(INDEX(学年度总表!$N$3:$N$1025,MATCH($E271,学年度总表!$E$3:$E$1025,0))="","",INDEX(学年度总表!$N$3:$N$1025,MATCH($E271,学年度总表!$E$3:$E$1025,0)))</f>
        <v>63.33</v>
      </c>
      <c r="O271" s="3">
        <f>IF(INDEX(学年度总表!$O$3:$O$1025,MATCH($E271,学年度总表!$E$3:$E$1025,0))="","",INDEX(学年度总表!$O$3:$O$1025,MATCH($E271,学年度总表!$E$3:$E$1025,0)))</f>
        <v>125.81</v>
      </c>
      <c r="P271" s="2" t="str">
        <f>IF(INDEX(学年度总表!$P$3:$P$1025,MATCH($E271,学年度总表!$E$3:$E$1025,0))="","",INDEX(学年度总表!$P$3:$P$1025,MATCH($E271,学年度总表!$E$3:$E$1025,0)))</f>
        <v/>
      </c>
      <c r="Q271" s="5" t="str">
        <f>IF(INDEX(学年度总表!$Q$3:$Q$1025,MATCH($E271,学年度总表!$E$3:$E$1025,0))="","",INDEX(学年度总表!$Q$3:$Q$1025,MATCH($E271,学年度总表!$E$3:$E$1025,0)))</f>
        <v/>
      </c>
    </row>
    <row r="272" spans="1:17">
      <c r="A272" s="2">
        <f>IF(INDEX(学年度总表!$A$3:$A$1025,MATCH($E272,学年度总表!$E$3:$E$1025,0))="","",INDEX(学年度总表!$A$3:$A$1025,MATCH($E272,学年度总表!$E$3:$E$1025,0)))</f>
        <v>774</v>
      </c>
      <c r="B272" s="2">
        <f>IF(INDEX(学年度总表!$B$3:$B$1025,MATCH($E272,学年度总表!$E$3:$E$1025,0))="","",INDEX(学年度总表!$B$3:$B$1025,MATCH($E272,学年度总表!$E$3:$E$1025,0)))</f>
        <v>270</v>
      </c>
      <c r="C272" s="2" t="str">
        <f>IF(INDEX(学年度总表!$C$3:$C$1025,MATCH($E272,学年度总表!$E$3:$E$1025,0))="","",INDEX(学年度总表!$C$3:$C$1025,MATCH($E272,学年度总表!$E$3:$E$1025,0)))</f>
        <v>信管</v>
      </c>
      <c r="D272" s="2" t="str">
        <f>IF(INDEX(学年度总表!$D$3:$D$1025,MATCH($E272,学年度总表!$E$3:$E$1025,0))="","",INDEX(学年度总表!$D$3:$D$1025,MATCH($E272,学年度总表!$E$3:$E$1025,0)))</f>
        <v>信管24班</v>
      </c>
      <c r="E272" s="2" t="s">
        <v>1609</v>
      </c>
      <c r="F272" s="2" t="str">
        <f>IF(INDEX(学年度总表!$F$3:$F$1025,MATCH($E272,学年度总表!$E$3:$E$1025,0))="","",INDEX(学年度总表!$F$3:$F$1025,MATCH($E272,学年度总表!$E$3:$E$1025,0)))</f>
        <v>陈欣然</v>
      </c>
      <c r="G272" s="3">
        <f>IF(INDEX(学年度总表!$G$3:$G$1025,MATCH($E272,学年度总表!$E$3:$E$1025,0))="","",INDEX(学年度总表!$G$3:$G$1025,MATCH($E272,学年度总表!$E$3:$E$1025,0)))</f>
        <v>9.8000000000000007</v>
      </c>
      <c r="H272" s="3">
        <f>IF(INDEX(学年度总表!$H$3:$H$1025,MATCH($E272,学年度总表!$E$3:$E$1025,0))="","",INDEX(学年度总表!$H$3:$H$1025,MATCH($E272,学年度总表!$E$3:$E$1025,0)))</f>
        <v>46.77</v>
      </c>
      <c r="I272" s="3">
        <f>IF(INDEX(学年度总表!$I$3:$I$1025,MATCH($E272,学年度总表!$E$3:$E$1025,0))="","",INDEX(学年度总表!$I$3:$I$1025,MATCH($E272,学年度总表!$E$3:$E$1025,0)))</f>
        <v>3</v>
      </c>
      <c r="J272" s="3">
        <f>IF(INDEX(学年度总表!$J$3:$J$1025,MATCH($E272,学年度总表!$E$3:$E$1025,0))="","",INDEX(学年度总表!$J$3:$J$1025,MATCH($E272,学年度总表!$E$3:$E$1025,0)))</f>
        <v>59.57</v>
      </c>
      <c r="K272" s="3">
        <f>IF(INDEX(学年度总表!$K$3:$K$1025,MATCH($E272,学年度总表!$E$3:$E$1025,0))="","",INDEX(学年度总表!$K$3:$K$1025,MATCH($E272,学年度总表!$E$3:$E$1025,0)))</f>
        <v>9.8000000000000007</v>
      </c>
      <c r="L272" s="3">
        <f>IF(INDEX(学年度总表!$L$3:$L$1025,MATCH($E272,学年度总表!$E$3:$E$1025,0))="","",INDEX(学年度总表!$L$3:$L$1025,MATCH($E272,学年度总表!$E$3:$E$1025,0)))</f>
        <v>53.35</v>
      </c>
      <c r="M272" s="3">
        <f>IF(INDEX(学年度总表!$M$3:$M$1025,MATCH($E272,学年度总表!$E$3:$E$1025,0))="","",INDEX(学年度总表!$M$3:$M$1025,MATCH($E272,学年度总表!$E$3:$E$1025,0)))</f>
        <v>3</v>
      </c>
      <c r="N272" s="3">
        <f>IF(INDEX(学年度总表!$N$3:$N$1025,MATCH($E272,学年度总表!$E$3:$E$1025,0))="","",INDEX(学年度总表!$N$3:$N$1025,MATCH($E272,学年度总表!$E$3:$E$1025,0)))</f>
        <v>66.150000000000006</v>
      </c>
      <c r="O272" s="3">
        <f>IF(INDEX(学年度总表!$O$3:$O$1025,MATCH($E272,学年度总表!$E$3:$E$1025,0))="","",INDEX(学年度总表!$O$3:$O$1025,MATCH($E272,学年度总表!$E$3:$E$1025,0)))</f>
        <v>125.72</v>
      </c>
      <c r="P272" s="2" t="str">
        <f>IF(INDEX(学年度总表!$P$3:$P$1025,MATCH($E272,学年度总表!$E$3:$E$1025,0))="","",INDEX(学年度总表!$P$3:$P$1025,MATCH($E272,学年度总表!$E$3:$E$1025,0)))</f>
        <v/>
      </c>
      <c r="Q272" s="5" t="str">
        <f>IF(INDEX(学年度总表!$Q$3:$Q$1025,MATCH($E272,学年度总表!$E$3:$E$1025,0))="","",INDEX(学年度总表!$Q$3:$Q$1025,MATCH($E272,学年度总表!$E$3:$E$1025,0)))</f>
        <v/>
      </c>
    </row>
    <row r="273" spans="1:17">
      <c r="A273" s="2">
        <f>IF(INDEX(学年度总表!$A$3:$A$1025,MATCH($E273,学年度总表!$E$3:$E$1025,0))="","",INDEX(学年度总表!$A$3:$A$1025,MATCH($E273,学年度总表!$E$3:$E$1025,0)))</f>
        <v>775</v>
      </c>
      <c r="B273" s="2">
        <f>IF(INDEX(学年度总表!$B$3:$B$1025,MATCH($E273,学年度总表!$E$3:$E$1025,0))="","",INDEX(学年度总表!$B$3:$B$1025,MATCH($E273,学年度总表!$E$3:$E$1025,0)))</f>
        <v>271</v>
      </c>
      <c r="C273" s="2" t="str">
        <f>IF(INDEX(学年度总表!$C$3:$C$1025,MATCH($E273,学年度总表!$E$3:$E$1025,0))="","",INDEX(学年度总表!$C$3:$C$1025,MATCH($E273,学年度总表!$E$3:$E$1025,0)))</f>
        <v>信管</v>
      </c>
      <c r="D273" s="2" t="str">
        <f>IF(INDEX(学年度总表!$D$3:$D$1025,MATCH($E273,学年度总表!$E$3:$E$1025,0))="","",INDEX(学年度总表!$D$3:$D$1025,MATCH($E273,学年度总表!$E$3:$E$1025,0)))</f>
        <v>信管24班</v>
      </c>
      <c r="E273" s="2" t="s">
        <v>1611</v>
      </c>
      <c r="F273" s="2" t="str">
        <f>IF(INDEX(学年度总表!$F$3:$F$1025,MATCH($E273,学年度总表!$E$3:$E$1025,0))="","",INDEX(学年度总表!$F$3:$F$1025,MATCH($E273,学年度总表!$E$3:$E$1025,0)))</f>
        <v>马梓鸣</v>
      </c>
      <c r="G273" s="3">
        <f>IF(INDEX(学年度总表!$G$3:$G$1025,MATCH($E273,学年度总表!$E$3:$E$1025,0))="","",INDEX(学年度总表!$G$3:$G$1025,MATCH($E273,学年度总表!$E$3:$E$1025,0)))</f>
        <v>9.8000000000000007</v>
      </c>
      <c r="H273" s="3">
        <f>IF(INDEX(学年度总表!$H$3:$H$1025,MATCH($E273,学年度总表!$E$3:$E$1025,0))="","",INDEX(学年度总表!$H$3:$H$1025,MATCH($E273,学年度总表!$E$3:$E$1025,0)))</f>
        <v>44.87</v>
      </c>
      <c r="I273" s="3">
        <f>IF(INDEX(学年度总表!$I$3:$I$1025,MATCH($E273,学年度总表!$E$3:$E$1025,0))="","",INDEX(学年度总表!$I$3:$I$1025,MATCH($E273,学年度总表!$E$3:$E$1025,0)))</f>
        <v>5</v>
      </c>
      <c r="J273" s="3">
        <f>IF(INDEX(学年度总表!$J$3:$J$1025,MATCH($E273,学年度总表!$E$3:$E$1025,0))="","",INDEX(学年度总表!$J$3:$J$1025,MATCH($E273,学年度总表!$E$3:$E$1025,0)))</f>
        <v>59.67</v>
      </c>
      <c r="K273" s="3">
        <f>IF(INDEX(学年度总表!$K$3:$K$1025,MATCH($E273,学年度总表!$E$3:$E$1025,0))="","",INDEX(学年度总表!$K$3:$K$1025,MATCH($E273,学年度总表!$E$3:$E$1025,0)))</f>
        <v>9.8000000000000007</v>
      </c>
      <c r="L273" s="3">
        <f>IF(INDEX(学年度总表!$L$3:$L$1025,MATCH($E273,学年度总表!$E$3:$E$1025,0))="","",INDEX(学年度总表!$L$3:$L$1025,MATCH($E273,学年度总表!$E$3:$E$1025,0)))</f>
        <v>53.18</v>
      </c>
      <c r="M273" s="3">
        <f>IF(INDEX(学年度总表!$M$3:$M$1025,MATCH($E273,学年度总表!$E$3:$E$1025,0))="","",INDEX(学年度总表!$M$3:$M$1025,MATCH($E273,学年度总表!$E$3:$E$1025,0)))</f>
        <v>3</v>
      </c>
      <c r="N273" s="3">
        <f>IF(INDEX(学年度总表!$N$3:$N$1025,MATCH($E273,学年度总表!$E$3:$E$1025,0))="","",INDEX(学年度总表!$N$3:$N$1025,MATCH($E273,学年度总表!$E$3:$E$1025,0)))</f>
        <v>65.98</v>
      </c>
      <c r="O273" s="3">
        <f>IF(INDEX(学年度总表!$O$3:$O$1025,MATCH($E273,学年度总表!$E$3:$E$1025,0))="","",INDEX(学年度总表!$O$3:$O$1025,MATCH($E273,学年度总表!$E$3:$E$1025,0)))</f>
        <v>125.65</v>
      </c>
      <c r="P273" s="2" t="str">
        <f>IF(INDEX(学年度总表!$P$3:$P$1025,MATCH($E273,学年度总表!$E$3:$E$1025,0))="","",INDEX(学年度总表!$P$3:$P$1025,MATCH($E273,学年度总表!$E$3:$E$1025,0)))</f>
        <v/>
      </c>
      <c r="Q273" s="5" t="str">
        <f>IF(INDEX(学年度总表!$Q$3:$Q$1025,MATCH($E273,学年度总表!$E$3:$E$1025,0))="","",INDEX(学年度总表!$Q$3:$Q$1025,MATCH($E273,学年度总表!$E$3:$E$1025,0)))</f>
        <v/>
      </c>
    </row>
    <row r="274" spans="1:17">
      <c r="A274" s="2">
        <f>IF(INDEX(学年度总表!$A$3:$A$1025,MATCH($E274,学年度总表!$E$3:$E$1025,0))="","",INDEX(学年度总表!$A$3:$A$1025,MATCH($E274,学年度总表!$E$3:$E$1025,0)))</f>
        <v>776</v>
      </c>
      <c r="B274" s="2">
        <f>IF(INDEX(学年度总表!$B$3:$B$1025,MATCH($E274,学年度总表!$E$3:$E$1025,0))="","",INDEX(学年度总表!$B$3:$B$1025,MATCH($E274,学年度总表!$E$3:$E$1025,0)))</f>
        <v>272</v>
      </c>
      <c r="C274" s="2" t="str">
        <f>IF(INDEX(学年度总表!$C$3:$C$1025,MATCH($E274,学年度总表!$E$3:$E$1025,0))="","",INDEX(学年度总表!$C$3:$C$1025,MATCH($E274,学年度总表!$E$3:$E$1025,0)))</f>
        <v>信管</v>
      </c>
      <c r="D274" s="2" t="str">
        <f>IF(INDEX(学年度总表!$D$3:$D$1025,MATCH($E274,学年度总表!$E$3:$E$1025,0))="","",INDEX(学年度总表!$D$3:$D$1025,MATCH($E274,学年度总表!$E$3:$E$1025,0)))</f>
        <v>信管22班</v>
      </c>
      <c r="E274" s="2" t="s">
        <v>1613</v>
      </c>
      <c r="F274" s="2" t="str">
        <f>IF(INDEX(学年度总表!$F$3:$F$1025,MATCH($E274,学年度总表!$E$3:$E$1025,0))="","",INDEX(学年度总表!$F$3:$F$1025,MATCH($E274,学年度总表!$E$3:$E$1025,0)))</f>
        <v>付慈</v>
      </c>
      <c r="G274" s="3">
        <f>IF(INDEX(学年度总表!$G$3:$G$1025,MATCH($E274,学年度总表!$E$3:$E$1025,0))="","",INDEX(学年度总表!$G$3:$G$1025,MATCH($E274,学年度总表!$E$3:$E$1025,0)))</f>
        <v>9.8000000000000007</v>
      </c>
      <c r="H274" s="3">
        <f>IF(INDEX(学年度总表!$H$3:$H$1025,MATCH($E274,学年度总表!$E$3:$E$1025,0))="","",INDEX(学年度总表!$H$3:$H$1025,MATCH($E274,学年度总表!$E$3:$E$1025,0)))</f>
        <v>54</v>
      </c>
      <c r="I274" s="3">
        <f>IF(INDEX(学年度总表!$I$3:$I$1025,MATCH($E274,学年度总表!$E$3:$E$1025,0))="","",INDEX(学年度总表!$I$3:$I$1025,MATCH($E274,学年度总表!$E$3:$E$1025,0)))</f>
        <v>3.6</v>
      </c>
      <c r="J274" s="3">
        <f>IF(INDEX(学年度总表!$J$3:$J$1025,MATCH($E274,学年度总表!$E$3:$E$1025,0))="","",INDEX(学年度总表!$J$3:$J$1025,MATCH($E274,学年度总表!$E$3:$E$1025,0)))</f>
        <v>67.400000000000006</v>
      </c>
      <c r="K274" s="3">
        <f>IF(INDEX(学年度总表!$K$3:$K$1025,MATCH($E274,学年度总表!$E$3:$E$1025,0))="","",INDEX(学年度总表!$K$3:$K$1025,MATCH($E274,学年度总表!$E$3:$E$1025,0)))</f>
        <v>9.8000000000000007</v>
      </c>
      <c r="L274" s="3">
        <f>IF(INDEX(学年度总表!$L$3:$L$1025,MATCH($E274,学年度总表!$E$3:$E$1025,0))="","",INDEX(学年度总表!$L$3:$L$1025,MATCH($E274,学年度总表!$E$3:$E$1025,0)))</f>
        <v>45.22</v>
      </c>
      <c r="M274" s="3">
        <f>IF(INDEX(学年度总表!$M$3:$M$1025,MATCH($E274,学年度总表!$E$3:$E$1025,0))="","",INDEX(学年度总表!$M$3:$M$1025,MATCH($E274,学年度总表!$E$3:$E$1025,0)))</f>
        <v>3</v>
      </c>
      <c r="N274" s="3">
        <f>IF(INDEX(学年度总表!$N$3:$N$1025,MATCH($E274,学年度总表!$E$3:$E$1025,0))="","",INDEX(学年度总表!$N$3:$N$1025,MATCH($E274,学年度总表!$E$3:$E$1025,0)))</f>
        <v>58.02</v>
      </c>
      <c r="O274" s="3">
        <f>IF(INDEX(学年度总表!$O$3:$O$1025,MATCH($E274,学年度总表!$E$3:$E$1025,0))="","",INDEX(学年度总表!$O$3:$O$1025,MATCH($E274,学年度总表!$E$3:$E$1025,0)))</f>
        <v>125.42</v>
      </c>
      <c r="P274" s="2" t="str">
        <f>IF(INDEX(学年度总表!$P$3:$P$1025,MATCH($E274,学年度总表!$E$3:$E$1025,0))="","",INDEX(学年度总表!$P$3:$P$1025,MATCH($E274,学年度总表!$E$3:$E$1025,0)))</f>
        <v/>
      </c>
      <c r="Q274" s="5" t="str">
        <f>IF(INDEX(学年度总表!$Q$3:$Q$1025,MATCH($E274,学年度总表!$E$3:$E$1025,0))="","",INDEX(学年度总表!$Q$3:$Q$1025,MATCH($E274,学年度总表!$E$3:$E$1025,0)))</f>
        <v/>
      </c>
    </row>
    <row r="275" spans="1:17">
      <c r="A275" s="2">
        <f>IF(INDEX(学年度总表!$A$3:$A$1025,MATCH($E275,学年度总表!$E$3:$E$1025,0))="","",INDEX(学年度总表!$A$3:$A$1025,MATCH($E275,学年度总表!$E$3:$E$1025,0)))</f>
        <v>779</v>
      </c>
      <c r="B275" s="2">
        <f>IF(INDEX(学年度总表!$B$3:$B$1025,MATCH($E275,学年度总表!$E$3:$E$1025,0))="","",INDEX(学年度总表!$B$3:$B$1025,MATCH($E275,学年度总表!$E$3:$E$1025,0)))</f>
        <v>273</v>
      </c>
      <c r="C275" s="2" t="str">
        <f>IF(INDEX(学年度总表!$C$3:$C$1025,MATCH($E275,学年度总表!$E$3:$E$1025,0))="","",INDEX(学年度总表!$C$3:$C$1025,MATCH($E275,学年度总表!$E$3:$E$1025,0)))</f>
        <v>信管</v>
      </c>
      <c r="D275" s="2" t="str">
        <f>IF(INDEX(学年度总表!$D$3:$D$1025,MATCH($E275,学年度总表!$E$3:$E$1025,0))="","",INDEX(学年度总表!$D$3:$D$1025,MATCH($E275,学年度总表!$E$3:$E$1025,0)))</f>
        <v>信管19班</v>
      </c>
      <c r="E275" s="2" t="s">
        <v>1619</v>
      </c>
      <c r="F275" s="2" t="str">
        <f>IF(INDEX(学年度总表!$F$3:$F$1025,MATCH($E275,学年度总表!$E$3:$E$1025,0))="","",INDEX(学年度总表!$F$3:$F$1025,MATCH($E275,学年度总表!$E$3:$E$1025,0)))</f>
        <v>刘双菱</v>
      </c>
      <c r="G275" s="3">
        <f>IF(INDEX(学年度总表!$G$3:$G$1025,MATCH($E275,学年度总表!$E$3:$E$1025,0))="","",INDEX(学年度总表!$G$3:$G$1025,MATCH($E275,学年度总表!$E$3:$E$1025,0)))</f>
        <v>9.8000000000000007</v>
      </c>
      <c r="H275" s="3">
        <f>IF(INDEX(学年度总表!$H$3:$H$1025,MATCH($E275,学年度总表!$E$3:$E$1025,0))="","",INDEX(学年度总表!$H$3:$H$1025,MATCH($E275,学年度总表!$E$3:$E$1025,0)))</f>
        <v>50.39</v>
      </c>
      <c r="I275" s="3">
        <f>IF(INDEX(学年度总表!$I$3:$I$1025,MATCH($E275,学年度总表!$E$3:$E$1025,0))="","",INDEX(学年度总表!$I$3:$I$1025,MATCH($E275,学年度总表!$E$3:$E$1025,0)))</f>
        <v>3.4</v>
      </c>
      <c r="J275" s="3">
        <f>IF(INDEX(学年度总表!$J$3:$J$1025,MATCH($E275,学年度总表!$E$3:$E$1025,0))="","",INDEX(学年度总表!$J$3:$J$1025,MATCH($E275,学年度总表!$E$3:$E$1025,0)))</f>
        <v>63.59</v>
      </c>
      <c r="K275" s="3">
        <f>IF(INDEX(学年度总表!$K$3:$K$1025,MATCH($E275,学年度总表!$E$3:$E$1025,0))="","",INDEX(学年度总表!$K$3:$K$1025,MATCH($E275,学年度总表!$E$3:$E$1025,0)))</f>
        <v>9.8000000000000007</v>
      </c>
      <c r="L275" s="3">
        <f>IF(INDEX(学年度总表!$L$3:$L$1025,MATCH($E275,学年度总表!$E$3:$E$1025,0))="","",INDEX(学年度总表!$L$3:$L$1025,MATCH($E275,学年度总表!$E$3:$E$1025,0)))</f>
        <v>48.97</v>
      </c>
      <c r="M275" s="3">
        <f>IF(INDEX(学年度总表!$M$3:$M$1025,MATCH($E275,学年度总表!$E$3:$E$1025,0))="","",INDEX(学年度总表!$M$3:$M$1025,MATCH($E275,学年度总表!$E$3:$E$1025,0)))</f>
        <v>3</v>
      </c>
      <c r="N275" s="3">
        <f>IF(INDEX(学年度总表!$N$3:$N$1025,MATCH($E275,学年度总表!$E$3:$E$1025,0))="","",INDEX(学年度总表!$N$3:$N$1025,MATCH($E275,学年度总表!$E$3:$E$1025,0)))</f>
        <v>61.77</v>
      </c>
      <c r="O275" s="3">
        <f>IF(INDEX(学年度总表!$O$3:$O$1025,MATCH($E275,学年度总表!$E$3:$E$1025,0))="","",INDEX(学年度总表!$O$3:$O$1025,MATCH($E275,学年度总表!$E$3:$E$1025,0)))</f>
        <v>125.36</v>
      </c>
      <c r="P275" s="2" t="str">
        <f>IF(INDEX(学年度总表!$P$3:$P$1025,MATCH($E275,学年度总表!$E$3:$E$1025,0))="","",INDEX(学年度总表!$P$3:$P$1025,MATCH($E275,学年度总表!$E$3:$E$1025,0)))</f>
        <v/>
      </c>
      <c r="Q275" s="5" t="str">
        <f>IF(INDEX(学年度总表!$Q$3:$Q$1025,MATCH($E275,学年度总表!$E$3:$E$1025,0))="","",INDEX(学年度总表!$Q$3:$Q$1025,MATCH($E275,学年度总表!$E$3:$E$1025,0)))</f>
        <v/>
      </c>
    </row>
    <row r="276" spans="1:17">
      <c r="A276" s="2">
        <f>IF(INDEX(学年度总表!$A$3:$A$1025,MATCH($E276,学年度总表!$E$3:$E$1025,0))="","",INDEX(学年度总表!$A$3:$A$1025,MATCH($E276,学年度总表!$E$3:$E$1025,0)))</f>
        <v>780</v>
      </c>
      <c r="B276" s="2">
        <f>IF(INDEX(学年度总表!$B$3:$B$1025,MATCH($E276,学年度总表!$E$3:$E$1025,0))="","",INDEX(学年度总表!$B$3:$B$1025,MATCH($E276,学年度总表!$E$3:$E$1025,0)))</f>
        <v>274</v>
      </c>
      <c r="C276" s="2" t="str">
        <f>IF(INDEX(学年度总表!$C$3:$C$1025,MATCH($E276,学年度总表!$E$3:$E$1025,0))="","",INDEX(学年度总表!$C$3:$C$1025,MATCH($E276,学年度总表!$E$3:$E$1025,0)))</f>
        <v>信管</v>
      </c>
      <c r="D276" s="2" t="str">
        <f>IF(INDEX(学年度总表!$D$3:$D$1025,MATCH($E276,学年度总表!$E$3:$E$1025,0))="","",INDEX(学年度总表!$D$3:$D$1025,MATCH($E276,学年度总表!$E$3:$E$1025,0)))</f>
        <v>信管26班</v>
      </c>
      <c r="E276" s="2" t="s">
        <v>1621</v>
      </c>
      <c r="F276" s="2" t="str">
        <f>IF(INDEX(学年度总表!$F$3:$F$1025,MATCH($E276,学年度总表!$E$3:$E$1025,0))="","",INDEX(学年度总表!$F$3:$F$1025,MATCH($E276,学年度总表!$E$3:$E$1025,0)))</f>
        <v>闫龄予</v>
      </c>
      <c r="G276" s="3">
        <f>IF(INDEX(学年度总表!$G$3:$G$1025,MATCH($E276,学年度总表!$E$3:$E$1025,0))="","",INDEX(学年度总表!$G$3:$G$1025,MATCH($E276,学年度总表!$E$3:$E$1025,0)))</f>
        <v>9.8000000000000007</v>
      </c>
      <c r="H276" s="3">
        <f>IF(INDEX(学年度总表!$H$3:$H$1025,MATCH($E276,学年度总表!$E$3:$E$1025,0))="","",INDEX(学年度总表!$H$3:$H$1025,MATCH($E276,学年度总表!$E$3:$E$1025,0)))</f>
        <v>52.5</v>
      </c>
      <c r="I276" s="3">
        <f>IF(INDEX(学年度总表!$I$3:$I$1025,MATCH($E276,学年度总表!$E$3:$E$1025,0))="","",INDEX(学年度总表!$I$3:$I$1025,MATCH($E276,学年度总表!$E$3:$E$1025,0)))</f>
        <v>3</v>
      </c>
      <c r="J276" s="3">
        <f>IF(INDEX(学年度总表!$J$3:$J$1025,MATCH($E276,学年度总表!$E$3:$E$1025,0))="","",INDEX(学年度总表!$J$3:$J$1025,MATCH($E276,学年度总表!$E$3:$E$1025,0)))</f>
        <v>65.3</v>
      </c>
      <c r="K276" s="3">
        <f>IF(INDEX(学年度总表!$K$3:$K$1025,MATCH($E276,学年度总表!$E$3:$E$1025,0))="","",INDEX(学年度总表!$K$3:$K$1025,MATCH($E276,学年度总表!$E$3:$E$1025,0)))</f>
        <v>7.3000000000000007</v>
      </c>
      <c r="L276" s="3">
        <f>IF(INDEX(学年度总表!$L$3:$L$1025,MATCH($E276,学年度总表!$E$3:$E$1025,0))="","",INDEX(学年度总表!$L$3:$L$1025,MATCH($E276,学年度总表!$E$3:$E$1025,0)))</f>
        <v>49.75</v>
      </c>
      <c r="M276" s="3">
        <f>IF(INDEX(学年度总表!$M$3:$M$1025,MATCH($E276,学年度总表!$E$3:$E$1025,0))="","",INDEX(学年度总表!$M$3:$M$1025,MATCH($E276,学年度总表!$E$3:$E$1025,0)))</f>
        <v>3</v>
      </c>
      <c r="N276" s="3">
        <f>IF(INDEX(学年度总表!$N$3:$N$1025,MATCH($E276,学年度总表!$E$3:$E$1025,0))="","",INDEX(学年度总表!$N$3:$N$1025,MATCH($E276,学年度总表!$E$3:$E$1025,0)))</f>
        <v>60.05</v>
      </c>
      <c r="O276" s="3">
        <f>IF(INDEX(学年度总表!$O$3:$O$1025,MATCH($E276,学年度总表!$E$3:$E$1025,0))="","",INDEX(学年度总表!$O$3:$O$1025,MATCH($E276,学年度总表!$E$3:$E$1025,0)))</f>
        <v>125.35</v>
      </c>
      <c r="P276" s="2" t="str">
        <f>IF(INDEX(学年度总表!$P$3:$P$1025,MATCH($E276,学年度总表!$E$3:$E$1025,0))="","",INDEX(学年度总表!$P$3:$P$1025,MATCH($E276,学年度总表!$E$3:$E$1025,0)))</f>
        <v/>
      </c>
      <c r="Q276" s="5" t="str">
        <f>IF(INDEX(学年度总表!$Q$3:$Q$1025,MATCH($E276,学年度总表!$E$3:$E$1025,0))="","",INDEX(学年度总表!$Q$3:$Q$1025,MATCH($E276,学年度总表!$E$3:$E$1025,0)))</f>
        <v/>
      </c>
    </row>
    <row r="277" spans="1:17">
      <c r="A277" s="2">
        <f>IF(INDEX(学年度总表!$A$3:$A$1025,MATCH($E277,学年度总表!$E$3:$E$1025,0))="","",INDEX(学年度总表!$A$3:$A$1025,MATCH($E277,学年度总表!$E$3:$E$1025,0)))</f>
        <v>781</v>
      </c>
      <c r="B277" s="2">
        <f>IF(INDEX(学年度总表!$B$3:$B$1025,MATCH($E277,学年度总表!$E$3:$E$1025,0))="","",INDEX(学年度总表!$B$3:$B$1025,MATCH($E277,学年度总表!$E$3:$E$1025,0)))</f>
        <v>275</v>
      </c>
      <c r="C277" s="2" t="str">
        <f>IF(INDEX(学年度总表!$C$3:$C$1025,MATCH($E277,学年度总表!$E$3:$E$1025,0))="","",INDEX(学年度总表!$C$3:$C$1025,MATCH($E277,学年度总表!$E$3:$E$1025,0)))</f>
        <v>信管</v>
      </c>
      <c r="D277" s="2" t="str">
        <f>IF(INDEX(学年度总表!$D$3:$D$1025,MATCH($E277,学年度总表!$E$3:$E$1025,0))="","",INDEX(学年度总表!$D$3:$D$1025,MATCH($E277,学年度总表!$E$3:$E$1025,0)))</f>
        <v>信管26班</v>
      </c>
      <c r="E277" s="2" t="s">
        <v>1625</v>
      </c>
      <c r="F277" s="2" t="str">
        <f>IF(INDEX(学年度总表!$F$3:$F$1025,MATCH($E277,学年度总表!$E$3:$E$1025,0))="","",INDEX(学年度总表!$F$3:$F$1025,MATCH($E277,学年度总表!$E$3:$E$1025,0)))</f>
        <v>李冠熹</v>
      </c>
      <c r="G277" s="3">
        <f>IF(INDEX(学年度总表!$G$3:$G$1025,MATCH($E277,学年度总表!$E$3:$E$1025,0))="","",INDEX(学年度总表!$G$3:$G$1025,MATCH($E277,学年度总表!$E$3:$E$1025,0)))</f>
        <v>10.3</v>
      </c>
      <c r="H277" s="3">
        <f>IF(INDEX(学年度总表!$H$3:$H$1025,MATCH($E277,学年度总表!$E$3:$E$1025,0))="","",INDEX(学年度总表!$H$3:$H$1025,MATCH($E277,学年度总表!$E$3:$E$1025,0)))</f>
        <v>51.5</v>
      </c>
      <c r="I277" s="3">
        <f>IF(INDEX(学年度总表!$I$3:$I$1025,MATCH($E277,学年度总表!$E$3:$E$1025,0))="","",INDEX(学年度总表!$I$3:$I$1025,MATCH($E277,学年度总表!$E$3:$E$1025,0)))</f>
        <v>5</v>
      </c>
      <c r="J277" s="3">
        <f>IF(INDEX(学年度总表!$J$3:$J$1025,MATCH($E277,学年度总表!$E$3:$E$1025,0))="","",INDEX(学年度总表!$J$3:$J$1025,MATCH($E277,学年度总表!$E$3:$E$1025,0)))</f>
        <v>66.8</v>
      </c>
      <c r="K277" s="3">
        <f>IF(INDEX(学年度总表!$K$3:$K$1025,MATCH($E277,学年度总表!$E$3:$E$1025,0))="","",INDEX(学年度总表!$K$3:$K$1025,MATCH($E277,学年度总表!$E$3:$E$1025,0)))</f>
        <v>7.3000000000000007</v>
      </c>
      <c r="L277" s="3">
        <f>IF(INDEX(学年度总表!$L$3:$L$1025,MATCH($E277,学年度总表!$E$3:$E$1025,0))="","",INDEX(学年度总表!$L$3:$L$1025,MATCH($E277,学年度总表!$E$3:$E$1025,0)))</f>
        <v>46.66</v>
      </c>
      <c r="M277" s="3">
        <f>IF(INDEX(学年度总表!$M$3:$M$1025,MATCH($E277,学年度总表!$E$3:$E$1025,0))="","",INDEX(学年度总表!$M$3:$M$1025,MATCH($E277,学年度总表!$E$3:$E$1025,0)))</f>
        <v>4.5</v>
      </c>
      <c r="N277" s="3">
        <f>IF(INDEX(学年度总表!$N$3:$N$1025,MATCH($E277,学年度总表!$E$3:$E$1025,0))="","",INDEX(学年度总表!$N$3:$N$1025,MATCH($E277,学年度总表!$E$3:$E$1025,0)))</f>
        <v>58.46</v>
      </c>
      <c r="O277" s="3">
        <f>IF(INDEX(学年度总表!$O$3:$O$1025,MATCH($E277,学年度总表!$E$3:$E$1025,0))="","",INDEX(学年度总表!$O$3:$O$1025,MATCH($E277,学年度总表!$E$3:$E$1025,0)))</f>
        <v>125.26</v>
      </c>
      <c r="P277" s="2" t="str">
        <f>IF(INDEX(学年度总表!$P$3:$P$1025,MATCH($E277,学年度总表!$E$3:$E$1025,0))="","",INDEX(学年度总表!$P$3:$P$1025,MATCH($E277,学年度总表!$E$3:$E$1025,0)))</f>
        <v/>
      </c>
      <c r="Q277" s="5" t="str">
        <f>IF(INDEX(学年度总表!$Q$3:$Q$1025,MATCH($E277,学年度总表!$E$3:$E$1025,0))="","",INDEX(学年度总表!$Q$3:$Q$1025,MATCH($E277,学年度总表!$E$3:$E$1025,0)))</f>
        <v/>
      </c>
    </row>
    <row r="278" spans="1:17">
      <c r="A278" s="2">
        <f>IF(INDEX(学年度总表!$A$3:$A$1025,MATCH($E278,学年度总表!$E$3:$E$1025,0))="","",INDEX(学年度总表!$A$3:$A$1025,MATCH($E278,学年度总表!$E$3:$E$1025,0)))</f>
        <v>784</v>
      </c>
      <c r="B278" s="2">
        <f>IF(INDEX(学年度总表!$B$3:$B$1025,MATCH($E278,学年度总表!$E$3:$E$1025,0))="","",INDEX(学年度总表!$B$3:$B$1025,MATCH($E278,学年度总表!$E$3:$E$1025,0)))</f>
        <v>276</v>
      </c>
      <c r="C278" s="2" t="str">
        <f>IF(INDEX(学年度总表!$C$3:$C$1025,MATCH($E278,学年度总表!$E$3:$E$1025,0))="","",INDEX(学年度总表!$C$3:$C$1025,MATCH($E278,学年度总表!$E$3:$E$1025,0)))</f>
        <v>信管</v>
      </c>
      <c r="D278" s="2" t="str">
        <f>IF(INDEX(学年度总表!$D$3:$D$1025,MATCH($E278,学年度总表!$E$3:$E$1025,0))="","",INDEX(学年度总表!$D$3:$D$1025,MATCH($E278,学年度总表!$E$3:$E$1025,0)))</f>
        <v>信管22班</v>
      </c>
      <c r="E278" s="2" t="s">
        <v>1629</v>
      </c>
      <c r="F278" s="2" t="str">
        <f>IF(INDEX(学年度总表!$F$3:$F$1025,MATCH($E278,学年度总表!$E$3:$E$1025,0))="","",INDEX(学年度总表!$F$3:$F$1025,MATCH($E278,学年度总表!$E$3:$E$1025,0)))</f>
        <v>刘羽佳</v>
      </c>
      <c r="G278" s="3">
        <f>IF(INDEX(学年度总表!$G$3:$G$1025,MATCH($E278,学年度总表!$E$3:$E$1025,0))="","",INDEX(学年度总表!$G$3:$G$1025,MATCH($E278,学年度总表!$E$3:$E$1025,0)))</f>
        <v>9.8000000000000007</v>
      </c>
      <c r="H278" s="3">
        <f>IF(INDEX(学年度总表!$H$3:$H$1025,MATCH($E278,学年度总表!$E$3:$E$1025,0))="","",INDEX(学年度总表!$H$3:$H$1025,MATCH($E278,学年度总表!$E$3:$E$1025,0)))</f>
        <v>47.86</v>
      </c>
      <c r="I278" s="3">
        <f>IF(INDEX(学年度总表!$I$3:$I$1025,MATCH($E278,学年度总表!$E$3:$E$1025,0))="","",INDEX(学年度总表!$I$3:$I$1025,MATCH($E278,学年度总表!$E$3:$E$1025,0)))</f>
        <v>3</v>
      </c>
      <c r="J278" s="3">
        <f>IF(INDEX(学年度总表!$J$3:$J$1025,MATCH($E278,学年度总表!$E$3:$E$1025,0))="","",INDEX(学年度总表!$J$3:$J$1025,MATCH($E278,学年度总表!$E$3:$E$1025,0)))</f>
        <v>60.66</v>
      </c>
      <c r="K278" s="3">
        <f>IF(INDEX(学年度总表!$K$3:$K$1025,MATCH($E278,学年度总表!$E$3:$E$1025,0))="","",INDEX(学年度总表!$K$3:$K$1025,MATCH($E278,学年度总表!$E$3:$E$1025,0)))</f>
        <v>7.3000000000000007</v>
      </c>
      <c r="L278" s="3">
        <f>IF(INDEX(学年度总表!$L$3:$L$1025,MATCH($E278,学年度总表!$E$3:$E$1025,0))="","",INDEX(学年度总表!$L$3:$L$1025,MATCH($E278,学年度总表!$E$3:$E$1025,0)))</f>
        <v>53.58</v>
      </c>
      <c r="M278" s="3">
        <f>IF(INDEX(学年度总表!$M$3:$M$1025,MATCH($E278,学年度总表!$E$3:$E$1025,0))="","",INDEX(学年度总表!$M$3:$M$1025,MATCH($E278,学年度总表!$E$3:$E$1025,0)))</f>
        <v>3.7</v>
      </c>
      <c r="N278" s="3">
        <f>IF(INDEX(学年度总表!$N$3:$N$1025,MATCH($E278,学年度总表!$E$3:$E$1025,0))="","",INDEX(学年度总表!$N$3:$N$1025,MATCH($E278,学年度总表!$E$3:$E$1025,0)))</f>
        <v>64.58</v>
      </c>
      <c r="O278" s="3">
        <f>IF(INDEX(学年度总表!$O$3:$O$1025,MATCH($E278,学年度总表!$E$3:$E$1025,0))="","",INDEX(学年度总表!$O$3:$O$1025,MATCH($E278,学年度总表!$E$3:$E$1025,0)))</f>
        <v>125.24</v>
      </c>
      <c r="P278" s="2" t="str">
        <f>IF(INDEX(学年度总表!$P$3:$P$1025,MATCH($E278,学年度总表!$E$3:$E$1025,0))="","",INDEX(学年度总表!$P$3:$P$1025,MATCH($E278,学年度总表!$E$3:$E$1025,0)))</f>
        <v/>
      </c>
      <c r="Q278" s="5" t="str">
        <f>IF(INDEX(学年度总表!$Q$3:$Q$1025,MATCH($E278,学年度总表!$E$3:$E$1025,0))="","",INDEX(学年度总表!$Q$3:$Q$1025,MATCH($E278,学年度总表!$E$3:$E$1025,0)))</f>
        <v/>
      </c>
    </row>
    <row r="279" spans="1:17">
      <c r="A279" s="2">
        <f>IF(INDEX(学年度总表!$A$3:$A$1025,MATCH($E279,学年度总表!$E$3:$E$1025,0))="","",INDEX(学年度总表!$A$3:$A$1025,MATCH($E279,学年度总表!$E$3:$E$1025,0)))</f>
        <v>786</v>
      </c>
      <c r="B279" s="2">
        <f>IF(INDEX(学年度总表!$B$3:$B$1025,MATCH($E279,学年度总表!$E$3:$E$1025,0))="","",INDEX(学年度总表!$B$3:$B$1025,MATCH($E279,学年度总表!$E$3:$E$1025,0)))</f>
        <v>277</v>
      </c>
      <c r="C279" s="2" t="str">
        <f>IF(INDEX(学年度总表!$C$3:$C$1025,MATCH($E279,学年度总表!$E$3:$E$1025,0))="","",INDEX(学年度总表!$C$3:$C$1025,MATCH($E279,学年度总表!$E$3:$E$1025,0)))</f>
        <v>信管</v>
      </c>
      <c r="D279" s="2" t="str">
        <f>IF(INDEX(学年度总表!$D$3:$D$1025,MATCH($E279,学年度总表!$E$3:$E$1025,0))="","",INDEX(学年度总表!$D$3:$D$1025,MATCH($E279,学年度总表!$E$3:$E$1025,0)))</f>
        <v>信管21班</v>
      </c>
      <c r="E279" s="2" t="s">
        <v>1633</v>
      </c>
      <c r="F279" s="2" t="str">
        <f>IF(INDEX(学年度总表!$F$3:$F$1025,MATCH($E279,学年度总表!$E$3:$E$1025,0))="","",INDEX(学年度总表!$F$3:$F$1025,MATCH($E279,学年度总表!$E$3:$E$1025,0)))</f>
        <v>马盛柏</v>
      </c>
      <c r="G279" s="3">
        <f>IF(INDEX(学年度总表!$G$3:$G$1025,MATCH($E279,学年度总表!$E$3:$E$1025,0))="","",INDEX(学年度总表!$G$3:$G$1025,MATCH($E279,学年度总表!$E$3:$E$1025,0)))</f>
        <v>9.8000000000000007</v>
      </c>
      <c r="H279" s="3">
        <f>IF(INDEX(学年度总表!$H$3:$H$1025,MATCH($E279,学年度总表!$E$3:$E$1025,0))="","",INDEX(学年度总表!$H$3:$H$1025,MATCH($E279,学年度总表!$E$3:$E$1025,0)))</f>
        <v>56.54</v>
      </c>
      <c r="I279" s="3">
        <f>IF(INDEX(学年度总表!$I$3:$I$1025,MATCH($E279,学年度总表!$E$3:$E$1025,0))="","",INDEX(学年度总表!$I$3:$I$1025,MATCH($E279,学年度总表!$E$3:$E$1025,0)))</f>
        <v>3</v>
      </c>
      <c r="J279" s="3">
        <f>IF(INDEX(学年度总表!$J$3:$J$1025,MATCH($E279,学年度总表!$E$3:$E$1025,0))="","",INDEX(学年度总表!$J$3:$J$1025,MATCH($E279,学年度总表!$E$3:$E$1025,0)))</f>
        <v>69.34</v>
      </c>
      <c r="K279" s="3">
        <f>IF(INDEX(学年度总表!$K$3:$K$1025,MATCH($E279,学年度总表!$E$3:$E$1025,0))="","",INDEX(学年度总表!$K$3:$K$1025,MATCH($E279,学年度总表!$E$3:$E$1025,0)))</f>
        <v>9.8000000000000007</v>
      </c>
      <c r="L279" s="3">
        <f>IF(INDEX(学年度总表!$L$3:$L$1025,MATCH($E279,学年度总表!$E$3:$E$1025,0))="","",INDEX(学年度总表!$L$3:$L$1025,MATCH($E279,学年度总表!$E$3:$E$1025,0)))</f>
        <v>42.77</v>
      </c>
      <c r="M279" s="3">
        <f>IF(INDEX(学年度总表!$M$3:$M$1025,MATCH($E279,学年度总表!$E$3:$E$1025,0))="","",INDEX(学年度总表!$M$3:$M$1025,MATCH($E279,学年度总表!$E$3:$E$1025,0)))</f>
        <v>3</v>
      </c>
      <c r="N279" s="3">
        <f>IF(INDEX(学年度总表!$N$3:$N$1025,MATCH($E279,学年度总表!$E$3:$E$1025,0))="","",INDEX(学年度总表!$N$3:$N$1025,MATCH($E279,学年度总表!$E$3:$E$1025,0)))</f>
        <v>55.57</v>
      </c>
      <c r="O279" s="3">
        <f>IF(INDEX(学年度总表!$O$3:$O$1025,MATCH($E279,学年度总表!$E$3:$E$1025,0))="","",INDEX(学年度总表!$O$3:$O$1025,MATCH($E279,学年度总表!$E$3:$E$1025,0)))</f>
        <v>124.91</v>
      </c>
      <c r="P279" s="2" t="str">
        <f>IF(INDEX(学年度总表!$P$3:$P$1025,MATCH($E279,学年度总表!$E$3:$E$1025,0))="","",INDEX(学年度总表!$P$3:$P$1025,MATCH($E279,学年度总表!$E$3:$E$1025,0)))</f>
        <v/>
      </c>
      <c r="Q279" s="5" t="str">
        <f>IF(INDEX(学年度总表!$Q$3:$Q$1025,MATCH($E279,学年度总表!$E$3:$E$1025,0))="","",INDEX(学年度总表!$Q$3:$Q$1025,MATCH($E279,学年度总表!$E$3:$E$1025,0)))</f>
        <v/>
      </c>
    </row>
    <row r="280" spans="1:17">
      <c r="A280" s="2">
        <f>IF(INDEX(学年度总表!$A$3:$A$1025,MATCH($E280,学年度总表!$E$3:$E$1025,0))="","",INDEX(学年度总表!$A$3:$A$1025,MATCH($E280,学年度总表!$E$3:$E$1025,0)))</f>
        <v>788</v>
      </c>
      <c r="B280" s="2">
        <f>IF(INDEX(学年度总表!$B$3:$B$1025,MATCH($E280,学年度总表!$E$3:$E$1025,0))="","",INDEX(学年度总表!$B$3:$B$1025,MATCH($E280,学年度总表!$E$3:$E$1025,0)))</f>
        <v>278</v>
      </c>
      <c r="C280" s="2" t="str">
        <f>IF(INDEX(学年度总表!$C$3:$C$1025,MATCH($E280,学年度总表!$E$3:$E$1025,0))="","",INDEX(学年度总表!$C$3:$C$1025,MATCH($E280,学年度总表!$E$3:$E$1025,0)))</f>
        <v>信管</v>
      </c>
      <c r="D280" s="2" t="str">
        <f>IF(INDEX(学年度总表!$D$3:$D$1025,MATCH($E280,学年度总表!$E$3:$E$1025,0))="","",INDEX(学年度总表!$D$3:$D$1025,MATCH($E280,学年度总表!$E$3:$E$1025,0)))</f>
        <v>信管23班</v>
      </c>
      <c r="E280" s="2" t="s">
        <v>1637</v>
      </c>
      <c r="F280" s="2" t="str">
        <f>IF(INDEX(学年度总表!$F$3:$F$1025,MATCH($E280,学年度总表!$E$3:$E$1025,0))="","",INDEX(学年度总表!$F$3:$F$1025,MATCH($E280,学年度总表!$E$3:$E$1025,0)))</f>
        <v>孙嘉遥</v>
      </c>
      <c r="G280" s="3">
        <f>IF(INDEX(学年度总表!$G$3:$G$1025,MATCH($E280,学年度总表!$E$3:$E$1025,0))="","",INDEX(学年度总表!$G$3:$G$1025,MATCH($E280,学年度总表!$E$3:$E$1025,0)))</f>
        <v>9.8000000000000007</v>
      </c>
      <c r="H280" s="3">
        <f>IF(INDEX(学年度总表!$H$3:$H$1025,MATCH($E280,学年度总表!$E$3:$E$1025,0))="","",INDEX(学年度总表!$H$3:$H$1025,MATCH($E280,学年度总表!$E$3:$E$1025,0)))</f>
        <v>47.67</v>
      </c>
      <c r="I280" s="3">
        <f>IF(INDEX(学年度总表!$I$3:$I$1025,MATCH($E280,学年度总表!$E$3:$E$1025,0))="","",INDEX(学年度总表!$I$3:$I$1025,MATCH($E280,学年度总表!$E$3:$E$1025,0)))</f>
        <v>3</v>
      </c>
      <c r="J280" s="3">
        <f>IF(INDEX(学年度总表!$J$3:$J$1025,MATCH($E280,学年度总表!$E$3:$E$1025,0))="","",INDEX(学年度总表!$J$3:$J$1025,MATCH($E280,学年度总表!$E$3:$E$1025,0)))</f>
        <v>60.47</v>
      </c>
      <c r="K280" s="3">
        <f>IF(INDEX(学年度总表!$K$3:$K$1025,MATCH($E280,学年度总表!$E$3:$E$1025,0))="","",INDEX(学年度总表!$K$3:$K$1025,MATCH($E280,学年度总表!$E$3:$E$1025,0)))</f>
        <v>9.8000000000000007</v>
      </c>
      <c r="L280" s="3">
        <f>IF(INDEX(学年度总表!$L$3:$L$1025,MATCH($E280,学年度总表!$E$3:$E$1025,0))="","",INDEX(学年度总表!$L$3:$L$1025,MATCH($E280,学年度总表!$E$3:$E$1025,0)))</f>
        <v>50.54</v>
      </c>
      <c r="M280" s="3">
        <f>IF(INDEX(学年度总表!$M$3:$M$1025,MATCH($E280,学年度总表!$E$3:$E$1025,0))="","",INDEX(学年度总表!$M$3:$M$1025,MATCH($E280,学年度总表!$E$3:$E$1025,0)))</f>
        <v>4</v>
      </c>
      <c r="N280" s="3">
        <f>IF(INDEX(学年度总表!$N$3:$N$1025,MATCH($E280,学年度总表!$E$3:$E$1025,0))="","",INDEX(学年度总表!$N$3:$N$1025,MATCH($E280,学年度总表!$E$3:$E$1025,0)))</f>
        <v>64.34</v>
      </c>
      <c r="O280" s="3">
        <f>IF(INDEX(学年度总表!$O$3:$O$1025,MATCH($E280,学年度总表!$E$3:$E$1025,0))="","",INDEX(学年度总表!$O$3:$O$1025,MATCH($E280,学年度总表!$E$3:$E$1025,0)))</f>
        <v>124.81</v>
      </c>
      <c r="P280" s="2" t="str">
        <f>IF(INDEX(学年度总表!$P$3:$P$1025,MATCH($E280,学年度总表!$E$3:$E$1025,0))="","",INDEX(学年度总表!$P$3:$P$1025,MATCH($E280,学年度总表!$E$3:$E$1025,0)))</f>
        <v/>
      </c>
      <c r="Q280" s="5" t="str">
        <f>IF(INDEX(学年度总表!$Q$3:$Q$1025,MATCH($E280,学年度总表!$E$3:$E$1025,0))="","",INDEX(学年度总表!$Q$3:$Q$1025,MATCH($E280,学年度总表!$E$3:$E$1025,0)))</f>
        <v/>
      </c>
    </row>
    <row r="281" spans="1:17">
      <c r="A281" s="2">
        <f>IF(INDEX(学年度总表!$A$3:$A$1025,MATCH($E281,学年度总表!$E$3:$E$1025,0))="","",INDEX(学年度总表!$A$3:$A$1025,MATCH($E281,学年度总表!$E$3:$E$1025,0)))</f>
        <v>788</v>
      </c>
      <c r="B281" s="2">
        <f>IF(INDEX(学年度总表!$B$3:$B$1025,MATCH($E281,学年度总表!$E$3:$E$1025,0))="","",INDEX(学年度总表!$B$3:$B$1025,MATCH($E281,学年度总表!$E$3:$E$1025,0)))</f>
        <v>278</v>
      </c>
      <c r="C281" s="2" t="str">
        <f>IF(INDEX(学年度总表!$C$3:$C$1025,MATCH($E281,学年度总表!$E$3:$E$1025,0))="","",INDEX(学年度总表!$C$3:$C$1025,MATCH($E281,学年度总表!$E$3:$E$1025,0)))</f>
        <v>信管</v>
      </c>
      <c r="D281" s="2" t="str">
        <f>IF(INDEX(学年度总表!$D$3:$D$1025,MATCH($E281,学年度总表!$E$3:$E$1025,0))="","",INDEX(学年度总表!$D$3:$D$1025,MATCH($E281,学年度总表!$E$3:$E$1025,0)))</f>
        <v>信管24班</v>
      </c>
      <c r="E281" s="2" t="s">
        <v>1639</v>
      </c>
      <c r="F281" s="2" t="str">
        <f>IF(INDEX(学年度总表!$F$3:$F$1025,MATCH($E281,学年度总表!$E$3:$E$1025,0))="","",INDEX(学年度总表!$F$3:$F$1025,MATCH($E281,学年度总表!$E$3:$E$1025,0)))</f>
        <v>盖乐颖</v>
      </c>
      <c r="G281" s="3">
        <f>IF(INDEX(学年度总表!$G$3:$G$1025,MATCH($E281,学年度总表!$E$3:$E$1025,0))="","",INDEX(学年度总表!$G$3:$G$1025,MATCH($E281,学年度总表!$E$3:$E$1025,0)))</f>
        <v>9.8000000000000007</v>
      </c>
      <c r="H281" s="3">
        <f>IF(INDEX(学年度总表!$H$3:$H$1025,MATCH($E281,学年度总表!$E$3:$E$1025,0))="","",INDEX(学年度总表!$H$3:$H$1025,MATCH($E281,学年度总表!$E$3:$E$1025,0)))</f>
        <v>46.63</v>
      </c>
      <c r="I281" s="3">
        <f>IF(INDEX(学年度总表!$I$3:$I$1025,MATCH($E281,学年度总表!$E$3:$E$1025,0))="","",INDEX(学年度总表!$I$3:$I$1025,MATCH($E281,学年度总表!$E$3:$E$1025,0)))</f>
        <v>3</v>
      </c>
      <c r="J281" s="3">
        <f>IF(INDEX(学年度总表!$J$3:$J$1025,MATCH($E281,学年度总表!$E$3:$E$1025,0))="","",INDEX(学年度总表!$J$3:$J$1025,MATCH($E281,学年度总表!$E$3:$E$1025,0)))</f>
        <v>59.43</v>
      </c>
      <c r="K281" s="3">
        <f>IF(INDEX(学年度总表!$K$3:$K$1025,MATCH($E281,学年度总表!$E$3:$E$1025,0))="","",INDEX(学年度总表!$K$3:$K$1025,MATCH($E281,学年度总表!$E$3:$E$1025,0)))</f>
        <v>9.8000000000000007</v>
      </c>
      <c r="L281" s="3">
        <f>IF(INDEX(学年度总表!$L$3:$L$1025,MATCH($E281,学年度总表!$E$3:$E$1025,0))="","",INDEX(学年度总表!$L$3:$L$1025,MATCH($E281,学年度总表!$E$3:$E$1025,0)))</f>
        <v>51.88</v>
      </c>
      <c r="M281" s="3">
        <f>IF(INDEX(学年度总表!$M$3:$M$1025,MATCH($E281,学年度总表!$E$3:$E$1025,0))="","",INDEX(学年度总表!$M$3:$M$1025,MATCH($E281,学年度总表!$E$3:$E$1025,0)))</f>
        <v>3.7</v>
      </c>
      <c r="N281" s="3">
        <f>IF(INDEX(学年度总表!$N$3:$N$1025,MATCH($E281,学年度总表!$E$3:$E$1025,0))="","",INDEX(学年度总表!$N$3:$N$1025,MATCH($E281,学年度总表!$E$3:$E$1025,0)))</f>
        <v>65.38</v>
      </c>
      <c r="O281" s="3">
        <f>IF(INDEX(学年度总表!$O$3:$O$1025,MATCH($E281,学年度总表!$E$3:$E$1025,0))="","",INDEX(学年度总表!$O$3:$O$1025,MATCH($E281,学年度总表!$E$3:$E$1025,0)))</f>
        <v>124.81</v>
      </c>
      <c r="P281" s="2" t="str">
        <f>IF(INDEX(学年度总表!$P$3:$P$1025,MATCH($E281,学年度总表!$E$3:$E$1025,0))="","",INDEX(学年度总表!$P$3:$P$1025,MATCH($E281,学年度总表!$E$3:$E$1025,0)))</f>
        <v/>
      </c>
      <c r="Q281" s="5" t="str">
        <f>IF(INDEX(学年度总表!$Q$3:$Q$1025,MATCH($E281,学年度总表!$E$3:$E$1025,0))="","",INDEX(学年度总表!$Q$3:$Q$1025,MATCH($E281,学年度总表!$E$3:$E$1025,0)))</f>
        <v/>
      </c>
    </row>
    <row r="282" spans="1:17">
      <c r="A282" s="2">
        <f>IF(INDEX(学年度总表!$A$3:$A$1025,MATCH($E282,学年度总表!$E$3:$E$1025,0))="","",INDEX(学年度总表!$A$3:$A$1025,MATCH($E282,学年度总表!$E$3:$E$1025,0)))</f>
        <v>792</v>
      </c>
      <c r="B282" s="2">
        <f>IF(INDEX(学年度总表!$B$3:$B$1025,MATCH($E282,学年度总表!$E$3:$E$1025,0))="","",INDEX(学年度总表!$B$3:$B$1025,MATCH($E282,学年度总表!$E$3:$E$1025,0)))</f>
        <v>280</v>
      </c>
      <c r="C282" s="2" t="str">
        <f>IF(INDEX(学年度总表!$C$3:$C$1025,MATCH($E282,学年度总表!$E$3:$E$1025,0))="","",INDEX(学年度总表!$C$3:$C$1025,MATCH($E282,学年度总表!$E$3:$E$1025,0)))</f>
        <v>信管</v>
      </c>
      <c r="D282" s="2" t="str">
        <f>IF(INDEX(学年度总表!$D$3:$D$1025,MATCH($E282,学年度总表!$E$3:$E$1025,0))="","",INDEX(学年度总表!$D$3:$D$1025,MATCH($E282,学年度总表!$E$3:$E$1025,0)))</f>
        <v>信管21班</v>
      </c>
      <c r="E282" s="2" t="s">
        <v>1647</v>
      </c>
      <c r="F282" s="2" t="str">
        <f>IF(INDEX(学年度总表!$F$3:$F$1025,MATCH($E282,学年度总表!$E$3:$E$1025,0))="","",INDEX(学年度总表!$F$3:$F$1025,MATCH($E282,学年度总表!$E$3:$E$1025,0)))</f>
        <v>高若芷萌</v>
      </c>
      <c r="G282" s="3">
        <f>IF(INDEX(学年度总表!$G$3:$G$1025,MATCH($E282,学年度总表!$E$3:$E$1025,0))="","",INDEX(学年度总表!$G$3:$G$1025,MATCH($E282,学年度总表!$E$3:$E$1025,0)))</f>
        <v>9.8000000000000007</v>
      </c>
      <c r="H282" s="3">
        <f>IF(INDEX(学年度总表!$H$3:$H$1025,MATCH($E282,学年度总表!$E$3:$E$1025,0))="","",INDEX(学年度总表!$H$3:$H$1025,MATCH($E282,学年度总表!$E$3:$E$1025,0)))</f>
        <v>50.42</v>
      </c>
      <c r="I282" s="3">
        <f>IF(INDEX(学年度总表!$I$3:$I$1025,MATCH($E282,学年度总表!$E$3:$E$1025,0))="","",INDEX(学年度总表!$I$3:$I$1025,MATCH($E282,学年度总表!$E$3:$E$1025,0)))</f>
        <v>3.8</v>
      </c>
      <c r="J282" s="3">
        <f>IF(INDEX(学年度总表!$J$3:$J$1025,MATCH($E282,学年度总表!$E$3:$E$1025,0))="","",INDEX(学年度总表!$J$3:$J$1025,MATCH($E282,学年度总表!$E$3:$E$1025,0)))</f>
        <v>64.02</v>
      </c>
      <c r="K282" s="3">
        <f>IF(INDEX(学年度总表!$K$3:$K$1025,MATCH($E282,学年度总表!$E$3:$E$1025,0))="","",INDEX(学年度总表!$K$3:$K$1025,MATCH($E282,学年度总表!$E$3:$E$1025,0)))</f>
        <v>9.8000000000000007</v>
      </c>
      <c r="L282" s="3">
        <f>IF(INDEX(学年度总表!$L$3:$L$1025,MATCH($E282,学年度总表!$E$3:$E$1025,0))="","",INDEX(学年度总表!$L$3:$L$1025,MATCH($E282,学年度总表!$E$3:$E$1025,0)))</f>
        <v>47.22</v>
      </c>
      <c r="M282" s="3">
        <f>IF(INDEX(学年度总表!$M$3:$M$1025,MATCH($E282,学年度总表!$E$3:$E$1025,0))="","",INDEX(学年度总表!$M$3:$M$1025,MATCH($E282,学年度总表!$E$3:$E$1025,0)))</f>
        <v>3.5</v>
      </c>
      <c r="N282" s="3">
        <f>IF(INDEX(学年度总表!$N$3:$N$1025,MATCH($E282,学年度总表!$E$3:$E$1025,0))="","",INDEX(学年度总表!$N$3:$N$1025,MATCH($E282,学年度总表!$E$3:$E$1025,0)))</f>
        <v>60.52</v>
      </c>
      <c r="O282" s="3">
        <f>IF(INDEX(学年度总表!$O$3:$O$1025,MATCH($E282,学年度总表!$E$3:$E$1025,0))="","",INDEX(学年度总表!$O$3:$O$1025,MATCH($E282,学年度总表!$E$3:$E$1025,0)))</f>
        <v>124.54</v>
      </c>
      <c r="P282" s="2" t="str">
        <f>IF(INDEX(学年度总表!$P$3:$P$1025,MATCH($E282,学年度总表!$E$3:$E$1025,0))="","",INDEX(学年度总表!$P$3:$P$1025,MATCH($E282,学年度总表!$E$3:$E$1025,0)))</f>
        <v/>
      </c>
      <c r="Q282" s="5" t="str">
        <f>IF(INDEX(学年度总表!$Q$3:$Q$1025,MATCH($E282,学年度总表!$E$3:$E$1025,0))="","",INDEX(学年度总表!$Q$3:$Q$1025,MATCH($E282,学年度总表!$E$3:$E$1025,0)))</f>
        <v/>
      </c>
    </row>
    <row r="283" spans="1:17">
      <c r="A283" s="2">
        <f>IF(INDEX(学年度总表!$A$3:$A$1025,MATCH($E283,学年度总表!$E$3:$E$1025,0))="","",INDEX(学年度总表!$A$3:$A$1025,MATCH($E283,学年度总表!$E$3:$E$1025,0)))</f>
        <v>794</v>
      </c>
      <c r="B283" s="2">
        <f>IF(INDEX(学年度总表!$B$3:$B$1025,MATCH($E283,学年度总表!$E$3:$E$1025,0))="","",INDEX(学年度总表!$B$3:$B$1025,MATCH($E283,学年度总表!$E$3:$E$1025,0)))</f>
        <v>281</v>
      </c>
      <c r="C283" s="2" t="str">
        <f>IF(INDEX(学年度总表!$C$3:$C$1025,MATCH($E283,学年度总表!$E$3:$E$1025,0))="","",INDEX(学年度总表!$C$3:$C$1025,MATCH($E283,学年度总表!$E$3:$E$1025,0)))</f>
        <v>信管</v>
      </c>
      <c r="D283" s="2" t="str">
        <f>IF(INDEX(学年度总表!$D$3:$D$1025,MATCH($E283,学年度总表!$E$3:$E$1025,0))="","",INDEX(学年度总表!$D$3:$D$1025,MATCH($E283,学年度总表!$E$3:$E$1025,0)))</f>
        <v>信管20班</v>
      </c>
      <c r="E283" s="2" t="s">
        <v>1649</v>
      </c>
      <c r="F283" s="2" t="str">
        <f>IF(INDEX(学年度总表!$F$3:$F$1025,MATCH($E283,学年度总表!$E$3:$E$1025,0))="","",INDEX(学年度总表!$F$3:$F$1025,MATCH($E283,学年度总表!$E$3:$E$1025,0)))</f>
        <v>关琳弋</v>
      </c>
      <c r="G283" s="3">
        <f>IF(INDEX(学年度总表!$G$3:$G$1025,MATCH($E283,学年度总表!$E$3:$E$1025,0))="","",INDEX(学年度总表!$G$3:$G$1025,MATCH($E283,学年度总表!$E$3:$E$1025,0)))</f>
        <v>10</v>
      </c>
      <c r="H283" s="3">
        <f>IF(INDEX(学年度总表!$H$3:$H$1025,MATCH($E283,学年度总表!$E$3:$E$1025,0))="","",INDEX(学年度总表!$H$3:$H$1025,MATCH($E283,学年度总表!$E$3:$E$1025,0)))</f>
        <v>44.74</v>
      </c>
      <c r="I283" s="3">
        <f>IF(INDEX(学年度总表!$I$3:$I$1025,MATCH($E283,学年度总表!$E$3:$E$1025,0))="","",INDEX(学年度总表!$I$3:$I$1025,MATCH($E283,学年度总表!$E$3:$E$1025,0)))</f>
        <v>5.5</v>
      </c>
      <c r="J283" s="3">
        <f>IF(INDEX(学年度总表!$J$3:$J$1025,MATCH($E283,学年度总表!$E$3:$E$1025,0))="","",INDEX(学年度总表!$J$3:$J$1025,MATCH($E283,学年度总表!$E$3:$E$1025,0)))</f>
        <v>60.24</v>
      </c>
      <c r="K283" s="3">
        <f>IF(INDEX(学年度总表!$K$3:$K$1025,MATCH($E283,学年度总表!$E$3:$E$1025,0))="","",INDEX(学年度总表!$K$3:$K$1025,MATCH($E283,学年度总表!$E$3:$E$1025,0)))</f>
        <v>10</v>
      </c>
      <c r="L283" s="3">
        <f>IF(INDEX(学年度总表!$L$3:$L$1025,MATCH($E283,学年度总表!$E$3:$E$1025,0))="","",INDEX(学年度总表!$L$3:$L$1025,MATCH($E283,学年度总表!$E$3:$E$1025,0)))</f>
        <v>50.16</v>
      </c>
      <c r="M283" s="3">
        <f>IF(INDEX(学年度总表!$M$3:$M$1025,MATCH($E283,学年度总表!$E$3:$E$1025,0))="","",INDEX(学年度总表!$M$3:$M$1025,MATCH($E283,学年度总表!$E$3:$E$1025,0)))</f>
        <v>4.0999999999999996</v>
      </c>
      <c r="N283" s="3">
        <f>IF(INDEX(学年度总表!$N$3:$N$1025,MATCH($E283,学年度总表!$E$3:$E$1025,0))="","",INDEX(学年度总表!$N$3:$N$1025,MATCH($E283,学年度总表!$E$3:$E$1025,0)))</f>
        <v>64.260000000000005</v>
      </c>
      <c r="O283" s="3">
        <f>IF(INDEX(学年度总表!$O$3:$O$1025,MATCH($E283,学年度总表!$E$3:$E$1025,0))="","",INDEX(学年度总表!$O$3:$O$1025,MATCH($E283,学年度总表!$E$3:$E$1025,0)))</f>
        <v>124.5</v>
      </c>
      <c r="P283" s="2" t="str">
        <f>IF(INDEX(学年度总表!$P$3:$P$1025,MATCH($E283,学年度总表!$E$3:$E$1025,0))="","",INDEX(学年度总表!$P$3:$P$1025,MATCH($E283,学年度总表!$E$3:$E$1025,0)))</f>
        <v/>
      </c>
      <c r="Q283" s="5" t="str">
        <f>IF(INDEX(学年度总表!$Q$3:$Q$1025,MATCH($E283,学年度总表!$E$3:$E$1025,0))="","",INDEX(学年度总表!$Q$3:$Q$1025,MATCH($E283,学年度总表!$E$3:$E$1025,0)))</f>
        <v/>
      </c>
    </row>
    <row r="284" spans="1:17">
      <c r="A284" s="2">
        <f>IF(INDEX(学年度总表!$A$3:$A$1025,MATCH($E284,学年度总表!$E$3:$E$1025,0))="","",INDEX(学年度总表!$A$3:$A$1025,MATCH($E284,学年度总表!$E$3:$E$1025,0)))</f>
        <v>796</v>
      </c>
      <c r="B284" s="2">
        <f>IF(INDEX(学年度总表!$B$3:$B$1025,MATCH($E284,学年度总表!$E$3:$E$1025,0))="","",INDEX(学年度总表!$B$3:$B$1025,MATCH($E284,学年度总表!$E$3:$E$1025,0)))</f>
        <v>282</v>
      </c>
      <c r="C284" s="2" t="str">
        <f>IF(INDEX(学年度总表!$C$3:$C$1025,MATCH($E284,学年度总表!$E$3:$E$1025,0))="","",INDEX(学年度总表!$C$3:$C$1025,MATCH($E284,学年度总表!$E$3:$E$1025,0)))</f>
        <v>信管</v>
      </c>
      <c r="D284" s="2" t="str">
        <f>IF(INDEX(学年度总表!$D$3:$D$1025,MATCH($E284,学年度总表!$E$3:$E$1025,0))="","",INDEX(学年度总表!$D$3:$D$1025,MATCH($E284,学年度总表!$E$3:$E$1025,0)))</f>
        <v>信管19班</v>
      </c>
      <c r="E284" s="2" t="s">
        <v>1653</v>
      </c>
      <c r="F284" s="2" t="str">
        <f>IF(INDEX(学年度总表!$F$3:$F$1025,MATCH($E284,学年度总表!$E$3:$E$1025,0))="","",INDEX(学年度总表!$F$3:$F$1025,MATCH($E284,学年度总表!$E$3:$E$1025,0)))</f>
        <v>姜宇桐</v>
      </c>
      <c r="G284" s="3">
        <f>IF(INDEX(学年度总表!$G$3:$G$1025,MATCH($E284,学年度总表!$E$3:$E$1025,0))="","",INDEX(学年度总表!$G$3:$G$1025,MATCH($E284,学年度总表!$E$3:$E$1025,0)))</f>
        <v>9.8000000000000007</v>
      </c>
      <c r="H284" s="3">
        <f>IF(INDEX(学年度总表!$H$3:$H$1025,MATCH($E284,学年度总表!$E$3:$E$1025,0))="","",INDEX(学年度总表!$H$3:$H$1025,MATCH($E284,学年度总表!$E$3:$E$1025,0)))</f>
        <v>51.07</v>
      </c>
      <c r="I284" s="3">
        <f>IF(INDEX(学年度总表!$I$3:$I$1025,MATCH($E284,学年度总表!$E$3:$E$1025,0))="","",INDEX(学年度总表!$I$3:$I$1025,MATCH($E284,学年度总表!$E$3:$E$1025,0)))</f>
        <v>3.4</v>
      </c>
      <c r="J284" s="3">
        <f>IF(INDEX(学年度总表!$J$3:$J$1025,MATCH($E284,学年度总表!$E$3:$E$1025,0))="","",INDEX(学年度总表!$J$3:$J$1025,MATCH($E284,学年度总表!$E$3:$E$1025,0)))</f>
        <v>64.27</v>
      </c>
      <c r="K284" s="3">
        <f>IF(INDEX(学年度总表!$K$3:$K$1025,MATCH($E284,学年度总表!$E$3:$E$1025,0))="","",INDEX(学年度总表!$K$3:$K$1025,MATCH($E284,学年度总表!$E$3:$E$1025,0)))</f>
        <v>9.8000000000000007</v>
      </c>
      <c r="L284" s="3">
        <f>IF(INDEX(学年度总表!$L$3:$L$1025,MATCH($E284,学年度总表!$E$3:$E$1025,0))="","",INDEX(学年度总表!$L$3:$L$1025,MATCH($E284,学年度总表!$E$3:$E$1025,0)))</f>
        <v>47.34</v>
      </c>
      <c r="M284" s="3">
        <f>IF(INDEX(学年度总表!$M$3:$M$1025,MATCH($E284,学年度总表!$E$3:$E$1025,0))="","",INDEX(学年度总表!$M$3:$M$1025,MATCH($E284,学年度总表!$E$3:$E$1025,0)))</f>
        <v>3</v>
      </c>
      <c r="N284" s="3">
        <f>IF(INDEX(学年度总表!$N$3:$N$1025,MATCH($E284,学年度总表!$E$3:$E$1025,0))="","",INDEX(学年度总表!$N$3:$N$1025,MATCH($E284,学年度总表!$E$3:$E$1025,0)))</f>
        <v>60.14</v>
      </c>
      <c r="O284" s="3">
        <f>IF(INDEX(学年度总表!$O$3:$O$1025,MATCH($E284,学年度总表!$E$3:$E$1025,0))="","",INDEX(学年度总表!$O$3:$O$1025,MATCH($E284,学年度总表!$E$3:$E$1025,0)))</f>
        <v>124.41</v>
      </c>
      <c r="P284" s="2" t="str">
        <f>IF(INDEX(学年度总表!$P$3:$P$1025,MATCH($E284,学年度总表!$E$3:$E$1025,0))="","",INDEX(学年度总表!$P$3:$P$1025,MATCH($E284,学年度总表!$E$3:$E$1025,0)))</f>
        <v/>
      </c>
      <c r="Q284" s="5" t="str">
        <f>IF(INDEX(学年度总表!$Q$3:$Q$1025,MATCH($E284,学年度总表!$E$3:$E$1025,0))="","",INDEX(学年度总表!$Q$3:$Q$1025,MATCH($E284,学年度总表!$E$3:$E$1025,0)))</f>
        <v/>
      </c>
    </row>
    <row r="285" spans="1:17">
      <c r="A285" s="2">
        <f>IF(INDEX(学年度总表!$A$3:$A$1025,MATCH($E285,学年度总表!$E$3:$E$1025,0))="","",INDEX(学年度总表!$A$3:$A$1025,MATCH($E285,学年度总表!$E$3:$E$1025,0)))</f>
        <v>798</v>
      </c>
      <c r="B285" s="2">
        <f>IF(INDEX(学年度总表!$B$3:$B$1025,MATCH($E285,学年度总表!$E$3:$E$1025,0))="","",INDEX(学年度总表!$B$3:$B$1025,MATCH($E285,学年度总表!$E$3:$E$1025,0)))</f>
        <v>283</v>
      </c>
      <c r="C285" s="2" t="str">
        <f>IF(INDEX(学年度总表!$C$3:$C$1025,MATCH($E285,学年度总表!$E$3:$E$1025,0))="","",INDEX(学年度总表!$C$3:$C$1025,MATCH($E285,学年度总表!$E$3:$E$1025,0)))</f>
        <v>信管</v>
      </c>
      <c r="D285" s="2" t="str">
        <f>IF(INDEX(学年度总表!$D$3:$D$1025,MATCH($E285,学年度总表!$E$3:$E$1025,0))="","",INDEX(学年度总表!$D$3:$D$1025,MATCH($E285,学年度总表!$E$3:$E$1025,0)))</f>
        <v>信管20班</v>
      </c>
      <c r="E285" s="2" t="s">
        <v>1657</v>
      </c>
      <c r="F285" s="2" t="str">
        <f>IF(INDEX(学年度总表!$F$3:$F$1025,MATCH($E285,学年度总表!$E$3:$E$1025,0))="","",INDEX(学年度总表!$F$3:$F$1025,MATCH($E285,学年度总表!$E$3:$E$1025,0)))</f>
        <v>邹美阳</v>
      </c>
      <c r="G285" s="3">
        <f>IF(INDEX(学年度总表!$G$3:$G$1025,MATCH($E285,学年度总表!$E$3:$E$1025,0))="","",INDEX(学年度总表!$G$3:$G$1025,MATCH($E285,学年度总表!$E$3:$E$1025,0)))</f>
        <v>9.8000000000000007</v>
      </c>
      <c r="H285" s="3">
        <f>IF(INDEX(学年度总表!$H$3:$H$1025,MATCH($E285,学年度总表!$E$3:$E$1025,0))="","",INDEX(学年度总表!$H$3:$H$1025,MATCH($E285,学年度总表!$E$3:$E$1025,0)))</f>
        <v>50.68</v>
      </c>
      <c r="I285" s="3">
        <f>IF(INDEX(学年度总表!$I$3:$I$1025,MATCH($E285,学年度总表!$E$3:$E$1025,0))="","",INDEX(学年度总表!$I$3:$I$1025,MATCH($E285,学年度总表!$E$3:$E$1025,0)))</f>
        <v>3</v>
      </c>
      <c r="J285" s="3">
        <f>IF(INDEX(学年度总表!$J$3:$J$1025,MATCH($E285,学年度总表!$E$3:$E$1025,0))="","",INDEX(学年度总表!$J$3:$J$1025,MATCH($E285,学年度总表!$E$3:$E$1025,0)))</f>
        <v>63.48</v>
      </c>
      <c r="K285" s="3">
        <f>IF(INDEX(学年度总表!$K$3:$K$1025,MATCH($E285,学年度总表!$E$3:$E$1025,0))="","",INDEX(学年度总表!$K$3:$K$1025,MATCH($E285,学年度总表!$E$3:$E$1025,0)))</f>
        <v>9.8000000000000007</v>
      </c>
      <c r="L285" s="3">
        <f>IF(INDEX(学年度总表!$L$3:$L$1025,MATCH($E285,学年度总表!$E$3:$E$1025,0))="","",INDEX(学年度总表!$L$3:$L$1025,MATCH($E285,学年度总表!$E$3:$E$1025,0)))</f>
        <v>47.54</v>
      </c>
      <c r="M285" s="3">
        <f>IF(INDEX(学年度总表!$M$3:$M$1025,MATCH($E285,学年度总表!$E$3:$E$1025,0))="","",INDEX(学年度总表!$M$3:$M$1025,MATCH($E285,学年度总表!$E$3:$E$1025,0)))</f>
        <v>3.5</v>
      </c>
      <c r="N285" s="3">
        <f>IF(INDEX(学年度总表!$N$3:$N$1025,MATCH($E285,学年度总表!$E$3:$E$1025,0))="","",INDEX(学年度总表!$N$3:$N$1025,MATCH($E285,学年度总表!$E$3:$E$1025,0)))</f>
        <v>60.84</v>
      </c>
      <c r="O285" s="3">
        <f>IF(INDEX(学年度总表!$O$3:$O$1025,MATCH($E285,学年度总表!$E$3:$E$1025,0))="","",INDEX(学年度总表!$O$3:$O$1025,MATCH($E285,学年度总表!$E$3:$E$1025,0)))</f>
        <v>124.32</v>
      </c>
      <c r="P285" s="2" t="str">
        <f>IF(INDEX(学年度总表!$P$3:$P$1025,MATCH($E285,学年度总表!$E$3:$E$1025,0))="","",INDEX(学年度总表!$P$3:$P$1025,MATCH($E285,学年度总表!$E$3:$E$1025,0)))</f>
        <v/>
      </c>
      <c r="Q285" s="5" t="str">
        <f>IF(INDEX(学年度总表!$Q$3:$Q$1025,MATCH($E285,学年度总表!$E$3:$E$1025,0))="","",INDEX(学年度总表!$Q$3:$Q$1025,MATCH($E285,学年度总表!$E$3:$E$1025,0)))</f>
        <v/>
      </c>
    </row>
    <row r="286" spans="1:17">
      <c r="A286" s="2">
        <f>IF(INDEX(学年度总表!$A$3:$A$1025,MATCH($E286,学年度总表!$E$3:$E$1025,0))="","",INDEX(学年度总表!$A$3:$A$1025,MATCH($E286,学年度总表!$E$3:$E$1025,0)))</f>
        <v>799</v>
      </c>
      <c r="B286" s="2">
        <f>IF(INDEX(学年度总表!$B$3:$B$1025,MATCH($E286,学年度总表!$E$3:$E$1025,0))="","",INDEX(学年度总表!$B$3:$B$1025,MATCH($E286,学年度总表!$E$3:$E$1025,0)))</f>
        <v>284</v>
      </c>
      <c r="C286" s="2" t="str">
        <f>IF(INDEX(学年度总表!$C$3:$C$1025,MATCH($E286,学年度总表!$E$3:$E$1025,0))="","",INDEX(学年度总表!$C$3:$C$1025,MATCH($E286,学年度总表!$E$3:$E$1025,0)))</f>
        <v>信管</v>
      </c>
      <c r="D286" s="2" t="str">
        <f>IF(INDEX(学年度总表!$D$3:$D$1025,MATCH($E286,学年度总表!$E$3:$E$1025,0))="","",INDEX(学年度总表!$D$3:$D$1025,MATCH($E286,学年度总表!$E$3:$E$1025,0)))</f>
        <v>信管20班</v>
      </c>
      <c r="E286" s="2" t="s">
        <v>1659</v>
      </c>
      <c r="F286" s="2" t="str">
        <f>IF(INDEX(学年度总表!$F$3:$F$1025,MATCH($E286,学年度总表!$E$3:$E$1025,0))="","",INDEX(学年度总表!$F$3:$F$1025,MATCH($E286,学年度总表!$E$3:$E$1025,0)))</f>
        <v>王潇璇</v>
      </c>
      <c r="G286" s="3">
        <f>IF(INDEX(学年度总表!$G$3:$G$1025,MATCH($E286,学年度总表!$E$3:$E$1025,0))="","",INDEX(学年度总表!$G$3:$G$1025,MATCH($E286,学年度总表!$E$3:$E$1025,0)))</f>
        <v>9.8000000000000007</v>
      </c>
      <c r="H286" s="3">
        <f>IF(INDEX(学年度总表!$H$3:$H$1025,MATCH($E286,学年度总表!$E$3:$E$1025,0))="","",INDEX(学年度总表!$H$3:$H$1025,MATCH($E286,学年度总表!$E$3:$E$1025,0)))</f>
        <v>46.85</v>
      </c>
      <c r="I286" s="3">
        <f>IF(INDEX(学年度总表!$I$3:$I$1025,MATCH($E286,学年度总表!$E$3:$E$1025,0))="","",INDEX(学年度总表!$I$3:$I$1025,MATCH($E286,学年度总表!$E$3:$E$1025,0)))</f>
        <v>5</v>
      </c>
      <c r="J286" s="3">
        <f>IF(INDEX(学年度总表!$J$3:$J$1025,MATCH($E286,学年度总表!$E$3:$E$1025,0))="","",INDEX(学年度总表!$J$3:$J$1025,MATCH($E286,学年度总表!$E$3:$E$1025,0)))</f>
        <v>61.65</v>
      </c>
      <c r="K286" s="3">
        <f>IF(INDEX(学年度总表!$K$3:$K$1025,MATCH($E286,学年度总表!$E$3:$E$1025,0))="","",INDEX(学年度总表!$K$3:$K$1025,MATCH($E286,学年度总表!$E$3:$E$1025,0)))</f>
        <v>9.8000000000000007</v>
      </c>
      <c r="L286" s="3">
        <f>IF(INDEX(学年度总表!$L$3:$L$1025,MATCH($E286,学年度总表!$E$3:$E$1025,0))="","",INDEX(学年度总表!$L$3:$L$1025,MATCH($E286,学年度总表!$E$3:$E$1025,0)))</f>
        <v>46.92</v>
      </c>
      <c r="M286" s="3">
        <f>IF(INDEX(学年度总表!$M$3:$M$1025,MATCH($E286,学年度总表!$E$3:$E$1025,0))="","",INDEX(学年度总表!$M$3:$M$1025,MATCH($E286,学年度总表!$E$3:$E$1025,0)))</f>
        <v>5.9</v>
      </c>
      <c r="N286" s="3">
        <f>IF(INDEX(学年度总表!$N$3:$N$1025,MATCH($E286,学年度总表!$E$3:$E$1025,0))="","",INDEX(学年度总表!$N$3:$N$1025,MATCH($E286,学年度总表!$E$3:$E$1025,0)))</f>
        <v>62.62</v>
      </c>
      <c r="O286" s="3">
        <f>IF(INDEX(学年度总表!$O$3:$O$1025,MATCH($E286,学年度总表!$E$3:$E$1025,0))="","",INDEX(学年度总表!$O$3:$O$1025,MATCH($E286,学年度总表!$E$3:$E$1025,0)))</f>
        <v>124.27</v>
      </c>
      <c r="P286" s="2" t="str">
        <f>IF(INDEX(学年度总表!$P$3:$P$1025,MATCH($E286,学年度总表!$E$3:$E$1025,0))="","",INDEX(学年度总表!$P$3:$P$1025,MATCH($E286,学年度总表!$E$3:$E$1025,0)))</f>
        <v/>
      </c>
      <c r="Q286" s="5" t="str">
        <f>IF(INDEX(学年度总表!$Q$3:$Q$1025,MATCH($E286,学年度总表!$E$3:$E$1025,0))="","",INDEX(学年度总表!$Q$3:$Q$1025,MATCH($E286,学年度总表!$E$3:$E$1025,0)))</f>
        <v/>
      </c>
    </row>
    <row r="287" spans="1:17">
      <c r="A287" s="2">
        <f>IF(INDEX(学年度总表!$A$3:$A$1025,MATCH($E287,学年度总表!$E$3:$E$1025,0))="","",INDEX(学年度总表!$A$3:$A$1025,MATCH($E287,学年度总表!$E$3:$E$1025,0)))</f>
        <v>801</v>
      </c>
      <c r="B287" s="2">
        <f>IF(INDEX(学年度总表!$B$3:$B$1025,MATCH($E287,学年度总表!$E$3:$E$1025,0))="","",INDEX(学年度总表!$B$3:$B$1025,MATCH($E287,学年度总表!$E$3:$E$1025,0)))</f>
        <v>285</v>
      </c>
      <c r="C287" s="2" t="str">
        <f>IF(INDEX(学年度总表!$C$3:$C$1025,MATCH($E287,学年度总表!$E$3:$E$1025,0))="","",INDEX(学年度总表!$C$3:$C$1025,MATCH($E287,学年度总表!$E$3:$E$1025,0)))</f>
        <v>信管</v>
      </c>
      <c r="D287" s="2" t="str">
        <f>IF(INDEX(学年度总表!$D$3:$D$1025,MATCH($E287,学年度总表!$E$3:$E$1025,0))="","",INDEX(学年度总表!$D$3:$D$1025,MATCH($E287,学年度总表!$E$3:$E$1025,0)))</f>
        <v>信管23班</v>
      </c>
      <c r="E287" s="2" t="s">
        <v>1663</v>
      </c>
      <c r="F287" s="2" t="str">
        <f>IF(INDEX(学年度总表!$F$3:$F$1025,MATCH($E287,学年度总表!$E$3:$E$1025,0))="","",INDEX(学年度总表!$F$3:$F$1025,MATCH($E287,学年度总表!$E$3:$E$1025,0)))</f>
        <v>胡苧艺</v>
      </c>
      <c r="G287" s="3">
        <f>IF(INDEX(学年度总表!$G$3:$G$1025,MATCH($E287,学年度总表!$E$3:$E$1025,0))="","",INDEX(学年度总表!$G$3:$G$1025,MATCH($E287,学年度总表!$E$3:$E$1025,0)))</f>
        <v>9.8000000000000007</v>
      </c>
      <c r="H287" s="3">
        <f>IF(INDEX(学年度总表!$H$3:$H$1025,MATCH($E287,学年度总表!$E$3:$E$1025,0))="","",INDEX(学年度总表!$H$3:$H$1025,MATCH($E287,学年度总表!$E$3:$E$1025,0)))</f>
        <v>52.79</v>
      </c>
      <c r="I287" s="3">
        <f>IF(INDEX(学年度总表!$I$3:$I$1025,MATCH($E287,学年度总表!$E$3:$E$1025,0))="","",INDEX(学年度总表!$I$3:$I$1025,MATCH($E287,学年度总表!$E$3:$E$1025,0)))</f>
        <v>3</v>
      </c>
      <c r="J287" s="3">
        <f>IF(INDEX(学年度总表!$J$3:$J$1025,MATCH($E287,学年度总表!$E$3:$E$1025,0))="","",INDEX(学年度总表!$J$3:$J$1025,MATCH($E287,学年度总表!$E$3:$E$1025,0)))</f>
        <v>65.59</v>
      </c>
      <c r="K287" s="3">
        <f>IF(INDEX(学年度总表!$K$3:$K$1025,MATCH($E287,学年度总表!$E$3:$E$1025,0))="","",INDEX(学年度总表!$K$3:$K$1025,MATCH($E287,学年度总表!$E$3:$E$1025,0)))</f>
        <v>9.8000000000000007</v>
      </c>
      <c r="L287" s="3">
        <f>IF(INDEX(学年度总表!$L$3:$L$1025,MATCH($E287,学年度总表!$E$3:$E$1025,0))="","",INDEX(学年度总表!$L$3:$L$1025,MATCH($E287,学年度总表!$E$3:$E$1025,0)))</f>
        <v>44.73</v>
      </c>
      <c r="M287" s="3">
        <f>IF(INDEX(学年度总表!$M$3:$M$1025,MATCH($E287,学年度总表!$E$3:$E$1025,0))="","",INDEX(学年度总表!$M$3:$M$1025,MATCH($E287,学年度总表!$E$3:$E$1025,0)))</f>
        <v>4.0999999999999996</v>
      </c>
      <c r="N287" s="3">
        <f>IF(INDEX(学年度总表!$N$3:$N$1025,MATCH($E287,学年度总表!$E$3:$E$1025,0))="","",INDEX(学年度总表!$N$3:$N$1025,MATCH($E287,学年度总表!$E$3:$E$1025,0)))</f>
        <v>58.63</v>
      </c>
      <c r="O287" s="3">
        <f>IF(INDEX(学年度总表!$O$3:$O$1025,MATCH($E287,学年度总表!$E$3:$E$1025,0))="","",INDEX(学年度总表!$O$3:$O$1025,MATCH($E287,学年度总表!$E$3:$E$1025,0)))</f>
        <v>124.22</v>
      </c>
      <c r="P287" s="2" t="str">
        <f>IF(INDEX(学年度总表!$P$3:$P$1025,MATCH($E287,学年度总表!$E$3:$E$1025,0))="","",INDEX(学年度总表!$P$3:$P$1025,MATCH($E287,学年度总表!$E$3:$E$1025,0)))</f>
        <v/>
      </c>
      <c r="Q287" s="5" t="str">
        <f>IF(INDEX(学年度总表!$Q$3:$Q$1025,MATCH($E287,学年度总表!$E$3:$E$1025,0))="","",INDEX(学年度总表!$Q$3:$Q$1025,MATCH($E287,学年度总表!$E$3:$E$1025,0)))</f>
        <v/>
      </c>
    </row>
    <row r="288" spans="1:17">
      <c r="A288" s="2">
        <f>IF(INDEX(学年度总表!$A$3:$A$1025,MATCH($E288,学年度总表!$E$3:$E$1025,0))="","",INDEX(学年度总表!$A$3:$A$1025,MATCH($E288,学年度总表!$E$3:$E$1025,0)))</f>
        <v>806</v>
      </c>
      <c r="B288" s="2">
        <f>IF(INDEX(学年度总表!$B$3:$B$1025,MATCH($E288,学年度总表!$E$3:$E$1025,0))="","",INDEX(学年度总表!$B$3:$B$1025,MATCH($E288,学年度总表!$E$3:$E$1025,0)))</f>
        <v>286</v>
      </c>
      <c r="C288" s="2" t="str">
        <f>IF(INDEX(学年度总表!$C$3:$C$1025,MATCH($E288,学年度总表!$E$3:$E$1025,0))="","",INDEX(学年度总表!$C$3:$C$1025,MATCH($E288,学年度总表!$E$3:$E$1025,0)))</f>
        <v>信管</v>
      </c>
      <c r="D288" s="2" t="str">
        <f>IF(INDEX(学年度总表!$D$3:$D$1025,MATCH($E288,学年度总表!$E$3:$E$1025,0))="","",INDEX(学年度总表!$D$3:$D$1025,MATCH($E288,学年度总表!$E$3:$E$1025,0)))</f>
        <v>信管21班</v>
      </c>
      <c r="E288" s="2" t="s">
        <v>1673</v>
      </c>
      <c r="F288" s="2" t="str">
        <f>IF(INDEX(学年度总表!$F$3:$F$1025,MATCH($E288,学年度总表!$E$3:$E$1025,0))="","",INDEX(学年度总表!$F$3:$F$1025,MATCH($E288,学年度总表!$E$3:$E$1025,0)))</f>
        <v>朱韩祉兮</v>
      </c>
      <c r="G288" s="3">
        <f>IF(INDEX(学年度总表!$G$3:$G$1025,MATCH($E288,学年度总表!$E$3:$E$1025,0))="","",INDEX(学年度总表!$G$3:$G$1025,MATCH($E288,学年度总表!$E$3:$E$1025,0)))</f>
        <v>9.8000000000000007</v>
      </c>
      <c r="H288" s="3">
        <f>IF(INDEX(学年度总表!$H$3:$H$1025,MATCH($E288,学年度总表!$E$3:$E$1025,0))="","",INDEX(学年度总表!$H$3:$H$1025,MATCH($E288,学年度总表!$E$3:$E$1025,0)))</f>
        <v>50.18</v>
      </c>
      <c r="I288" s="3">
        <f>IF(INDEX(学年度总表!$I$3:$I$1025,MATCH($E288,学年度总表!$E$3:$E$1025,0))="","",INDEX(学年度总表!$I$3:$I$1025,MATCH($E288,学年度总表!$E$3:$E$1025,0)))</f>
        <v>4</v>
      </c>
      <c r="J288" s="3">
        <f>IF(INDEX(学年度总表!$J$3:$J$1025,MATCH($E288,学年度总表!$E$3:$E$1025,0))="","",INDEX(学年度总表!$J$3:$J$1025,MATCH($E288,学年度总表!$E$3:$E$1025,0)))</f>
        <v>63.98</v>
      </c>
      <c r="K288" s="3">
        <f>IF(INDEX(学年度总表!$K$3:$K$1025,MATCH($E288,学年度总表!$E$3:$E$1025,0))="","",INDEX(学年度总表!$K$3:$K$1025,MATCH($E288,学年度总表!$E$3:$E$1025,0)))</f>
        <v>9.8000000000000007</v>
      </c>
      <c r="L288" s="3">
        <f>IF(INDEX(学年度总表!$L$3:$L$1025,MATCH($E288,学年度总表!$E$3:$E$1025,0))="","",INDEX(学年度总表!$L$3:$L$1025,MATCH($E288,学年度总表!$E$3:$E$1025,0)))</f>
        <v>46.14</v>
      </c>
      <c r="M288" s="3">
        <f>IF(INDEX(学年度总表!$M$3:$M$1025,MATCH($E288,学年度总表!$E$3:$E$1025,0))="","",INDEX(学年度总表!$M$3:$M$1025,MATCH($E288,学年度总表!$E$3:$E$1025,0)))</f>
        <v>4</v>
      </c>
      <c r="N288" s="3">
        <f>IF(INDEX(学年度总表!$N$3:$N$1025,MATCH($E288,学年度总表!$E$3:$E$1025,0))="","",INDEX(学年度总表!$N$3:$N$1025,MATCH($E288,学年度总表!$E$3:$E$1025,0)))</f>
        <v>59.94</v>
      </c>
      <c r="O288" s="3">
        <f>IF(INDEX(学年度总表!$O$3:$O$1025,MATCH($E288,学年度总表!$E$3:$E$1025,0))="","",INDEX(学年度总表!$O$3:$O$1025,MATCH($E288,学年度总表!$E$3:$E$1025,0)))</f>
        <v>123.92</v>
      </c>
      <c r="P288" s="2" t="str">
        <f>IF(INDEX(学年度总表!$P$3:$P$1025,MATCH($E288,学年度总表!$E$3:$E$1025,0))="","",INDEX(学年度总表!$P$3:$P$1025,MATCH($E288,学年度总表!$E$3:$E$1025,0)))</f>
        <v/>
      </c>
      <c r="Q288" s="5" t="str">
        <f>IF(INDEX(学年度总表!$Q$3:$Q$1025,MATCH($E288,学年度总表!$E$3:$E$1025,0))="","",INDEX(学年度总表!$Q$3:$Q$1025,MATCH($E288,学年度总表!$E$3:$E$1025,0)))</f>
        <v/>
      </c>
    </row>
    <row r="289" spans="1:17">
      <c r="A289" s="2">
        <f>IF(INDEX(学年度总表!$A$3:$A$1025,MATCH($E289,学年度总表!$E$3:$E$1025,0))="","",INDEX(学年度总表!$A$3:$A$1025,MATCH($E289,学年度总表!$E$3:$E$1025,0)))</f>
        <v>808</v>
      </c>
      <c r="B289" s="2">
        <f>IF(INDEX(学年度总表!$B$3:$B$1025,MATCH($E289,学年度总表!$E$3:$E$1025,0))="","",INDEX(学年度总表!$B$3:$B$1025,MATCH($E289,学年度总表!$E$3:$E$1025,0)))</f>
        <v>287</v>
      </c>
      <c r="C289" s="2" t="str">
        <f>IF(INDEX(学年度总表!$C$3:$C$1025,MATCH($E289,学年度总表!$E$3:$E$1025,0))="","",INDEX(学年度总表!$C$3:$C$1025,MATCH($E289,学年度总表!$E$3:$E$1025,0)))</f>
        <v>信管</v>
      </c>
      <c r="D289" s="2" t="str">
        <f>IF(INDEX(学年度总表!$D$3:$D$1025,MATCH($E289,学年度总表!$E$3:$E$1025,0))="","",INDEX(学年度总表!$D$3:$D$1025,MATCH($E289,学年度总表!$E$3:$E$1025,0)))</f>
        <v>信管28班</v>
      </c>
      <c r="E289" s="2" t="s">
        <v>1677</v>
      </c>
      <c r="F289" s="2" t="str">
        <f>IF(INDEX(学年度总表!$F$3:$F$1025,MATCH($E289,学年度总表!$E$3:$E$1025,0))="","",INDEX(学年度总表!$F$3:$F$1025,MATCH($E289,学年度总表!$E$3:$E$1025,0)))</f>
        <v>袁野</v>
      </c>
      <c r="G289" s="3">
        <f>IF(INDEX(学年度总表!$G$3:$G$1025,MATCH($E289,学年度总表!$E$3:$E$1025,0))="","",INDEX(学年度总表!$G$3:$G$1025,MATCH($E289,学年度总表!$E$3:$E$1025,0)))</f>
        <v>9.8000000000000007</v>
      </c>
      <c r="H289" s="3">
        <f>IF(INDEX(学年度总表!$H$3:$H$1025,MATCH($E289,学年度总表!$E$3:$E$1025,0))="","",INDEX(学年度总表!$H$3:$H$1025,MATCH($E289,学年度总表!$E$3:$E$1025,0)))</f>
        <v>54.64</v>
      </c>
      <c r="I289" s="3">
        <f>IF(INDEX(学年度总表!$I$3:$I$1025,MATCH($E289,学年度总表!$E$3:$E$1025,0))="","",INDEX(学年度总表!$I$3:$I$1025,MATCH($E289,学年度总表!$E$3:$E$1025,0)))</f>
        <v>3</v>
      </c>
      <c r="J289" s="3">
        <f>IF(INDEX(学年度总表!$J$3:$J$1025,MATCH($E289,学年度总表!$E$3:$E$1025,0))="","",INDEX(学年度总表!$J$3:$J$1025,MATCH($E289,学年度总表!$E$3:$E$1025,0)))</f>
        <v>67.44</v>
      </c>
      <c r="K289" s="3">
        <f>IF(INDEX(学年度总表!$K$3:$K$1025,MATCH($E289,学年度总表!$E$3:$E$1025,0))="","",INDEX(学年度总表!$K$3:$K$1025,MATCH($E289,学年度总表!$E$3:$E$1025,0)))</f>
        <v>7.3000000000000007</v>
      </c>
      <c r="L289" s="3">
        <f>IF(INDEX(学年度总表!$L$3:$L$1025,MATCH($E289,学年度总表!$E$3:$E$1025,0))="","",INDEX(学年度总表!$L$3:$L$1025,MATCH($E289,学年度总表!$E$3:$E$1025,0)))</f>
        <v>45.88</v>
      </c>
      <c r="M289" s="3">
        <f>IF(INDEX(学年度总表!$M$3:$M$1025,MATCH($E289,学年度总表!$E$3:$E$1025,0))="","",INDEX(学年度总表!$M$3:$M$1025,MATCH($E289,学年度总表!$E$3:$E$1025,0)))</f>
        <v>3</v>
      </c>
      <c r="N289" s="3">
        <f>IF(INDEX(学年度总表!$N$3:$N$1025,MATCH($E289,学年度总表!$E$3:$E$1025,0))="","",INDEX(学年度总表!$N$3:$N$1025,MATCH($E289,学年度总表!$E$3:$E$1025,0)))</f>
        <v>56.18</v>
      </c>
      <c r="O289" s="3">
        <f>IF(INDEX(学年度总表!$O$3:$O$1025,MATCH($E289,学年度总表!$E$3:$E$1025,0))="","",INDEX(学年度总表!$O$3:$O$1025,MATCH($E289,学年度总表!$E$3:$E$1025,0)))</f>
        <v>123.62</v>
      </c>
      <c r="P289" s="2" t="str">
        <f>IF(INDEX(学年度总表!$P$3:$P$1025,MATCH($E289,学年度总表!$E$3:$E$1025,0))="","",INDEX(学年度总表!$P$3:$P$1025,MATCH($E289,学年度总表!$E$3:$E$1025,0)))</f>
        <v/>
      </c>
      <c r="Q289" s="5" t="str">
        <f>IF(INDEX(学年度总表!$Q$3:$Q$1025,MATCH($E289,学年度总表!$E$3:$E$1025,0))="","",INDEX(学年度总表!$Q$3:$Q$1025,MATCH($E289,学年度总表!$E$3:$E$1025,0)))</f>
        <v/>
      </c>
    </row>
    <row r="290" spans="1:17">
      <c r="A290" s="2">
        <f>IF(INDEX(学年度总表!$A$3:$A$1025,MATCH($E290,学年度总表!$E$3:$E$1025,0))="","",INDEX(学年度总表!$A$3:$A$1025,MATCH($E290,学年度总表!$E$3:$E$1025,0)))</f>
        <v>809</v>
      </c>
      <c r="B290" s="2">
        <f>IF(INDEX(学年度总表!$B$3:$B$1025,MATCH($E290,学年度总表!$E$3:$E$1025,0))="","",INDEX(学年度总表!$B$3:$B$1025,MATCH($E290,学年度总表!$E$3:$E$1025,0)))</f>
        <v>288</v>
      </c>
      <c r="C290" s="2" t="str">
        <f>IF(INDEX(学年度总表!$C$3:$C$1025,MATCH($E290,学年度总表!$E$3:$E$1025,0))="","",INDEX(学年度总表!$C$3:$C$1025,MATCH($E290,学年度总表!$E$3:$E$1025,0)))</f>
        <v>信管</v>
      </c>
      <c r="D290" s="2" t="str">
        <f>IF(INDEX(学年度总表!$D$3:$D$1025,MATCH($E290,学年度总表!$E$3:$E$1025,0))="","",INDEX(学年度总表!$D$3:$D$1025,MATCH($E290,学年度总表!$E$3:$E$1025,0)))</f>
        <v>信管22班</v>
      </c>
      <c r="E290" s="2" t="s">
        <v>1679</v>
      </c>
      <c r="F290" s="2" t="str">
        <f>IF(INDEX(学年度总表!$F$3:$F$1025,MATCH($E290,学年度总表!$E$3:$E$1025,0))="","",INDEX(学年度总表!$F$3:$F$1025,MATCH($E290,学年度总表!$E$3:$E$1025,0)))</f>
        <v>张锐靓</v>
      </c>
      <c r="G290" s="3">
        <f>IF(INDEX(学年度总表!$G$3:$G$1025,MATCH($E290,学年度总表!$E$3:$E$1025,0))="","",INDEX(学年度总表!$G$3:$G$1025,MATCH($E290,学年度总表!$E$3:$E$1025,0)))</f>
        <v>9.8000000000000007</v>
      </c>
      <c r="H290" s="3">
        <f>IF(INDEX(学年度总表!$H$3:$H$1025,MATCH($E290,学年度总表!$E$3:$E$1025,0))="","",INDEX(学年度总表!$H$3:$H$1025,MATCH($E290,学年度总表!$E$3:$E$1025,0)))</f>
        <v>50.08</v>
      </c>
      <c r="I290" s="3">
        <f>IF(INDEX(学年度总表!$I$3:$I$1025,MATCH($E290,学年度总表!$E$3:$E$1025,0))="","",INDEX(学年度总表!$I$3:$I$1025,MATCH($E290,学年度总表!$E$3:$E$1025,0)))</f>
        <v>3</v>
      </c>
      <c r="J290" s="3">
        <f>IF(INDEX(学年度总表!$J$3:$J$1025,MATCH($E290,学年度总表!$E$3:$E$1025,0))="","",INDEX(学年度总表!$J$3:$J$1025,MATCH($E290,学年度总表!$E$3:$E$1025,0)))</f>
        <v>62.88</v>
      </c>
      <c r="K290" s="3">
        <f>IF(INDEX(学年度总表!$K$3:$K$1025,MATCH($E290,学年度总表!$E$3:$E$1025,0))="","",INDEX(学年度总表!$K$3:$K$1025,MATCH($E290,学年度总表!$E$3:$E$1025,0)))</f>
        <v>9.8000000000000007</v>
      </c>
      <c r="L290" s="3">
        <f>IF(INDEX(学年度总表!$L$3:$L$1025,MATCH($E290,学年度总表!$E$3:$E$1025,0))="","",INDEX(学年度总表!$L$3:$L$1025,MATCH($E290,学年度总表!$E$3:$E$1025,0)))</f>
        <v>47.89</v>
      </c>
      <c r="M290" s="3">
        <f>IF(INDEX(学年度总表!$M$3:$M$1025,MATCH($E290,学年度总表!$E$3:$E$1025,0))="","",INDEX(学年度总表!$M$3:$M$1025,MATCH($E290,学年度总表!$E$3:$E$1025,0)))</f>
        <v>3</v>
      </c>
      <c r="N290" s="3">
        <f>IF(INDEX(学年度总表!$N$3:$N$1025,MATCH($E290,学年度总表!$E$3:$E$1025,0))="","",INDEX(学年度总表!$N$3:$N$1025,MATCH($E290,学年度总表!$E$3:$E$1025,0)))</f>
        <v>60.69</v>
      </c>
      <c r="O290" s="3">
        <f>IF(INDEX(学年度总表!$O$3:$O$1025,MATCH($E290,学年度总表!$E$3:$E$1025,0))="","",INDEX(学年度总表!$O$3:$O$1025,MATCH($E290,学年度总表!$E$3:$E$1025,0)))</f>
        <v>123.57</v>
      </c>
      <c r="P290" s="2" t="str">
        <f>IF(INDEX(学年度总表!$P$3:$P$1025,MATCH($E290,学年度总表!$E$3:$E$1025,0))="","",INDEX(学年度总表!$P$3:$P$1025,MATCH($E290,学年度总表!$E$3:$E$1025,0)))</f>
        <v/>
      </c>
      <c r="Q290" s="5" t="str">
        <f>IF(INDEX(学年度总表!$Q$3:$Q$1025,MATCH($E290,学年度总表!$E$3:$E$1025,0))="","",INDEX(学年度总表!$Q$3:$Q$1025,MATCH($E290,学年度总表!$E$3:$E$1025,0)))</f>
        <v/>
      </c>
    </row>
    <row r="291" spans="1:17">
      <c r="A291" s="2">
        <f>IF(INDEX(学年度总表!$A$3:$A$1025,MATCH($E291,学年度总表!$E$3:$E$1025,0))="","",INDEX(学年度总表!$A$3:$A$1025,MATCH($E291,学年度总表!$E$3:$E$1025,0)))</f>
        <v>810</v>
      </c>
      <c r="B291" s="2">
        <f>IF(INDEX(学年度总表!$B$3:$B$1025,MATCH($E291,学年度总表!$E$3:$E$1025,0))="","",INDEX(学年度总表!$B$3:$B$1025,MATCH($E291,学年度总表!$E$3:$E$1025,0)))</f>
        <v>289</v>
      </c>
      <c r="C291" s="2" t="str">
        <f>IF(INDEX(学年度总表!$C$3:$C$1025,MATCH($E291,学年度总表!$E$3:$E$1025,0))="","",INDEX(学年度总表!$C$3:$C$1025,MATCH($E291,学年度总表!$E$3:$E$1025,0)))</f>
        <v>信管</v>
      </c>
      <c r="D291" s="2" t="str">
        <f>IF(INDEX(学年度总表!$D$3:$D$1025,MATCH($E291,学年度总表!$E$3:$E$1025,0))="","",INDEX(学年度总表!$D$3:$D$1025,MATCH($E291,学年度总表!$E$3:$E$1025,0)))</f>
        <v>信管19班</v>
      </c>
      <c r="E291" s="2" t="s">
        <v>1681</v>
      </c>
      <c r="F291" s="2" t="str">
        <f>IF(INDEX(学年度总表!$F$3:$F$1025,MATCH($E291,学年度总表!$E$3:$E$1025,0))="","",INDEX(学年度总表!$F$3:$F$1025,MATCH($E291,学年度总表!$E$3:$E$1025,0)))</f>
        <v>孙岩</v>
      </c>
      <c r="G291" s="3">
        <f>IF(INDEX(学年度总表!$G$3:$G$1025,MATCH($E291,学年度总表!$E$3:$E$1025,0))="","",INDEX(学年度总表!$G$3:$G$1025,MATCH($E291,学年度总表!$E$3:$E$1025,0)))</f>
        <v>10.4</v>
      </c>
      <c r="H291" s="3">
        <f>IF(INDEX(学年度总表!$H$3:$H$1025,MATCH($E291,学年度总表!$E$3:$E$1025,0))="","",INDEX(学年度总表!$H$3:$H$1025,MATCH($E291,学年度总表!$E$3:$E$1025,0)))</f>
        <v>49.36</v>
      </c>
      <c r="I291" s="3">
        <f>IF(INDEX(学年度总表!$I$3:$I$1025,MATCH($E291,学年度总表!$E$3:$E$1025,0))="","",INDEX(学年度总表!$I$3:$I$1025,MATCH($E291,学年度总表!$E$3:$E$1025,0)))</f>
        <v>3.8</v>
      </c>
      <c r="J291" s="3">
        <f>IF(INDEX(学年度总表!$J$3:$J$1025,MATCH($E291,学年度总表!$E$3:$E$1025,0))="","",INDEX(学年度总表!$J$3:$J$1025,MATCH($E291,学年度总表!$E$3:$E$1025,0)))</f>
        <v>63.56</v>
      </c>
      <c r="K291" s="3">
        <f>IF(INDEX(学年度总表!$K$3:$K$1025,MATCH($E291,学年度总表!$E$3:$E$1025,0))="","",INDEX(学年度总表!$K$3:$K$1025,MATCH($E291,学年度总表!$E$3:$E$1025,0)))</f>
        <v>9.8000000000000007</v>
      </c>
      <c r="L291" s="3">
        <f>IF(INDEX(学年度总表!$L$3:$L$1025,MATCH($E291,学年度总表!$E$3:$E$1025,0))="","",INDEX(学年度总表!$L$3:$L$1025,MATCH($E291,学年度总表!$E$3:$E$1025,0)))</f>
        <v>46.09</v>
      </c>
      <c r="M291" s="3">
        <f>IF(INDEX(学年度总表!$M$3:$M$1025,MATCH($E291,学年度总表!$E$3:$E$1025,0))="","",INDEX(学年度总表!$M$3:$M$1025,MATCH($E291,学年度总表!$E$3:$E$1025,0)))</f>
        <v>4.0999999999999996</v>
      </c>
      <c r="N291" s="3">
        <f>IF(INDEX(学年度总表!$N$3:$N$1025,MATCH($E291,学年度总表!$E$3:$E$1025,0))="","",INDEX(学年度总表!$N$3:$N$1025,MATCH($E291,学年度总表!$E$3:$E$1025,0)))</f>
        <v>59.99</v>
      </c>
      <c r="O291" s="3">
        <f>IF(INDEX(学年度总表!$O$3:$O$1025,MATCH($E291,学年度总表!$E$3:$E$1025,0))="","",INDEX(学年度总表!$O$3:$O$1025,MATCH($E291,学年度总表!$E$3:$E$1025,0)))</f>
        <v>123.55</v>
      </c>
      <c r="P291" s="2" t="str">
        <f>IF(INDEX(学年度总表!$P$3:$P$1025,MATCH($E291,学年度总表!$E$3:$E$1025,0))="","",INDEX(学年度总表!$P$3:$P$1025,MATCH($E291,学年度总表!$E$3:$E$1025,0)))</f>
        <v/>
      </c>
      <c r="Q291" s="5" t="str">
        <f>IF(INDEX(学年度总表!$Q$3:$Q$1025,MATCH($E291,学年度总表!$E$3:$E$1025,0))="","",INDEX(学年度总表!$Q$3:$Q$1025,MATCH($E291,学年度总表!$E$3:$E$1025,0)))</f>
        <v/>
      </c>
    </row>
    <row r="292" spans="1:17">
      <c r="A292" s="2">
        <f>IF(INDEX(学年度总表!$A$3:$A$1025,MATCH($E292,学年度总表!$E$3:$E$1025,0))="","",INDEX(学年度总表!$A$3:$A$1025,MATCH($E292,学年度总表!$E$3:$E$1025,0)))</f>
        <v>812</v>
      </c>
      <c r="B292" s="2">
        <f>IF(INDEX(学年度总表!$B$3:$B$1025,MATCH($E292,学年度总表!$E$3:$E$1025,0))="","",INDEX(学年度总表!$B$3:$B$1025,MATCH($E292,学年度总表!$E$3:$E$1025,0)))</f>
        <v>290</v>
      </c>
      <c r="C292" s="2" t="str">
        <f>IF(INDEX(学年度总表!$C$3:$C$1025,MATCH($E292,学年度总表!$E$3:$E$1025,0))="","",INDEX(学年度总表!$C$3:$C$1025,MATCH($E292,学年度总表!$E$3:$E$1025,0)))</f>
        <v>信管</v>
      </c>
      <c r="D292" s="2" t="str">
        <f>IF(INDEX(学年度总表!$D$3:$D$1025,MATCH($E292,学年度总表!$E$3:$E$1025,0))="","",INDEX(学年度总表!$D$3:$D$1025,MATCH($E292,学年度总表!$E$3:$E$1025,0)))</f>
        <v>信管27班</v>
      </c>
      <c r="E292" s="2" t="s">
        <v>1685</v>
      </c>
      <c r="F292" s="2" t="str">
        <f>IF(INDEX(学年度总表!$F$3:$F$1025,MATCH($E292,学年度总表!$E$3:$E$1025,0))="","",INDEX(学年度总表!$F$3:$F$1025,MATCH($E292,学年度总表!$E$3:$E$1025,0)))</f>
        <v>何佳凝</v>
      </c>
      <c r="G292" s="3">
        <f>IF(INDEX(学年度总表!$G$3:$G$1025,MATCH($E292,学年度总表!$E$3:$E$1025,0))="","",INDEX(学年度总表!$G$3:$G$1025,MATCH($E292,学年度总表!$E$3:$E$1025,0)))</f>
        <v>10</v>
      </c>
      <c r="H292" s="3">
        <f>IF(INDEX(学年度总表!$H$3:$H$1025,MATCH($E292,学年度总表!$E$3:$E$1025,0))="","",INDEX(学年度总表!$H$3:$H$1025,MATCH($E292,学年度总表!$E$3:$E$1025,0)))</f>
        <v>50.77</v>
      </c>
      <c r="I292" s="3">
        <f>IF(INDEX(学年度总表!$I$3:$I$1025,MATCH($E292,学年度总表!$E$3:$E$1025,0))="","",INDEX(学年度总表!$I$3:$I$1025,MATCH($E292,学年度总表!$E$3:$E$1025,0)))</f>
        <v>4.2</v>
      </c>
      <c r="J292" s="3">
        <f>IF(INDEX(学年度总表!$J$3:$J$1025,MATCH($E292,学年度总表!$E$3:$E$1025,0))="","",INDEX(学年度总表!$J$3:$J$1025,MATCH($E292,学年度总表!$E$3:$E$1025,0)))</f>
        <v>64.97</v>
      </c>
      <c r="K292" s="3">
        <f>IF(INDEX(学年度总表!$K$3:$K$1025,MATCH($E292,学年度总表!$E$3:$E$1025,0))="","",INDEX(学年度总表!$K$3:$K$1025,MATCH($E292,学年度总表!$E$3:$E$1025,0)))</f>
        <v>7.5</v>
      </c>
      <c r="L292" s="3">
        <f>IF(INDEX(学年度总表!$L$3:$L$1025,MATCH($E292,学年度总表!$E$3:$E$1025,0))="","",INDEX(学年度总表!$L$3:$L$1025,MATCH($E292,学年度总表!$E$3:$E$1025,0)))</f>
        <v>46.32</v>
      </c>
      <c r="M292" s="3">
        <f>IF(INDEX(学年度总表!$M$3:$M$1025,MATCH($E292,学年度总表!$E$3:$E$1025,0))="","",INDEX(学年度总表!$M$3:$M$1025,MATCH($E292,学年度总表!$E$3:$E$1025,0)))</f>
        <v>4.7</v>
      </c>
      <c r="N292" s="3">
        <f>IF(INDEX(学年度总表!$N$3:$N$1025,MATCH($E292,学年度总表!$E$3:$E$1025,0))="","",INDEX(学年度总表!$N$3:$N$1025,MATCH($E292,学年度总表!$E$3:$E$1025,0)))</f>
        <v>58.52</v>
      </c>
      <c r="O292" s="3">
        <f>IF(INDEX(学年度总表!$O$3:$O$1025,MATCH($E292,学年度总表!$E$3:$E$1025,0))="","",INDEX(学年度总表!$O$3:$O$1025,MATCH($E292,学年度总表!$E$3:$E$1025,0)))</f>
        <v>123.49</v>
      </c>
      <c r="P292" s="2" t="str">
        <f>IF(INDEX(学年度总表!$P$3:$P$1025,MATCH($E292,学年度总表!$E$3:$E$1025,0))="","",INDEX(学年度总表!$P$3:$P$1025,MATCH($E292,学年度总表!$E$3:$E$1025,0)))</f>
        <v/>
      </c>
      <c r="Q292" s="5" t="str">
        <f>IF(INDEX(学年度总表!$Q$3:$Q$1025,MATCH($E292,学年度总表!$E$3:$E$1025,0))="","",INDEX(学年度总表!$Q$3:$Q$1025,MATCH($E292,学年度总表!$E$3:$E$1025,0)))</f>
        <v/>
      </c>
    </row>
    <row r="293" spans="1:17">
      <c r="A293" s="2">
        <f>IF(INDEX(学年度总表!$A$3:$A$1025,MATCH($E293,学年度总表!$E$3:$E$1025,0))="","",INDEX(学年度总表!$A$3:$A$1025,MATCH($E293,学年度总表!$E$3:$E$1025,0)))</f>
        <v>816</v>
      </c>
      <c r="B293" s="2">
        <f>IF(INDEX(学年度总表!$B$3:$B$1025,MATCH($E293,学年度总表!$E$3:$E$1025,0))="","",INDEX(学年度总表!$B$3:$B$1025,MATCH($E293,学年度总表!$E$3:$E$1025,0)))</f>
        <v>291</v>
      </c>
      <c r="C293" s="2" t="str">
        <f>IF(INDEX(学年度总表!$C$3:$C$1025,MATCH($E293,学年度总表!$E$3:$E$1025,0))="","",INDEX(学年度总表!$C$3:$C$1025,MATCH($E293,学年度总表!$E$3:$E$1025,0)))</f>
        <v>信管</v>
      </c>
      <c r="D293" s="2" t="str">
        <f>IF(INDEX(学年度总表!$D$3:$D$1025,MATCH($E293,学年度总表!$E$3:$E$1025,0))="","",INDEX(学年度总表!$D$3:$D$1025,MATCH($E293,学年度总表!$E$3:$E$1025,0)))</f>
        <v>信管27班</v>
      </c>
      <c r="E293" s="2" t="s">
        <v>1693</v>
      </c>
      <c r="F293" s="2" t="str">
        <f>IF(INDEX(学年度总表!$F$3:$F$1025,MATCH($E293,学年度总表!$E$3:$E$1025,0))="","",INDEX(学年度总表!$F$3:$F$1025,MATCH($E293,学年度总表!$E$3:$E$1025,0)))</f>
        <v>赵伦司</v>
      </c>
      <c r="G293" s="3">
        <f>IF(INDEX(学年度总表!$G$3:$G$1025,MATCH($E293,学年度总表!$E$3:$E$1025,0))="","",INDEX(学年度总表!$G$3:$G$1025,MATCH($E293,学年度总表!$E$3:$E$1025,0)))</f>
        <v>9.8000000000000007</v>
      </c>
      <c r="H293" s="3">
        <f>IF(INDEX(学年度总表!$H$3:$H$1025,MATCH($E293,学年度总表!$E$3:$E$1025,0))="","",INDEX(学年度总表!$H$3:$H$1025,MATCH($E293,学年度总表!$E$3:$E$1025,0)))</f>
        <v>52.06</v>
      </c>
      <c r="I293" s="3">
        <f>IF(INDEX(学年度总表!$I$3:$I$1025,MATCH($E293,学年度总表!$E$3:$E$1025,0))="","",INDEX(学年度总表!$I$3:$I$1025,MATCH($E293,学年度总表!$E$3:$E$1025,0)))</f>
        <v>3.2</v>
      </c>
      <c r="J293" s="3">
        <f>IF(INDEX(学年度总表!$J$3:$J$1025,MATCH($E293,学年度总表!$E$3:$E$1025,0))="","",INDEX(学年度总表!$J$3:$J$1025,MATCH($E293,学年度总表!$E$3:$E$1025,0)))</f>
        <v>65.06</v>
      </c>
      <c r="K293" s="3">
        <f>IF(INDEX(学年度总表!$K$3:$K$1025,MATCH($E293,学年度总表!$E$3:$E$1025,0))="","",INDEX(学年度总表!$K$3:$K$1025,MATCH($E293,学年度总表!$E$3:$E$1025,0)))</f>
        <v>9.8000000000000007</v>
      </c>
      <c r="L293" s="3">
        <f>IF(INDEX(学年度总表!$L$3:$L$1025,MATCH($E293,学年度总表!$E$3:$E$1025,0))="","",INDEX(学年度总表!$L$3:$L$1025,MATCH($E293,学年度总表!$E$3:$E$1025,0)))</f>
        <v>44.77</v>
      </c>
      <c r="M293" s="3">
        <f>IF(INDEX(学年度总表!$M$3:$M$1025,MATCH($E293,学年度总表!$E$3:$E$1025,0))="","",INDEX(学年度总表!$M$3:$M$1025,MATCH($E293,学年度总表!$E$3:$E$1025,0)))</f>
        <v>3.5</v>
      </c>
      <c r="N293" s="3">
        <f>IF(INDEX(学年度总表!$N$3:$N$1025,MATCH($E293,学年度总表!$E$3:$E$1025,0))="","",INDEX(学年度总表!$N$3:$N$1025,MATCH($E293,学年度总表!$E$3:$E$1025,0)))</f>
        <v>58.07</v>
      </c>
      <c r="O293" s="3">
        <f>IF(INDEX(学年度总表!$O$3:$O$1025,MATCH($E293,学年度总表!$E$3:$E$1025,0))="","",INDEX(学年度总表!$O$3:$O$1025,MATCH($E293,学年度总表!$E$3:$E$1025,0)))</f>
        <v>123.13</v>
      </c>
      <c r="P293" s="2" t="str">
        <f>IF(INDEX(学年度总表!$P$3:$P$1025,MATCH($E293,学年度总表!$E$3:$E$1025,0))="","",INDEX(学年度总表!$P$3:$P$1025,MATCH($E293,学年度总表!$E$3:$E$1025,0)))</f>
        <v/>
      </c>
      <c r="Q293" s="5" t="str">
        <f>IF(INDEX(学年度总表!$Q$3:$Q$1025,MATCH($E293,学年度总表!$E$3:$E$1025,0))="","",INDEX(学年度总表!$Q$3:$Q$1025,MATCH($E293,学年度总表!$E$3:$E$1025,0)))</f>
        <v/>
      </c>
    </row>
    <row r="294" spans="1:17">
      <c r="A294" s="2">
        <f>IF(INDEX(学年度总表!$A$3:$A$1025,MATCH($E294,学年度总表!$E$3:$E$1025,0))="","",INDEX(学年度总表!$A$3:$A$1025,MATCH($E294,学年度总表!$E$3:$E$1025,0)))</f>
        <v>819</v>
      </c>
      <c r="B294" s="2">
        <f>IF(INDEX(学年度总表!$B$3:$B$1025,MATCH($E294,学年度总表!$E$3:$E$1025,0))="","",INDEX(学年度总表!$B$3:$B$1025,MATCH($E294,学年度总表!$E$3:$E$1025,0)))</f>
        <v>292</v>
      </c>
      <c r="C294" s="2" t="str">
        <f>IF(INDEX(学年度总表!$C$3:$C$1025,MATCH($E294,学年度总表!$E$3:$E$1025,0))="","",INDEX(学年度总表!$C$3:$C$1025,MATCH($E294,学年度总表!$E$3:$E$1025,0)))</f>
        <v>信管</v>
      </c>
      <c r="D294" s="2" t="str">
        <f>IF(INDEX(学年度总表!$D$3:$D$1025,MATCH($E294,学年度总表!$E$3:$E$1025,0))="","",INDEX(学年度总表!$D$3:$D$1025,MATCH($E294,学年度总表!$E$3:$E$1025,0)))</f>
        <v>信管22班</v>
      </c>
      <c r="E294" s="2" t="s">
        <v>1699</v>
      </c>
      <c r="F294" s="2" t="str">
        <f>IF(INDEX(学年度总表!$F$3:$F$1025,MATCH($E294,学年度总表!$E$3:$E$1025,0))="","",INDEX(学年度总表!$F$3:$F$1025,MATCH($E294,学年度总表!$E$3:$E$1025,0)))</f>
        <v>胡诗扬</v>
      </c>
      <c r="G294" s="3">
        <f>IF(INDEX(学年度总表!$G$3:$G$1025,MATCH($E294,学年度总表!$E$3:$E$1025,0))="","",INDEX(学年度总表!$G$3:$G$1025,MATCH($E294,学年度总表!$E$3:$E$1025,0)))</f>
        <v>9.8000000000000007</v>
      </c>
      <c r="H294" s="3">
        <f>IF(INDEX(学年度总表!$H$3:$H$1025,MATCH($E294,学年度总表!$E$3:$E$1025,0))="","",INDEX(学年度总表!$H$3:$H$1025,MATCH($E294,学年度总表!$E$3:$E$1025,0)))</f>
        <v>53.21</v>
      </c>
      <c r="I294" s="3">
        <f>IF(INDEX(学年度总表!$I$3:$I$1025,MATCH($E294,学年度总表!$E$3:$E$1025,0))="","",INDEX(学年度总表!$I$3:$I$1025,MATCH($E294,学年度总表!$E$3:$E$1025,0)))</f>
        <v>3</v>
      </c>
      <c r="J294" s="3">
        <f>IF(INDEX(学年度总表!$J$3:$J$1025,MATCH($E294,学年度总表!$E$3:$E$1025,0))="","",INDEX(学年度总表!$J$3:$J$1025,MATCH($E294,学年度总表!$E$3:$E$1025,0)))</f>
        <v>66.010000000000005</v>
      </c>
      <c r="K294" s="3">
        <f>IF(INDEX(学年度总表!$K$3:$K$1025,MATCH($E294,学年度总表!$E$3:$E$1025,0))="","",INDEX(学年度总表!$K$3:$K$1025,MATCH($E294,学年度总表!$E$3:$E$1025,0)))</f>
        <v>9.8000000000000007</v>
      </c>
      <c r="L294" s="3">
        <f>IF(INDEX(学年度总表!$L$3:$L$1025,MATCH($E294,学年度总表!$E$3:$E$1025,0))="","",INDEX(学年度总表!$L$3:$L$1025,MATCH($E294,学年度总表!$E$3:$E$1025,0)))</f>
        <v>44.13</v>
      </c>
      <c r="M294" s="3">
        <f>IF(INDEX(学年度总表!$M$3:$M$1025,MATCH($E294,学年度总表!$E$3:$E$1025,0))="","",INDEX(学年度总表!$M$3:$M$1025,MATCH($E294,学年度总表!$E$3:$E$1025,0)))</f>
        <v>3</v>
      </c>
      <c r="N294" s="3">
        <f>IF(INDEX(学年度总表!$N$3:$N$1025,MATCH($E294,学年度总表!$E$3:$E$1025,0))="","",INDEX(学年度总表!$N$3:$N$1025,MATCH($E294,学年度总表!$E$3:$E$1025,0)))</f>
        <v>56.93</v>
      </c>
      <c r="O294" s="3">
        <f>IF(INDEX(学年度总表!$O$3:$O$1025,MATCH($E294,学年度总表!$E$3:$E$1025,0))="","",INDEX(学年度总表!$O$3:$O$1025,MATCH($E294,学年度总表!$E$3:$E$1025,0)))</f>
        <v>122.94</v>
      </c>
      <c r="P294" s="2" t="str">
        <f>IF(INDEX(学年度总表!$P$3:$P$1025,MATCH($E294,学年度总表!$E$3:$E$1025,0))="","",INDEX(学年度总表!$P$3:$P$1025,MATCH($E294,学年度总表!$E$3:$E$1025,0)))</f>
        <v/>
      </c>
      <c r="Q294" s="5" t="str">
        <f>IF(INDEX(学年度总表!$Q$3:$Q$1025,MATCH($E294,学年度总表!$E$3:$E$1025,0))="","",INDEX(学年度总表!$Q$3:$Q$1025,MATCH($E294,学年度总表!$E$3:$E$1025,0)))</f>
        <v/>
      </c>
    </row>
    <row r="295" spans="1:17">
      <c r="A295" s="2">
        <f>IF(INDEX(学年度总表!$A$3:$A$1025,MATCH($E295,学年度总表!$E$3:$E$1025,0))="","",INDEX(学年度总表!$A$3:$A$1025,MATCH($E295,学年度总表!$E$3:$E$1025,0)))</f>
        <v>820</v>
      </c>
      <c r="B295" s="2">
        <f>IF(INDEX(学年度总表!$B$3:$B$1025,MATCH($E295,学年度总表!$E$3:$E$1025,0))="","",INDEX(学年度总表!$B$3:$B$1025,MATCH($E295,学年度总表!$E$3:$E$1025,0)))</f>
        <v>293</v>
      </c>
      <c r="C295" s="2" t="str">
        <f>IF(INDEX(学年度总表!$C$3:$C$1025,MATCH($E295,学年度总表!$E$3:$E$1025,0))="","",INDEX(学年度总表!$C$3:$C$1025,MATCH($E295,学年度总表!$E$3:$E$1025,0)))</f>
        <v>信管</v>
      </c>
      <c r="D295" s="2" t="str">
        <f>IF(INDEX(学年度总表!$D$3:$D$1025,MATCH($E295,学年度总表!$E$3:$E$1025,0))="","",INDEX(学年度总表!$D$3:$D$1025,MATCH($E295,学年度总表!$E$3:$E$1025,0)))</f>
        <v>信管21班</v>
      </c>
      <c r="E295" s="2" t="s">
        <v>1701</v>
      </c>
      <c r="F295" s="2" t="str">
        <f>IF(INDEX(学年度总表!$F$3:$F$1025,MATCH($E295,学年度总表!$E$3:$E$1025,0))="","",INDEX(学年度总表!$F$3:$F$1025,MATCH($E295,学年度总表!$E$3:$E$1025,0)))</f>
        <v>赖芊诺</v>
      </c>
      <c r="G295" s="3">
        <f>IF(INDEX(学年度总表!$G$3:$G$1025,MATCH($E295,学年度总表!$E$3:$E$1025,0))="","",INDEX(学年度总表!$G$3:$G$1025,MATCH($E295,学年度总表!$E$3:$E$1025,0)))</f>
        <v>11.1</v>
      </c>
      <c r="H295" s="3">
        <f>IF(INDEX(学年度总表!$H$3:$H$1025,MATCH($E295,学年度总表!$E$3:$E$1025,0))="","",INDEX(学年度总表!$H$3:$H$1025,MATCH($E295,学年度总表!$E$3:$E$1025,0)))</f>
        <v>53.93</v>
      </c>
      <c r="I295" s="3">
        <f>IF(INDEX(学年度总表!$I$3:$I$1025,MATCH($E295,学年度总表!$E$3:$E$1025,0))="","",INDEX(学年度总表!$I$3:$I$1025,MATCH($E295,学年度总表!$E$3:$E$1025,0)))</f>
        <v>4.5</v>
      </c>
      <c r="J295" s="3">
        <f>IF(INDEX(学年度总表!$J$3:$J$1025,MATCH($E295,学年度总表!$E$3:$E$1025,0))="","",INDEX(学年度总表!$J$3:$J$1025,MATCH($E295,学年度总表!$E$3:$E$1025,0)))</f>
        <v>69.53</v>
      </c>
      <c r="K295" s="3">
        <f>IF(INDEX(学年度总表!$K$3:$K$1025,MATCH($E295,学年度总表!$E$3:$E$1025,0))="","",INDEX(学年度总表!$K$3:$K$1025,MATCH($E295,学年度总表!$E$3:$E$1025,0)))</f>
        <v>9.8000000000000007</v>
      </c>
      <c r="L295" s="3">
        <f>IF(INDEX(学年度总表!$L$3:$L$1025,MATCH($E295,学年度总表!$E$3:$E$1025,0))="","",INDEX(学年度总表!$L$3:$L$1025,MATCH($E295,学年度总表!$E$3:$E$1025,0)))</f>
        <v>39.6</v>
      </c>
      <c r="M295" s="3">
        <f>IF(INDEX(学年度总表!$M$3:$M$1025,MATCH($E295,学年度总表!$E$3:$E$1025,0))="","",INDEX(学年度总表!$M$3:$M$1025,MATCH($E295,学年度总表!$E$3:$E$1025,0)))</f>
        <v>4</v>
      </c>
      <c r="N295" s="3">
        <f>IF(INDEX(学年度总表!$N$3:$N$1025,MATCH($E295,学年度总表!$E$3:$E$1025,0))="","",INDEX(学年度总表!$N$3:$N$1025,MATCH($E295,学年度总表!$E$3:$E$1025,0)))</f>
        <v>53.4</v>
      </c>
      <c r="O295" s="3">
        <f>IF(INDEX(学年度总表!$O$3:$O$1025,MATCH($E295,学年度总表!$E$3:$E$1025,0))="","",INDEX(学年度总表!$O$3:$O$1025,MATCH($E295,学年度总表!$E$3:$E$1025,0)))</f>
        <v>122.93</v>
      </c>
      <c r="P295" s="2" t="str">
        <f>IF(INDEX(学年度总表!$P$3:$P$1025,MATCH($E295,学年度总表!$E$3:$E$1025,0))="","",INDEX(学年度总表!$P$3:$P$1025,MATCH($E295,学年度总表!$E$3:$E$1025,0)))</f>
        <v/>
      </c>
      <c r="Q295" s="5" t="str">
        <f>IF(INDEX(学年度总表!$Q$3:$Q$1025,MATCH($E295,学年度总表!$E$3:$E$1025,0))="","",INDEX(学年度总表!$Q$3:$Q$1025,MATCH($E295,学年度总表!$E$3:$E$1025,0)))</f>
        <v/>
      </c>
    </row>
    <row r="296" spans="1:17">
      <c r="A296" s="2">
        <f>IF(INDEX(学年度总表!$A$3:$A$1025,MATCH($E296,学年度总表!$E$3:$E$1025,0))="","",INDEX(学年度总表!$A$3:$A$1025,MATCH($E296,学年度总表!$E$3:$E$1025,0)))</f>
        <v>823</v>
      </c>
      <c r="B296" s="2">
        <f>IF(INDEX(学年度总表!$B$3:$B$1025,MATCH($E296,学年度总表!$E$3:$E$1025,0))="","",INDEX(学年度总表!$B$3:$B$1025,MATCH($E296,学年度总表!$E$3:$E$1025,0)))</f>
        <v>294</v>
      </c>
      <c r="C296" s="2" t="str">
        <f>IF(INDEX(学年度总表!$C$3:$C$1025,MATCH($E296,学年度总表!$E$3:$E$1025,0))="","",INDEX(学年度总表!$C$3:$C$1025,MATCH($E296,学年度总表!$E$3:$E$1025,0)))</f>
        <v>信管</v>
      </c>
      <c r="D296" s="2" t="str">
        <f>IF(INDEX(学年度总表!$D$3:$D$1025,MATCH($E296,学年度总表!$E$3:$E$1025,0))="","",INDEX(学年度总表!$D$3:$D$1025,MATCH($E296,学年度总表!$E$3:$E$1025,0)))</f>
        <v>信管27班</v>
      </c>
      <c r="E296" s="2" t="s">
        <v>1709</v>
      </c>
      <c r="F296" s="2" t="str">
        <f>IF(INDEX(学年度总表!$F$3:$F$1025,MATCH($E296,学年度总表!$E$3:$E$1025,0))="","",INDEX(学年度总表!$F$3:$F$1025,MATCH($E296,学年度总表!$E$3:$E$1025,0)))</f>
        <v>谭睿</v>
      </c>
      <c r="G296" s="3">
        <f>IF(INDEX(学年度总表!$G$3:$G$1025,MATCH($E296,学年度总表!$E$3:$E$1025,0))="","",INDEX(学年度总表!$G$3:$G$1025,MATCH($E296,学年度总表!$E$3:$E$1025,0)))</f>
        <v>7.3</v>
      </c>
      <c r="H296" s="3">
        <f>IF(INDEX(学年度总表!$H$3:$H$1025,MATCH($E296,学年度总表!$E$3:$E$1025,0))="","",INDEX(学年度总表!$H$3:$H$1025,MATCH($E296,学年度总表!$E$3:$E$1025,0)))</f>
        <v>53.9</v>
      </c>
      <c r="I296" s="3">
        <f>IF(INDEX(学年度总表!$I$3:$I$1025,MATCH($E296,学年度总表!$E$3:$E$1025,0))="","",INDEX(学年度总表!$I$3:$I$1025,MATCH($E296,学年度总表!$E$3:$E$1025,0)))</f>
        <v>3</v>
      </c>
      <c r="J296" s="3">
        <f>IF(INDEX(学年度总表!$J$3:$J$1025,MATCH($E296,学年度总表!$E$3:$E$1025,0))="","",INDEX(学年度总表!$J$3:$J$1025,MATCH($E296,学年度总表!$E$3:$E$1025,0)))</f>
        <v>64.2</v>
      </c>
      <c r="K296" s="3">
        <f>IF(INDEX(学年度总表!$K$3:$K$1025,MATCH($E296,学年度总表!$E$3:$E$1025,0))="","",INDEX(学年度总表!$K$3:$K$1025,MATCH($E296,学年度总表!$E$3:$E$1025,0)))</f>
        <v>7.5</v>
      </c>
      <c r="L296" s="3">
        <f>IF(INDEX(学年度总表!$L$3:$L$1025,MATCH($E296,学年度总表!$E$3:$E$1025,0))="","",INDEX(学年度总表!$L$3:$L$1025,MATCH($E296,学年度总表!$E$3:$E$1025,0)))</f>
        <v>48.13</v>
      </c>
      <c r="M296" s="3">
        <f>IF(INDEX(学年度总表!$M$3:$M$1025,MATCH($E296,学年度总表!$E$3:$E$1025,0))="","",INDEX(学年度总表!$M$3:$M$1025,MATCH($E296,学年度总表!$E$3:$E$1025,0)))</f>
        <v>3</v>
      </c>
      <c r="N296" s="3">
        <f>IF(INDEX(学年度总表!$N$3:$N$1025,MATCH($E296,学年度总表!$E$3:$E$1025,0))="","",INDEX(学年度总表!$N$3:$N$1025,MATCH($E296,学年度总表!$E$3:$E$1025,0)))</f>
        <v>58.63</v>
      </c>
      <c r="O296" s="3">
        <f>IF(INDEX(学年度总表!$O$3:$O$1025,MATCH($E296,学年度总表!$E$3:$E$1025,0))="","",INDEX(学年度总表!$O$3:$O$1025,MATCH($E296,学年度总表!$E$3:$E$1025,0)))</f>
        <v>122.83</v>
      </c>
      <c r="P296" s="2" t="str">
        <f>IF(INDEX(学年度总表!$P$3:$P$1025,MATCH($E296,学年度总表!$E$3:$E$1025,0))="","",INDEX(学年度总表!$P$3:$P$1025,MATCH($E296,学年度总表!$E$3:$E$1025,0)))</f>
        <v/>
      </c>
      <c r="Q296" s="5" t="str">
        <f>IF(INDEX(学年度总表!$Q$3:$Q$1025,MATCH($E296,学年度总表!$E$3:$E$1025,0))="","",INDEX(学年度总表!$Q$3:$Q$1025,MATCH($E296,学年度总表!$E$3:$E$1025,0)))</f>
        <v/>
      </c>
    </row>
    <row r="297" spans="1:17">
      <c r="A297" s="2">
        <f>IF(INDEX(学年度总表!$A$3:$A$1025,MATCH($E297,学年度总表!$E$3:$E$1025,0))="","",INDEX(学年度总表!$A$3:$A$1025,MATCH($E297,学年度总表!$E$3:$E$1025,0)))</f>
        <v>825</v>
      </c>
      <c r="B297" s="2">
        <f>IF(INDEX(学年度总表!$B$3:$B$1025,MATCH($E297,学年度总表!$E$3:$E$1025,0))="","",INDEX(学年度总表!$B$3:$B$1025,MATCH($E297,学年度总表!$E$3:$E$1025,0)))</f>
        <v>295</v>
      </c>
      <c r="C297" s="2" t="str">
        <f>IF(INDEX(学年度总表!$C$3:$C$1025,MATCH($E297,学年度总表!$E$3:$E$1025,0))="","",INDEX(学年度总表!$C$3:$C$1025,MATCH($E297,学年度总表!$E$3:$E$1025,0)))</f>
        <v>信管</v>
      </c>
      <c r="D297" s="2" t="str">
        <f>IF(INDEX(学年度总表!$D$3:$D$1025,MATCH($E297,学年度总表!$E$3:$E$1025,0))="","",INDEX(学年度总表!$D$3:$D$1025,MATCH($E297,学年度总表!$E$3:$E$1025,0)))</f>
        <v>信管24班</v>
      </c>
      <c r="E297" s="2" t="s">
        <v>1711</v>
      </c>
      <c r="F297" s="2" t="str">
        <f>IF(INDEX(学年度总表!$F$3:$F$1025,MATCH($E297,学年度总表!$E$3:$E$1025,0))="","",INDEX(学年度总表!$F$3:$F$1025,MATCH($E297,学年度总表!$E$3:$E$1025,0)))</f>
        <v>杜艺枫</v>
      </c>
      <c r="G297" s="3">
        <f>IF(INDEX(学年度总表!$G$3:$G$1025,MATCH($E297,学年度总表!$E$3:$E$1025,0))="","",INDEX(学年度总表!$G$3:$G$1025,MATCH($E297,学年度总表!$E$3:$E$1025,0)))</f>
        <v>9.8000000000000007</v>
      </c>
      <c r="H297" s="3">
        <f>IF(INDEX(学年度总表!$H$3:$H$1025,MATCH($E297,学年度总表!$E$3:$E$1025,0))="","",INDEX(学年度总表!$H$3:$H$1025,MATCH($E297,学年度总表!$E$3:$E$1025,0)))</f>
        <v>48.05</v>
      </c>
      <c r="I297" s="3">
        <f>IF(INDEX(学年度总表!$I$3:$I$1025,MATCH($E297,学年度总表!$E$3:$E$1025,0))="","",INDEX(学年度总表!$I$3:$I$1025,MATCH($E297,学年度总表!$E$3:$E$1025,0)))</f>
        <v>3</v>
      </c>
      <c r="J297" s="3">
        <f>IF(INDEX(学年度总表!$J$3:$J$1025,MATCH($E297,学年度总表!$E$3:$E$1025,0))="","",INDEX(学年度总表!$J$3:$J$1025,MATCH($E297,学年度总表!$E$3:$E$1025,0)))</f>
        <v>60.85</v>
      </c>
      <c r="K297" s="3">
        <f>IF(INDEX(学年度总表!$K$3:$K$1025,MATCH($E297,学年度总表!$E$3:$E$1025,0))="","",INDEX(学年度总表!$K$3:$K$1025,MATCH($E297,学年度总表!$E$3:$E$1025,0)))</f>
        <v>9.8000000000000007</v>
      </c>
      <c r="L297" s="3">
        <f>IF(INDEX(学年度总表!$L$3:$L$1025,MATCH($E297,学年度总表!$E$3:$E$1025,0))="","",INDEX(学年度总表!$L$3:$L$1025,MATCH($E297,学年度总表!$E$3:$E$1025,0)))</f>
        <v>49.14</v>
      </c>
      <c r="M297" s="3">
        <f>IF(INDEX(学年度总表!$M$3:$M$1025,MATCH($E297,学年度总表!$E$3:$E$1025,0))="","",INDEX(学年度总表!$M$3:$M$1025,MATCH($E297,学年度总表!$E$3:$E$1025,0)))</f>
        <v>3</v>
      </c>
      <c r="N297" s="3">
        <f>IF(INDEX(学年度总表!$N$3:$N$1025,MATCH($E297,学年度总表!$E$3:$E$1025,0))="","",INDEX(学年度总表!$N$3:$N$1025,MATCH($E297,学年度总表!$E$3:$E$1025,0)))</f>
        <v>61.94</v>
      </c>
      <c r="O297" s="3">
        <f>IF(INDEX(学年度总表!$O$3:$O$1025,MATCH($E297,学年度总表!$E$3:$E$1025,0))="","",INDEX(学年度总表!$O$3:$O$1025,MATCH($E297,学年度总表!$E$3:$E$1025,0)))</f>
        <v>122.79</v>
      </c>
      <c r="P297" s="2" t="str">
        <f>IF(INDEX(学年度总表!$P$3:$P$1025,MATCH($E297,学年度总表!$E$3:$E$1025,0))="","",INDEX(学年度总表!$P$3:$P$1025,MATCH($E297,学年度总表!$E$3:$E$1025,0)))</f>
        <v/>
      </c>
      <c r="Q297" s="5" t="str">
        <f>IF(INDEX(学年度总表!$Q$3:$Q$1025,MATCH($E297,学年度总表!$E$3:$E$1025,0))="","",INDEX(学年度总表!$Q$3:$Q$1025,MATCH($E297,学年度总表!$E$3:$E$1025,0)))</f>
        <v/>
      </c>
    </row>
    <row r="298" spans="1:17">
      <c r="A298" s="2">
        <f>IF(INDEX(学年度总表!$A$3:$A$1025,MATCH($E298,学年度总表!$E$3:$E$1025,0))="","",INDEX(学年度总表!$A$3:$A$1025,MATCH($E298,学年度总表!$E$3:$E$1025,0)))</f>
        <v>826</v>
      </c>
      <c r="B298" s="2">
        <f>IF(INDEX(学年度总表!$B$3:$B$1025,MATCH($E298,学年度总表!$E$3:$E$1025,0))="","",INDEX(学年度总表!$B$3:$B$1025,MATCH($E298,学年度总表!$E$3:$E$1025,0)))</f>
        <v>296</v>
      </c>
      <c r="C298" s="2" t="str">
        <f>IF(INDEX(学年度总表!$C$3:$C$1025,MATCH($E298,学年度总表!$E$3:$E$1025,0))="","",INDEX(学年度总表!$C$3:$C$1025,MATCH($E298,学年度总表!$E$3:$E$1025,0)))</f>
        <v>信管</v>
      </c>
      <c r="D298" s="2" t="str">
        <f>IF(INDEX(学年度总表!$D$3:$D$1025,MATCH($E298,学年度总表!$E$3:$E$1025,0))="","",INDEX(学年度总表!$D$3:$D$1025,MATCH($E298,学年度总表!$E$3:$E$1025,0)))</f>
        <v>信管22班</v>
      </c>
      <c r="E298" s="2" t="s">
        <v>1713</v>
      </c>
      <c r="F298" s="2" t="str">
        <f>IF(INDEX(学年度总表!$F$3:$F$1025,MATCH($E298,学年度总表!$E$3:$E$1025,0))="","",INDEX(学年度总表!$F$3:$F$1025,MATCH($E298,学年度总表!$E$3:$E$1025,0)))</f>
        <v>王紫涵</v>
      </c>
      <c r="G298" s="3">
        <f>IF(INDEX(学年度总表!$G$3:$G$1025,MATCH($E298,学年度总表!$E$3:$E$1025,0))="","",INDEX(学年度总表!$G$3:$G$1025,MATCH($E298,学年度总表!$E$3:$E$1025,0)))</f>
        <v>7.3</v>
      </c>
      <c r="H298" s="3">
        <f>IF(INDEX(学年度总表!$H$3:$H$1025,MATCH($E298,学年度总表!$E$3:$E$1025,0))="","",INDEX(学年度总表!$H$3:$H$1025,MATCH($E298,学年度总表!$E$3:$E$1025,0)))</f>
        <v>48.07</v>
      </c>
      <c r="I298" s="3">
        <f>IF(INDEX(学年度总表!$I$3:$I$1025,MATCH($E298,学年度总表!$E$3:$E$1025,0))="","",INDEX(学年度总表!$I$3:$I$1025,MATCH($E298,学年度总表!$E$3:$E$1025,0)))</f>
        <v>4</v>
      </c>
      <c r="J298" s="3">
        <f>IF(INDEX(学年度总表!$J$3:$J$1025,MATCH($E298,学年度总表!$E$3:$E$1025,0))="","",INDEX(学年度总表!$J$3:$J$1025,MATCH($E298,学年度总表!$E$3:$E$1025,0)))</f>
        <v>59.37</v>
      </c>
      <c r="K298" s="3">
        <f>IF(INDEX(学年度总表!$K$3:$K$1025,MATCH($E298,学年度总表!$E$3:$E$1025,0))="","",INDEX(学年度总表!$K$3:$K$1025,MATCH($E298,学年度总表!$E$3:$E$1025,0)))</f>
        <v>9.8000000000000007</v>
      </c>
      <c r="L298" s="3">
        <f>IF(INDEX(学年度总表!$L$3:$L$1025,MATCH($E298,学年度总表!$E$3:$E$1025,0))="","",INDEX(学年度总表!$L$3:$L$1025,MATCH($E298,学年度总表!$E$3:$E$1025,0)))</f>
        <v>49.21</v>
      </c>
      <c r="M298" s="3">
        <f>IF(INDEX(学年度总表!$M$3:$M$1025,MATCH($E298,学年度总表!$E$3:$E$1025,0))="","",INDEX(学年度总表!$M$3:$M$1025,MATCH($E298,学年度总表!$E$3:$E$1025,0)))</f>
        <v>4</v>
      </c>
      <c r="N298" s="3">
        <f>IF(INDEX(学年度总表!$N$3:$N$1025,MATCH($E298,学年度总表!$E$3:$E$1025,0))="","",INDEX(学年度总表!$N$3:$N$1025,MATCH($E298,学年度总表!$E$3:$E$1025,0)))</f>
        <v>63.01</v>
      </c>
      <c r="O298" s="3">
        <f>IF(INDEX(学年度总表!$O$3:$O$1025,MATCH($E298,学年度总表!$E$3:$E$1025,0))="","",INDEX(学年度总表!$O$3:$O$1025,MATCH($E298,学年度总表!$E$3:$E$1025,0)))</f>
        <v>122.38</v>
      </c>
      <c r="P298" s="2" t="str">
        <f>IF(INDEX(学年度总表!$P$3:$P$1025,MATCH($E298,学年度总表!$E$3:$E$1025,0))="","",INDEX(学年度总表!$P$3:$P$1025,MATCH($E298,学年度总表!$E$3:$E$1025,0)))</f>
        <v/>
      </c>
      <c r="Q298" s="5" t="str">
        <f>IF(INDEX(学年度总表!$Q$3:$Q$1025,MATCH($E298,学年度总表!$E$3:$E$1025,0))="","",INDEX(学年度总表!$Q$3:$Q$1025,MATCH($E298,学年度总表!$E$3:$E$1025,0)))</f>
        <v/>
      </c>
    </row>
    <row r="299" spans="1:17">
      <c r="A299" s="2">
        <f>IF(INDEX(学年度总表!$A$3:$A$1025,MATCH($E299,学年度总表!$E$3:$E$1025,0))="","",INDEX(学年度总表!$A$3:$A$1025,MATCH($E299,学年度总表!$E$3:$E$1025,0)))</f>
        <v>827</v>
      </c>
      <c r="B299" s="2">
        <f>IF(INDEX(学年度总表!$B$3:$B$1025,MATCH($E299,学年度总表!$E$3:$E$1025,0))="","",INDEX(学年度总表!$B$3:$B$1025,MATCH($E299,学年度总表!$E$3:$E$1025,0)))</f>
        <v>297</v>
      </c>
      <c r="C299" s="2" t="str">
        <f>IF(INDEX(学年度总表!$C$3:$C$1025,MATCH($E299,学年度总表!$E$3:$E$1025,0))="","",INDEX(学年度总表!$C$3:$C$1025,MATCH($E299,学年度总表!$E$3:$E$1025,0)))</f>
        <v>信管</v>
      </c>
      <c r="D299" s="2" t="str">
        <f>IF(INDEX(学年度总表!$D$3:$D$1025,MATCH($E299,学年度总表!$E$3:$E$1025,0))="","",INDEX(学年度总表!$D$3:$D$1025,MATCH($E299,学年度总表!$E$3:$E$1025,0)))</f>
        <v>信管21班</v>
      </c>
      <c r="E299" s="2" t="s">
        <v>1717</v>
      </c>
      <c r="F299" s="2" t="str">
        <f>IF(INDEX(学年度总表!$F$3:$F$1025,MATCH($E299,学年度总表!$E$3:$E$1025,0))="","",INDEX(学年度总表!$F$3:$F$1025,MATCH($E299,学年度总表!$E$3:$E$1025,0)))</f>
        <v>钱祉呈</v>
      </c>
      <c r="G299" s="3">
        <f>IF(INDEX(学年度总表!$G$3:$G$1025,MATCH($E299,学年度总表!$E$3:$E$1025,0))="","",INDEX(学年度总表!$G$3:$G$1025,MATCH($E299,学年度总表!$E$3:$E$1025,0)))</f>
        <v>9.8000000000000007</v>
      </c>
      <c r="H299" s="3">
        <f>IF(INDEX(学年度总表!$H$3:$H$1025,MATCH($E299,学年度总表!$E$3:$E$1025,0))="","",INDEX(学年度总表!$H$3:$H$1025,MATCH($E299,学年度总表!$E$3:$E$1025,0)))</f>
        <v>50.89</v>
      </c>
      <c r="I299" s="3">
        <f>IF(INDEX(学年度总表!$I$3:$I$1025,MATCH($E299,学年度总表!$E$3:$E$1025,0))="","",INDEX(学年度总表!$I$3:$I$1025,MATCH($E299,学年度总表!$E$3:$E$1025,0)))</f>
        <v>3</v>
      </c>
      <c r="J299" s="3">
        <f>IF(INDEX(学年度总表!$J$3:$J$1025,MATCH($E299,学年度总表!$E$3:$E$1025,0))="","",INDEX(学年度总表!$J$3:$J$1025,MATCH($E299,学年度总表!$E$3:$E$1025,0)))</f>
        <v>63.69</v>
      </c>
      <c r="K299" s="3">
        <f>IF(INDEX(学年度总表!$K$3:$K$1025,MATCH($E299,学年度总表!$E$3:$E$1025,0))="","",INDEX(学年度总表!$K$3:$K$1025,MATCH($E299,学年度总表!$E$3:$E$1025,0)))</f>
        <v>9.8000000000000007</v>
      </c>
      <c r="L299" s="3">
        <f>IF(INDEX(学年度总表!$L$3:$L$1025,MATCH($E299,学年度总表!$E$3:$E$1025,0))="","",INDEX(学年度总表!$L$3:$L$1025,MATCH($E299,学年度总表!$E$3:$E$1025,0)))</f>
        <v>45.83</v>
      </c>
      <c r="M299" s="3">
        <f>IF(INDEX(学年度总表!$M$3:$M$1025,MATCH($E299,学年度总表!$E$3:$E$1025,0))="","",INDEX(学年度总表!$M$3:$M$1025,MATCH($E299,学年度总表!$E$3:$E$1025,0)))</f>
        <v>3</v>
      </c>
      <c r="N299" s="3">
        <f>IF(INDEX(学年度总表!$N$3:$N$1025,MATCH($E299,学年度总表!$E$3:$E$1025,0))="","",INDEX(学年度总表!$N$3:$N$1025,MATCH($E299,学年度总表!$E$3:$E$1025,0)))</f>
        <v>58.63</v>
      </c>
      <c r="O299" s="3">
        <f>IF(INDEX(学年度总表!$O$3:$O$1025,MATCH($E299,学年度总表!$E$3:$E$1025,0))="","",INDEX(学年度总表!$O$3:$O$1025,MATCH($E299,学年度总表!$E$3:$E$1025,0)))</f>
        <v>122.32</v>
      </c>
      <c r="P299" s="2" t="str">
        <f>IF(INDEX(学年度总表!$P$3:$P$1025,MATCH($E299,学年度总表!$E$3:$E$1025,0))="","",INDEX(学年度总表!$P$3:$P$1025,MATCH($E299,学年度总表!$E$3:$E$1025,0)))</f>
        <v/>
      </c>
      <c r="Q299" s="5" t="str">
        <f>IF(INDEX(学年度总表!$Q$3:$Q$1025,MATCH($E299,学年度总表!$E$3:$E$1025,0))="","",INDEX(学年度总表!$Q$3:$Q$1025,MATCH($E299,学年度总表!$E$3:$E$1025,0)))</f>
        <v/>
      </c>
    </row>
    <row r="300" spans="1:17">
      <c r="A300" s="2">
        <f>IF(INDEX(学年度总表!$A$3:$A$1025,MATCH($E300,学年度总表!$E$3:$E$1025,0))="","",INDEX(学年度总表!$A$3:$A$1025,MATCH($E300,学年度总表!$E$3:$E$1025,0)))</f>
        <v>831</v>
      </c>
      <c r="B300" s="2">
        <f>IF(INDEX(学年度总表!$B$3:$B$1025,MATCH($E300,学年度总表!$E$3:$E$1025,0))="","",INDEX(学年度总表!$B$3:$B$1025,MATCH($E300,学年度总表!$E$3:$E$1025,0)))</f>
        <v>298</v>
      </c>
      <c r="C300" s="2" t="str">
        <f>IF(INDEX(学年度总表!$C$3:$C$1025,MATCH($E300,学年度总表!$E$3:$E$1025,0))="","",INDEX(学年度总表!$C$3:$C$1025,MATCH($E300,学年度总表!$E$3:$E$1025,0)))</f>
        <v>信管</v>
      </c>
      <c r="D300" s="2" t="str">
        <f>IF(INDEX(学年度总表!$D$3:$D$1025,MATCH($E300,学年度总表!$E$3:$E$1025,0))="","",INDEX(学年度总表!$D$3:$D$1025,MATCH($E300,学年度总表!$E$3:$E$1025,0)))</f>
        <v>信管22班</v>
      </c>
      <c r="E300" s="2" t="s">
        <v>1723</v>
      </c>
      <c r="F300" s="2" t="str">
        <f>IF(INDEX(学年度总表!$F$3:$F$1025,MATCH($E300,学年度总表!$E$3:$E$1025,0))="","",INDEX(学年度总表!$F$3:$F$1025,MATCH($E300,学年度总表!$E$3:$E$1025,0)))</f>
        <v>谭媛媛</v>
      </c>
      <c r="G300" s="3">
        <f>IF(INDEX(学年度总表!$G$3:$G$1025,MATCH($E300,学年度总表!$E$3:$E$1025,0))="","",INDEX(学年度总表!$G$3:$G$1025,MATCH($E300,学年度总表!$E$3:$E$1025,0)))</f>
        <v>9.8000000000000007</v>
      </c>
      <c r="H300" s="3">
        <f>IF(INDEX(学年度总表!$H$3:$H$1025,MATCH($E300,学年度总表!$E$3:$E$1025,0))="","",INDEX(学年度总表!$H$3:$H$1025,MATCH($E300,学年度总表!$E$3:$E$1025,0)))</f>
        <v>46.94</v>
      </c>
      <c r="I300" s="3">
        <f>IF(INDEX(学年度总表!$I$3:$I$1025,MATCH($E300,学年度总表!$E$3:$E$1025,0))="","",INDEX(学年度总表!$I$3:$I$1025,MATCH($E300,学年度总表!$E$3:$E$1025,0)))</f>
        <v>3</v>
      </c>
      <c r="J300" s="3">
        <f>IF(INDEX(学年度总表!$J$3:$J$1025,MATCH($E300,学年度总表!$E$3:$E$1025,0))="","",INDEX(学年度总表!$J$3:$J$1025,MATCH($E300,学年度总表!$E$3:$E$1025,0)))</f>
        <v>59.74</v>
      </c>
      <c r="K300" s="3">
        <f>IF(INDEX(学年度总表!$K$3:$K$1025,MATCH($E300,学年度总表!$E$3:$E$1025,0))="","",INDEX(学年度总表!$K$3:$K$1025,MATCH($E300,学年度总表!$E$3:$E$1025,0)))</f>
        <v>9.8000000000000007</v>
      </c>
      <c r="L300" s="3">
        <f>IF(INDEX(学年度总表!$L$3:$L$1025,MATCH($E300,学年度总表!$E$3:$E$1025,0))="","",INDEX(学年度总表!$L$3:$L$1025,MATCH($E300,学年度总表!$E$3:$E$1025,0)))</f>
        <v>49.64</v>
      </c>
      <c r="M300" s="3">
        <f>IF(INDEX(学年度总表!$M$3:$M$1025,MATCH($E300,学年度总表!$E$3:$E$1025,0))="","",INDEX(学年度总表!$M$3:$M$1025,MATCH($E300,学年度总表!$E$3:$E$1025,0)))</f>
        <v>3</v>
      </c>
      <c r="N300" s="3">
        <f>IF(INDEX(学年度总表!$N$3:$N$1025,MATCH($E300,学年度总表!$E$3:$E$1025,0))="","",INDEX(学年度总表!$N$3:$N$1025,MATCH($E300,学年度总表!$E$3:$E$1025,0)))</f>
        <v>62.44</v>
      </c>
      <c r="O300" s="3">
        <f>IF(INDEX(学年度总表!$O$3:$O$1025,MATCH($E300,学年度总表!$E$3:$E$1025,0))="","",INDEX(学年度总表!$O$3:$O$1025,MATCH($E300,学年度总表!$E$3:$E$1025,0)))</f>
        <v>122.18</v>
      </c>
      <c r="P300" s="2" t="str">
        <f>IF(INDEX(学年度总表!$P$3:$P$1025,MATCH($E300,学年度总表!$E$3:$E$1025,0))="","",INDEX(学年度总表!$P$3:$P$1025,MATCH($E300,学年度总表!$E$3:$E$1025,0)))</f>
        <v/>
      </c>
      <c r="Q300" s="5" t="str">
        <f>IF(INDEX(学年度总表!$Q$3:$Q$1025,MATCH($E300,学年度总表!$E$3:$E$1025,0))="","",INDEX(学年度总表!$Q$3:$Q$1025,MATCH($E300,学年度总表!$E$3:$E$1025,0)))</f>
        <v/>
      </c>
    </row>
    <row r="301" spans="1:17">
      <c r="A301" s="2">
        <f>IF(INDEX(学年度总表!$A$3:$A$1025,MATCH($E301,学年度总表!$E$3:$E$1025,0))="","",INDEX(学年度总表!$A$3:$A$1025,MATCH($E301,学年度总表!$E$3:$E$1025,0)))</f>
        <v>832</v>
      </c>
      <c r="B301" s="2">
        <f>IF(INDEX(学年度总表!$B$3:$B$1025,MATCH($E301,学年度总表!$E$3:$E$1025,0))="","",INDEX(学年度总表!$B$3:$B$1025,MATCH($E301,学年度总表!$E$3:$E$1025,0)))</f>
        <v>299</v>
      </c>
      <c r="C301" s="2" t="str">
        <f>IF(INDEX(学年度总表!$C$3:$C$1025,MATCH($E301,学年度总表!$E$3:$E$1025,0))="","",INDEX(学年度总表!$C$3:$C$1025,MATCH($E301,学年度总表!$E$3:$E$1025,0)))</f>
        <v>信管</v>
      </c>
      <c r="D301" s="2" t="str">
        <f>IF(INDEX(学年度总表!$D$3:$D$1025,MATCH($E301,学年度总表!$E$3:$E$1025,0))="","",INDEX(学年度总表!$D$3:$D$1025,MATCH($E301,学年度总表!$E$3:$E$1025,0)))</f>
        <v>信管19班</v>
      </c>
      <c r="E301" s="2" t="s">
        <v>1725</v>
      </c>
      <c r="F301" s="2" t="str">
        <f>IF(INDEX(学年度总表!$F$3:$F$1025,MATCH($E301,学年度总表!$E$3:$E$1025,0))="","",INDEX(学年度总表!$F$3:$F$1025,MATCH($E301,学年度总表!$E$3:$E$1025,0)))</f>
        <v>于慧子</v>
      </c>
      <c r="G301" s="3">
        <f>IF(INDEX(学年度总表!$G$3:$G$1025,MATCH($E301,学年度总表!$E$3:$E$1025,0))="","",INDEX(学年度总表!$G$3:$G$1025,MATCH($E301,学年度总表!$E$3:$E$1025,0)))</f>
        <v>9.6</v>
      </c>
      <c r="H301" s="3">
        <f>IF(INDEX(学年度总表!$H$3:$H$1025,MATCH($E301,学年度总表!$E$3:$E$1025,0))="","",INDEX(学年度总表!$H$3:$H$1025,MATCH($E301,学年度总表!$E$3:$E$1025,0)))</f>
        <v>48.68</v>
      </c>
      <c r="I301" s="3">
        <f>IF(INDEX(学年度总表!$I$3:$I$1025,MATCH($E301,学年度总表!$E$3:$E$1025,0))="","",INDEX(学年度总表!$I$3:$I$1025,MATCH($E301,学年度总表!$E$3:$E$1025,0)))</f>
        <v>3.2</v>
      </c>
      <c r="J301" s="3">
        <f>IF(INDEX(学年度总表!$J$3:$J$1025,MATCH($E301,学年度总表!$E$3:$E$1025,0))="","",INDEX(学年度总表!$J$3:$J$1025,MATCH($E301,学年度总表!$E$3:$E$1025,0)))</f>
        <v>61.48</v>
      </c>
      <c r="K301" s="3">
        <f>IF(INDEX(学年度总表!$K$3:$K$1025,MATCH($E301,学年度总表!$E$3:$E$1025,0))="","",INDEX(学年度总表!$K$3:$K$1025,MATCH($E301,学年度总表!$E$3:$E$1025,0)))</f>
        <v>10</v>
      </c>
      <c r="L301" s="3">
        <f>IF(INDEX(学年度总表!$L$3:$L$1025,MATCH($E301,学年度总表!$E$3:$E$1025,0))="","",INDEX(学年度总表!$L$3:$L$1025,MATCH($E301,学年度总表!$E$3:$E$1025,0)))</f>
        <v>47.06</v>
      </c>
      <c r="M301" s="3">
        <f>IF(INDEX(学年度总表!$M$3:$M$1025,MATCH($E301,学年度总表!$E$3:$E$1025,0))="","",INDEX(学年度总表!$M$3:$M$1025,MATCH($E301,学年度总表!$E$3:$E$1025,0)))</f>
        <v>3.5</v>
      </c>
      <c r="N301" s="3">
        <f>IF(INDEX(学年度总表!$N$3:$N$1025,MATCH($E301,学年度总表!$E$3:$E$1025,0))="","",INDEX(学年度总表!$N$3:$N$1025,MATCH($E301,学年度总表!$E$3:$E$1025,0)))</f>
        <v>60.56</v>
      </c>
      <c r="O301" s="3">
        <f>IF(INDEX(学年度总表!$O$3:$O$1025,MATCH($E301,学年度总表!$E$3:$E$1025,0))="","",INDEX(学年度总表!$O$3:$O$1025,MATCH($E301,学年度总表!$E$3:$E$1025,0)))</f>
        <v>122.04</v>
      </c>
      <c r="P301" s="2" t="str">
        <f>IF(INDEX(学年度总表!$P$3:$P$1025,MATCH($E301,学年度总表!$E$3:$E$1025,0))="","",INDEX(学年度总表!$P$3:$P$1025,MATCH($E301,学年度总表!$E$3:$E$1025,0)))</f>
        <v/>
      </c>
      <c r="Q301" s="5" t="str">
        <f>IF(INDEX(学年度总表!$Q$3:$Q$1025,MATCH($E301,学年度总表!$E$3:$E$1025,0))="","",INDEX(学年度总表!$Q$3:$Q$1025,MATCH($E301,学年度总表!$E$3:$E$1025,0)))</f>
        <v/>
      </c>
    </row>
    <row r="302" spans="1:17">
      <c r="A302" s="2">
        <f>IF(INDEX(学年度总表!$A$3:$A$1025,MATCH($E302,学年度总表!$E$3:$E$1025,0))="","",INDEX(学年度总表!$A$3:$A$1025,MATCH($E302,学年度总表!$E$3:$E$1025,0)))</f>
        <v>834</v>
      </c>
      <c r="B302" s="2">
        <f>IF(INDEX(学年度总表!$B$3:$B$1025,MATCH($E302,学年度总表!$E$3:$E$1025,0))="","",INDEX(学年度总表!$B$3:$B$1025,MATCH($E302,学年度总表!$E$3:$E$1025,0)))</f>
        <v>300</v>
      </c>
      <c r="C302" s="2" t="str">
        <f>IF(INDEX(学年度总表!$C$3:$C$1025,MATCH($E302,学年度总表!$E$3:$E$1025,0))="","",INDEX(学年度总表!$C$3:$C$1025,MATCH($E302,学年度总表!$E$3:$E$1025,0)))</f>
        <v>信管</v>
      </c>
      <c r="D302" s="2" t="str">
        <f>IF(INDEX(学年度总表!$D$3:$D$1025,MATCH($E302,学年度总表!$E$3:$E$1025,0))="","",INDEX(学年度总表!$D$3:$D$1025,MATCH($E302,学年度总表!$E$3:$E$1025,0)))</f>
        <v>信管28班</v>
      </c>
      <c r="E302" s="2" t="s">
        <v>1729</v>
      </c>
      <c r="F302" s="2" t="str">
        <f>IF(INDEX(学年度总表!$F$3:$F$1025,MATCH($E302,学年度总表!$E$3:$E$1025,0))="","",INDEX(学年度总表!$F$3:$F$1025,MATCH($E302,学年度总表!$E$3:$E$1025,0)))</f>
        <v>娄佳</v>
      </c>
      <c r="G302" s="3">
        <f>IF(INDEX(学年度总表!$G$3:$G$1025,MATCH($E302,学年度总表!$E$3:$E$1025,0))="","",INDEX(学年度总表!$G$3:$G$1025,MATCH($E302,学年度总表!$E$3:$E$1025,0)))</f>
        <v>9.8000000000000007</v>
      </c>
      <c r="H302" s="3">
        <f>IF(INDEX(学年度总表!$H$3:$H$1025,MATCH($E302,学年度总表!$E$3:$E$1025,0))="","",INDEX(学年度总表!$H$3:$H$1025,MATCH($E302,学年度总表!$E$3:$E$1025,0)))</f>
        <v>48.16</v>
      </c>
      <c r="I302" s="3">
        <f>IF(INDEX(学年度总表!$I$3:$I$1025,MATCH($E302,学年度总表!$E$3:$E$1025,0))="","",INDEX(学年度总表!$I$3:$I$1025,MATCH($E302,学年度总表!$E$3:$E$1025,0)))</f>
        <v>3.3</v>
      </c>
      <c r="J302" s="3">
        <f>IF(INDEX(学年度总表!$J$3:$J$1025,MATCH($E302,学年度总表!$E$3:$E$1025,0))="","",INDEX(学年度总表!$J$3:$J$1025,MATCH($E302,学年度总表!$E$3:$E$1025,0)))</f>
        <v>61.26</v>
      </c>
      <c r="K302" s="3">
        <f>IF(INDEX(学年度总表!$K$3:$K$1025,MATCH($E302,学年度总表!$E$3:$E$1025,0))="","",INDEX(学年度总表!$K$3:$K$1025,MATCH($E302,学年度总表!$E$3:$E$1025,0)))</f>
        <v>7.3000000000000007</v>
      </c>
      <c r="L302" s="3">
        <f>IF(INDEX(学年度总表!$L$3:$L$1025,MATCH($E302,学年度总表!$E$3:$E$1025,0))="","",INDEX(学年度总表!$L$3:$L$1025,MATCH($E302,学年度总表!$E$3:$E$1025,0)))</f>
        <v>49.7</v>
      </c>
      <c r="M302" s="3">
        <f>IF(INDEX(学年度总表!$M$3:$M$1025,MATCH($E302,学年度总表!$E$3:$E$1025,0))="","",INDEX(学年度总表!$M$3:$M$1025,MATCH($E302,学年度总表!$E$3:$E$1025,0)))</f>
        <v>3.7</v>
      </c>
      <c r="N302" s="3">
        <f>IF(INDEX(学年度总表!$N$3:$N$1025,MATCH($E302,学年度总表!$E$3:$E$1025,0))="","",INDEX(学年度总表!$N$3:$N$1025,MATCH($E302,学年度总表!$E$3:$E$1025,0)))</f>
        <v>60.7</v>
      </c>
      <c r="O302" s="3">
        <f>IF(INDEX(学年度总表!$O$3:$O$1025,MATCH($E302,学年度总表!$E$3:$E$1025,0))="","",INDEX(学年度总表!$O$3:$O$1025,MATCH($E302,学年度总表!$E$3:$E$1025,0)))</f>
        <v>121.96</v>
      </c>
      <c r="P302" s="2" t="str">
        <f>IF(INDEX(学年度总表!$P$3:$P$1025,MATCH($E302,学年度总表!$E$3:$E$1025,0))="","",INDEX(学年度总表!$P$3:$P$1025,MATCH($E302,学年度总表!$E$3:$E$1025,0)))</f>
        <v/>
      </c>
      <c r="Q302" s="5" t="str">
        <f>IF(INDEX(学年度总表!$Q$3:$Q$1025,MATCH($E302,学年度总表!$E$3:$E$1025,0))="","",INDEX(学年度总表!$Q$3:$Q$1025,MATCH($E302,学年度总表!$E$3:$E$1025,0)))</f>
        <v/>
      </c>
    </row>
    <row r="303" spans="1:17">
      <c r="A303" s="2">
        <f>IF(INDEX(学年度总表!$A$3:$A$1025,MATCH($E303,学年度总表!$E$3:$E$1025,0))="","",INDEX(学年度总表!$A$3:$A$1025,MATCH($E303,学年度总表!$E$3:$E$1025,0)))</f>
        <v>835</v>
      </c>
      <c r="B303" s="2">
        <f>IF(INDEX(学年度总表!$B$3:$B$1025,MATCH($E303,学年度总表!$E$3:$E$1025,0))="","",INDEX(学年度总表!$B$3:$B$1025,MATCH($E303,学年度总表!$E$3:$E$1025,0)))</f>
        <v>301</v>
      </c>
      <c r="C303" s="2" t="str">
        <f>IF(INDEX(学年度总表!$C$3:$C$1025,MATCH($E303,学年度总表!$E$3:$E$1025,0))="","",INDEX(学年度总表!$C$3:$C$1025,MATCH($E303,学年度总表!$E$3:$E$1025,0)))</f>
        <v>信管</v>
      </c>
      <c r="D303" s="2" t="str">
        <f>IF(INDEX(学年度总表!$D$3:$D$1025,MATCH($E303,学年度总表!$E$3:$E$1025,0))="","",INDEX(学年度总表!$D$3:$D$1025,MATCH($E303,学年度总表!$E$3:$E$1025,0)))</f>
        <v>信管28班</v>
      </c>
      <c r="E303" s="2" t="s">
        <v>1731</v>
      </c>
      <c r="F303" s="2" t="str">
        <f>IF(INDEX(学年度总表!$F$3:$F$1025,MATCH($E303,学年度总表!$E$3:$E$1025,0))="","",INDEX(学年度总表!$F$3:$F$1025,MATCH($E303,学年度总表!$E$3:$E$1025,0)))</f>
        <v>刘博强</v>
      </c>
      <c r="G303" s="3">
        <f>IF(INDEX(学年度总表!$G$3:$G$1025,MATCH($E303,学年度总表!$E$3:$E$1025,0))="","",INDEX(学年度总表!$G$3:$G$1025,MATCH($E303,学年度总表!$E$3:$E$1025,0)))</f>
        <v>9.8000000000000007</v>
      </c>
      <c r="H303" s="3">
        <f>IF(INDEX(学年度总表!$H$3:$H$1025,MATCH($E303,学年度总表!$E$3:$E$1025,0))="","",INDEX(学年度总表!$H$3:$H$1025,MATCH($E303,学年度总表!$E$3:$E$1025,0)))</f>
        <v>52.26</v>
      </c>
      <c r="I303" s="3">
        <f>IF(INDEX(学年度总表!$I$3:$I$1025,MATCH($E303,学年度总表!$E$3:$E$1025,0))="","",INDEX(学年度总表!$I$3:$I$1025,MATCH($E303,学年度总表!$E$3:$E$1025,0)))</f>
        <v>3</v>
      </c>
      <c r="J303" s="3">
        <f>IF(INDEX(学年度总表!$J$3:$J$1025,MATCH($E303,学年度总表!$E$3:$E$1025,0))="","",INDEX(学年度总表!$J$3:$J$1025,MATCH($E303,学年度总表!$E$3:$E$1025,0)))</f>
        <v>65.06</v>
      </c>
      <c r="K303" s="3">
        <f>IF(INDEX(学年度总表!$K$3:$K$1025,MATCH($E303,学年度总表!$E$3:$E$1025,0))="","",INDEX(学年度总表!$K$3:$K$1025,MATCH($E303,学年度总表!$E$3:$E$1025,0)))</f>
        <v>7.3000000000000007</v>
      </c>
      <c r="L303" s="3">
        <f>IF(INDEX(学年度总表!$L$3:$L$1025,MATCH($E303,学年度总表!$E$3:$E$1025,0))="","",INDEX(学年度总表!$L$3:$L$1025,MATCH($E303,学年度总表!$E$3:$E$1025,0)))</f>
        <v>46.08</v>
      </c>
      <c r="M303" s="3">
        <f>IF(INDEX(学年度总表!$M$3:$M$1025,MATCH($E303,学年度总表!$E$3:$E$1025,0))="","",INDEX(学年度总表!$M$3:$M$1025,MATCH($E303,学年度总表!$E$3:$E$1025,0)))</f>
        <v>3.5</v>
      </c>
      <c r="N303" s="3">
        <f>IF(INDEX(学年度总表!$N$3:$N$1025,MATCH($E303,学年度总表!$E$3:$E$1025,0))="","",INDEX(学年度总表!$N$3:$N$1025,MATCH($E303,学年度总表!$E$3:$E$1025,0)))</f>
        <v>56.88</v>
      </c>
      <c r="O303" s="3">
        <f>IF(INDEX(学年度总表!$O$3:$O$1025,MATCH($E303,学年度总表!$E$3:$E$1025,0))="","",INDEX(学年度总表!$O$3:$O$1025,MATCH($E303,学年度总表!$E$3:$E$1025,0)))</f>
        <v>121.94</v>
      </c>
      <c r="P303" s="2" t="str">
        <f>IF(INDEX(学年度总表!$P$3:$P$1025,MATCH($E303,学年度总表!$E$3:$E$1025,0))="","",INDEX(学年度总表!$P$3:$P$1025,MATCH($E303,学年度总表!$E$3:$E$1025,0)))</f>
        <v/>
      </c>
      <c r="Q303" s="5" t="str">
        <f>IF(INDEX(学年度总表!$Q$3:$Q$1025,MATCH($E303,学年度总表!$E$3:$E$1025,0))="","",INDEX(学年度总表!$Q$3:$Q$1025,MATCH($E303,学年度总表!$E$3:$E$1025,0)))</f>
        <v/>
      </c>
    </row>
    <row r="304" spans="1:17">
      <c r="A304" s="2">
        <f>IF(INDEX(学年度总表!$A$3:$A$1025,MATCH($E304,学年度总表!$E$3:$E$1025,0))="","",INDEX(学年度总表!$A$3:$A$1025,MATCH($E304,学年度总表!$E$3:$E$1025,0)))</f>
        <v>838</v>
      </c>
      <c r="B304" s="2">
        <f>IF(INDEX(学年度总表!$B$3:$B$1025,MATCH($E304,学年度总表!$E$3:$E$1025,0))="","",INDEX(学年度总表!$B$3:$B$1025,MATCH($E304,学年度总表!$E$3:$E$1025,0)))</f>
        <v>302</v>
      </c>
      <c r="C304" s="2" t="str">
        <f>IF(INDEX(学年度总表!$C$3:$C$1025,MATCH($E304,学年度总表!$E$3:$E$1025,0))="","",INDEX(学年度总表!$C$3:$C$1025,MATCH($E304,学年度总表!$E$3:$E$1025,0)))</f>
        <v>信管</v>
      </c>
      <c r="D304" s="2" t="str">
        <f>IF(INDEX(学年度总表!$D$3:$D$1025,MATCH($E304,学年度总表!$E$3:$E$1025,0))="","",INDEX(学年度总表!$D$3:$D$1025,MATCH($E304,学年度总表!$E$3:$E$1025,0)))</f>
        <v>信管21班</v>
      </c>
      <c r="E304" s="2" t="s">
        <v>1737</v>
      </c>
      <c r="F304" s="2" t="str">
        <f>IF(INDEX(学年度总表!$F$3:$F$1025,MATCH($E304,学年度总表!$E$3:$E$1025,0))="","",INDEX(学年度总表!$F$3:$F$1025,MATCH($E304,学年度总表!$E$3:$E$1025,0)))</f>
        <v>王诗尧</v>
      </c>
      <c r="G304" s="3">
        <f>IF(INDEX(学年度总表!$G$3:$G$1025,MATCH($E304,学年度总表!$E$3:$E$1025,0))="","",INDEX(学年度总表!$G$3:$G$1025,MATCH($E304,学年度总表!$E$3:$E$1025,0)))</f>
        <v>9.8000000000000007</v>
      </c>
      <c r="H304" s="3">
        <f>IF(INDEX(学年度总表!$H$3:$H$1025,MATCH($E304,学年度总表!$E$3:$E$1025,0))="","",INDEX(学年度总表!$H$3:$H$1025,MATCH($E304,学年度总表!$E$3:$E$1025,0)))</f>
        <v>43.79</v>
      </c>
      <c r="I304" s="3">
        <f>IF(INDEX(学年度总表!$I$3:$I$1025,MATCH($E304,学年度总表!$E$3:$E$1025,0))="","",INDEX(学年度总表!$I$3:$I$1025,MATCH($E304,学年度总表!$E$3:$E$1025,0)))</f>
        <v>3</v>
      </c>
      <c r="J304" s="3">
        <f>IF(INDEX(学年度总表!$J$3:$J$1025,MATCH($E304,学年度总表!$E$3:$E$1025,0))="","",INDEX(学年度总表!$J$3:$J$1025,MATCH($E304,学年度总表!$E$3:$E$1025,0)))</f>
        <v>56.59</v>
      </c>
      <c r="K304" s="3">
        <f>IF(INDEX(学年度总表!$K$3:$K$1025,MATCH($E304,学年度总表!$E$3:$E$1025,0))="","",INDEX(学年度总表!$K$3:$K$1025,MATCH($E304,学年度总表!$E$3:$E$1025,0)))</f>
        <v>9.8000000000000007</v>
      </c>
      <c r="L304" s="3">
        <f>IF(INDEX(学年度总表!$L$3:$L$1025,MATCH($E304,学年度总表!$E$3:$E$1025,0))="","",INDEX(学年度总表!$L$3:$L$1025,MATCH($E304,学年度总表!$E$3:$E$1025,0)))</f>
        <v>51.92</v>
      </c>
      <c r="M304" s="3">
        <f>IF(INDEX(学年度总表!$M$3:$M$1025,MATCH($E304,学年度总表!$E$3:$E$1025,0))="","",INDEX(学年度总表!$M$3:$M$1025,MATCH($E304,学年度总表!$E$3:$E$1025,0)))</f>
        <v>3.5</v>
      </c>
      <c r="N304" s="3">
        <f>IF(INDEX(学年度总表!$N$3:$N$1025,MATCH($E304,学年度总表!$E$3:$E$1025,0))="","",INDEX(学年度总表!$N$3:$N$1025,MATCH($E304,学年度总表!$E$3:$E$1025,0)))</f>
        <v>65.22</v>
      </c>
      <c r="O304" s="3">
        <f>IF(INDEX(学年度总表!$O$3:$O$1025,MATCH($E304,学年度总表!$E$3:$E$1025,0))="","",INDEX(学年度总表!$O$3:$O$1025,MATCH($E304,学年度总表!$E$3:$E$1025,0)))</f>
        <v>121.81</v>
      </c>
      <c r="P304" s="2" t="str">
        <f>IF(INDEX(学年度总表!$P$3:$P$1025,MATCH($E304,学年度总表!$E$3:$E$1025,0))="","",INDEX(学年度总表!$P$3:$P$1025,MATCH($E304,学年度总表!$E$3:$E$1025,0)))</f>
        <v/>
      </c>
      <c r="Q304" s="5" t="str">
        <f>IF(INDEX(学年度总表!$Q$3:$Q$1025,MATCH($E304,学年度总表!$E$3:$E$1025,0))="","",INDEX(学年度总表!$Q$3:$Q$1025,MATCH($E304,学年度总表!$E$3:$E$1025,0)))</f>
        <v/>
      </c>
    </row>
    <row r="305" spans="1:17">
      <c r="A305" s="2">
        <f>IF(INDEX(学年度总表!$A$3:$A$1025,MATCH($E305,学年度总表!$E$3:$E$1025,0))="","",INDEX(学年度总表!$A$3:$A$1025,MATCH($E305,学年度总表!$E$3:$E$1025,0)))</f>
        <v>842</v>
      </c>
      <c r="B305" s="2">
        <f>IF(INDEX(学年度总表!$B$3:$B$1025,MATCH($E305,学年度总表!$E$3:$E$1025,0))="","",INDEX(学年度总表!$B$3:$B$1025,MATCH($E305,学年度总表!$E$3:$E$1025,0)))</f>
        <v>303</v>
      </c>
      <c r="C305" s="2" t="str">
        <f>IF(INDEX(学年度总表!$C$3:$C$1025,MATCH($E305,学年度总表!$E$3:$E$1025,0))="","",INDEX(学年度总表!$C$3:$C$1025,MATCH($E305,学年度总表!$E$3:$E$1025,0)))</f>
        <v>信管</v>
      </c>
      <c r="D305" s="2" t="str">
        <f>IF(INDEX(学年度总表!$D$3:$D$1025,MATCH($E305,学年度总表!$E$3:$E$1025,0))="","",INDEX(学年度总表!$D$3:$D$1025,MATCH($E305,学年度总表!$E$3:$E$1025,0)))</f>
        <v>信管23班</v>
      </c>
      <c r="E305" s="2" t="s">
        <v>1745</v>
      </c>
      <c r="F305" s="2" t="str">
        <f>IF(INDEX(学年度总表!$F$3:$F$1025,MATCH($E305,学年度总表!$E$3:$E$1025,0))="","",INDEX(学年度总表!$F$3:$F$1025,MATCH($E305,学年度总表!$E$3:$E$1025,0)))</f>
        <v>李济丞</v>
      </c>
      <c r="G305" s="3">
        <f>IF(INDEX(学年度总表!$G$3:$G$1025,MATCH($E305,学年度总表!$E$3:$E$1025,0))="","",INDEX(学年度总表!$G$3:$G$1025,MATCH($E305,学年度总表!$E$3:$E$1025,0)))</f>
        <v>9.8000000000000007</v>
      </c>
      <c r="H305" s="3">
        <f>IF(INDEX(学年度总表!$H$3:$H$1025,MATCH($E305,学年度总表!$E$3:$E$1025,0))="","",INDEX(学年度总表!$H$3:$H$1025,MATCH($E305,学年度总表!$E$3:$E$1025,0)))</f>
        <v>55.47</v>
      </c>
      <c r="I305" s="3">
        <f>IF(INDEX(学年度总表!$I$3:$I$1025,MATCH($E305,学年度总表!$E$3:$E$1025,0))="","",INDEX(学年度总表!$I$3:$I$1025,MATCH($E305,学年度总表!$E$3:$E$1025,0)))</f>
        <v>3</v>
      </c>
      <c r="J305" s="3">
        <f>IF(INDEX(学年度总表!$J$3:$J$1025,MATCH($E305,学年度总表!$E$3:$E$1025,0))="","",INDEX(学年度总表!$J$3:$J$1025,MATCH($E305,学年度总表!$E$3:$E$1025,0)))</f>
        <v>68.27</v>
      </c>
      <c r="K305" s="3">
        <f>IF(INDEX(学年度总表!$K$3:$K$1025,MATCH($E305,学年度总表!$E$3:$E$1025,0))="","",INDEX(学年度总表!$K$3:$K$1025,MATCH($E305,学年度总表!$E$3:$E$1025,0)))</f>
        <v>9.8000000000000007</v>
      </c>
      <c r="L305" s="3">
        <f>IF(INDEX(学年度总表!$L$3:$L$1025,MATCH($E305,学年度总表!$E$3:$E$1025,0))="","",INDEX(学年度总表!$L$3:$L$1025,MATCH($E305,学年度总表!$E$3:$E$1025,0)))</f>
        <v>40.299999999999997</v>
      </c>
      <c r="M305" s="3">
        <f>IF(INDEX(学年度总表!$M$3:$M$1025,MATCH($E305,学年度总表!$E$3:$E$1025,0))="","",INDEX(学年度总表!$M$3:$M$1025,MATCH($E305,学年度总表!$E$3:$E$1025,0)))</f>
        <v>3</v>
      </c>
      <c r="N305" s="3">
        <f>IF(INDEX(学年度总表!$N$3:$N$1025,MATCH($E305,学年度总表!$E$3:$E$1025,0))="","",INDEX(学年度总表!$N$3:$N$1025,MATCH($E305,学年度总表!$E$3:$E$1025,0)))</f>
        <v>53.1</v>
      </c>
      <c r="O305" s="3">
        <f>IF(INDEX(学年度总表!$O$3:$O$1025,MATCH($E305,学年度总表!$E$3:$E$1025,0))="","",INDEX(学年度总表!$O$3:$O$1025,MATCH($E305,学年度总表!$E$3:$E$1025,0)))</f>
        <v>121.37</v>
      </c>
      <c r="P305" s="2" t="str">
        <f>IF(INDEX(学年度总表!$P$3:$P$1025,MATCH($E305,学年度总表!$E$3:$E$1025,0))="","",INDEX(学年度总表!$P$3:$P$1025,MATCH($E305,学年度总表!$E$3:$E$1025,0)))</f>
        <v/>
      </c>
      <c r="Q305" s="5" t="str">
        <f>IF(INDEX(学年度总表!$Q$3:$Q$1025,MATCH($E305,学年度总表!$E$3:$E$1025,0))="","",INDEX(学年度总表!$Q$3:$Q$1025,MATCH($E305,学年度总表!$E$3:$E$1025,0)))</f>
        <v/>
      </c>
    </row>
    <row r="306" spans="1:17">
      <c r="A306" s="2">
        <f>IF(INDEX(学年度总表!$A$3:$A$1025,MATCH($E306,学年度总表!$E$3:$E$1025,0))="","",INDEX(学年度总表!$A$3:$A$1025,MATCH($E306,学年度总表!$E$3:$E$1025,0)))</f>
        <v>843</v>
      </c>
      <c r="B306" s="2">
        <f>IF(INDEX(学年度总表!$B$3:$B$1025,MATCH($E306,学年度总表!$E$3:$E$1025,0))="","",INDEX(学年度总表!$B$3:$B$1025,MATCH($E306,学年度总表!$E$3:$E$1025,0)))</f>
        <v>304</v>
      </c>
      <c r="C306" s="2" t="str">
        <f>IF(INDEX(学年度总表!$C$3:$C$1025,MATCH($E306,学年度总表!$E$3:$E$1025,0))="","",INDEX(学年度总表!$C$3:$C$1025,MATCH($E306,学年度总表!$E$3:$E$1025,0)))</f>
        <v>信管</v>
      </c>
      <c r="D306" s="2" t="str">
        <f>IF(INDEX(学年度总表!$D$3:$D$1025,MATCH($E306,学年度总表!$E$3:$E$1025,0))="","",INDEX(学年度总表!$D$3:$D$1025,MATCH($E306,学年度总表!$E$3:$E$1025,0)))</f>
        <v>信管21班</v>
      </c>
      <c r="E306" s="2" t="s">
        <v>1747</v>
      </c>
      <c r="F306" s="2" t="str">
        <f>IF(INDEX(学年度总表!$F$3:$F$1025,MATCH($E306,学年度总表!$E$3:$E$1025,0))="","",INDEX(学年度总表!$F$3:$F$1025,MATCH($E306,学年度总表!$E$3:$E$1025,0)))</f>
        <v>王世森</v>
      </c>
      <c r="G306" s="3">
        <f>IF(INDEX(学年度总表!$G$3:$G$1025,MATCH($E306,学年度总表!$E$3:$E$1025,0))="","",INDEX(学年度总表!$G$3:$G$1025,MATCH($E306,学年度总表!$E$3:$E$1025,0)))</f>
        <v>9.8000000000000007</v>
      </c>
      <c r="H306" s="3">
        <f>IF(INDEX(学年度总表!$H$3:$H$1025,MATCH($E306,学年度总表!$E$3:$E$1025,0))="","",INDEX(学年度总表!$H$3:$H$1025,MATCH($E306,学年度总表!$E$3:$E$1025,0)))</f>
        <v>49.36</v>
      </c>
      <c r="I306" s="3">
        <f>IF(INDEX(学年度总表!$I$3:$I$1025,MATCH($E306,学年度总表!$E$3:$E$1025,0))="","",INDEX(学年度总表!$I$3:$I$1025,MATCH($E306,学年度总表!$E$3:$E$1025,0)))</f>
        <v>3.3</v>
      </c>
      <c r="J306" s="3">
        <f>IF(INDEX(学年度总表!$J$3:$J$1025,MATCH($E306,学年度总表!$E$3:$E$1025,0))="","",INDEX(学年度总表!$J$3:$J$1025,MATCH($E306,学年度总表!$E$3:$E$1025,0)))</f>
        <v>62.46</v>
      </c>
      <c r="K306" s="3">
        <f>IF(INDEX(学年度总表!$K$3:$K$1025,MATCH($E306,学年度总表!$E$3:$E$1025,0))="","",INDEX(学年度总表!$K$3:$K$1025,MATCH($E306,学年度总表!$E$3:$E$1025,0)))</f>
        <v>9.8000000000000007</v>
      </c>
      <c r="L306" s="3">
        <f>IF(INDEX(学年度总表!$L$3:$L$1025,MATCH($E306,学年度总表!$E$3:$E$1025,0))="","",INDEX(学年度总表!$L$3:$L$1025,MATCH($E306,学年度总表!$E$3:$E$1025,0)))</f>
        <v>46.1</v>
      </c>
      <c r="M306" s="3">
        <f>IF(INDEX(学年度总表!$M$3:$M$1025,MATCH($E306,学年度总表!$E$3:$E$1025,0))="","",INDEX(学年度总表!$M$3:$M$1025,MATCH($E306,学年度总表!$E$3:$E$1025,0)))</f>
        <v>3</v>
      </c>
      <c r="N306" s="3">
        <f>IF(INDEX(学年度总表!$N$3:$N$1025,MATCH($E306,学年度总表!$E$3:$E$1025,0))="","",INDEX(学年度总表!$N$3:$N$1025,MATCH($E306,学年度总表!$E$3:$E$1025,0)))</f>
        <v>58.9</v>
      </c>
      <c r="O306" s="3">
        <f>IF(INDEX(学年度总表!$O$3:$O$1025,MATCH($E306,学年度总表!$E$3:$E$1025,0))="","",INDEX(学年度总表!$O$3:$O$1025,MATCH($E306,学年度总表!$E$3:$E$1025,0)))</f>
        <v>121.36</v>
      </c>
      <c r="P306" s="2" t="str">
        <f>IF(INDEX(学年度总表!$P$3:$P$1025,MATCH($E306,学年度总表!$E$3:$E$1025,0))="","",INDEX(学年度总表!$P$3:$P$1025,MATCH($E306,学年度总表!$E$3:$E$1025,0)))</f>
        <v/>
      </c>
      <c r="Q306" s="5" t="str">
        <f>IF(INDEX(学年度总表!$Q$3:$Q$1025,MATCH($E306,学年度总表!$E$3:$E$1025,0))="","",INDEX(学年度总表!$Q$3:$Q$1025,MATCH($E306,学年度总表!$E$3:$E$1025,0)))</f>
        <v/>
      </c>
    </row>
    <row r="307" spans="1:17">
      <c r="A307" s="2">
        <f>IF(INDEX(学年度总表!$A$3:$A$1025,MATCH($E307,学年度总表!$E$3:$E$1025,0))="","",INDEX(学年度总表!$A$3:$A$1025,MATCH($E307,学年度总表!$E$3:$E$1025,0)))</f>
        <v>844</v>
      </c>
      <c r="B307" s="2">
        <f>IF(INDEX(学年度总表!$B$3:$B$1025,MATCH($E307,学年度总表!$E$3:$E$1025,0))="","",INDEX(学年度总表!$B$3:$B$1025,MATCH($E307,学年度总表!$E$3:$E$1025,0)))</f>
        <v>305</v>
      </c>
      <c r="C307" s="2" t="str">
        <f>IF(INDEX(学年度总表!$C$3:$C$1025,MATCH($E307,学年度总表!$E$3:$E$1025,0))="","",INDEX(学年度总表!$C$3:$C$1025,MATCH($E307,学年度总表!$E$3:$E$1025,0)))</f>
        <v>信管</v>
      </c>
      <c r="D307" s="2" t="str">
        <f>IF(INDEX(学年度总表!$D$3:$D$1025,MATCH($E307,学年度总表!$E$3:$E$1025,0))="","",INDEX(学年度总表!$D$3:$D$1025,MATCH($E307,学年度总表!$E$3:$E$1025,0)))</f>
        <v>信管21班</v>
      </c>
      <c r="E307" s="2" t="s">
        <v>1749</v>
      </c>
      <c r="F307" s="2" t="str">
        <f>IF(INDEX(学年度总表!$F$3:$F$1025,MATCH($E307,学年度总表!$E$3:$E$1025,0))="","",INDEX(学年度总表!$F$3:$F$1025,MATCH($E307,学年度总表!$E$3:$E$1025,0)))</f>
        <v>李昔诺</v>
      </c>
      <c r="G307" s="3">
        <f>IF(INDEX(学年度总表!$G$3:$G$1025,MATCH($E307,学年度总表!$E$3:$E$1025,0))="","",INDEX(学年度总表!$G$3:$G$1025,MATCH($E307,学年度总表!$E$3:$E$1025,0)))</f>
        <v>10</v>
      </c>
      <c r="H307" s="3">
        <f>IF(INDEX(学年度总表!$H$3:$H$1025,MATCH($E307,学年度总表!$E$3:$E$1025,0))="","",INDEX(学年度总表!$H$3:$H$1025,MATCH($E307,学年度总表!$E$3:$E$1025,0)))</f>
        <v>56.32</v>
      </c>
      <c r="I307" s="3">
        <f>IF(INDEX(学年度总表!$I$3:$I$1025,MATCH($E307,学年度总表!$E$3:$E$1025,0))="","",INDEX(学年度总表!$I$3:$I$1025,MATCH($E307,学年度总表!$E$3:$E$1025,0)))</f>
        <v>5.55</v>
      </c>
      <c r="J307" s="3">
        <f>IF(INDEX(学年度总表!$J$3:$J$1025,MATCH($E307,学年度总表!$E$3:$E$1025,0))="","",INDEX(学年度总表!$J$3:$J$1025,MATCH($E307,学年度总表!$E$3:$E$1025,0)))</f>
        <v>71.87</v>
      </c>
      <c r="K307" s="3">
        <f>IF(INDEX(学年度总表!$K$3:$K$1025,MATCH($E307,学年度总表!$E$3:$E$1025,0))="","",INDEX(学年度总表!$K$3:$K$1025,MATCH($E307,学年度总表!$E$3:$E$1025,0)))</f>
        <v>9.8000000000000007</v>
      </c>
      <c r="L307" s="3">
        <f>IF(INDEX(学年度总表!$L$3:$L$1025,MATCH($E307,学年度总表!$E$3:$E$1025,0))="","",INDEX(学年度总表!$L$3:$L$1025,MATCH($E307,学年度总表!$E$3:$E$1025,0)))</f>
        <v>35.15</v>
      </c>
      <c r="M307" s="3">
        <f>IF(INDEX(学年度总表!$M$3:$M$1025,MATCH($E307,学年度总表!$E$3:$E$1025,0))="","",INDEX(学年度总表!$M$3:$M$1025,MATCH($E307,学年度总表!$E$3:$E$1025,0)))</f>
        <v>4.5</v>
      </c>
      <c r="N307" s="3">
        <f>IF(INDEX(学年度总表!$N$3:$N$1025,MATCH($E307,学年度总表!$E$3:$E$1025,0))="","",INDEX(学年度总表!$N$3:$N$1025,MATCH($E307,学年度总表!$E$3:$E$1025,0)))</f>
        <v>49.45</v>
      </c>
      <c r="O307" s="3">
        <f>IF(INDEX(学年度总表!$O$3:$O$1025,MATCH($E307,学年度总表!$E$3:$E$1025,0))="","",INDEX(学年度总表!$O$3:$O$1025,MATCH($E307,学年度总表!$E$3:$E$1025,0)))</f>
        <v>121.32</v>
      </c>
      <c r="P307" s="2" t="str">
        <f>IF(INDEX(学年度总表!$P$3:$P$1025,MATCH($E307,学年度总表!$E$3:$E$1025,0))="","",INDEX(学年度总表!$P$3:$P$1025,MATCH($E307,学年度总表!$E$3:$E$1025,0)))</f>
        <v/>
      </c>
      <c r="Q307" s="5" t="str">
        <f>IF(INDEX(学年度总表!$Q$3:$Q$1025,MATCH($E307,学年度总表!$E$3:$E$1025,0))="","",INDEX(学年度总表!$Q$3:$Q$1025,MATCH($E307,学年度总表!$E$3:$E$1025,0)))</f>
        <v/>
      </c>
    </row>
    <row r="308" spans="1:17">
      <c r="A308" s="2">
        <f>IF(INDEX(学年度总表!$A$3:$A$1025,MATCH($E308,学年度总表!$E$3:$E$1025,0))="","",INDEX(学年度总表!$A$3:$A$1025,MATCH($E308,学年度总表!$E$3:$E$1025,0)))</f>
        <v>845</v>
      </c>
      <c r="B308" s="2">
        <f>IF(INDEX(学年度总表!$B$3:$B$1025,MATCH($E308,学年度总表!$E$3:$E$1025,0))="","",INDEX(学年度总表!$B$3:$B$1025,MATCH($E308,学年度总表!$E$3:$E$1025,0)))</f>
        <v>306</v>
      </c>
      <c r="C308" s="2" t="str">
        <f>IF(INDEX(学年度总表!$C$3:$C$1025,MATCH($E308,学年度总表!$E$3:$E$1025,0))="","",INDEX(学年度总表!$C$3:$C$1025,MATCH($E308,学年度总表!$E$3:$E$1025,0)))</f>
        <v>信管</v>
      </c>
      <c r="D308" s="2" t="str">
        <f>IF(INDEX(学年度总表!$D$3:$D$1025,MATCH($E308,学年度总表!$E$3:$E$1025,0))="","",INDEX(学年度总表!$D$3:$D$1025,MATCH($E308,学年度总表!$E$3:$E$1025,0)))</f>
        <v>信管20班</v>
      </c>
      <c r="E308" s="2" t="s">
        <v>1751</v>
      </c>
      <c r="F308" s="2" t="str">
        <f>IF(INDEX(学年度总表!$F$3:$F$1025,MATCH($E308,学年度总表!$E$3:$E$1025,0))="","",INDEX(学年度总表!$F$3:$F$1025,MATCH($E308,学年度总表!$E$3:$E$1025,0)))</f>
        <v>孙子贻</v>
      </c>
      <c r="G308" s="3">
        <f>IF(INDEX(学年度总表!$G$3:$G$1025,MATCH($E308,学年度总表!$E$3:$E$1025,0))="","",INDEX(学年度总表!$G$3:$G$1025,MATCH($E308,学年度总表!$E$3:$E$1025,0)))</f>
        <v>9.8000000000000007</v>
      </c>
      <c r="H308" s="3">
        <f>IF(INDEX(学年度总表!$H$3:$H$1025,MATCH($E308,学年度总表!$E$3:$E$1025,0))="","",INDEX(学年度总表!$H$3:$H$1025,MATCH($E308,学年度总表!$E$3:$E$1025,0)))</f>
        <v>45.86</v>
      </c>
      <c r="I308" s="3">
        <f>IF(INDEX(学年度总表!$I$3:$I$1025,MATCH($E308,学年度总表!$E$3:$E$1025,0))="","",INDEX(学年度总表!$I$3:$I$1025,MATCH($E308,学年度总表!$E$3:$E$1025,0)))</f>
        <v>4.7</v>
      </c>
      <c r="J308" s="3">
        <f>IF(INDEX(学年度总表!$J$3:$J$1025,MATCH($E308,学年度总表!$E$3:$E$1025,0))="","",INDEX(学年度总表!$J$3:$J$1025,MATCH($E308,学年度总表!$E$3:$E$1025,0)))</f>
        <v>60.36</v>
      </c>
      <c r="K308" s="3">
        <f>IF(INDEX(学年度总表!$K$3:$K$1025,MATCH($E308,学年度总表!$E$3:$E$1025,0))="","",INDEX(学年度总表!$K$3:$K$1025,MATCH($E308,学年度总表!$E$3:$E$1025,0)))</f>
        <v>9.4</v>
      </c>
      <c r="L308" s="3">
        <f>IF(INDEX(学年度总表!$L$3:$L$1025,MATCH($E308,学年度总表!$E$3:$E$1025,0))="","",INDEX(学年度总表!$L$3:$L$1025,MATCH($E308,学年度总表!$E$3:$E$1025,0)))</f>
        <v>47.09</v>
      </c>
      <c r="M308" s="3">
        <f>IF(INDEX(学年度总表!$M$3:$M$1025,MATCH($E308,学年度总表!$E$3:$E$1025,0))="","",INDEX(学年度总表!$M$3:$M$1025,MATCH($E308,学年度总表!$E$3:$E$1025,0)))</f>
        <v>4.3</v>
      </c>
      <c r="N308" s="3">
        <f>IF(INDEX(学年度总表!$N$3:$N$1025,MATCH($E308,学年度总表!$E$3:$E$1025,0))="","",INDEX(学年度总表!$N$3:$N$1025,MATCH($E308,学年度总表!$E$3:$E$1025,0)))</f>
        <v>60.79</v>
      </c>
      <c r="O308" s="3">
        <f>IF(INDEX(学年度总表!$O$3:$O$1025,MATCH($E308,学年度总表!$E$3:$E$1025,0))="","",INDEX(学年度总表!$O$3:$O$1025,MATCH($E308,学年度总表!$E$3:$E$1025,0)))</f>
        <v>121.15</v>
      </c>
      <c r="P308" s="2" t="str">
        <f>IF(INDEX(学年度总表!$P$3:$P$1025,MATCH($E308,学年度总表!$E$3:$E$1025,0))="","",INDEX(学年度总表!$P$3:$P$1025,MATCH($E308,学年度总表!$E$3:$E$1025,0)))</f>
        <v/>
      </c>
      <c r="Q308" s="5" t="str">
        <f>IF(INDEX(学年度总表!$Q$3:$Q$1025,MATCH($E308,学年度总表!$E$3:$E$1025,0))="","",INDEX(学年度总表!$Q$3:$Q$1025,MATCH($E308,学年度总表!$E$3:$E$1025,0)))</f>
        <v/>
      </c>
    </row>
    <row r="309" spans="1:17">
      <c r="A309" s="2">
        <f>IF(INDEX(学年度总表!$A$3:$A$1025,MATCH($E309,学年度总表!$E$3:$E$1025,0))="","",INDEX(学年度总表!$A$3:$A$1025,MATCH($E309,学年度总表!$E$3:$E$1025,0)))</f>
        <v>849</v>
      </c>
      <c r="B309" s="2">
        <f>IF(INDEX(学年度总表!$B$3:$B$1025,MATCH($E309,学年度总表!$E$3:$E$1025,0))="","",INDEX(学年度总表!$B$3:$B$1025,MATCH($E309,学年度总表!$E$3:$E$1025,0)))</f>
        <v>307</v>
      </c>
      <c r="C309" s="2" t="str">
        <f>IF(INDEX(学年度总表!$C$3:$C$1025,MATCH($E309,学年度总表!$E$3:$E$1025,0))="","",INDEX(学年度总表!$C$3:$C$1025,MATCH($E309,学年度总表!$E$3:$E$1025,0)))</f>
        <v>信管</v>
      </c>
      <c r="D309" s="2" t="str">
        <f>IF(INDEX(学年度总表!$D$3:$D$1025,MATCH($E309,学年度总表!$E$3:$E$1025,0))="","",INDEX(学年度总表!$D$3:$D$1025,MATCH($E309,学年度总表!$E$3:$E$1025,0)))</f>
        <v>信管25班</v>
      </c>
      <c r="E309" s="2" t="s">
        <v>1759</v>
      </c>
      <c r="F309" s="2" t="str">
        <f>IF(INDEX(学年度总表!$F$3:$F$1025,MATCH($E309,学年度总表!$E$3:$E$1025,0))="","",INDEX(学年度总表!$F$3:$F$1025,MATCH($E309,学年度总表!$E$3:$E$1025,0)))</f>
        <v>范欣然</v>
      </c>
      <c r="G309" s="3">
        <f>IF(INDEX(学年度总表!$G$3:$G$1025,MATCH($E309,学年度总表!$E$3:$E$1025,0))="","",INDEX(学年度总表!$G$3:$G$1025,MATCH($E309,学年度总表!$E$3:$E$1025,0)))</f>
        <v>9.8000000000000007</v>
      </c>
      <c r="H309" s="3">
        <f>IF(INDEX(学年度总表!$H$3:$H$1025,MATCH($E309,学年度总表!$E$3:$E$1025,0))="","",INDEX(学年度总表!$H$3:$H$1025,MATCH($E309,学年度总表!$E$3:$E$1025,0)))</f>
        <v>54.34</v>
      </c>
      <c r="I309" s="3">
        <f>IF(INDEX(学年度总表!$I$3:$I$1025,MATCH($E309,学年度总表!$E$3:$E$1025,0))="","",INDEX(学年度总表!$I$3:$I$1025,MATCH($E309,学年度总表!$E$3:$E$1025,0)))</f>
        <v>4</v>
      </c>
      <c r="J309" s="3">
        <f>IF(INDEX(学年度总表!$J$3:$J$1025,MATCH($E309,学年度总表!$E$3:$E$1025,0))="","",INDEX(学年度总表!$J$3:$J$1025,MATCH($E309,学年度总表!$E$3:$E$1025,0)))</f>
        <v>68.14</v>
      </c>
      <c r="K309" s="3">
        <f>IF(INDEX(学年度总表!$K$3:$K$1025,MATCH($E309,学年度总表!$E$3:$E$1025,0))="","",INDEX(学年度总表!$K$3:$K$1025,MATCH($E309,学年度总表!$E$3:$E$1025,0)))</f>
        <v>7.3000000000000007</v>
      </c>
      <c r="L309" s="3">
        <f>IF(INDEX(学年度总表!$L$3:$L$1025,MATCH($E309,学年度总表!$E$3:$E$1025,0))="","",INDEX(学年度总表!$L$3:$L$1025,MATCH($E309,学年度总表!$E$3:$E$1025,0)))</f>
        <v>42.4</v>
      </c>
      <c r="M309" s="3">
        <f>IF(INDEX(学年度总表!$M$3:$M$1025,MATCH($E309,学年度总表!$E$3:$E$1025,0))="","",INDEX(学年度总表!$M$3:$M$1025,MATCH($E309,学年度总表!$E$3:$E$1025,0)))</f>
        <v>3</v>
      </c>
      <c r="N309" s="3">
        <f>IF(INDEX(学年度总表!$N$3:$N$1025,MATCH($E309,学年度总表!$E$3:$E$1025,0))="","",INDEX(学年度总表!$N$3:$N$1025,MATCH($E309,学年度总表!$E$3:$E$1025,0)))</f>
        <v>52.7</v>
      </c>
      <c r="O309" s="3">
        <f>IF(INDEX(学年度总表!$O$3:$O$1025,MATCH($E309,学年度总表!$E$3:$E$1025,0))="","",INDEX(学年度总表!$O$3:$O$1025,MATCH($E309,学年度总表!$E$3:$E$1025,0)))</f>
        <v>120.84</v>
      </c>
      <c r="P309" s="2" t="str">
        <f>IF(INDEX(学年度总表!$P$3:$P$1025,MATCH($E309,学年度总表!$E$3:$E$1025,0))="","",INDEX(学年度总表!$P$3:$P$1025,MATCH($E309,学年度总表!$E$3:$E$1025,0)))</f>
        <v/>
      </c>
      <c r="Q309" s="5" t="str">
        <f>IF(INDEX(学年度总表!$Q$3:$Q$1025,MATCH($E309,学年度总表!$E$3:$E$1025,0))="","",INDEX(学年度总表!$Q$3:$Q$1025,MATCH($E309,学年度总表!$E$3:$E$1025,0)))</f>
        <v/>
      </c>
    </row>
    <row r="310" spans="1:17">
      <c r="A310" s="2">
        <f>IF(INDEX(学年度总表!$A$3:$A$1025,MATCH($E310,学年度总表!$E$3:$E$1025,0))="","",INDEX(学年度总表!$A$3:$A$1025,MATCH($E310,学年度总表!$E$3:$E$1025,0)))</f>
        <v>850</v>
      </c>
      <c r="B310" s="2">
        <f>IF(INDEX(学年度总表!$B$3:$B$1025,MATCH($E310,学年度总表!$E$3:$E$1025,0))="","",INDEX(学年度总表!$B$3:$B$1025,MATCH($E310,学年度总表!$E$3:$E$1025,0)))</f>
        <v>308</v>
      </c>
      <c r="C310" s="2" t="str">
        <f>IF(INDEX(学年度总表!$C$3:$C$1025,MATCH($E310,学年度总表!$E$3:$E$1025,0))="","",INDEX(学年度总表!$C$3:$C$1025,MATCH($E310,学年度总表!$E$3:$E$1025,0)))</f>
        <v>信管</v>
      </c>
      <c r="D310" s="2" t="str">
        <f>IF(INDEX(学年度总表!$D$3:$D$1025,MATCH($E310,学年度总表!$E$3:$E$1025,0))="","",INDEX(学年度总表!$D$3:$D$1025,MATCH($E310,学年度总表!$E$3:$E$1025,0)))</f>
        <v>信管20班</v>
      </c>
      <c r="E310" s="2" t="s">
        <v>1761</v>
      </c>
      <c r="F310" s="2" t="str">
        <f>IF(INDEX(学年度总表!$F$3:$F$1025,MATCH($E310,学年度总表!$E$3:$E$1025,0))="","",INDEX(学年度总表!$F$3:$F$1025,MATCH($E310,学年度总表!$E$3:$E$1025,0)))</f>
        <v>张馨语</v>
      </c>
      <c r="G310" s="3">
        <f>IF(INDEX(学年度总表!$G$3:$G$1025,MATCH($E310,学年度总表!$E$3:$E$1025,0))="","",INDEX(学年度总表!$G$3:$G$1025,MATCH($E310,学年度总表!$E$3:$E$1025,0)))</f>
        <v>9.8000000000000007</v>
      </c>
      <c r="H310" s="3">
        <f>IF(INDEX(学年度总表!$H$3:$H$1025,MATCH($E310,学年度总表!$E$3:$E$1025,0))="","",INDEX(学年度总表!$H$3:$H$1025,MATCH($E310,学年度总表!$E$3:$E$1025,0)))</f>
        <v>52.08</v>
      </c>
      <c r="I310" s="3">
        <f>IF(INDEX(学年度总表!$I$3:$I$1025,MATCH($E310,学年度总表!$E$3:$E$1025,0))="","",INDEX(学年度总表!$I$3:$I$1025,MATCH($E310,学年度总表!$E$3:$E$1025,0)))</f>
        <v>3</v>
      </c>
      <c r="J310" s="3">
        <f>IF(INDEX(学年度总表!$J$3:$J$1025,MATCH($E310,学年度总表!$E$3:$E$1025,0))="","",INDEX(学年度总表!$J$3:$J$1025,MATCH($E310,学年度总表!$E$3:$E$1025,0)))</f>
        <v>64.88</v>
      </c>
      <c r="K310" s="3">
        <f>IF(INDEX(学年度总表!$K$3:$K$1025,MATCH($E310,学年度总表!$E$3:$E$1025,0))="","",INDEX(学年度总表!$K$3:$K$1025,MATCH($E310,学年度总表!$E$3:$E$1025,0)))</f>
        <v>9.4</v>
      </c>
      <c r="L310" s="3">
        <f>IF(INDEX(学年度总表!$L$3:$L$1025,MATCH($E310,学年度总表!$E$3:$E$1025,0))="","",INDEX(学年度总表!$L$3:$L$1025,MATCH($E310,学年度总表!$E$3:$E$1025,0)))</f>
        <v>42.93</v>
      </c>
      <c r="M310" s="3">
        <f>IF(INDEX(学年度总表!$M$3:$M$1025,MATCH($E310,学年度总表!$E$3:$E$1025,0))="","",INDEX(学年度总表!$M$3:$M$1025,MATCH($E310,学年度总表!$E$3:$E$1025,0)))</f>
        <v>3.5</v>
      </c>
      <c r="N310" s="3">
        <f>IF(INDEX(学年度总表!$N$3:$N$1025,MATCH($E310,学年度总表!$E$3:$E$1025,0))="","",INDEX(学年度总表!$N$3:$N$1025,MATCH($E310,学年度总表!$E$3:$E$1025,0)))</f>
        <v>55.83</v>
      </c>
      <c r="O310" s="3">
        <f>IF(INDEX(学年度总表!$O$3:$O$1025,MATCH($E310,学年度总表!$E$3:$E$1025,0))="","",INDEX(学年度总表!$O$3:$O$1025,MATCH($E310,学年度总表!$E$3:$E$1025,0)))</f>
        <v>120.71</v>
      </c>
      <c r="P310" s="2" t="str">
        <f>IF(INDEX(学年度总表!$P$3:$P$1025,MATCH($E310,学年度总表!$E$3:$E$1025,0))="","",INDEX(学年度总表!$P$3:$P$1025,MATCH($E310,学年度总表!$E$3:$E$1025,0)))</f>
        <v/>
      </c>
      <c r="Q310" s="5" t="str">
        <f>IF(INDEX(学年度总表!$Q$3:$Q$1025,MATCH($E310,学年度总表!$E$3:$E$1025,0))="","",INDEX(学年度总表!$Q$3:$Q$1025,MATCH($E310,学年度总表!$E$3:$E$1025,0)))</f>
        <v/>
      </c>
    </row>
    <row r="311" spans="1:17">
      <c r="A311" s="2">
        <f>IF(INDEX(学年度总表!$A$3:$A$1025,MATCH($E311,学年度总表!$E$3:$E$1025,0))="","",INDEX(学年度总表!$A$3:$A$1025,MATCH($E311,学年度总表!$E$3:$E$1025,0)))</f>
        <v>851</v>
      </c>
      <c r="B311" s="2">
        <f>IF(INDEX(学年度总表!$B$3:$B$1025,MATCH($E311,学年度总表!$E$3:$E$1025,0))="","",INDEX(学年度总表!$B$3:$B$1025,MATCH($E311,学年度总表!$E$3:$E$1025,0)))</f>
        <v>309</v>
      </c>
      <c r="C311" s="2" t="str">
        <f>IF(INDEX(学年度总表!$C$3:$C$1025,MATCH($E311,学年度总表!$E$3:$E$1025,0))="","",INDEX(学年度总表!$C$3:$C$1025,MATCH($E311,学年度总表!$E$3:$E$1025,0)))</f>
        <v>信管</v>
      </c>
      <c r="D311" s="2" t="str">
        <f>IF(INDEX(学年度总表!$D$3:$D$1025,MATCH($E311,学年度总表!$E$3:$E$1025,0))="","",INDEX(学年度总表!$D$3:$D$1025,MATCH($E311,学年度总表!$E$3:$E$1025,0)))</f>
        <v>信管21班</v>
      </c>
      <c r="E311" s="2" t="s">
        <v>1763</v>
      </c>
      <c r="F311" s="2" t="str">
        <f>IF(INDEX(学年度总表!$F$3:$F$1025,MATCH($E311,学年度总表!$E$3:$E$1025,0))="","",INDEX(学年度总表!$F$3:$F$1025,MATCH($E311,学年度总表!$E$3:$E$1025,0)))</f>
        <v>苗涵</v>
      </c>
      <c r="G311" s="3">
        <f>IF(INDEX(学年度总表!$G$3:$G$1025,MATCH($E311,学年度总表!$E$3:$E$1025,0))="","",INDEX(学年度总表!$G$3:$G$1025,MATCH($E311,学年度总表!$E$3:$E$1025,0)))</f>
        <v>10</v>
      </c>
      <c r="H311" s="3">
        <f>IF(INDEX(学年度总表!$H$3:$H$1025,MATCH($E311,学年度总表!$E$3:$E$1025,0))="","",INDEX(学年度总表!$H$3:$H$1025,MATCH($E311,学年度总表!$E$3:$E$1025,0)))</f>
        <v>51.38</v>
      </c>
      <c r="I311" s="3">
        <f>IF(INDEX(学年度总表!$I$3:$I$1025,MATCH($E311,学年度总表!$E$3:$E$1025,0))="","",INDEX(学年度总表!$I$3:$I$1025,MATCH($E311,学年度总表!$E$3:$E$1025,0)))</f>
        <v>3</v>
      </c>
      <c r="J311" s="3">
        <f>IF(INDEX(学年度总表!$J$3:$J$1025,MATCH($E311,学年度总表!$E$3:$E$1025,0))="","",INDEX(学年度总表!$J$3:$J$1025,MATCH($E311,学年度总表!$E$3:$E$1025,0)))</f>
        <v>64.38</v>
      </c>
      <c r="K311" s="3">
        <f>IF(INDEX(学年度总表!$K$3:$K$1025,MATCH($E311,学年度总表!$E$3:$E$1025,0))="","",INDEX(学年度总表!$K$3:$K$1025,MATCH($E311,学年度总表!$E$3:$E$1025,0)))</f>
        <v>10</v>
      </c>
      <c r="L311" s="3">
        <f>IF(INDEX(学年度总表!$L$3:$L$1025,MATCH($E311,学年度总表!$E$3:$E$1025,0))="","",INDEX(学年度总表!$L$3:$L$1025,MATCH($E311,学年度总表!$E$3:$E$1025,0)))</f>
        <v>43.31</v>
      </c>
      <c r="M311" s="3">
        <f>IF(INDEX(学年度总表!$M$3:$M$1025,MATCH($E311,学年度总表!$E$3:$E$1025,0))="","",INDEX(学年度总表!$M$3:$M$1025,MATCH($E311,学年度总表!$E$3:$E$1025,0)))</f>
        <v>3</v>
      </c>
      <c r="N311" s="3">
        <f>IF(INDEX(学年度总表!$N$3:$N$1025,MATCH($E311,学年度总表!$E$3:$E$1025,0))="","",INDEX(学年度总表!$N$3:$N$1025,MATCH($E311,学年度总表!$E$3:$E$1025,0)))</f>
        <v>56.31</v>
      </c>
      <c r="O311" s="3">
        <f>IF(INDEX(学年度总表!$O$3:$O$1025,MATCH($E311,学年度总表!$E$3:$E$1025,0))="","",INDEX(学年度总表!$O$3:$O$1025,MATCH($E311,学年度总表!$E$3:$E$1025,0)))</f>
        <v>120.69</v>
      </c>
      <c r="P311" s="2" t="str">
        <f>IF(INDEX(学年度总表!$P$3:$P$1025,MATCH($E311,学年度总表!$E$3:$E$1025,0))="","",INDEX(学年度总表!$P$3:$P$1025,MATCH($E311,学年度总表!$E$3:$E$1025,0)))</f>
        <v/>
      </c>
      <c r="Q311" s="5" t="str">
        <f>IF(INDEX(学年度总表!$Q$3:$Q$1025,MATCH($E311,学年度总表!$E$3:$E$1025,0))="","",INDEX(学年度总表!$Q$3:$Q$1025,MATCH($E311,学年度总表!$E$3:$E$1025,0)))</f>
        <v/>
      </c>
    </row>
    <row r="312" spans="1:17">
      <c r="A312" s="2">
        <f>IF(INDEX(学年度总表!$A$3:$A$1025,MATCH($E312,学年度总表!$E$3:$E$1025,0))="","",INDEX(学年度总表!$A$3:$A$1025,MATCH($E312,学年度总表!$E$3:$E$1025,0)))</f>
        <v>853</v>
      </c>
      <c r="B312" s="2">
        <f>IF(INDEX(学年度总表!$B$3:$B$1025,MATCH($E312,学年度总表!$E$3:$E$1025,0))="","",INDEX(学年度总表!$B$3:$B$1025,MATCH($E312,学年度总表!$E$3:$E$1025,0)))</f>
        <v>310</v>
      </c>
      <c r="C312" s="2" t="str">
        <f>IF(INDEX(学年度总表!$C$3:$C$1025,MATCH($E312,学年度总表!$E$3:$E$1025,0))="","",INDEX(学年度总表!$C$3:$C$1025,MATCH($E312,学年度总表!$E$3:$E$1025,0)))</f>
        <v>信管</v>
      </c>
      <c r="D312" s="2" t="str">
        <f>IF(INDEX(学年度总表!$D$3:$D$1025,MATCH($E312,学年度总表!$E$3:$E$1025,0))="","",INDEX(学年度总表!$D$3:$D$1025,MATCH($E312,学年度总表!$E$3:$E$1025,0)))</f>
        <v>信管22班</v>
      </c>
      <c r="E312" s="2" t="s">
        <v>1767</v>
      </c>
      <c r="F312" s="2" t="str">
        <f>IF(INDEX(学年度总表!$F$3:$F$1025,MATCH($E312,学年度总表!$E$3:$E$1025,0))="","",INDEX(学年度总表!$F$3:$F$1025,MATCH($E312,学年度总表!$E$3:$E$1025,0)))</f>
        <v>杨翰</v>
      </c>
      <c r="G312" s="3">
        <f>IF(INDEX(学年度总表!$G$3:$G$1025,MATCH($E312,学年度总表!$E$3:$E$1025,0))="","",INDEX(学年度总表!$G$3:$G$1025,MATCH($E312,学年度总表!$E$3:$E$1025,0)))</f>
        <v>10</v>
      </c>
      <c r="H312" s="3">
        <f>IF(INDEX(学年度总表!$H$3:$H$1025,MATCH($E312,学年度总表!$E$3:$E$1025,0))="","",INDEX(学年度总表!$H$3:$H$1025,MATCH($E312,学年度总表!$E$3:$E$1025,0)))</f>
        <v>46.94</v>
      </c>
      <c r="I312" s="3">
        <f>IF(INDEX(学年度总表!$I$3:$I$1025,MATCH($E312,学年度总表!$E$3:$E$1025,0))="","",INDEX(学年度总表!$I$3:$I$1025,MATCH($E312,学年度总表!$E$3:$E$1025,0)))</f>
        <v>4.7</v>
      </c>
      <c r="J312" s="3">
        <f>IF(INDEX(学年度总表!$J$3:$J$1025,MATCH($E312,学年度总表!$E$3:$E$1025,0))="","",INDEX(学年度总表!$J$3:$J$1025,MATCH($E312,学年度总表!$E$3:$E$1025,0)))</f>
        <v>61.64</v>
      </c>
      <c r="K312" s="3">
        <f>IF(INDEX(学年度总表!$K$3:$K$1025,MATCH($E312,学年度总表!$E$3:$E$1025,0))="","",INDEX(学年度总表!$K$3:$K$1025,MATCH($E312,学年度总表!$E$3:$E$1025,0)))</f>
        <v>10</v>
      </c>
      <c r="L312" s="3">
        <f>IF(INDEX(学年度总表!$L$3:$L$1025,MATCH($E312,学年度总表!$E$3:$E$1025,0))="","",INDEX(学年度总表!$L$3:$L$1025,MATCH($E312,学年度总表!$E$3:$E$1025,0)))</f>
        <v>46</v>
      </c>
      <c r="M312" s="3">
        <f>IF(INDEX(学年度总表!$M$3:$M$1025,MATCH($E312,学年度总表!$E$3:$E$1025,0))="","",INDEX(学年度总表!$M$3:$M$1025,MATCH($E312,学年度总表!$E$3:$E$1025,0)))</f>
        <v>3</v>
      </c>
      <c r="N312" s="3">
        <f>IF(INDEX(学年度总表!$N$3:$N$1025,MATCH($E312,学年度总表!$E$3:$E$1025,0))="","",INDEX(学年度总表!$N$3:$N$1025,MATCH($E312,学年度总表!$E$3:$E$1025,0)))</f>
        <v>59</v>
      </c>
      <c r="O312" s="3">
        <f>IF(INDEX(学年度总表!$O$3:$O$1025,MATCH($E312,学年度总表!$E$3:$E$1025,0))="","",INDEX(学年度总表!$O$3:$O$1025,MATCH($E312,学年度总表!$E$3:$E$1025,0)))</f>
        <v>120.64</v>
      </c>
      <c r="P312" s="2" t="str">
        <f>IF(INDEX(学年度总表!$P$3:$P$1025,MATCH($E312,学年度总表!$E$3:$E$1025,0))="","",INDEX(学年度总表!$P$3:$P$1025,MATCH($E312,学年度总表!$E$3:$E$1025,0)))</f>
        <v/>
      </c>
      <c r="Q312" s="5" t="str">
        <f>IF(INDEX(学年度总表!$Q$3:$Q$1025,MATCH($E312,学年度总表!$E$3:$E$1025,0))="","",INDEX(学年度总表!$Q$3:$Q$1025,MATCH($E312,学年度总表!$E$3:$E$1025,0)))</f>
        <v/>
      </c>
    </row>
    <row r="313" spans="1:17">
      <c r="A313" s="2">
        <f>IF(INDEX(学年度总表!$A$3:$A$1025,MATCH($E313,学年度总表!$E$3:$E$1025,0))="","",INDEX(学年度总表!$A$3:$A$1025,MATCH($E313,学年度总表!$E$3:$E$1025,0)))</f>
        <v>855</v>
      </c>
      <c r="B313" s="2">
        <f>IF(INDEX(学年度总表!$B$3:$B$1025,MATCH($E313,学年度总表!$E$3:$E$1025,0))="","",INDEX(学年度总表!$B$3:$B$1025,MATCH($E313,学年度总表!$E$3:$E$1025,0)))</f>
        <v>311</v>
      </c>
      <c r="C313" s="2" t="str">
        <f>IF(INDEX(学年度总表!$C$3:$C$1025,MATCH($E313,学年度总表!$E$3:$E$1025,0))="","",INDEX(学年度总表!$C$3:$C$1025,MATCH($E313,学年度总表!$E$3:$E$1025,0)))</f>
        <v>信管</v>
      </c>
      <c r="D313" s="2" t="str">
        <f>IF(INDEX(学年度总表!$D$3:$D$1025,MATCH($E313,学年度总表!$E$3:$E$1025,0))="","",INDEX(学年度总表!$D$3:$D$1025,MATCH($E313,学年度总表!$E$3:$E$1025,0)))</f>
        <v>信管20班</v>
      </c>
      <c r="E313" s="2" t="s">
        <v>1771</v>
      </c>
      <c r="F313" s="2" t="str">
        <f>IF(INDEX(学年度总表!$F$3:$F$1025,MATCH($E313,学年度总表!$E$3:$E$1025,0))="","",INDEX(学年度总表!$F$3:$F$1025,MATCH($E313,学年度总表!$E$3:$E$1025,0)))</f>
        <v>聂钰格</v>
      </c>
      <c r="G313" s="3">
        <f>IF(INDEX(学年度总表!$G$3:$G$1025,MATCH($E313,学年度总表!$E$3:$E$1025,0))="","",INDEX(学年度总表!$G$3:$G$1025,MATCH($E313,学年度总表!$E$3:$E$1025,0)))</f>
        <v>10</v>
      </c>
      <c r="H313" s="3">
        <f>IF(INDEX(学年度总表!$H$3:$H$1025,MATCH($E313,学年度总表!$E$3:$E$1025,0))="","",INDEX(学年度总表!$H$3:$H$1025,MATCH($E313,学年度总表!$E$3:$E$1025,0)))</f>
        <v>45.2</v>
      </c>
      <c r="I313" s="3">
        <f>IF(INDEX(学年度总表!$I$3:$I$1025,MATCH($E313,学年度总表!$E$3:$E$1025,0))="","",INDEX(学年度总表!$I$3:$I$1025,MATCH($E313,学年度总表!$E$3:$E$1025,0)))</f>
        <v>3.9</v>
      </c>
      <c r="J313" s="3">
        <f>IF(INDEX(学年度总表!$J$3:$J$1025,MATCH($E313,学年度总表!$E$3:$E$1025,0))="","",INDEX(学年度总表!$J$3:$J$1025,MATCH($E313,学年度总表!$E$3:$E$1025,0)))</f>
        <v>59.1</v>
      </c>
      <c r="K313" s="3">
        <f>IF(INDEX(学年度总表!$K$3:$K$1025,MATCH($E313,学年度总表!$E$3:$E$1025,0))="","",INDEX(学年度总表!$K$3:$K$1025,MATCH($E313,学年度总表!$E$3:$E$1025,0)))</f>
        <v>10</v>
      </c>
      <c r="L313" s="3">
        <f>IF(INDEX(学年度总表!$L$3:$L$1025,MATCH($E313,学年度总表!$E$3:$E$1025,0))="","",INDEX(学年度总表!$L$3:$L$1025,MATCH($E313,学年度总表!$E$3:$E$1025,0)))</f>
        <v>46.83</v>
      </c>
      <c r="M313" s="3">
        <f>IF(INDEX(学年度总表!$M$3:$M$1025,MATCH($E313,学年度总表!$E$3:$E$1025,0))="","",INDEX(学年度总表!$M$3:$M$1025,MATCH($E313,学年度总表!$E$3:$E$1025,0)))</f>
        <v>4.5</v>
      </c>
      <c r="N313" s="3">
        <f>IF(INDEX(学年度总表!$N$3:$N$1025,MATCH($E313,学年度总表!$E$3:$E$1025,0))="","",INDEX(学年度总表!$N$3:$N$1025,MATCH($E313,学年度总表!$E$3:$E$1025,0)))</f>
        <v>61.33</v>
      </c>
      <c r="O313" s="3">
        <f>IF(INDEX(学年度总表!$O$3:$O$1025,MATCH($E313,学年度总表!$E$3:$E$1025,0))="","",INDEX(学年度总表!$O$3:$O$1025,MATCH($E313,学年度总表!$E$3:$E$1025,0)))</f>
        <v>120.43</v>
      </c>
      <c r="P313" s="2" t="str">
        <f>IF(INDEX(学年度总表!$P$3:$P$1025,MATCH($E313,学年度总表!$E$3:$E$1025,0))="","",INDEX(学年度总表!$P$3:$P$1025,MATCH($E313,学年度总表!$E$3:$E$1025,0)))</f>
        <v/>
      </c>
      <c r="Q313" s="5" t="str">
        <f>IF(INDEX(学年度总表!$Q$3:$Q$1025,MATCH($E313,学年度总表!$E$3:$E$1025,0))="","",INDEX(学年度总表!$Q$3:$Q$1025,MATCH($E313,学年度总表!$E$3:$E$1025,0)))</f>
        <v/>
      </c>
    </row>
    <row r="314" spans="1:17">
      <c r="A314" s="2">
        <f>IF(INDEX(学年度总表!$A$3:$A$1025,MATCH($E314,学年度总表!$E$3:$E$1025,0))="","",INDEX(学年度总表!$A$3:$A$1025,MATCH($E314,学年度总表!$E$3:$E$1025,0)))</f>
        <v>862</v>
      </c>
      <c r="B314" s="2">
        <f>IF(INDEX(学年度总表!$B$3:$B$1025,MATCH($E314,学年度总表!$E$3:$E$1025,0))="","",INDEX(学年度总表!$B$3:$B$1025,MATCH($E314,学年度总表!$E$3:$E$1025,0)))</f>
        <v>312</v>
      </c>
      <c r="C314" s="2" t="str">
        <f>IF(INDEX(学年度总表!$C$3:$C$1025,MATCH($E314,学年度总表!$E$3:$E$1025,0))="","",INDEX(学年度总表!$C$3:$C$1025,MATCH($E314,学年度总表!$E$3:$E$1025,0)))</f>
        <v>信管</v>
      </c>
      <c r="D314" s="2" t="str">
        <f>IF(INDEX(学年度总表!$D$3:$D$1025,MATCH($E314,学年度总表!$E$3:$E$1025,0))="","",INDEX(学年度总表!$D$3:$D$1025,MATCH($E314,学年度总表!$E$3:$E$1025,0)))</f>
        <v>信管21班</v>
      </c>
      <c r="E314" s="2" t="s">
        <v>1785</v>
      </c>
      <c r="F314" s="2" t="str">
        <f>IF(INDEX(学年度总表!$F$3:$F$1025,MATCH($E314,学年度总表!$E$3:$E$1025,0))="","",INDEX(学年度总表!$F$3:$F$1025,MATCH($E314,学年度总表!$E$3:$E$1025,0)))</f>
        <v>周盛舰</v>
      </c>
      <c r="G314" s="3">
        <f>IF(INDEX(学年度总表!$G$3:$G$1025,MATCH($E314,学年度总表!$E$3:$E$1025,0))="","",INDEX(学年度总表!$G$3:$G$1025,MATCH($E314,学年度总表!$E$3:$E$1025,0)))</f>
        <v>10</v>
      </c>
      <c r="H314" s="3">
        <f>IF(INDEX(学年度总表!$H$3:$H$1025,MATCH($E314,学年度总表!$E$3:$E$1025,0))="","",INDEX(学年度总表!$H$3:$H$1025,MATCH($E314,学年度总表!$E$3:$E$1025,0)))</f>
        <v>45.5</v>
      </c>
      <c r="I314" s="3">
        <f>IF(INDEX(学年度总表!$I$3:$I$1025,MATCH($E314,学年度总表!$E$3:$E$1025,0))="","",INDEX(学年度总表!$I$3:$I$1025,MATCH($E314,学年度总表!$E$3:$E$1025,0)))</f>
        <v>3</v>
      </c>
      <c r="J314" s="3">
        <f>IF(INDEX(学年度总表!$J$3:$J$1025,MATCH($E314,学年度总表!$E$3:$E$1025,0))="","",INDEX(学年度总表!$J$3:$J$1025,MATCH($E314,学年度总表!$E$3:$E$1025,0)))</f>
        <v>58.5</v>
      </c>
      <c r="K314" s="3">
        <f>IF(INDEX(学年度总表!$K$3:$K$1025,MATCH($E314,学年度总表!$E$3:$E$1025,0))="","",INDEX(学年度总表!$K$3:$K$1025,MATCH($E314,学年度总表!$E$3:$E$1025,0)))</f>
        <v>10</v>
      </c>
      <c r="L314" s="3">
        <f>IF(INDEX(学年度总表!$L$3:$L$1025,MATCH($E314,学年度总表!$E$3:$E$1025,0))="","",INDEX(学年度总表!$L$3:$L$1025,MATCH($E314,学年度总表!$E$3:$E$1025,0)))</f>
        <v>48.33</v>
      </c>
      <c r="M314" s="3">
        <f>IF(INDEX(学年度总表!$M$3:$M$1025,MATCH($E314,学年度总表!$E$3:$E$1025,0))="","",INDEX(学年度总表!$M$3:$M$1025,MATCH($E314,学年度总表!$E$3:$E$1025,0)))</f>
        <v>3</v>
      </c>
      <c r="N314" s="3">
        <f>IF(INDEX(学年度总表!$N$3:$N$1025,MATCH($E314,学年度总表!$E$3:$E$1025,0))="","",INDEX(学年度总表!$N$3:$N$1025,MATCH($E314,学年度总表!$E$3:$E$1025,0)))</f>
        <v>61.33</v>
      </c>
      <c r="O314" s="3">
        <f>IF(INDEX(学年度总表!$O$3:$O$1025,MATCH($E314,学年度总表!$E$3:$E$1025,0))="","",INDEX(学年度总表!$O$3:$O$1025,MATCH($E314,学年度总表!$E$3:$E$1025,0)))</f>
        <v>119.83</v>
      </c>
      <c r="P314" s="2" t="str">
        <f>IF(INDEX(学年度总表!$P$3:$P$1025,MATCH($E314,学年度总表!$E$3:$E$1025,0))="","",INDEX(学年度总表!$P$3:$P$1025,MATCH($E314,学年度总表!$E$3:$E$1025,0)))</f>
        <v/>
      </c>
      <c r="Q314" s="5" t="str">
        <f>IF(INDEX(学年度总表!$Q$3:$Q$1025,MATCH($E314,学年度总表!$E$3:$E$1025,0))="","",INDEX(学年度总表!$Q$3:$Q$1025,MATCH($E314,学年度总表!$E$3:$E$1025,0)))</f>
        <v/>
      </c>
    </row>
    <row r="315" spans="1:17">
      <c r="A315" s="2">
        <f>IF(INDEX(学年度总表!$A$3:$A$1025,MATCH($E315,学年度总表!$E$3:$E$1025,0))="","",INDEX(学年度总表!$A$3:$A$1025,MATCH($E315,学年度总表!$E$3:$E$1025,0)))</f>
        <v>863</v>
      </c>
      <c r="B315" s="2">
        <f>IF(INDEX(学年度总表!$B$3:$B$1025,MATCH($E315,学年度总表!$E$3:$E$1025,0))="","",INDEX(学年度总表!$B$3:$B$1025,MATCH($E315,学年度总表!$E$3:$E$1025,0)))</f>
        <v>313</v>
      </c>
      <c r="C315" s="2" t="str">
        <f>IF(INDEX(学年度总表!$C$3:$C$1025,MATCH($E315,学年度总表!$E$3:$E$1025,0))="","",INDEX(学年度总表!$C$3:$C$1025,MATCH($E315,学年度总表!$E$3:$E$1025,0)))</f>
        <v>信管</v>
      </c>
      <c r="D315" s="2" t="str">
        <f>IF(INDEX(学年度总表!$D$3:$D$1025,MATCH($E315,学年度总表!$E$3:$E$1025,0))="","",INDEX(学年度总表!$D$3:$D$1025,MATCH($E315,学年度总表!$E$3:$E$1025,0)))</f>
        <v>信管20班</v>
      </c>
      <c r="E315" s="2" t="s">
        <v>1787</v>
      </c>
      <c r="F315" s="2" t="str">
        <f>IF(INDEX(学年度总表!$F$3:$F$1025,MATCH($E315,学年度总表!$E$3:$E$1025,0))="","",INDEX(学年度总表!$F$3:$F$1025,MATCH($E315,学年度总表!$E$3:$E$1025,0)))</f>
        <v>庄翔宇</v>
      </c>
      <c r="G315" s="3">
        <f>IF(INDEX(学年度总表!$G$3:$G$1025,MATCH($E315,学年度总表!$E$3:$E$1025,0))="","",INDEX(学年度总表!$G$3:$G$1025,MATCH($E315,学年度总表!$E$3:$E$1025,0)))</f>
        <v>10.3</v>
      </c>
      <c r="H315" s="3">
        <f>IF(INDEX(学年度总表!$H$3:$H$1025,MATCH($E315,学年度总表!$E$3:$E$1025,0))="","",INDEX(学年度总表!$H$3:$H$1025,MATCH($E315,学年度总表!$E$3:$E$1025,0)))</f>
        <v>48.5</v>
      </c>
      <c r="I315" s="3">
        <f>IF(INDEX(学年度总表!$I$3:$I$1025,MATCH($E315,学年度总表!$E$3:$E$1025,0))="","",INDEX(学年度总表!$I$3:$I$1025,MATCH($E315,学年度总表!$E$3:$E$1025,0)))</f>
        <v>4</v>
      </c>
      <c r="J315" s="3">
        <f>IF(INDEX(学年度总表!$J$3:$J$1025,MATCH($E315,学年度总表!$E$3:$E$1025,0))="","",INDEX(学年度总表!$J$3:$J$1025,MATCH($E315,学年度总表!$E$3:$E$1025,0)))</f>
        <v>62.8</v>
      </c>
      <c r="K315" s="3">
        <f>IF(INDEX(学年度总表!$K$3:$K$1025,MATCH($E315,学年度总表!$E$3:$E$1025,0))="","",INDEX(学年度总表!$K$3:$K$1025,MATCH($E315,学年度总表!$E$3:$E$1025,0)))</f>
        <v>9.8000000000000007</v>
      </c>
      <c r="L315" s="3">
        <f>IF(INDEX(学年度总表!$L$3:$L$1025,MATCH($E315,学年度总表!$E$3:$E$1025,0))="","",INDEX(学年度总表!$L$3:$L$1025,MATCH($E315,学年度总表!$E$3:$E$1025,0)))</f>
        <v>42.69</v>
      </c>
      <c r="M315" s="3">
        <f>IF(INDEX(学年度总表!$M$3:$M$1025,MATCH($E315,学年度总表!$E$3:$E$1025,0))="","",INDEX(学年度总表!$M$3:$M$1025,MATCH($E315,学年度总表!$E$3:$E$1025,0)))</f>
        <v>4.5</v>
      </c>
      <c r="N315" s="3">
        <f>IF(INDEX(学年度总表!$N$3:$N$1025,MATCH($E315,学年度总表!$E$3:$E$1025,0))="","",INDEX(学年度总表!$N$3:$N$1025,MATCH($E315,学年度总表!$E$3:$E$1025,0)))</f>
        <v>56.99</v>
      </c>
      <c r="O315" s="3">
        <f>IF(INDEX(学年度总表!$O$3:$O$1025,MATCH($E315,学年度总表!$E$3:$E$1025,0))="","",INDEX(学年度总表!$O$3:$O$1025,MATCH($E315,学年度总表!$E$3:$E$1025,0)))</f>
        <v>119.79</v>
      </c>
      <c r="P315" s="2" t="str">
        <f>IF(INDEX(学年度总表!$P$3:$P$1025,MATCH($E315,学年度总表!$E$3:$E$1025,0))="","",INDEX(学年度总表!$P$3:$P$1025,MATCH($E315,学年度总表!$E$3:$E$1025,0)))</f>
        <v/>
      </c>
      <c r="Q315" s="5" t="str">
        <f>IF(INDEX(学年度总表!$Q$3:$Q$1025,MATCH($E315,学年度总表!$E$3:$E$1025,0))="","",INDEX(学年度总表!$Q$3:$Q$1025,MATCH($E315,学年度总表!$E$3:$E$1025,0)))</f>
        <v/>
      </c>
    </row>
    <row r="316" spans="1:17">
      <c r="A316" s="2">
        <f>IF(INDEX(学年度总表!$A$3:$A$1025,MATCH($E316,学年度总表!$E$3:$E$1025,0))="","",INDEX(学年度总表!$A$3:$A$1025,MATCH($E316,学年度总表!$E$3:$E$1025,0)))</f>
        <v>866</v>
      </c>
      <c r="B316" s="2">
        <f>IF(INDEX(学年度总表!$B$3:$B$1025,MATCH($E316,学年度总表!$E$3:$E$1025,0))="","",INDEX(学年度总表!$B$3:$B$1025,MATCH($E316,学年度总表!$E$3:$E$1025,0)))</f>
        <v>314</v>
      </c>
      <c r="C316" s="2" t="str">
        <f>IF(INDEX(学年度总表!$C$3:$C$1025,MATCH($E316,学年度总表!$E$3:$E$1025,0))="","",INDEX(学年度总表!$C$3:$C$1025,MATCH($E316,学年度总表!$E$3:$E$1025,0)))</f>
        <v>信管</v>
      </c>
      <c r="D316" s="2" t="str">
        <f>IF(INDEX(学年度总表!$D$3:$D$1025,MATCH($E316,学年度总表!$E$3:$E$1025,0))="","",INDEX(学年度总表!$D$3:$D$1025,MATCH($E316,学年度总表!$E$3:$E$1025,0)))</f>
        <v>信管27班</v>
      </c>
      <c r="E316" s="2" t="s">
        <v>1793</v>
      </c>
      <c r="F316" s="2" t="str">
        <f>IF(INDEX(学年度总表!$F$3:$F$1025,MATCH($E316,学年度总表!$E$3:$E$1025,0))="","",INDEX(学年度总表!$F$3:$F$1025,MATCH($E316,学年度总表!$E$3:$E$1025,0)))</f>
        <v>唐子洋</v>
      </c>
      <c r="G316" s="3">
        <f>IF(INDEX(学年度总表!$G$3:$G$1025,MATCH($E316,学年度总表!$E$3:$E$1025,0))="","",INDEX(学年度总表!$G$3:$G$1025,MATCH($E316,学年度总表!$E$3:$E$1025,0)))</f>
        <v>10</v>
      </c>
      <c r="H316" s="3">
        <f>IF(INDEX(学年度总表!$H$3:$H$1025,MATCH($E316,学年度总表!$E$3:$E$1025,0))="","",INDEX(学年度总表!$H$3:$H$1025,MATCH($E316,学年度总表!$E$3:$E$1025,0)))</f>
        <v>46.29</v>
      </c>
      <c r="I316" s="3">
        <f>IF(INDEX(学年度总表!$I$3:$I$1025,MATCH($E316,学年度总表!$E$3:$E$1025,0))="","",INDEX(学年度总表!$I$3:$I$1025,MATCH($E316,学年度总表!$E$3:$E$1025,0)))</f>
        <v>4.2</v>
      </c>
      <c r="J316" s="3">
        <f>IF(INDEX(学年度总表!$J$3:$J$1025,MATCH($E316,学年度总表!$E$3:$E$1025,0))="","",INDEX(学年度总表!$J$3:$J$1025,MATCH($E316,学年度总表!$E$3:$E$1025,0)))</f>
        <v>60.49</v>
      </c>
      <c r="K316" s="3">
        <f>IF(INDEX(学年度总表!$K$3:$K$1025,MATCH($E316,学年度总表!$E$3:$E$1025,0))="","",INDEX(学年度总表!$K$3:$K$1025,MATCH($E316,学年度总表!$E$3:$E$1025,0)))</f>
        <v>7.3000000000000007</v>
      </c>
      <c r="L316" s="3">
        <f>IF(INDEX(学年度总表!$L$3:$L$1025,MATCH($E316,学年度总表!$E$3:$E$1025,0))="","",INDEX(学年度总表!$L$3:$L$1025,MATCH($E316,学年度总表!$E$3:$E$1025,0)))</f>
        <v>47.01</v>
      </c>
      <c r="M316" s="3">
        <f>IF(INDEX(学年度总表!$M$3:$M$1025,MATCH($E316,学年度总表!$E$3:$E$1025,0))="","",INDEX(学年度总表!$M$3:$M$1025,MATCH($E316,学年度总表!$E$3:$E$1025,0)))</f>
        <v>4.4000000000000004</v>
      </c>
      <c r="N316" s="3">
        <f>IF(INDEX(学年度总表!$N$3:$N$1025,MATCH($E316,学年度总表!$E$3:$E$1025,0))="","",INDEX(学年度总表!$N$3:$N$1025,MATCH($E316,学年度总表!$E$3:$E$1025,0)))</f>
        <v>58.71</v>
      </c>
      <c r="O316" s="3">
        <f>IF(INDEX(学年度总表!$O$3:$O$1025,MATCH($E316,学年度总表!$E$3:$E$1025,0))="","",INDEX(学年度总表!$O$3:$O$1025,MATCH($E316,学年度总表!$E$3:$E$1025,0)))</f>
        <v>119.2</v>
      </c>
      <c r="P316" s="2" t="str">
        <f>IF(INDEX(学年度总表!$P$3:$P$1025,MATCH($E316,学年度总表!$E$3:$E$1025,0))="","",INDEX(学年度总表!$P$3:$P$1025,MATCH($E316,学年度总表!$E$3:$E$1025,0)))</f>
        <v/>
      </c>
      <c r="Q316" s="5" t="str">
        <f>IF(INDEX(学年度总表!$Q$3:$Q$1025,MATCH($E316,学年度总表!$E$3:$E$1025,0))="","",INDEX(学年度总表!$Q$3:$Q$1025,MATCH($E316,学年度总表!$E$3:$E$1025,0)))</f>
        <v/>
      </c>
    </row>
    <row r="317" spans="1:17">
      <c r="A317" s="2">
        <f>IF(INDEX(学年度总表!$A$3:$A$1025,MATCH($E317,学年度总表!$E$3:$E$1025,0))="","",INDEX(学年度总表!$A$3:$A$1025,MATCH($E317,学年度总表!$E$3:$E$1025,0)))</f>
        <v>868</v>
      </c>
      <c r="B317" s="2">
        <f>IF(INDEX(学年度总表!$B$3:$B$1025,MATCH($E317,学年度总表!$E$3:$E$1025,0))="","",INDEX(学年度总表!$B$3:$B$1025,MATCH($E317,学年度总表!$E$3:$E$1025,0)))</f>
        <v>315</v>
      </c>
      <c r="C317" s="2" t="str">
        <f>IF(INDEX(学年度总表!$C$3:$C$1025,MATCH($E317,学年度总表!$E$3:$E$1025,0))="","",INDEX(学年度总表!$C$3:$C$1025,MATCH($E317,学年度总表!$E$3:$E$1025,0)))</f>
        <v>信管</v>
      </c>
      <c r="D317" s="2" t="str">
        <f>IF(INDEX(学年度总表!$D$3:$D$1025,MATCH($E317,学年度总表!$E$3:$E$1025,0))="","",INDEX(学年度总表!$D$3:$D$1025,MATCH($E317,学年度总表!$E$3:$E$1025,0)))</f>
        <v>信管20班</v>
      </c>
      <c r="E317" s="2" t="s">
        <v>1797</v>
      </c>
      <c r="F317" s="2" t="str">
        <f>IF(INDEX(学年度总表!$F$3:$F$1025,MATCH($E317,学年度总表!$E$3:$E$1025,0))="","",INDEX(学年度总表!$F$3:$F$1025,MATCH($E317,学年度总表!$E$3:$E$1025,0)))</f>
        <v>张岽慈</v>
      </c>
      <c r="G317" s="3">
        <f>IF(INDEX(学年度总表!$G$3:$G$1025,MATCH($E317,学年度总表!$E$3:$E$1025,0))="","",INDEX(学年度总表!$G$3:$G$1025,MATCH($E317,学年度总表!$E$3:$E$1025,0)))</f>
        <v>10</v>
      </c>
      <c r="H317" s="3">
        <f>IF(INDEX(学年度总表!$H$3:$H$1025,MATCH($E317,学年度总表!$E$3:$E$1025,0))="","",INDEX(学年度总表!$H$3:$H$1025,MATCH($E317,学年度总表!$E$3:$E$1025,0)))</f>
        <v>46.77</v>
      </c>
      <c r="I317" s="3">
        <f>IF(INDEX(学年度总表!$I$3:$I$1025,MATCH($E317,学年度总表!$E$3:$E$1025,0))="","",INDEX(学年度总表!$I$3:$I$1025,MATCH($E317,学年度总表!$E$3:$E$1025,0)))</f>
        <v>3.4</v>
      </c>
      <c r="J317" s="3">
        <f>IF(INDEX(学年度总表!$J$3:$J$1025,MATCH($E317,学年度总表!$E$3:$E$1025,0))="","",INDEX(学年度总表!$J$3:$J$1025,MATCH($E317,学年度总表!$E$3:$E$1025,0)))</f>
        <v>60.17</v>
      </c>
      <c r="K317" s="3">
        <f>IF(INDEX(学年度总表!$K$3:$K$1025,MATCH($E317,学年度总表!$E$3:$E$1025,0))="","",INDEX(学年度总表!$K$3:$K$1025,MATCH($E317,学年度总表!$E$3:$E$1025,0)))</f>
        <v>9.6</v>
      </c>
      <c r="L317" s="3">
        <f>IF(INDEX(学年度总表!$L$3:$L$1025,MATCH($E317,学年度总表!$E$3:$E$1025,0))="","",INDEX(学年度总表!$L$3:$L$1025,MATCH($E317,学年度总表!$E$3:$E$1025,0)))</f>
        <v>44.8</v>
      </c>
      <c r="M317" s="3">
        <f>IF(INDEX(学年度总表!$M$3:$M$1025,MATCH($E317,学年度总表!$E$3:$E$1025,0))="","",INDEX(学年度总表!$M$3:$M$1025,MATCH($E317,学年度总表!$E$3:$E$1025,0)))</f>
        <v>4.5</v>
      </c>
      <c r="N317" s="3">
        <f>IF(INDEX(学年度总表!$N$3:$N$1025,MATCH($E317,学年度总表!$E$3:$E$1025,0))="","",INDEX(学年度总表!$N$3:$N$1025,MATCH($E317,学年度总表!$E$3:$E$1025,0)))</f>
        <v>58.9</v>
      </c>
      <c r="O317" s="3">
        <f>IF(INDEX(学年度总表!$O$3:$O$1025,MATCH($E317,学年度总表!$E$3:$E$1025,0))="","",INDEX(学年度总表!$O$3:$O$1025,MATCH($E317,学年度总表!$E$3:$E$1025,0)))</f>
        <v>119.07</v>
      </c>
      <c r="P317" s="2" t="str">
        <f>IF(INDEX(学年度总表!$P$3:$P$1025,MATCH($E317,学年度总表!$E$3:$E$1025,0))="","",INDEX(学年度总表!$P$3:$P$1025,MATCH($E317,学年度总表!$E$3:$E$1025,0)))</f>
        <v/>
      </c>
      <c r="Q317" s="5" t="str">
        <f>IF(INDEX(学年度总表!$Q$3:$Q$1025,MATCH($E317,学年度总表!$E$3:$E$1025,0))="","",INDEX(学年度总表!$Q$3:$Q$1025,MATCH($E317,学年度总表!$E$3:$E$1025,0)))</f>
        <v/>
      </c>
    </row>
    <row r="318" spans="1:17">
      <c r="A318" s="2">
        <f>IF(INDEX(学年度总表!$A$3:$A$1025,MATCH($E318,学年度总表!$E$3:$E$1025,0))="","",INDEX(学年度总表!$A$3:$A$1025,MATCH($E318,学年度总表!$E$3:$E$1025,0)))</f>
        <v>870</v>
      </c>
      <c r="B318" s="2">
        <f>IF(INDEX(学年度总表!$B$3:$B$1025,MATCH($E318,学年度总表!$E$3:$E$1025,0))="","",INDEX(学年度总表!$B$3:$B$1025,MATCH($E318,学年度总表!$E$3:$E$1025,0)))</f>
        <v>316</v>
      </c>
      <c r="C318" s="2" t="str">
        <f>IF(INDEX(学年度总表!$C$3:$C$1025,MATCH($E318,学年度总表!$E$3:$E$1025,0))="","",INDEX(学年度总表!$C$3:$C$1025,MATCH($E318,学年度总表!$E$3:$E$1025,0)))</f>
        <v>信管</v>
      </c>
      <c r="D318" s="2" t="str">
        <f>IF(INDEX(学年度总表!$D$3:$D$1025,MATCH($E318,学年度总表!$E$3:$E$1025,0))="","",INDEX(学年度总表!$D$3:$D$1025,MATCH($E318,学年度总表!$E$3:$E$1025,0)))</f>
        <v>信管22班</v>
      </c>
      <c r="E318" s="2" t="s">
        <v>1801</v>
      </c>
      <c r="F318" s="2" t="str">
        <f>IF(INDEX(学年度总表!$F$3:$F$1025,MATCH($E318,学年度总表!$E$3:$E$1025,0))="","",INDEX(学年度总表!$F$3:$F$1025,MATCH($E318,学年度总表!$E$3:$E$1025,0)))</f>
        <v>赵启钧</v>
      </c>
      <c r="G318" s="3">
        <f>IF(INDEX(学年度总表!$G$3:$G$1025,MATCH($E318,学年度总表!$E$3:$E$1025,0))="","",INDEX(学年度总表!$G$3:$G$1025,MATCH($E318,学年度总表!$E$3:$E$1025,0)))</f>
        <v>9.8000000000000007</v>
      </c>
      <c r="H318" s="3">
        <f>IF(INDEX(学年度总表!$H$3:$H$1025,MATCH($E318,学年度总表!$E$3:$E$1025,0))="","",INDEX(学年度总表!$H$3:$H$1025,MATCH($E318,学年度总表!$E$3:$E$1025,0)))</f>
        <v>52.01</v>
      </c>
      <c r="I318" s="3">
        <f>IF(INDEX(学年度总表!$I$3:$I$1025,MATCH($E318,学年度总表!$E$3:$E$1025,0))="","",INDEX(学年度总表!$I$3:$I$1025,MATCH($E318,学年度总表!$E$3:$E$1025,0)))</f>
        <v>4.2</v>
      </c>
      <c r="J318" s="3">
        <f>IF(INDEX(学年度总表!$J$3:$J$1025,MATCH($E318,学年度总表!$E$3:$E$1025,0))="","",INDEX(学年度总表!$J$3:$J$1025,MATCH($E318,学年度总表!$E$3:$E$1025,0)))</f>
        <v>66.010000000000005</v>
      </c>
      <c r="K318" s="3">
        <f>IF(INDEX(学年度总表!$K$3:$K$1025,MATCH($E318,学年度总表!$E$3:$E$1025,0))="","",INDEX(学年度总表!$K$3:$K$1025,MATCH($E318,学年度总表!$E$3:$E$1025,0)))</f>
        <v>6.9</v>
      </c>
      <c r="L318" s="3">
        <f>IF(INDEX(学年度总表!$L$3:$L$1025,MATCH($E318,学年度总表!$E$3:$E$1025,0))="","",INDEX(学年度总表!$L$3:$L$1025,MATCH($E318,学年度总表!$E$3:$E$1025,0)))</f>
        <v>42.13</v>
      </c>
      <c r="M318" s="3">
        <f>IF(INDEX(学年度总表!$M$3:$M$1025,MATCH($E318,学年度总表!$E$3:$E$1025,0))="","",INDEX(学年度总表!$M$3:$M$1025,MATCH($E318,学年度总表!$E$3:$E$1025,0)))</f>
        <v>3.7</v>
      </c>
      <c r="N318" s="3">
        <f>IF(INDEX(学年度总表!$N$3:$N$1025,MATCH($E318,学年度总表!$E$3:$E$1025,0))="","",INDEX(学年度总表!$N$3:$N$1025,MATCH($E318,学年度总表!$E$3:$E$1025,0)))</f>
        <v>52.73</v>
      </c>
      <c r="O318" s="3">
        <f>IF(INDEX(学年度总表!$O$3:$O$1025,MATCH($E318,学年度总表!$E$3:$E$1025,0))="","",INDEX(学年度总表!$O$3:$O$1025,MATCH($E318,学年度总表!$E$3:$E$1025,0)))</f>
        <v>118.74</v>
      </c>
      <c r="P318" s="2" t="str">
        <f>IF(INDEX(学年度总表!$P$3:$P$1025,MATCH($E318,学年度总表!$E$3:$E$1025,0))="","",INDEX(学年度总表!$P$3:$P$1025,MATCH($E318,学年度总表!$E$3:$E$1025,0)))</f>
        <v/>
      </c>
      <c r="Q318" s="5" t="str">
        <f>IF(INDEX(学年度总表!$Q$3:$Q$1025,MATCH($E318,学年度总表!$E$3:$E$1025,0))="","",INDEX(学年度总表!$Q$3:$Q$1025,MATCH($E318,学年度总表!$E$3:$E$1025,0)))</f>
        <v/>
      </c>
    </row>
    <row r="319" spans="1:17">
      <c r="A319" s="2">
        <f>IF(INDEX(学年度总表!$A$3:$A$1025,MATCH($E319,学年度总表!$E$3:$E$1025,0))="","",INDEX(学年度总表!$A$3:$A$1025,MATCH($E319,学年度总表!$E$3:$E$1025,0)))</f>
        <v>874</v>
      </c>
      <c r="B319" s="2">
        <f>IF(INDEX(学年度总表!$B$3:$B$1025,MATCH($E319,学年度总表!$E$3:$E$1025,0))="","",INDEX(学年度总表!$B$3:$B$1025,MATCH($E319,学年度总表!$E$3:$E$1025,0)))</f>
        <v>317</v>
      </c>
      <c r="C319" s="2" t="str">
        <f>IF(INDEX(学年度总表!$C$3:$C$1025,MATCH($E319,学年度总表!$E$3:$E$1025,0))="","",INDEX(学年度总表!$C$3:$C$1025,MATCH($E319,学年度总表!$E$3:$E$1025,0)))</f>
        <v>信管</v>
      </c>
      <c r="D319" s="2" t="str">
        <f>IF(INDEX(学年度总表!$D$3:$D$1025,MATCH($E319,学年度总表!$E$3:$E$1025,0))="","",INDEX(学年度总表!$D$3:$D$1025,MATCH($E319,学年度总表!$E$3:$E$1025,0)))</f>
        <v>信管23班</v>
      </c>
      <c r="E319" s="2" t="s">
        <v>1809</v>
      </c>
      <c r="F319" s="2" t="str">
        <f>IF(INDEX(学年度总表!$F$3:$F$1025,MATCH($E319,学年度总表!$E$3:$E$1025,0))="","",INDEX(学年度总表!$F$3:$F$1025,MATCH($E319,学年度总表!$E$3:$E$1025,0)))</f>
        <v>陶鑫</v>
      </c>
      <c r="G319" s="3">
        <f>IF(INDEX(学年度总表!$G$3:$G$1025,MATCH($E319,学年度总表!$E$3:$E$1025,0))="","",INDEX(学年度总表!$G$3:$G$1025,MATCH($E319,学年度总表!$E$3:$E$1025,0)))</f>
        <v>9</v>
      </c>
      <c r="H319" s="3">
        <f>IF(INDEX(学年度总表!$H$3:$H$1025,MATCH($E319,学年度总表!$E$3:$E$1025,0))="","",INDEX(学年度总表!$H$3:$H$1025,MATCH($E319,学年度总表!$E$3:$E$1025,0)))</f>
        <v>49.54</v>
      </c>
      <c r="I319" s="3">
        <f>IF(INDEX(学年度总表!$I$3:$I$1025,MATCH($E319,学年度总表!$E$3:$E$1025,0))="","",INDEX(学年度总表!$I$3:$I$1025,MATCH($E319,学年度总表!$E$3:$E$1025,0)))</f>
        <v>3</v>
      </c>
      <c r="J319" s="3">
        <f>IF(INDEX(学年度总表!$J$3:$J$1025,MATCH($E319,学年度总表!$E$3:$E$1025,0))="","",INDEX(学年度总表!$J$3:$J$1025,MATCH($E319,学年度总表!$E$3:$E$1025,0)))</f>
        <v>61.54</v>
      </c>
      <c r="K319" s="3">
        <f>IF(INDEX(学年度总表!$K$3:$K$1025,MATCH($E319,学年度总表!$E$3:$E$1025,0))="","",INDEX(学年度总表!$K$3:$K$1025,MATCH($E319,学年度总表!$E$3:$E$1025,0)))</f>
        <v>7.3000000000000007</v>
      </c>
      <c r="L319" s="3">
        <f>IF(INDEX(学年度总表!$L$3:$L$1025,MATCH($E319,学年度总表!$E$3:$E$1025,0))="","",INDEX(学年度总表!$L$3:$L$1025,MATCH($E319,学年度总表!$E$3:$E$1025,0)))</f>
        <v>46.45</v>
      </c>
      <c r="M319" s="3">
        <f>IF(INDEX(学年度总表!$M$3:$M$1025,MATCH($E319,学年度总表!$E$3:$E$1025,0))="","",INDEX(学年度总表!$M$3:$M$1025,MATCH($E319,学年度总表!$E$3:$E$1025,0)))</f>
        <v>3</v>
      </c>
      <c r="N319" s="3">
        <f>IF(INDEX(学年度总表!$N$3:$N$1025,MATCH($E319,学年度总表!$E$3:$E$1025,0))="","",INDEX(学年度总表!$N$3:$N$1025,MATCH($E319,学年度总表!$E$3:$E$1025,0)))</f>
        <v>56.75</v>
      </c>
      <c r="O319" s="3">
        <f>IF(INDEX(学年度总表!$O$3:$O$1025,MATCH($E319,学年度总表!$E$3:$E$1025,0))="","",INDEX(学年度总表!$O$3:$O$1025,MATCH($E319,学年度总表!$E$3:$E$1025,0)))</f>
        <v>118.29</v>
      </c>
      <c r="P319" s="2" t="str">
        <f>IF(INDEX(学年度总表!$P$3:$P$1025,MATCH($E319,学年度总表!$E$3:$E$1025,0))="","",INDEX(学年度总表!$P$3:$P$1025,MATCH($E319,学年度总表!$E$3:$E$1025,0)))</f>
        <v/>
      </c>
      <c r="Q319" s="5" t="str">
        <f>IF(INDEX(学年度总表!$Q$3:$Q$1025,MATCH($E319,学年度总表!$E$3:$E$1025,0))="","",INDEX(学年度总表!$Q$3:$Q$1025,MATCH($E319,学年度总表!$E$3:$E$1025,0)))</f>
        <v/>
      </c>
    </row>
    <row r="320" spans="1:17">
      <c r="A320" s="2">
        <f>IF(INDEX(学年度总表!$A$3:$A$1025,MATCH($E320,学年度总表!$E$3:$E$1025,0))="","",INDEX(学年度总表!$A$3:$A$1025,MATCH($E320,学年度总表!$E$3:$E$1025,0)))</f>
        <v>876</v>
      </c>
      <c r="B320" s="2">
        <f>IF(INDEX(学年度总表!$B$3:$B$1025,MATCH($E320,学年度总表!$E$3:$E$1025,0))="","",INDEX(学年度总表!$B$3:$B$1025,MATCH($E320,学年度总表!$E$3:$E$1025,0)))</f>
        <v>318</v>
      </c>
      <c r="C320" s="2" t="str">
        <f>IF(INDEX(学年度总表!$C$3:$C$1025,MATCH($E320,学年度总表!$E$3:$E$1025,0))="","",INDEX(学年度总表!$C$3:$C$1025,MATCH($E320,学年度总表!$E$3:$E$1025,0)))</f>
        <v>信管</v>
      </c>
      <c r="D320" s="2" t="str">
        <f>IF(INDEX(学年度总表!$D$3:$D$1025,MATCH($E320,学年度总表!$E$3:$E$1025,0))="","",INDEX(学年度总表!$D$3:$D$1025,MATCH($E320,学年度总表!$E$3:$E$1025,0)))</f>
        <v>信管19班</v>
      </c>
      <c r="E320" s="2" t="s">
        <v>1813</v>
      </c>
      <c r="F320" s="2" t="str">
        <f>IF(INDEX(学年度总表!$F$3:$F$1025,MATCH($E320,学年度总表!$E$3:$E$1025,0))="","",INDEX(学年度总表!$F$3:$F$1025,MATCH($E320,学年度总表!$E$3:$E$1025,0)))</f>
        <v>王颢然</v>
      </c>
      <c r="G320" s="3">
        <f>IF(INDEX(学年度总表!$G$3:$G$1025,MATCH($E320,学年度总表!$E$3:$E$1025,0))="","",INDEX(学年度总表!$G$3:$G$1025,MATCH($E320,学年度总表!$E$3:$E$1025,0)))</f>
        <v>10.6</v>
      </c>
      <c r="H320" s="3">
        <f>IF(INDEX(学年度总表!$H$3:$H$1025,MATCH($E320,学年度总表!$E$3:$E$1025,0))="","",INDEX(学年度总表!$H$3:$H$1025,MATCH($E320,学年度总表!$E$3:$E$1025,0)))</f>
        <v>44.14</v>
      </c>
      <c r="I320" s="3">
        <f>IF(INDEX(学年度总表!$I$3:$I$1025,MATCH($E320,学年度总表!$E$3:$E$1025,0))="","",INDEX(学年度总表!$I$3:$I$1025,MATCH($E320,学年度总表!$E$3:$E$1025,0)))</f>
        <v>3.9</v>
      </c>
      <c r="J320" s="3">
        <f>IF(INDEX(学年度总表!$J$3:$J$1025,MATCH($E320,学年度总表!$E$3:$E$1025,0))="","",INDEX(学年度总表!$J$3:$J$1025,MATCH($E320,学年度总表!$E$3:$E$1025,0)))</f>
        <v>58.64</v>
      </c>
      <c r="K320" s="3">
        <f>IF(INDEX(学年度总表!$K$3:$K$1025,MATCH($E320,学年度总表!$E$3:$E$1025,0))="","",INDEX(学年度总表!$K$3:$K$1025,MATCH($E320,学年度总表!$E$3:$E$1025,0)))</f>
        <v>10</v>
      </c>
      <c r="L320" s="3">
        <f>IF(INDEX(学年度总表!$L$3:$L$1025,MATCH($E320,学年度总表!$E$3:$E$1025,0))="","",INDEX(学年度总表!$L$3:$L$1025,MATCH($E320,学年度总表!$E$3:$E$1025,0)))</f>
        <v>45.03</v>
      </c>
      <c r="M320" s="3">
        <f>IF(INDEX(学年度总表!$M$3:$M$1025,MATCH($E320,学年度总表!$E$3:$E$1025,0))="","",INDEX(学年度总表!$M$3:$M$1025,MATCH($E320,学年度总表!$E$3:$E$1025,0)))</f>
        <v>4.3</v>
      </c>
      <c r="N320" s="3">
        <f>IF(INDEX(学年度总表!$N$3:$N$1025,MATCH($E320,学年度总表!$E$3:$E$1025,0))="","",INDEX(学年度总表!$N$3:$N$1025,MATCH($E320,学年度总表!$E$3:$E$1025,0)))</f>
        <v>59.33</v>
      </c>
      <c r="O320" s="3">
        <f>IF(INDEX(学年度总表!$O$3:$O$1025,MATCH($E320,学年度总表!$E$3:$E$1025,0))="","",INDEX(学年度总表!$O$3:$O$1025,MATCH($E320,学年度总表!$E$3:$E$1025,0)))</f>
        <v>117.97</v>
      </c>
      <c r="P320" s="2" t="str">
        <f>IF(INDEX(学年度总表!$P$3:$P$1025,MATCH($E320,学年度总表!$E$3:$E$1025,0))="","",INDEX(学年度总表!$P$3:$P$1025,MATCH($E320,学年度总表!$E$3:$E$1025,0)))</f>
        <v/>
      </c>
      <c r="Q320" s="5" t="str">
        <f>IF(INDEX(学年度总表!$Q$3:$Q$1025,MATCH($E320,学年度总表!$E$3:$E$1025,0))="","",INDEX(学年度总表!$Q$3:$Q$1025,MATCH($E320,学年度总表!$E$3:$E$1025,0)))</f>
        <v/>
      </c>
    </row>
    <row r="321" spans="1:17">
      <c r="A321" s="2">
        <f>IF(INDEX(学年度总表!$A$3:$A$1025,MATCH($E321,学年度总表!$E$3:$E$1025,0))="","",INDEX(学年度总表!$A$3:$A$1025,MATCH($E321,学年度总表!$E$3:$E$1025,0)))</f>
        <v>878</v>
      </c>
      <c r="B321" s="2">
        <f>IF(INDEX(学年度总表!$B$3:$B$1025,MATCH($E321,学年度总表!$E$3:$E$1025,0))="","",INDEX(学年度总表!$B$3:$B$1025,MATCH($E321,学年度总表!$E$3:$E$1025,0)))</f>
        <v>319</v>
      </c>
      <c r="C321" s="2" t="str">
        <f>IF(INDEX(学年度总表!$C$3:$C$1025,MATCH($E321,学年度总表!$E$3:$E$1025,0))="","",INDEX(学年度总表!$C$3:$C$1025,MATCH($E321,学年度总表!$E$3:$E$1025,0)))</f>
        <v>信管</v>
      </c>
      <c r="D321" s="2" t="str">
        <f>IF(INDEX(学年度总表!$D$3:$D$1025,MATCH($E321,学年度总表!$E$3:$E$1025,0))="","",INDEX(学年度总表!$D$3:$D$1025,MATCH($E321,学年度总表!$E$3:$E$1025,0)))</f>
        <v>信管25班</v>
      </c>
      <c r="E321" s="2" t="s">
        <v>1817</v>
      </c>
      <c r="F321" s="2" t="str">
        <f>IF(INDEX(学年度总表!$F$3:$F$1025,MATCH($E321,学年度总表!$E$3:$E$1025,0))="","",INDEX(学年度总表!$F$3:$F$1025,MATCH($E321,学年度总表!$E$3:$E$1025,0)))</f>
        <v>孔令希</v>
      </c>
      <c r="G321" s="3">
        <f>IF(INDEX(学年度总表!$G$3:$G$1025,MATCH($E321,学年度总表!$E$3:$E$1025,0))="","",INDEX(学年度总表!$G$3:$G$1025,MATCH($E321,学年度总表!$E$3:$E$1025,0)))</f>
        <v>9.8000000000000007</v>
      </c>
      <c r="H321" s="3">
        <f>IF(INDEX(学年度总表!$H$3:$H$1025,MATCH($E321,学年度总表!$E$3:$E$1025,0))="","",INDEX(学年度总表!$H$3:$H$1025,MATCH($E321,学年度总表!$E$3:$E$1025,0)))</f>
        <v>50.2</v>
      </c>
      <c r="I321" s="3">
        <f>IF(INDEX(学年度总表!$I$3:$I$1025,MATCH($E321,学年度总表!$E$3:$E$1025,0))="","",INDEX(学年度总表!$I$3:$I$1025,MATCH($E321,学年度总表!$E$3:$E$1025,0)))</f>
        <v>3</v>
      </c>
      <c r="J321" s="3">
        <f>IF(INDEX(学年度总表!$J$3:$J$1025,MATCH($E321,学年度总表!$E$3:$E$1025,0))="","",INDEX(学年度总表!$J$3:$J$1025,MATCH($E321,学年度总表!$E$3:$E$1025,0)))</f>
        <v>63</v>
      </c>
      <c r="K321" s="3">
        <f>IF(INDEX(学年度总表!$K$3:$K$1025,MATCH($E321,学年度总表!$E$3:$E$1025,0))="","",INDEX(学年度总表!$K$3:$K$1025,MATCH($E321,学年度总表!$E$3:$E$1025,0)))</f>
        <v>7.3000000000000007</v>
      </c>
      <c r="L321" s="3">
        <f>IF(INDEX(学年度总表!$L$3:$L$1025,MATCH($E321,学年度总表!$E$3:$E$1025,0))="","",INDEX(学年度总表!$L$3:$L$1025,MATCH($E321,学年度总表!$E$3:$E$1025,0)))</f>
        <v>44.51</v>
      </c>
      <c r="M321" s="3">
        <f>IF(INDEX(学年度总表!$M$3:$M$1025,MATCH($E321,学年度总表!$E$3:$E$1025,0))="","",INDEX(学年度总表!$M$3:$M$1025,MATCH($E321,学年度总表!$E$3:$E$1025,0)))</f>
        <v>3</v>
      </c>
      <c r="N321" s="3">
        <f>IF(INDEX(学年度总表!$N$3:$N$1025,MATCH($E321,学年度总表!$E$3:$E$1025,0))="","",INDEX(学年度总表!$N$3:$N$1025,MATCH($E321,学年度总表!$E$3:$E$1025,0)))</f>
        <v>54.81</v>
      </c>
      <c r="O321" s="3">
        <f>IF(INDEX(学年度总表!$O$3:$O$1025,MATCH($E321,学年度总表!$E$3:$E$1025,0))="","",INDEX(学年度总表!$O$3:$O$1025,MATCH($E321,学年度总表!$E$3:$E$1025,0)))</f>
        <v>117.81</v>
      </c>
      <c r="P321" s="2" t="str">
        <f>IF(INDEX(学年度总表!$P$3:$P$1025,MATCH($E321,学年度总表!$E$3:$E$1025,0))="","",INDEX(学年度总表!$P$3:$P$1025,MATCH($E321,学年度总表!$E$3:$E$1025,0)))</f>
        <v/>
      </c>
      <c r="Q321" s="5" t="str">
        <f>IF(INDEX(学年度总表!$Q$3:$Q$1025,MATCH($E321,学年度总表!$E$3:$E$1025,0))="","",INDEX(学年度总表!$Q$3:$Q$1025,MATCH($E321,学年度总表!$E$3:$E$1025,0)))</f>
        <v/>
      </c>
    </row>
    <row r="322" spans="1:17">
      <c r="A322" s="2">
        <f>IF(INDEX(学年度总表!$A$3:$A$1025,MATCH($E322,学年度总表!$E$3:$E$1025,0))="","",INDEX(学年度总表!$A$3:$A$1025,MATCH($E322,学年度总表!$E$3:$E$1025,0)))</f>
        <v>880</v>
      </c>
      <c r="B322" s="2">
        <f>IF(INDEX(学年度总表!$B$3:$B$1025,MATCH($E322,学年度总表!$E$3:$E$1025,0))="","",INDEX(学年度总表!$B$3:$B$1025,MATCH($E322,学年度总表!$E$3:$E$1025,0)))</f>
        <v>320</v>
      </c>
      <c r="C322" s="2" t="str">
        <f>IF(INDEX(学年度总表!$C$3:$C$1025,MATCH($E322,学年度总表!$E$3:$E$1025,0))="","",INDEX(学年度总表!$C$3:$C$1025,MATCH($E322,学年度总表!$E$3:$E$1025,0)))</f>
        <v>信管</v>
      </c>
      <c r="D322" s="2" t="str">
        <f>IF(INDEX(学年度总表!$D$3:$D$1025,MATCH($E322,学年度总表!$E$3:$E$1025,0))="","",INDEX(学年度总表!$D$3:$D$1025,MATCH($E322,学年度总表!$E$3:$E$1025,0)))</f>
        <v>信管23班</v>
      </c>
      <c r="E322" s="2" t="s">
        <v>1821</v>
      </c>
      <c r="F322" s="2" t="str">
        <f>IF(INDEX(学年度总表!$F$3:$F$1025,MATCH($E322,学年度总表!$E$3:$E$1025,0))="","",INDEX(学年度总表!$F$3:$F$1025,MATCH($E322,学年度总表!$E$3:$E$1025,0)))</f>
        <v>林一成</v>
      </c>
      <c r="G322" s="3">
        <f>IF(INDEX(学年度总表!$G$3:$G$1025,MATCH($E322,学年度总表!$E$3:$E$1025,0))="","",INDEX(学年度总表!$G$3:$G$1025,MATCH($E322,学年度总表!$E$3:$E$1025,0)))</f>
        <v>9</v>
      </c>
      <c r="H322" s="3">
        <f>IF(INDEX(学年度总表!$H$3:$H$1025,MATCH($E322,学年度总表!$E$3:$E$1025,0))="","",INDEX(学年度总表!$H$3:$H$1025,MATCH($E322,学年度总表!$E$3:$E$1025,0)))</f>
        <v>53.89</v>
      </c>
      <c r="I322" s="3">
        <f>IF(INDEX(学年度总表!$I$3:$I$1025,MATCH($E322,学年度总表!$E$3:$E$1025,0))="","",INDEX(学年度总表!$I$3:$I$1025,MATCH($E322,学年度总表!$E$3:$E$1025,0)))</f>
        <v>3</v>
      </c>
      <c r="J322" s="3">
        <f>IF(INDEX(学年度总表!$J$3:$J$1025,MATCH($E322,学年度总表!$E$3:$E$1025,0))="","",INDEX(学年度总表!$J$3:$J$1025,MATCH($E322,学年度总表!$E$3:$E$1025,0)))</f>
        <v>65.89</v>
      </c>
      <c r="K322" s="3">
        <f>IF(INDEX(学年度总表!$K$3:$K$1025,MATCH($E322,学年度总表!$E$3:$E$1025,0))="","",INDEX(学年度总表!$K$3:$K$1025,MATCH($E322,学年度总表!$E$3:$E$1025,0)))</f>
        <v>7.3000000000000007</v>
      </c>
      <c r="L322" s="3">
        <f>IF(INDEX(学年度总表!$L$3:$L$1025,MATCH($E322,学年度总表!$E$3:$E$1025,0))="","",INDEX(学年度总表!$L$3:$L$1025,MATCH($E322,学年度总表!$E$3:$E$1025,0)))</f>
        <v>41.04</v>
      </c>
      <c r="M322" s="3">
        <f>IF(INDEX(学年度总表!$M$3:$M$1025,MATCH($E322,学年度总表!$E$3:$E$1025,0))="","",INDEX(学年度总表!$M$3:$M$1025,MATCH($E322,学年度总表!$E$3:$E$1025,0)))</f>
        <v>3</v>
      </c>
      <c r="N322" s="3">
        <f>IF(INDEX(学年度总表!$N$3:$N$1025,MATCH($E322,学年度总表!$E$3:$E$1025,0))="","",INDEX(学年度总表!$N$3:$N$1025,MATCH($E322,学年度总表!$E$3:$E$1025,0)))</f>
        <v>51.34</v>
      </c>
      <c r="O322" s="3">
        <f>IF(INDEX(学年度总表!$O$3:$O$1025,MATCH($E322,学年度总表!$E$3:$E$1025,0))="","",INDEX(学年度总表!$O$3:$O$1025,MATCH($E322,学年度总表!$E$3:$E$1025,0)))</f>
        <v>117.23</v>
      </c>
      <c r="P322" s="2" t="str">
        <f>IF(INDEX(学年度总表!$P$3:$P$1025,MATCH($E322,学年度总表!$E$3:$E$1025,0))="","",INDEX(学年度总表!$P$3:$P$1025,MATCH($E322,学年度总表!$E$3:$E$1025,0)))</f>
        <v/>
      </c>
      <c r="Q322" s="5" t="str">
        <f>IF(INDEX(学年度总表!$Q$3:$Q$1025,MATCH($E322,学年度总表!$E$3:$E$1025,0))="","",INDEX(学年度总表!$Q$3:$Q$1025,MATCH($E322,学年度总表!$E$3:$E$1025,0)))</f>
        <v/>
      </c>
    </row>
    <row r="323" spans="1:17">
      <c r="A323" s="2">
        <f>IF(INDEX(学年度总表!$A$3:$A$1025,MATCH($E323,学年度总表!$E$3:$E$1025,0))="","",INDEX(学年度总表!$A$3:$A$1025,MATCH($E323,学年度总表!$E$3:$E$1025,0)))</f>
        <v>883</v>
      </c>
      <c r="B323" s="2">
        <f>IF(INDEX(学年度总表!$B$3:$B$1025,MATCH($E323,学年度总表!$E$3:$E$1025,0))="","",INDEX(学年度总表!$B$3:$B$1025,MATCH($E323,学年度总表!$E$3:$E$1025,0)))</f>
        <v>321</v>
      </c>
      <c r="C323" s="2" t="str">
        <f>IF(INDEX(学年度总表!$C$3:$C$1025,MATCH($E323,学年度总表!$E$3:$E$1025,0))="","",INDEX(学年度总表!$C$3:$C$1025,MATCH($E323,学年度总表!$E$3:$E$1025,0)))</f>
        <v>信管</v>
      </c>
      <c r="D323" s="2" t="str">
        <f>IF(INDEX(学年度总表!$D$3:$D$1025,MATCH($E323,学年度总表!$E$3:$E$1025,0))="","",INDEX(学年度总表!$D$3:$D$1025,MATCH($E323,学年度总表!$E$3:$E$1025,0)))</f>
        <v>信管19班</v>
      </c>
      <c r="E323" s="2" t="s">
        <v>1827</v>
      </c>
      <c r="F323" s="2" t="str">
        <f>IF(INDEX(学年度总表!$F$3:$F$1025,MATCH($E323,学年度总表!$E$3:$E$1025,0))="","",INDEX(学年度总表!$F$3:$F$1025,MATCH($E323,学年度总表!$E$3:$E$1025,0)))</f>
        <v>程宇涵</v>
      </c>
      <c r="G323" s="3">
        <f>IF(INDEX(学年度总表!$G$3:$G$1025,MATCH($E323,学年度总表!$E$3:$E$1025,0))="","",INDEX(学年度总表!$G$3:$G$1025,MATCH($E323,学年度总表!$E$3:$E$1025,0)))</f>
        <v>10.4</v>
      </c>
      <c r="H323" s="3">
        <f>IF(INDEX(学年度总表!$H$3:$H$1025,MATCH($E323,学年度总表!$E$3:$E$1025,0))="","",INDEX(学年度总表!$H$3:$H$1025,MATCH($E323,学年度总表!$E$3:$E$1025,0)))</f>
        <v>48.39</v>
      </c>
      <c r="I323" s="3">
        <f>IF(INDEX(学年度总表!$I$3:$I$1025,MATCH($E323,学年度总表!$E$3:$E$1025,0))="","",INDEX(学年度总表!$I$3:$I$1025,MATCH($E323,学年度总表!$E$3:$E$1025,0)))</f>
        <v>3</v>
      </c>
      <c r="J323" s="3">
        <f>IF(INDEX(学年度总表!$J$3:$J$1025,MATCH($E323,学年度总表!$E$3:$E$1025,0))="","",INDEX(学年度总表!$J$3:$J$1025,MATCH($E323,学年度总表!$E$3:$E$1025,0)))</f>
        <v>61.79</v>
      </c>
      <c r="K323" s="3">
        <f>IF(INDEX(学年度总表!$K$3:$K$1025,MATCH($E323,学年度总表!$E$3:$E$1025,0))="","",INDEX(学年度总表!$K$3:$K$1025,MATCH($E323,学年度总表!$E$3:$E$1025,0)))</f>
        <v>9.4</v>
      </c>
      <c r="L323" s="3">
        <f>IF(INDEX(学年度总表!$L$3:$L$1025,MATCH($E323,学年度总表!$E$3:$E$1025,0))="","",INDEX(学年度总表!$L$3:$L$1025,MATCH($E323,学年度总表!$E$3:$E$1025,0)))</f>
        <v>41.79</v>
      </c>
      <c r="M323" s="3">
        <f>IF(INDEX(学年度总表!$M$3:$M$1025,MATCH($E323,学年度总表!$E$3:$E$1025,0))="","",INDEX(学年度总表!$M$3:$M$1025,MATCH($E323,学年度总表!$E$3:$E$1025,0)))</f>
        <v>3.7</v>
      </c>
      <c r="N323" s="3">
        <f>IF(INDEX(学年度总表!$N$3:$N$1025,MATCH($E323,学年度总表!$E$3:$E$1025,0))="","",INDEX(学年度总表!$N$3:$N$1025,MATCH($E323,学年度总表!$E$3:$E$1025,0)))</f>
        <v>54.89</v>
      </c>
      <c r="O323" s="3">
        <f>IF(INDEX(学年度总表!$O$3:$O$1025,MATCH($E323,学年度总表!$E$3:$E$1025,0))="","",INDEX(学年度总表!$O$3:$O$1025,MATCH($E323,学年度总表!$E$3:$E$1025,0)))</f>
        <v>116.68</v>
      </c>
      <c r="P323" s="2" t="str">
        <f>IF(INDEX(学年度总表!$P$3:$P$1025,MATCH($E323,学年度总表!$E$3:$E$1025,0))="","",INDEX(学年度总表!$P$3:$P$1025,MATCH($E323,学年度总表!$E$3:$E$1025,0)))</f>
        <v/>
      </c>
      <c r="Q323" s="5" t="str">
        <f>IF(INDEX(学年度总表!$Q$3:$Q$1025,MATCH($E323,学年度总表!$E$3:$E$1025,0))="","",INDEX(学年度总表!$Q$3:$Q$1025,MATCH($E323,学年度总表!$E$3:$E$1025,0)))</f>
        <v/>
      </c>
    </row>
    <row r="324" spans="1:17">
      <c r="A324" s="2">
        <f>IF(INDEX(学年度总表!$A$3:$A$1025,MATCH($E324,学年度总表!$E$3:$E$1025,0))="","",INDEX(学年度总表!$A$3:$A$1025,MATCH($E324,学年度总表!$E$3:$E$1025,0)))</f>
        <v>885</v>
      </c>
      <c r="B324" s="2">
        <f>IF(INDEX(学年度总表!$B$3:$B$1025,MATCH($E324,学年度总表!$E$3:$E$1025,0))="","",INDEX(学年度总表!$B$3:$B$1025,MATCH($E324,学年度总表!$E$3:$E$1025,0)))</f>
        <v>322</v>
      </c>
      <c r="C324" s="2" t="str">
        <f>IF(INDEX(学年度总表!$C$3:$C$1025,MATCH($E324,学年度总表!$E$3:$E$1025,0))="","",INDEX(学年度总表!$C$3:$C$1025,MATCH($E324,学年度总表!$E$3:$E$1025,0)))</f>
        <v>信管</v>
      </c>
      <c r="D324" s="2" t="str">
        <f>IF(INDEX(学年度总表!$D$3:$D$1025,MATCH($E324,学年度总表!$E$3:$E$1025,0))="","",INDEX(学年度总表!$D$3:$D$1025,MATCH($E324,学年度总表!$E$3:$E$1025,0)))</f>
        <v>信管21班</v>
      </c>
      <c r="E324" s="2" t="s">
        <v>1831</v>
      </c>
      <c r="F324" s="2" t="str">
        <f>IF(INDEX(学年度总表!$F$3:$F$1025,MATCH($E324,学年度总表!$E$3:$E$1025,0))="","",INDEX(学年度总表!$F$3:$F$1025,MATCH($E324,学年度总表!$E$3:$E$1025,0)))</f>
        <v>刘玲慧</v>
      </c>
      <c r="G324" s="3">
        <f>IF(INDEX(学年度总表!$G$3:$G$1025,MATCH($E324,学年度总表!$E$3:$E$1025,0))="","",INDEX(学年度总表!$G$3:$G$1025,MATCH($E324,学年度总表!$E$3:$E$1025,0)))</f>
        <v>9.8000000000000007</v>
      </c>
      <c r="H324" s="3">
        <f>IF(INDEX(学年度总表!$H$3:$H$1025,MATCH($E324,学年度总表!$E$3:$E$1025,0))="","",INDEX(学年度总表!$H$3:$H$1025,MATCH($E324,学年度总表!$E$3:$E$1025,0)))</f>
        <v>51.73</v>
      </c>
      <c r="I324" s="3">
        <f>IF(INDEX(学年度总表!$I$3:$I$1025,MATCH($E324,学年度总表!$E$3:$E$1025,0))="","",INDEX(学年度总表!$I$3:$I$1025,MATCH($E324,学年度总表!$E$3:$E$1025,0)))</f>
        <v>3</v>
      </c>
      <c r="J324" s="3">
        <f>IF(INDEX(学年度总表!$J$3:$J$1025,MATCH($E324,学年度总表!$E$3:$E$1025,0))="","",INDEX(学年度总表!$J$3:$J$1025,MATCH($E324,学年度总表!$E$3:$E$1025,0)))</f>
        <v>64.53</v>
      </c>
      <c r="K324" s="3">
        <f>IF(INDEX(学年度总表!$K$3:$K$1025,MATCH($E324,学年度总表!$E$3:$E$1025,0))="","",INDEX(学年度总表!$K$3:$K$1025,MATCH($E324,学年度总表!$E$3:$E$1025,0)))</f>
        <v>9.8000000000000007</v>
      </c>
      <c r="L324" s="3">
        <f>IF(INDEX(学年度总表!$L$3:$L$1025,MATCH($E324,学年度总表!$E$3:$E$1025,0))="","",INDEX(学年度总表!$L$3:$L$1025,MATCH($E324,学年度总表!$E$3:$E$1025,0)))</f>
        <v>38.68</v>
      </c>
      <c r="M324" s="3">
        <f>IF(INDEX(学年度总表!$M$3:$M$1025,MATCH($E324,学年度总表!$E$3:$E$1025,0))="","",INDEX(学年度总表!$M$3:$M$1025,MATCH($E324,学年度总表!$E$3:$E$1025,0)))</f>
        <v>3.5</v>
      </c>
      <c r="N324" s="3">
        <f>IF(INDEX(学年度总表!$N$3:$N$1025,MATCH($E324,学年度总表!$E$3:$E$1025,0))="","",INDEX(学年度总表!$N$3:$N$1025,MATCH($E324,学年度总表!$E$3:$E$1025,0)))</f>
        <v>51.98</v>
      </c>
      <c r="O324" s="3">
        <f>IF(INDEX(学年度总表!$O$3:$O$1025,MATCH($E324,学年度总表!$E$3:$E$1025,0))="","",INDEX(学年度总表!$O$3:$O$1025,MATCH($E324,学年度总表!$E$3:$E$1025,0)))</f>
        <v>116.51</v>
      </c>
      <c r="P324" s="2" t="str">
        <f>IF(INDEX(学年度总表!$P$3:$P$1025,MATCH($E324,学年度总表!$E$3:$E$1025,0))="","",INDEX(学年度总表!$P$3:$P$1025,MATCH($E324,学年度总表!$E$3:$E$1025,0)))</f>
        <v/>
      </c>
      <c r="Q324" s="5" t="str">
        <f>IF(INDEX(学年度总表!$Q$3:$Q$1025,MATCH($E324,学年度总表!$E$3:$E$1025,0))="","",INDEX(学年度总表!$Q$3:$Q$1025,MATCH($E324,学年度总表!$E$3:$E$1025,0)))</f>
        <v/>
      </c>
    </row>
    <row r="325" spans="1:17">
      <c r="A325" s="2">
        <f>IF(INDEX(学年度总表!$A$3:$A$1025,MATCH($E325,学年度总表!$E$3:$E$1025,0))="","",INDEX(学年度总表!$A$3:$A$1025,MATCH($E325,学年度总表!$E$3:$E$1025,0)))</f>
        <v>891</v>
      </c>
      <c r="B325" s="2">
        <f>IF(INDEX(学年度总表!$B$3:$B$1025,MATCH($E325,学年度总表!$E$3:$E$1025,0))="","",INDEX(学年度总表!$B$3:$B$1025,MATCH($E325,学年度总表!$E$3:$E$1025,0)))</f>
        <v>323</v>
      </c>
      <c r="C325" s="2" t="str">
        <f>IF(INDEX(学年度总表!$C$3:$C$1025,MATCH($E325,学年度总表!$E$3:$E$1025,0))="","",INDEX(学年度总表!$C$3:$C$1025,MATCH($E325,学年度总表!$E$3:$E$1025,0)))</f>
        <v>信管</v>
      </c>
      <c r="D325" s="2" t="str">
        <f>IF(INDEX(学年度总表!$D$3:$D$1025,MATCH($E325,学年度总表!$E$3:$E$1025,0))="","",INDEX(学年度总表!$D$3:$D$1025,MATCH($E325,学年度总表!$E$3:$E$1025,0)))</f>
        <v>信管19班</v>
      </c>
      <c r="E325" s="2" t="s">
        <v>1843</v>
      </c>
      <c r="F325" s="2" t="str">
        <f>IF(INDEX(学年度总表!$F$3:$F$1025,MATCH($E325,学年度总表!$E$3:$E$1025,0))="","",INDEX(学年度总表!$F$3:$F$1025,MATCH($E325,学年度总表!$E$3:$E$1025,0)))</f>
        <v>刘展旭</v>
      </c>
      <c r="G325" s="3">
        <f>IF(INDEX(学年度总表!$G$3:$G$1025,MATCH($E325,学年度总表!$E$3:$E$1025,0))="","",INDEX(学年度总表!$G$3:$G$1025,MATCH($E325,学年度总表!$E$3:$E$1025,0)))</f>
        <v>9.8000000000000007</v>
      </c>
      <c r="H325" s="3">
        <f>IF(INDEX(学年度总表!$H$3:$H$1025,MATCH($E325,学年度总表!$E$3:$E$1025,0))="","",INDEX(学年度总表!$H$3:$H$1025,MATCH($E325,学年度总表!$E$3:$E$1025,0)))</f>
        <v>45.71</v>
      </c>
      <c r="I325" s="3">
        <f>IF(INDEX(学年度总表!$I$3:$I$1025,MATCH($E325,学年度总表!$E$3:$E$1025,0))="","",INDEX(学年度总表!$I$3:$I$1025,MATCH($E325,学年度总表!$E$3:$E$1025,0)))</f>
        <v>3</v>
      </c>
      <c r="J325" s="3">
        <f>IF(INDEX(学年度总表!$J$3:$J$1025,MATCH($E325,学年度总表!$E$3:$E$1025,0))="","",INDEX(学年度总表!$J$3:$J$1025,MATCH($E325,学年度总表!$E$3:$E$1025,0)))</f>
        <v>58.51</v>
      </c>
      <c r="K325" s="3">
        <f>IF(INDEX(学年度总表!$K$3:$K$1025,MATCH($E325,学年度总表!$E$3:$E$1025,0))="","",INDEX(学年度总表!$K$3:$K$1025,MATCH($E325,学年度总表!$E$3:$E$1025,0)))</f>
        <v>9.8000000000000007</v>
      </c>
      <c r="L325" s="3">
        <f>IF(INDEX(学年度总表!$L$3:$L$1025,MATCH($E325,学年度总表!$E$3:$E$1025,0))="","",INDEX(学年度总表!$L$3:$L$1025,MATCH($E325,学年度总表!$E$3:$E$1025,0)))</f>
        <v>44.77</v>
      </c>
      <c r="M325" s="3">
        <f>IF(INDEX(学年度总表!$M$3:$M$1025,MATCH($E325,学年度总表!$E$3:$E$1025,0))="","",INDEX(学年度总表!$M$3:$M$1025,MATCH($E325,学年度总表!$E$3:$E$1025,0)))</f>
        <v>3</v>
      </c>
      <c r="N325" s="3">
        <f>IF(INDEX(学年度总表!$N$3:$N$1025,MATCH($E325,学年度总表!$E$3:$E$1025,0))="","",INDEX(学年度总表!$N$3:$N$1025,MATCH($E325,学年度总表!$E$3:$E$1025,0)))</f>
        <v>57.57</v>
      </c>
      <c r="O325" s="3">
        <f>IF(INDEX(学年度总表!$O$3:$O$1025,MATCH($E325,学年度总表!$E$3:$E$1025,0))="","",INDEX(学年度总表!$O$3:$O$1025,MATCH($E325,学年度总表!$E$3:$E$1025,0)))</f>
        <v>116.08</v>
      </c>
      <c r="P325" s="2" t="str">
        <f>IF(INDEX(学年度总表!$P$3:$P$1025,MATCH($E325,学年度总表!$E$3:$E$1025,0))="","",INDEX(学年度总表!$P$3:$P$1025,MATCH($E325,学年度总表!$E$3:$E$1025,0)))</f>
        <v/>
      </c>
      <c r="Q325" s="5" t="str">
        <f>IF(INDEX(学年度总表!$Q$3:$Q$1025,MATCH($E325,学年度总表!$E$3:$E$1025,0))="","",INDEX(学年度总表!$Q$3:$Q$1025,MATCH($E325,学年度总表!$E$3:$E$1025,0)))</f>
        <v/>
      </c>
    </row>
    <row r="326" spans="1:17">
      <c r="A326" s="2">
        <f>IF(INDEX(学年度总表!$A$3:$A$1025,MATCH($E326,学年度总表!$E$3:$E$1025,0))="","",INDEX(学年度总表!$A$3:$A$1025,MATCH($E326,学年度总表!$E$3:$E$1025,0)))</f>
        <v>892</v>
      </c>
      <c r="B326" s="2">
        <f>IF(INDEX(学年度总表!$B$3:$B$1025,MATCH($E326,学年度总表!$E$3:$E$1025,0))="","",INDEX(学年度总表!$B$3:$B$1025,MATCH($E326,学年度总表!$E$3:$E$1025,0)))</f>
        <v>324</v>
      </c>
      <c r="C326" s="2" t="str">
        <f>IF(INDEX(学年度总表!$C$3:$C$1025,MATCH($E326,学年度总表!$E$3:$E$1025,0))="","",INDEX(学年度总表!$C$3:$C$1025,MATCH($E326,学年度总表!$E$3:$E$1025,0)))</f>
        <v>信管</v>
      </c>
      <c r="D326" s="2" t="str">
        <f>IF(INDEX(学年度总表!$D$3:$D$1025,MATCH($E326,学年度总表!$E$3:$E$1025,0))="","",INDEX(学年度总表!$D$3:$D$1025,MATCH($E326,学年度总表!$E$3:$E$1025,0)))</f>
        <v>信管19班</v>
      </c>
      <c r="E326" s="2" t="s">
        <v>1845</v>
      </c>
      <c r="F326" s="2" t="str">
        <f>IF(INDEX(学年度总表!$F$3:$F$1025,MATCH($E326,学年度总表!$E$3:$E$1025,0))="","",INDEX(学年度总表!$F$3:$F$1025,MATCH($E326,学年度总表!$E$3:$E$1025,0)))</f>
        <v>刘子铭</v>
      </c>
      <c r="G326" s="3">
        <f>IF(INDEX(学年度总表!$G$3:$G$1025,MATCH($E326,学年度总表!$E$3:$E$1025,0))="","",INDEX(学年度总表!$G$3:$G$1025,MATCH($E326,学年度总表!$E$3:$E$1025,0)))</f>
        <v>11.8</v>
      </c>
      <c r="H326" s="3">
        <f>IF(INDEX(学年度总表!$H$3:$H$1025,MATCH($E326,学年度总表!$E$3:$E$1025,0))="","",INDEX(学年度总表!$H$3:$H$1025,MATCH($E326,学年度总表!$E$3:$E$1025,0)))</f>
        <v>43.68</v>
      </c>
      <c r="I326" s="3">
        <f>IF(INDEX(学年度总表!$I$3:$I$1025,MATCH($E326,学年度总表!$E$3:$E$1025,0))="","",INDEX(学年度总表!$I$3:$I$1025,MATCH($E326,学年度总表!$E$3:$E$1025,0)))</f>
        <v>3</v>
      </c>
      <c r="J326" s="3">
        <f>IF(INDEX(学年度总表!$J$3:$J$1025,MATCH($E326,学年度总表!$E$3:$E$1025,0))="","",INDEX(学年度总表!$J$3:$J$1025,MATCH($E326,学年度总表!$E$3:$E$1025,0)))</f>
        <v>58.48</v>
      </c>
      <c r="K326" s="3">
        <f>IF(INDEX(学年度总表!$K$3:$K$1025,MATCH($E326,学年度总表!$E$3:$E$1025,0))="","",INDEX(学年度总表!$K$3:$K$1025,MATCH($E326,学年度总表!$E$3:$E$1025,0)))</f>
        <v>9.4</v>
      </c>
      <c r="L326" s="3">
        <f>IF(INDEX(学年度总表!$L$3:$L$1025,MATCH($E326,学年度总表!$E$3:$E$1025,0))="","",INDEX(学年度总表!$L$3:$L$1025,MATCH($E326,学年度总表!$E$3:$E$1025,0)))</f>
        <v>45.18</v>
      </c>
      <c r="M326" s="3">
        <f>IF(INDEX(学年度总表!$M$3:$M$1025,MATCH($E326,学年度总表!$E$3:$E$1025,0))="","",INDEX(学年度总表!$M$3:$M$1025,MATCH($E326,学年度总表!$E$3:$E$1025,0)))</f>
        <v>3</v>
      </c>
      <c r="N326" s="3">
        <f>IF(INDEX(学年度总表!$N$3:$N$1025,MATCH($E326,学年度总表!$E$3:$E$1025,0))="","",INDEX(学年度总表!$N$3:$N$1025,MATCH($E326,学年度总表!$E$3:$E$1025,0)))</f>
        <v>57.58</v>
      </c>
      <c r="O326" s="3">
        <f>IF(INDEX(学年度总表!$O$3:$O$1025,MATCH($E326,学年度总表!$E$3:$E$1025,0))="","",INDEX(学年度总表!$O$3:$O$1025,MATCH($E326,学年度总表!$E$3:$E$1025,0)))</f>
        <v>116.06</v>
      </c>
      <c r="P326" s="2" t="str">
        <f>IF(INDEX(学年度总表!$P$3:$P$1025,MATCH($E326,学年度总表!$E$3:$E$1025,0))="","",INDEX(学年度总表!$P$3:$P$1025,MATCH($E326,学年度总表!$E$3:$E$1025,0)))</f>
        <v/>
      </c>
      <c r="Q326" s="5" t="str">
        <f>IF(INDEX(学年度总表!$Q$3:$Q$1025,MATCH($E326,学年度总表!$E$3:$E$1025,0))="","",INDEX(学年度总表!$Q$3:$Q$1025,MATCH($E326,学年度总表!$E$3:$E$1025,0)))</f>
        <v/>
      </c>
    </row>
    <row r="327" spans="1:17">
      <c r="A327" s="2">
        <f>IF(INDEX(学年度总表!$A$3:$A$1025,MATCH($E327,学年度总表!$E$3:$E$1025,0))="","",INDEX(学年度总表!$A$3:$A$1025,MATCH($E327,学年度总表!$E$3:$E$1025,0)))</f>
        <v>893</v>
      </c>
      <c r="B327" s="2">
        <f>IF(INDEX(学年度总表!$B$3:$B$1025,MATCH($E327,学年度总表!$E$3:$E$1025,0))="","",INDEX(学年度总表!$B$3:$B$1025,MATCH($E327,学年度总表!$E$3:$E$1025,0)))</f>
        <v>325</v>
      </c>
      <c r="C327" s="2" t="str">
        <f>IF(INDEX(学年度总表!$C$3:$C$1025,MATCH($E327,学年度总表!$E$3:$E$1025,0))="","",INDEX(学年度总表!$C$3:$C$1025,MATCH($E327,学年度总表!$E$3:$E$1025,0)))</f>
        <v>信管</v>
      </c>
      <c r="D327" s="2" t="str">
        <f>IF(INDEX(学年度总表!$D$3:$D$1025,MATCH($E327,学年度总表!$E$3:$E$1025,0))="","",INDEX(学年度总表!$D$3:$D$1025,MATCH($E327,学年度总表!$E$3:$E$1025,0)))</f>
        <v>信管21班</v>
      </c>
      <c r="E327" s="2" t="s">
        <v>1847</v>
      </c>
      <c r="F327" s="2" t="str">
        <f>IF(INDEX(学年度总表!$F$3:$F$1025,MATCH($E327,学年度总表!$E$3:$E$1025,0))="","",INDEX(学年度总表!$F$3:$F$1025,MATCH($E327,学年度总表!$E$3:$E$1025,0)))</f>
        <v>王海州</v>
      </c>
      <c r="G327" s="3">
        <f>IF(INDEX(学年度总表!$G$3:$G$1025,MATCH($E327,学年度总表!$E$3:$E$1025,0))="","",INDEX(学年度总表!$G$3:$G$1025,MATCH($E327,学年度总表!$E$3:$E$1025,0)))</f>
        <v>10</v>
      </c>
      <c r="H327" s="3">
        <f>IF(INDEX(学年度总表!$H$3:$H$1025,MATCH($E327,学年度总表!$E$3:$E$1025,0))="","",INDEX(学年度总表!$H$3:$H$1025,MATCH($E327,学年度总表!$E$3:$E$1025,0)))</f>
        <v>51.7</v>
      </c>
      <c r="I327" s="3">
        <f>IF(INDEX(学年度总表!$I$3:$I$1025,MATCH($E327,学年度总表!$E$3:$E$1025,0))="","",INDEX(学年度总表!$I$3:$I$1025,MATCH($E327,学年度总表!$E$3:$E$1025,0)))</f>
        <v>3</v>
      </c>
      <c r="J327" s="3">
        <f>IF(INDEX(学年度总表!$J$3:$J$1025,MATCH($E327,学年度总表!$E$3:$E$1025,0))="","",INDEX(学年度总表!$J$3:$J$1025,MATCH($E327,学年度总表!$E$3:$E$1025,0)))</f>
        <v>64.7</v>
      </c>
      <c r="K327" s="3">
        <f>IF(INDEX(学年度总表!$K$3:$K$1025,MATCH($E327,学年度总表!$E$3:$E$1025,0))="","",INDEX(学年度总表!$K$3:$K$1025,MATCH($E327,学年度总表!$E$3:$E$1025,0)))</f>
        <v>10</v>
      </c>
      <c r="L327" s="3">
        <f>IF(INDEX(学年度总表!$L$3:$L$1025,MATCH($E327,学年度总表!$E$3:$E$1025,0))="","",INDEX(学年度总表!$L$3:$L$1025,MATCH($E327,学年度总表!$E$3:$E$1025,0)))</f>
        <v>38.21</v>
      </c>
      <c r="M327" s="3">
        <f>IF(INDEX(学年度总表!$M$3:$M$1025,MATCH($E327,学年度总表!$E$3:$E$1025,0))="","",INDEX(学年度总表!$M$3:$M$1025,MATCH($E327,学年度总表!$E$3:$E$1025,0)))</f>
        <v>3</v>
      </c>
      <c r="N327" s="3">
        <f>IF(INDEX(学年度总表!$N$3:$N$1025,MATCH($E327,学年度总表!$E$3:$E$1025,0))="","",INDEX(学年度总表!$N$3:$N$1025,MATCH($E327,学年度总表!$E$3:$E$1025,0)))</f>
        <v>51.21</v>
      </c>
      <c r="O327" s="3">
        <f>IF(INDEX(学年度总表!$O$3:$O$1025,MATCH($E327,学年度总表!$E$3:$E$1025,0))="","",INDEX(学年度总表!$O$3:$O$1025,MATCH($E327,学年度总表!$E$3:$E$1025,0)))</f>
        <v>115.91</v>
      </c>
      <c r="P327" s="2" t="str">
        <f>IF(INDEX(学年度总表!$P$3:$P$1025,MATCH($E327,学年度总表!$E$3:$E$1025,0))="","",INDEX(学年度总表!$P$3:$P$1025,MATCH($E327,学年度总表!$E$3:$E$1025,0)))</f>
        <v/>
      </c>
      <c r="Q327" s="5" t="str">
        <f>IF(INDEX(学年度总表!$Q$3:$Q$1025,MATCH($E327,学年度总表!$E$3:$E$1025,0))="","",INDEX(学年度总表!$Q$3:$Q$1025,MATCH($E327,学年度总表!$E$3:$E$1025,0)))</f>
        <v/>
      </c>
    </row>
    <row r="328" spans="1:17">
      <c r="A328" s="2">
        <f>IF(INDEX(学年度总表!$A$3:$A$1025,MATCH($E328,学年度总表!$E$3:$E$1025,0))="","",INDEX(学年度总表!$A$3:$A$1025,MATCH($E328,学年度总表!$E$3:$E$1025,0)))</f>
        <v>896</v>
      </c>
      <c r="B328" s="2">
        <f>IF(INDEX(学年度总表!$B$3:$B$1025,MATCH($E328,学年度总表!$E$3:$E$1025,0))="","",INDEX(学年度总表!$B$3:$B$1025,MATCH($E328,学年度总表!$E$3:$E$1025,0)))</f>
        <v>326</v>
      </c>
      <c r="C328" s="2" t="str">
        <f>IF(INDEX(学年度总表!$C$3:$C$1025,MATCH($E328,学年度总表!$E$3:$E$1025,0))="","",INDEX(学年度总表!$C$3:$C$1025,MATCH($E328,学年度总表!$E$3:$E$1025,0)))</f>
        <v>信管</v>
      </c>
      <c r="D328" s="2" t="str">
        <f>IF(INDEX(学年度总表!$D$3:$D$1025,MATCH($E328,学年度总表!$E$3:$E$1025,0))="","",INDEX(学年度总表!$D$3:$D$1025,MATCH($E328,学年度总表!$E$3:$E$1025,0)))</f>
        <v>信管24班</v>
      </c>
      <c r="E328" s="2" t="s">
        <v>1853</v>
      </c>
      <c r="F328" s="2" t="str">
        <f>IF(INDEX(学年度总表!$F$3:$F$1025,MATCH($E328,学年度总表!$E$3:$E$1025,0))="","",INDEX(学年度总表!$F$3:$F$1025,MATCH($E328,学年度总表!$E$3:$E$1025,0)))</f>
        <v>王钰博</v>
      </c>
      <c r="G328" s="3">
        <f>IF(INDEX(学年度总表!$G$3:$G$1025,MATCH($E328,学年度总表!$E$3:$E$1025,0))="","",INDEX(学年度总表!$G$3:$G$1025,MATCH($E328,学年度总表!$E$3:$E$1025,0)))</f>
        <v>10</v>
      </c>
      <c r="H328" s="3">
        <f>IF(INDEX(学年度总表!$H$3:$H$1025,MATCH($E328,学年度总表!$E$3:$E$1025,0))="","",INDEX(学年度总表!$H$3:$H$1025,MATCH($E328,学年度总表!$E$3:$E$1025,0)))</f>
        <v>45.54</v>
      </c>
      <c r="I328" s="3">
        <f>IF(INDEX(学年度总表!$I$3:$I$1025,MATCH($E328,学年度总表!$E$3:$E$1025,0))="","",INDEX(学年度总表!$I$3:$I$1025,MATCH($E328,学年度总表!$E$3:$E$1025,0)))</f>
        <v>3</v>
      </c>
      <c r="J328" s="3">
        <f>IF(INDEX(学年度总表!$J$3:$J$1025,MATCH($E328,学年度总表!$E$3:$E$1025,0))="","",INDEX(学年度总表!$J$3:$J$1025,MATCH($E328,学年度总表!$E$3:$E$1025,0)))</f>
        <v>58.54</v>
      </c>
      <c r="K328" s="3">
        <f>IF(INDEX(学年度总表!$K$3:$K$1025,MATCH($E328,学年度总表!$E$3:$E$1025,0))="","",INDEX(学年度总表!$K$3:$K$1025,MATCH($E328,学年度总表!$E$3:$E$1025,0)))</f>
        <v>10</v>
      </c>
      <c r="L328" s="3">
        <f>IF(INDEX(学年度总表!$L$3:$L$1025,MATCH($E328,学年度总表!$E$3:$E$1025,0))="","",INDEX(学年度总表!$L$3:$L$1025,MATCH($E328,学年度总表!$E$3:$E$1025,0)))</f>
        <v>43.82</v>
      </c>
      <c r="M328" s="3">
        <f>IF(INDEX(学年度总表!$M$3:$M$1025,MATCH($E328,学年度总表!$E$3:$E$1025,0))="","",INDEX(学年度总表!$M$3:$M$1025,MATCH($E328,学年度总表!$E$3:$E$1025,0)))</f>
        <v>3</v>
      </c>
      <c r="N328" s="3">
        <f>IF(INDEX(学年度总表!$N$3:$N$1025,MATCH($E328,学年度总表!$E$3:$E$1025,0))="","",INDEX(学年度总表!$N$3:$N$1025,MATCH($E328,学年度总表!$E$3:$E$1025,0)))</f>
        <v>56.82</v>
      </c>
      <c r="O328" s="3">
        <f>IF(INDEX(学年度总表!$O$3:$O$1025,MATCH($E328,学年度总表!$E$3:$E$1025,0))="","",INDEX(学年度总表!$O$3:$O$1025,MATCH($E328,学年度总表!$E$3:$E$1025,0)))</f>
        <v>115.36</v>
      </c>
      <c r="P328" s="2" t="str">
        <f>IF(INDEX(学年度总表!$P$3:$P$1025,MATCH($E328,学年度总表!$E$3:$E$1025,0))="","",INDEX(学年度总表!$P$3:$P$1025,MATCH($E328,学年度总表!$E$3:$E$1025,0)))</f>
        <v/>
      </c>
      <c r="Q328" s="5" t="str">
        <f>IF(INDEX(学年度总表!$Q$3:$Q$1025,MATCH($E328,学年度总表!$E$3:$E$1025,0))="","",INDEX(学年度总表!$Q$3:$Q$1025,MATCH($E328,学年度总表!$E$3:$E$1025,0)))</f>
        <v/>
      </c>
    </row>
    <row r="329" spans="1:17">
      <c r="A329" s="2">
        <f>IF(INDEX(学年度总表!$A$3:$A$1025,MATCH($E329,学年度总表!$E$3:$E$1025,0))="","",INDEX(学年度总表!$A$3:$A$1025,MATCH($E329,学年度总表!$E$3:$E$1025,0)))</f>
        <v>898</v>
      </c>
      <c r="B329" s="2">
        <f>IF(INDEX(学年度总表!$B$3:$B$1025,MATCH($E329,学年度总表!$E$3:$E$1025,0))="","",INDEX(学年度总表!$B$3:$B$1025,MATCH($E329,学年度总表!$E$3:$E$1025,0)))</f>
        <v>327</v>
      </c>
      <c r="C329" s="2" t="str">
        <f>IF(INDEX(学年度总表!$C$3:$C$1025,MATCH($E329,学年度总表!$E$3:$E$1025,0))="","",INDEX(学年度总表!$C$3:$C$1025,MATCH($E329,学年度总表!$E$3:$E$1025,0)))</f>
        <v>信管</v>
      </c>
      <c r="D329" s="2" t="str">
        <f>IF(INDEX(学年度总表!$D$3:$D$1025,MATCH($E329,学年度总表!$E$3:$E$1025,0))="","",INDEX(学年度总表!$D$3:$D$1025,MATCH($E329,学年度总表!$E$3:$E$1025,0)))</f>
        <v>信管28班</v>
      </c>
      <c r="E329" s="2" t="s">
        <v>1857</v>
      </c>
      <c r="F329" s="2" t="str">
        <f>IF(INDEX(学年度总表!$F$3:$F$1025,MATCH($E329,学年度总表!$E$3:$E$1025,0))="","",INDEX(学年度总表!$F$3:$F$1025,MATCH($E329,学年度总表!$E$3:$E$1025,0)))</f>
        <v>陈可欣</v>
      </c>
      <c r="G329" s="3">
        <f>IF(INDEX(学年度总表!$G$3:$G$1025,MATCH($E329,学年度总表!$E$3:$E$1025,0))="","",INDEX(学年度总表!$G$3:$G$1025,MATCH($E329,学年度总表!$E$3:$E$1025,0)))</f>
        <v>9.8000000000000007</v>
      </c>
      <c r="H329" s="3">
        <f>IF(INDEX(学年度总表!$H$3:$H$1025,MATCH($E329,学年度总表!$E$3:$E$1025,0))="","",INDEX(学年度总表!$H$3:$H$1025,MATCH($E329,学年度总表!$E$3:$E$1025,0)))</f>
        <v>46.82</v>
      </c>
      <c r="I329" s="3">
        <f>IF(INDEX(学年度总表!$I$3:$I$1025,MATCH($E329,学年度总表!$E$3:$E$1025,0))="","",INDEX(学年度总表!$I$3:$I$1025,MATCH($E329,学年度总表!$E$3:$E$1025,0)))</f>
        <v>3</v>
      </c>
      <c r="J329" s="3">
        <f>IF(INDEX(学年度总表!$J$3:$J$1025,MATCH($E329,学年度总表!$E$3:$E$1025,0))="","",INDEX(学年度总表!$J$3:$J$1025,MATCH($E329,学年度总表!$E$3:$E$1025,0)))</f>
        <v>59.62</v>
      </c>
      <c r="K329" s="3">
        <f>IF(INDEX(学年度总表!$K$3:$K$1025,MATCH($E329,学年度总表!$E$3:$E$1025,0))="","",INDEX(学年度总表!$K$3:$K$1025,MATCH($E329,学年度总表!$E$3:$E$1025,0)))</f>
        <v>7.3000000000000007</v>
      </c>
      <c r="L329" s="3">
        <f>IF(INDEX(学年度总表!$L$3:$L$1025,MATCH($E329,学年度总表!$E$3:$E$1025,0))="","",INDEX(学年度总表!$L$3:$L$1025,MATCH($E329,学年度总表!$E$3:$E$1025,0)))</f>
        <v>44.49</v>
      </c>
      <c r="M329" s="3">
        <f>IF(INDEX(学年度总表!$M$3:$M$1025,MATCH($E329,学年度总表!$E$3:$E$1025,0))="","",INDEX(学年度总表!$M$3:$M$1025,MATCH($E329,学年度总表!$E$3:$E$1025,0)))</f>
        <v>3.7</v>
      </c>
      <c r="N329" s="3">
        <f>IF(INDEX(学年度总表!$N$3:$N$1025,MATCH($E329,学年度总表!$E$3:$E$1025,0))="","",INDEX(学年度总表!$N$3:$N$1025,MATCH($E329,学年度总表!$E$3:$E$1025,0)))</f>
        <v>55.49</v>
      </c>
      <c r="O329" s="3">
        <f>IF(INDEX(学年度总表!$O$3:$O$1025,MATCH($E329,学年度总表!$E$3:$E$1025,0))="","",INDEX(学年度总表!$O$3:$O$1025,MATCH($E329,学年度总表!$E$3:$E$1025,0)))</f>
        <v>115.11</v>
      </c>
      <c r="P329" s="2" t="str">
        <f>IF(INDEX(学年度总表!$P$3:$P$1025,MATCH($E329,学年度总表!$E$3:$E$1025,0))="","",INDEX(学年度总表!$P$3:$P$1025,MATCH($E329,学年度总表!$E$3:$E$1025,0)))</f>
        <v/>
      </c>
      <c r="Q329" s="5" t="str">
        <f>IF(INDEX(学年度总表!$Q$3:$Q$1025,MATCH($E329,学年度总表!$E$3:$E$1025,0))="","",INDEX(学年度总表!$Q$3:$Q$1025,MATCH($E329,学年度总表!$E$3:$E$1025,0)))</f>
        <v/>
      </c>
    </row>
    <row r="330" spans="1:17">
      <c r="A330" s="2">
        <f>IF(INDEX(学年度总表!$A$3:$A$1025,MATCH($E330,学年度总表!$E$3:$E$1025,0))="","",INDEX(学年度总表!$A$3:$A$1025,MATCH($E330,学年度总表!$E$3:$E$1025,0)))</f>
        <v>899</v>
      </c>
      <c r="B330" s="2">
        <f>IF(INDEX(学年度总表!$B$3:$B$1025,MATCH($E330,学年度总表!$E$3:$E$1025,0))="","",INDEX(学年度总表!$B$3:$B$1025,MATCH($E330,学年度总表!$E$3:$E$1025,0)))</f>
        <v>328</v>
      </c>
      <c r="C330" s="2" t="str">
        <f>IF(INDEX(学年度总表!$C$3:$C$1025,MATCH($E330,学年度总表!$E$3:$E$1025,0))="","",INDEX(学年度总表!$C$3:$C$1025,MATCH($E330,学年度总表!$E$3:$E$1025,0)))</f>
        <v>信管</v>
      </c>
      <c r="D330" s="2" t="str">
        <f>IF(INDEX(学年度总表!$D$3:$D$1025,MATCH($E330,学年度总表!$E$3:$E$1025,0))="","",INDEX(学年度总表!$D$3:$D$1025,MATCH($E330,学年度总表!$E$3:$E$1025,0)))</f>
        <v>信管26班</v>
      </c>
      <c r="E330" s="2" t="s">
        <v>1859</v>
      </c>
      <c r="F330" s="2" t="str">
        <f>IF(INDEX(学年度总表!$F$3:$F$1025,MATCH($E330,学年度总表!$E$3:$E$1025,0))="","",INDEX(学年度总表!$F$3:$F$1025,MATCH($E330,学年度总表!$E$3:$E$1025,0)))</f>
        <v>李皮</v>
      </c>
      <c r="G330" s="3">
        <f>IF(INDEX(学年度总表!$G$3:$G$1025,MATCH($E330,学年度总表!$E$3:$E$1025,0))="","",INDEX(学年度总表!$G$3:$G$1025,MATCH($E330,学年度总表!$E$3:$E$1025,0)))</f>
        <v>9.8000000000000007</v>
      </c>
      <c r="H330" s="3">
        <f>IF(INDEX(学年度总表!$H$3:$H$1025,MATCH($E330,学年度总表!$E$3:$E$1025,0))="","",INDEX(学年度总表!$H$3:$H$1025,MATCH($E330,学年度总表!$E$3:$E$1025,0)))</f>
        <v>44.93</v>
      </c>
      <c r="I330" s="3">
        <f>IF(INDEX(学年度总表!$I$3:$I$1025,MATCH($E330,学年度总表!$E$3:$E$1025,0))="","",INDEX(学年度总表!$I$3:$I$1025,MATCH($E330,学年度总表!$E$3:$E$1025,0)))</f>
        <v>4</v>
      </c>
      <c r="J330" s="3">
        <f>IF(INDEX(学年度总表!$J$3:$J$1025,MATCH($E330,学年度总表!$E$3:$E$1025,0))="","",INDEX(学年度总表!$J$3:$J$1025,MATCH($E330,学年度总表!$E$3:$E$1025,0)))</f>
        <v>58.73</v>
      </c>
      <c r="K330" s="3">
        <f>IF(INDEX(学年度总表!$K$3:$K$1025,MATCH($E330,学年度总表!$E$3:$E$1025,0))="","",INDEX(学年度总表!$K$3:$K$1025,MATCH($E330,学年度总表!$E$3:$E$1025,0)))</f>
        <v>7.3000000000000007</v>
      </c>
      <c r="L330" s="3">
        <f>IF(INDEX(学年度总表!$L$3:$L$1025,MATCH($E330,学年度总表!$E$3:$E$1025,0))="","",INDEX(学年度总表!$L$3:$L$1025,MATCH($E330,学年度总表!$E$3:$E$1025,0)))</f>
        <v>44.49</v>
      </c>
      <c r="M330" s="3">
        <f>IF(INDEX(学年度总表!$M$3:$M$1025,MATCH($E330,学年度总表!$E$3:$E$1025,0))="","",INDEX(学年度总表!$M$3:$M$1025,MATCH($E330,学年度总表!$E$3:$E$1025,0)))</f>
        <v>4.2</v>
      </c>
      <c r="N330" s="3">
        <f>IF(INDEX(学年度总表!$N$3:$N$1025,MATCH($E330,学年度总表!$E$3:$E$1025,0))="","",INDEX(学年度总表!$N$3:$N$1025,MATCH($E330,学年度总表!$E$3:$E$1025,0)))</f>
        <v>55.99</v>
      </c>
      <c r="O330" s="3">
        <f>IF(INDEX(学年度总表!$O$3:$O$1025,MATCH($E330,学年度总表!$E$3:$E$1025,0))="","",INDEX(学年度总表!$O$3:$O$1025,MATCH($E330,学年度总表!$E$3:$E$1025,0)))</f>
        <v>114.72</v>
      </c>
      <c r="P330" s="2" t="str">
        <f>IF(INDEX(学年度总表!$P$3:$P$1025,MATCH($E330,学年度总表!$E$3:$E$1025,0))="","",INDEX(学年度总表!$P$3:$P$1025,MATCH($E330,学年度总表!$E$3:$E$1025,0)))</f>
        <v/>
      </c>
      <c r="Q330" s="5" t="str">
        <f>IF(INDEX(学年度总表!$Q$3:$Q$1025,MATCH($E330,学年度总表!$E$3:$E$1025,0))="","",INDEX(学年度总表!$Q$3:$Q$1025,MATCH($E330,学年度总表!$E$3:$E$1025,0)))</f>
        <v/>
      </c>
    </row>
    <row r="331" spans="1:17">
      <c r="A331" s="2">
        <f>IF(INDEX(学年度总表!$A$3:$A$1025,MATCH($E331,学年度总表!$E$3:$E$1025,0))="","",INDEX(学年度总表!$A$3:$A$1025,MATCH($E331,学年度总表!$E$3:$E$1025,0)))</f>
        <v>900</v>
      </c>
      <c r="B331" s="2">
        <f>IF(INDEX(学年度总表!$B$3:$B$1025,MATCH($E331,学年度总表!$E$3:$E$1025,0))="","",INDEX(学年度总表!$B$3:$B$1025,MATCH($E331,学年度总表!$E$3:$E$1025,0)))</f>
        <v>329</v>
      </c>
      <c r="C331" s="2" t="str">
        <f>IF(INDEX(学年度总表!$C$3:$C$1025,MATCH($E331,学年度总表!$E$3:$E$1025,0))="","",INDEX(学年度总表!$C$3:$C$1025,MATCH($E331,学年度总表!$E$3:$E$1025,0)))</f>
        <v>信管</v>
      </c>
      <c r="D331" s="2" t="str">
        <f>IF(INDEX(学年度总表!$D$3:$D$1025,MATCH($E331,学年度总表!$E$3:$E$1025,0))="","",INDEX(学年度总表!$D$3:$D$1025,MATCH($E331,学年度总表!$E$3:$E$1025,0)))</f>
        <v>信管21班</v>
      </c>
      <c r="E331" s="2" t="s">
        <v>1861</v>
      </c>
      <c r="F331" s="2" t="str">
        <f>IF(INDEX(学年度总表!$F$3:$F$1025,MATCH($E331,学年度总表!$E$3:$E$1025,0))="","",INDEX(学年度总表!$F$3:$F$1025,MATCH($E331,学年度总表!$E$3:$E$1025,0)))</f>
        <v>姜宜逵</v>
      </c>
      <c r="G331" s="3">
        <f>IF(INDEX(学年度总表!$G$3:$G$1025,MATCH($E331,学年度总表!$E$3:$E$1025,0))="","",INDEX(学年度总表!$G$3:$G$1025,MATCH($E331,学年度总表!$E$3:$E$1025,0)))</f>
        <v>9.8000000000000007</v>
      </c>
      <c r="H331" s="3">
        <f>IF(INDEX(学年度总表!$H$3:$H$1025,MATCH($E331,学年度总表!$E$3:$E$1025,0))="","",INDEX(学年度总表!$H$3:$H$1025,MATCH($E331,学年度总表!$E$3:$E$1025,0)))</f>
        <v>46.14</v>
      </c>
      <c r="I331" s="3">
        <f>IF(INDEX(学年度总表!$I$3:$I$1025,MATCH($E331,学年度总表!$E$3:$E$1025,0))="","",INDEX(学年度总表!$I$3:$I$1025,MATCH($E331,学年度总表!$E$3:$E$1025,0)))</f>
        <v>3</v>
      </c>
      <c r="J331" s="3">
        <f>IF(INDEX(学年度总表!$J$3:$J$1025,MATCH($E331,学年度总表!$E$3:$E$1025,0))="","",INDEX(学年度总表!$J$3:$J$1025,MATCH($E331,学年度总表!$E$3:$E$1025,0)))</f>
        <v>58.94</v>
      </c>
      <c r="K331" s="3">
        <f>IF(INDEX(学年度总表!$K$3:$K$1025,MATCH($E331,学年度总表!$E$3:$E$1025,0))="","",INDEX(学年度总表!$K$3:$K$1025,MATCH($E331,学年度总表!$E$3:$E$1025,0)))</f>
        <v>9.8000000000000007</v>
      </c>
      <c r="L331" s="3">
        <f>IF(INDEX(学年度总表!$L$3:$L$1025,MATCH($E331,学年度总表!$E$3:$E$1025,0))="","",INDEX(学年度总表!$L$3:$L$1025,MATCH($E331,学年度总表!$E$3:$E$1025,0)))</f>
        <v>42.45</v>
      </c>
      <c r="M331" s="3">
        <f>IF(INDEX(学年度总表!$M$3:$M$1025,MATCH($E331,学年度总表!$E$3:$E$1025,0))="","",INDEX(学年度总表!$M$3:$M$1025,MATCH($E331,学年度总表!$E$3:$E$1025,0)))</f>
        <v>3.5</v>
      </c>
      <c r="N331" s="3">
        <f>IF(INDEX(学年度总表!$N$3:$N$1025,MATCH($E331,学年度总表!$E$3:$E$1025,0))="","",INDEX(学年度总表!$N$3:$N$1025,MATCH($E331,学年度总表!$E$3:$E$1025,0)))</f>
        <v>55.75</v>
      </c>
      <c r="O331" s="3">
        <f>IF(INDEX(学年度总表!$O$3:$O$1025,MATCH($E331,学年度总表!$E$3:$E$1025,0))="","",INDEX(学年度总表!$O$3:$O$1025,MATCH($E331,学年度总表!$E$3:$E$1025,0)))</f>
        <v>114.69</v>
      </c>
      <c r="P331" s="2" t="str">
        <f>IF(INDEX(学年度总表!$P$3:$P$1025,MATCH($E331,学年度总表!$E$3:$E$1025,0))="","",INDEX(学年度总表!$P$3:$P$1025,MATCH($E331,学年度总表!$E$3:$E$1025,0)))</f>
        <v/>
      </c>
      <c r="Q331" s="5" t="str">
        <f>IF(INDEX(学年度总表!$Q$3:$Q$1025,MATCH($E331,学年度总表!$E$3:$E$1025,0))="","",INDEX(学年度总表!$Q$3:$Q$1025,MATCH($E331,学年度总表!$E$3:$E$1025,0)))</f>
        <v/>
      </c>
    </row>
    <row r="332" spans="1:17">
      <c r="A332" s="2">
        <f>IF(INDEX(学年度总表!$A$3:$A$1025,MATCH($E332,学年度总表!$E$3:$E$1025,0))="","",INDEX(学年度总表!$A$3:$A$1025,MATCH($E332,学年度总表!$E$3:$E$1025,0)))</f>
        <v>902</v>
      </c>
      <c r="B332" s="2">
        <f>IF(INDEX(学年度总表!$B$3:$B$1025,MATCH($E332,学年度总表!$E$3:$E$1025,0))="","",INDEX(学年度总表!$B$3:$B$1025,MATCH($E332,学年度总表!$E$3:$E$1025,0)))</f>
        <v>330</v>
      </c>
      <c r="C332" s="2" t="str">
        <f>IF(INDEX(学年度总表!$C$3:$C$1025,MATCH($E332,学年度总表!$E$3:$E$1025,0))="","",INDEX(学年度总表!$C$3:$C$1025,MATCH($E332,学年度总表!$E$3:$E$1025,0)))</f>
        <v>信管</v>
      </c>
      <c r="D332" s="2" t="str">
        <f>IF(INDEX(学年度总表!$D$3:$D$1025,MATCH($E332,学年度总表!$E$3:$E$1025,0))="","",INDEX(学年度总表!$D$3:$D$1025,MATCH($E332,学年度总表!$E$3:$E$1025,0)))</f>
        <v>信管19班</v>
      </c>
      <c r="E332" s="2" t="s">
        <v>1865</v>
      </c>
      <c r="F332" s="2" t="str">
        <f>IF(INDEX(学年度总表!$F$3:$F$1025,MATCH($E332,学年度总表!$E$3:$E$1025,0))="","",INDEX(学年度总表!$F$3:$F$1025,MATCH($E332,学年度总表!$E$3:$E$1025,0)))</f>
        <v>邓睿臻</v>
      </c>
      <c r="G332" s="3">
        <f>IF(INDEX(学年度总表!$G$3:$G$1025,MATCH($E332,学年度总表!$E$3:$E$1025,0))="","",INDEX(学年度总表!$G$3:$G$1025,MATCH($E332,学年度总表!$E$3:$E$1025,0)))</f>
        <v>9.4</v>
      </c>
      <c r="H332" s="3">
        <f>IF(INDEX(学年度总表!$H$3:$H$1025,MATCH($E332,学年度总表!$E$3:$E$1025,0))="","",INDEX(学年度总表!$H$3:$H$1025,MATCH($E332,学年度总表!$E$3:$E$1025,0)))</f>
        <v>45.39</v>
      </c>
      <c r="I332" s="3">
        <f>IF(INDEX(学年度总表!$I$3:$I$1025,MATCH($E332,学年度总表!$E$3:$E$1025,0))="","",INDEX(学年度总表!$I$3:$I$1025,MATCH($E332,学年度总表!$E$3:$E$1025,0)))</f>
        <v>3</v>
      </c>
      <c r="J332" s="3">
        <f>IF(INDEX(学年度总表!$J$3:$J$1025,MATCH($E332,学年度总表!$E$3:$E$1025,0))="","",INDEX(学年度总表!$J$3:$J$1025,MATCH($E332,学年度总表!$E$3:$E$1025,0)))</f>
        <v>57.79</v>
      </c>
      <c r="K332" s="3">
        <f>IF(INDEX(学年度总表!$K$3:$K$1025,MATCH($E332,学年度总表!$E$3:$E$1025,0))="","",INDEX(学年度总表!$K$3:$K$1025,MATCH($E332,学年度总表!$E$3:$E$1025,0)))</f>
        <v>9.8000000000000007</v>
      </c>
      <c r="L332" s="3">
        <f>IF(INDEX(学年度总表!$L$3:$L$1025,MATCH($E332,学年度总表!$E$3:$E$1025,0))="","",INDEX(学年度总表!$L$3:$L$1025,MATCH($E332,学年度总表!$E$3:$E$1025,0)))</f>
        <v>43.25</v>
      </c>
      <c r="M332" s="3">
        <f>IF(INDEX(学年度总表!$M$3:$M$1025,MATCH($E332,学年度总表!$E$3:$E$1025,0))="","",INDEX(学年度总表!$M$3:$M$1025,MATCH($E332,学年度总表!$E$3:$E$1025,0)))</f>
        <v>3.7</v>
      </c>
      <c r="N332" s="3">
        <f>IF(INDEX(学年度总表!$N$3:$N$1025,MATCH($E332,学年度总表!$E$3:$E$1025,0))="","",INDEX(学年度总表!$N$3:$N$1025,MATCH($E332,学年度总表!$E$3:$E$1025,0)))</f>
        <v>56.75</v>
      </c>
      <c r="O332" s="3">
        <f>IF(INDEX(学年度总表!$O$3:$O$1025,MATCH($E332,学年度总表!$E$3:$E$1025,0))="","",INDEX(学年度总表!$O$3:$O$1025,MATCH($E332,学年度总表!$E$3:$E$1025,0)))</f>
        <v>114.54</v>
      </c>
      <c r="P332" s="2" t="str">
        <f>IF(INDEX(学年度总表!$P$3:$P$1025,MATCH($E332,学年度总表!$E$3:$E$1025,0))="","",INDEX(学年度总表!$P$3:$P$1025,MATCH($E332,学年度总表!$E$3:$E$1025,0)))</f>
        <v/>
      </c>
      <c r="Q332" s="5" t="str">
        <f>IF(INDEX(学年度总表!$Q$3:$Q$1025,MATCH($E332,学年度总表!$E$3:$E$1025,0))="","",INDEX(学年度总表!$Q$3:$Q$1025,MATCH($E332,学年度总表!$E$3:$E$1025,0)))</f>
        <v/>
      </c>
    </row>
    <row r="333" spans="1:17">
      <c r="A333" s="2">
        <f>IF(INDEX(学年度总表!$A$3:$A$1025,MATCH($E333,学年度总表!$E$3:$E$1025,0))="","",INDEX(学年度总表!$A$3:$A$1025,MATCH($E333,学年度总表!$E$3:$E$1025,0)))</f>
        <v>905</v>
      </c>
      <c r="B333" s="2">
        <f>IF(INDEX(学年度总表!$B$3:$B$1025,MATCH($E333,学年度总表!$E$3:$E$1025,0))="","",INDEX(学年度总表!$B$3:$B$1025,MATCH($E333,学年度总表!$E$3:$E$1025,0)))</f>
        <v>331</v>
      </c>
      <c r="C333" s="2" t="str">
        <f>IF(INDEX(学年度总表!$C$3:$C$1025,MATCH($E333,学年度总表!$E$3:$E$1025,0))="","",INDEX(学年度总表!$C$3:$C$1025,MATCH($E333,学年度总表!$E$3:$E$1025,0)))</f>
        <v>信管</v>
      </c>
      <c r="D333" s="2" t="str">
        <f>IF(INDEX(学年度总表!$D$3:$D$1025,MATCH($E333,学年度总表!$E$3:$E$1025,0))="","",INDEX(学年度总表!$D$3:$D$1025,MATCH($E333,学年度总表!$E$3:$E$1025,0)))</f>
        <v>信管22班</v>
      </c>
      <c r="E333" s="2" t="s">
        <v>1871</v>
      </c>
      <c r="F333" s="2" t="str">
        <f>IF(INDEX(学年度总表!$F$3:$F$1025,MATCH($E333,学年度总表!$E$3:$E$1025,0))="","",INDEX(学年度总表!$F$3:$F$1025,MATCH($E333,学年度总表!$E$3:$E$1025,0)))</f>
        <v>邢展豪</v>
      </c>
      <c r="G333" s="3">
        <f>IF(INDEX(学年度总表!$G$3:$G$1025,MATCH($E333,学年度总表!$E$3:$E$1025,0))="","",INDEX(学年度总表!$G$3:$G$1025,MATCH($E333,学年度总表!$E$3:$E$1025,0)))</f>
        <v>10</v>
      </c>
      <c r="H333" s="3">
        <f>IF(INDEX(学年度总表!$H$3:$H$1025,MATCH($E333,学年度总表!$E$3:$E$1025,0))="","",INDEX(学年度总表!$H$3:$H$1025,MATCH($E333,学年度总表!$E$3:$E$1025,0)))</f>
        <v>48.14</v>
      </c>
      <c r="I333" s="3">
        <f>IF(INDEX(学年度总表!$I$3:$I$1025,MATCH($E333,学年度总表!$E$3:$E$1025,0))="","",INDEX(学年度总表!$I$3:$I$1025,MATCH($E333,学年度总表!$E$3:$E$1025,0)))</f>
        <v>3</v>
      </c>
      <c r="J333" s="3">
        <f>IF(INDEX(学年度总表!$J$3:$J$1025,MATCH($E333,学年度总表!$E$3:$E$1025,0))="","",INDEX(学年度总表!$J$3:$J$1025,MATCH($E333,学年度总表!$E$3:$E$1025,0)))</f>
        <v>61.14</v>
      </c>
      <c r="K333" s="3">
        <f>IF(INDEX(学年度总表!$K$3:$K$1025,MATCH($E333,学年度总表!$E$3:$E$1025,0))="","",INDEX(学年度总表!$K$3:$K$1025,MATCH($E333,学年度总表!$E$3:$E$1025,0)))</f>
        <v>10</v>
      </c>
      <c r="L333" s="3">
        <f>IF(INDEX(学年度总表!$L$3:$L$1025,MATCH($E333,学年度总表!$E$3:$E$1025,0))="","",INDEX(学年度总表!$L$3:$L$1025,MATCH($E333,学年度总表!$E$3:$E$1025,0)))</f>
        <v>40.22</v>
      </c>
      <c r="M333" s="3">
        <f>IF(INDEX(学年度总表!$M$3:$M$1025,MATCH($E333,学年度总表!$E$3:$E$1025,0))="","",INDEX(学年度总表!$M$3:$M$1025,MATCH($E333,学年度总表!$E$3:$E$1025,0)))</f>
        <v>3</v>
      </c>
      <c r="N333" s="3">
        <f>IF(INDEX(学年度总表!$N$3:$N$1025,MATCH($E333,学年度总表!$E$3:$E$1025,0))="","",INDEX(学年度总表!$N$3:$N$1025,MATCH($E333,学年度总表!$E$3:$E$1025,0)))</f>
        <v>53.22</v>
      </c>
      <c r="O333" s="3">
        <f>IF(INDEX(学年度总表!$O$3:$O$1025,MATCH($E333,学年度总表!$E$3:$E$1025,0))="","",INDEX(学年度总表!$O$3:$O$1025,MATCH($E333,学年度总表!$E$3:$E$1025,0)))</f>
        <v>114.36</v>
      </c>
      <c r="P333" s="2" t="str">
        <f>IF(INDEX(学年度总表!$P$3:$P$1025,MATCH($E333,学年度总表!$E$3:$E$1025,0))="","",INDEX(学年度总表!$P$3:$P$1025,MATCH($E333,学年度总表!$E$3:$E$1025,0)))</f>
        <v/>
      </c>
      <c r="Q333" s="5" t="str">
        <f>IF(INDEX(学年度总表!$Q$3:$Q$1025,MATCH($E333,学年度总表!$E$3:$E$1025,0))="","",INDEX(学年度总表!$Q$3:$Q$1025,MATCH($E333,学年度总表!$E$3:$E$1025,0)))</f>
        <v/>
      </c>
    </row>
    <row r="334" spans="1:17">
      <c r="A334" s="2">
        <f>IF(INDEX(学年度总表!$A$3:$A$1025,MATCH($E334,学年度总表!$E$3:$E$1025,0))="","",INDEX(学年度总表!$A$3:$A$1025,MATCH($E334,学年度总表!$E$3:$E$1025,0)))</f>
        <v>911</v>
      </c>
      <c r="B334" s="2">
        <f>IF(INDEX(学年度总表!$B$3:$B$1025,MATCH($E334,学年度总表!$E$3:$E$1025,0))="","",INDEX(学年度总表!$B$3:$B$1025,MATCH($E334,学年度总表!$E$3:$E$1025,0)))</f>
        <v>332</v>
      </c>
      <c r="C334" s="2" t="str">
        <f>IF(INDEX(学年度总表!$C$3:$C$1025,MATCH($E334,学年度总表!$E$3:$E$1025,0))="","",INDEX(学年度总表!$C$3:$C$1025,MATCH($E334,学年度总表!$E$3:$E$1025,0)))</f>
        <v>信管</v>
      </c>
      <c r="D334" s="2" t="str">
        <f>IF(INDEX(学年度总表!$D$3:$D$1025,MATCH($E334,学年度总表!$E$3:$E$1025,0))="","",INDEX(学年度总表!$D$3:$D$1025,MATCH($E334,学年度总表!$E$3:$E$1025,0)))</f>
        <v>信管22班</v>
      </c>
      <c r="E334" s="2" t="s">
        <v>1883</v>
      </c>
      <c r="F334" s="2" t="str">
        <f>IF(INDEX(学年度总表!$F$3:$F$1025,MATCH($E334,学年度总表!$E$3:$E$1025,0))="","",INDEX(学年度总表!$F$3:$F$1025,MATCH($E334,学年度总表!$E$3:$E$1025,0)))</f>
        <v>王聃琪</v>
      </c>
      <c r="G334" s="3">
        <f>IF(INDEX(学年度总表!$G$3:$G$1025,MATCH($E334,学年度总表!$E$3:$E$1025,0))="","",INDEX(学年度总表!$G$3:$G$1025,MATCH($E334,学年度总表!$E$3:$E$1025,0)))</f>
        <v>7.3</v>
      </c>
      <c r="H334" s="3">
        <f>IF(INDEX(学年度总表!$H$3:$H$1025,MATCH($E334,学年度总表!$E$3:$E$1025,0))="","",INDEX(学年度总表!$H$3:$H$1025,MATCH($E334,学年度总表!$E$3:$E$1025,0)))</f>
        <v>44.81</v>
      </c>
      <c r="I334" s="3">
        <f>IF(INDEX(学年度总表!$I$3:$I$1025,MATCH($E334,学年度总表!$E$3:$E$1025,0))="","",INDEX(学年度总表!$I$3:$I$1025,MATCH($E334,学年度总表!$E$3:$E$1025,0)))</f>
        <v>3</v>
      </c>
      <c r="J334" s="3">
        <f>IF(INDEX(学年度总表!$J$3:$J$1025,MATCH($E334,学年度总表!$E$3:$E$1025,0))="","",INDEX(学年度总表!$J$3:$J$1025,MATCH($E334,学年度总表!$E$3:$E$1025,0)))</f>
        <v>55.11</v>
      </c>
      <c r="K334" s="3">
        <f>IF(INDEX(学年度总表!$K$3:$K$1025,MATCH($E334,学年度总表!$E$3:$E$1025,0))="","",INDEX(学年度总表!$K$3:$K$1025,MATCH($E334,学年度总表!$E$3:$E$1025,0)))</f>
        <v>9.8000000000000007</v>
      </c>
      <c r="L334" s="3">
        <f>IF(INDEX(学年度总表!$L$3:$L$1025,MATCH($E334,学年度总表!$E$3:$E$1025,0))="","",INDEX(学年度总表!$L$3:$L$1025,MATCH($E334,学年度总表!$E$3:$E$1025,0)))</f>
        <v>45.37</v>
      </c>
      <c r="M334" s="3">
        <f>IF(INDEX(学年度总表!$M$3:$M$1025,MATCH($E334,学年度总表!$E$3:$E$1025,0))="","",INDEX(学年度总表!$M$3:$M$1025,MATCH($E334,学年度总表!$E$3:$E$1025,0)))</f>
        <v>3</v>
      </c>
      <c r="N334" s="3">
        <f>IF(INDEX(学年度总表!$N$3:$N$1025,MATCH($E334,学年度总表!$E$3:$E$1025,0))="","",INDEX(学年度总表!$N$3:$N$1025,MATCH($E334,学年度总表!$E$3:$E$1025,0)))</f>
        <v>58.17</v>
      </c>
      <c r="O334" s="3">
        <f>IF(INDEX(学年度总表!$O$3:$O$1025,MATCH($E334,学年度总表!$E$3:$E$1025,0))="","",INDEX(学年度总表!$O$3:$O$1025,MATCH($E334,学年度总表!$E$3:$E$1025,0)))</f>
        <v>113.28</v>
      </c>
      <c r="P334" s="2" t="str">
        <f>IF(INDEX(学年度总表!$P$3:$P$1025,MATCH($E334,学年度总表!$E$3:$E$1025,0))="","",INDEX(学年度总表!$P$3:$P$1025,MATCH($E334,学年度总表!$E$3:$E$1025,0)))</f>
        <v/>
      </c>
      <c r="Q334" s="5" t="str">
        <f>IF(INDEX(学年度总表!$Q$3:$Q$1025,MATCH($E334,学年度总表!$E$3:$E$1025,0))="","",INDEX(学年度总表!$Q$3:$Q$1025,MATCH($E334,学年度总表!$E$3:$E$1025,0)))</f>
        <v/>
      </c>
    </row>
    <row r="335" spans="1:17">
      <c r="A335" s="2">
        <f>IF(INDEX(学年度总表!$A$3:$A$1025,MATCH($E335,学年度总表!$E$3:$E$1025,0))="","",INDEX(学年度总表!$A$3:$A$1025,MATCH($E335,学年度总表!$E$3:$E$1025,0)))</f>
        <v>913</v>
      </c>
      <c r="B335" s="2">
        <f>IF(INDEX(学年度总表!$B$3:$B$1025,MATCH($E335,学年度总表!$E$3:$E$1025,0))="","",INDEX(学年度总表!$B$3:$B$1025,MATCH($E335,学年度总表!$E$3:$E$1025,0)))</f>
        <v>333</v>
      </c>
      <c r="C335" s="2" t="str">
        <f>IF(INDEX(学年度总表!$C$3:$C$1025,MATCH($E335,学年度总表!$E$3:$E$1025,0))="","",INDEX(学年度总表!$C$3:$C$1025,MATCH($E335,学年度总表!$E$3:$E$1025,0)))</f>
        <v>信管</v>
      </c>
      <c r="D335" s="2" t="str">
        <f>IF(INDEX(学年度总表!$D$3:$D$1025,MATCH($E335,学年度总表!$E$3:$E$1025,0))="","",INDEX(学年度总表!$D$3:$D$1025,MATCH($E335,学年度总表!$E$3:$E$1025,0)))</f>
        <v>信管20班</v>
      </c>
      <c r="E335" s="2" t="s">
        <v>1887</v>
      </c>
      <c r="F335" s="2" t="str">
        <f>IF(INDEX(学年度总表!$F$3:$F$1025,MATCH($E335,学年度总表!$E$3:$E$1025,0))="","",INDEX(学年度总表!$F$3:$F$1025,MATCH($E335,学年度总表!$E$3:$E$1025,0)))</f>
        <v>林啸伯</v>
      </c>
      <c r="G335" s="3">
        <f>IF(INDEX(学年度总表!$G$3:$G$1025,MATCH($E335,学年度总表!$E$3:$E$1025,0))="","",INDEX(学年度总表!$G$3:$G$1025,MATCH($E335,学年度总表!$E$3:$E$1025,0)))</f>
        <v>6.5</v>
      </c>
      <c r="H335" s="3">
        <f>IF(INDEX(学年度总表!$H$3:$H$1025,MATCH($E335,学年度总表!$E$3:$E$1025,0))="","",INDEX(学年度总表!$H$3:$H$1025,MATCH($E335,学年度总表!$E$3:$E$1025,0)))</f>
        <v>43.09</v>
      </c>
      <c r="I335" s="3">
        <f>IF(INDEX(学年度总表!$I$3:$I$1025,MATCH($E335,学年度总表!$E$3:$E$1025,0))="","",INDEX(学年度总表!$I$3:$I$1025,MATCH($E335,学年度总表!$E$3:$E$1025,0)))</f>
        <v>3</v>
      </c>
      <c r="J335" s="3">
        <f>IF(INDEX(学年度总表!$J$3:$J$1025,MATCH($E335,学年度总表!$E$3:$E$1025,0))="","",INDEX(学年度总表!$J$3:$J$1025,MATCH($E335,学年度总表!$E$3:$E$1025,0)))</f>
        <v>52.59</v>
      </c>
      <c r="K335" s="3">
        <f>IF(INDEX(学年度总表!$K$3:$K$1025,MATCH($E335,学年度总表!$E$3:$E$1025,0))="","",INDEX(学年度总表!$K$3:$K$1025,MATCH($E335,学年度总表!$E$3:$E$1025,0)))</f>
        <v>6.9</v>
      </c>
      <c r="L335" s="3">
        <f>IF(INDEX(学年度总表!$L$3:$L$1025,MATCH($E335,学年度总表!$E$3:$E$1025,0))="","",INDEX(学年度总表!$L$3:$L$1025,MATCH($E335,学年度总表!$E$3:$E$1025,0)))</f>
        <v>50.51</v>
      </c>
      <c r="M335" s="3">
        <f>IF(INDEX(学年度总表!$M$3:$M$1025,MATCH($E335,学年度总表!$E$3:$E$1025,0))="","",INDEX(学年度总表!$M$3:$M$1025,MATCH($E335,学年度总表!$E$3:$E$1025,0)))</f>
        <v>3</v>
      </c>
      <c r="N335" s="3">
        <f>IF(INDEX(学年度总表!$N$3:$N$1025,MATCH($E335,学年度总表!$E$3:$E$1025,0))="","",INDEX(学年度总表!$N$3:$N$1025,MATCH($E335,学年度总表!$E$3:$E$1025,0)))</f>
        <v>60.41</v>
      </c>
      <c r="O335" s="3">
        <f>IF(INDEX(学年度总表!$O$3:$O$1025,MATCH($E335,学年度总表!$E$3:$E$1025,0))="","",INDEX(学年度总表!$O$3:$O$1025,MATCH($E335,学年度总表!$E$3:$E$1025,0)))</f>
        <v>113</v>
      </c>
      <c r="P335" s="2" t="str">
        <f>IF(INDEX(学年度总表!$P$3:$P$1025,MATCH($E335,学年度总表!$E$3:$E$1025,0))="","",INDEX(学年度总表!$P$3:$P$1025,MATCH($E335,学年度总表!$E$3:$E$1025,0)))</f>
        <v/>
      </c>
      <c r="Q335" s="5" t="str">
        <f>IF(INDEX(学年度总表!$Q$3:$Q$1025,MATCH($E335,学年度总表!$E$3:$E$1025,0))="","",INDEX(学年度总表!$Q$3:$Q$1025,MATCH($E335,学年度总表!$E$3:$E$1025,0)))</f>
        <v/>
      </c>
    </row>
    <row r="336" spans="1:17">
      <c r="A336" s="2">
        <f>IF(INDEX(学年度总表!$A$3:$A$1025,MATCH($E336,学年度总表!$E$3:$E$1025,0))="","",INDEX(学年度总表!$A$3:$A$1025,MATCH($E336,学年度总表!$E$3:$E$1025,0)))</f>
        <v>927</v>
      </c>
      <c r="B336" s="2">
        <f>IF(INDEX(学年度总表!$B$3:$B$1025,MATCH($E336,学年度总表!$E$3:$E$1025,0))="","",INDEX(学年度总表!$B$3:$B$1025,MATCH($E336,学年度总表!$E$3:$E$1025,0)))</f>
        <v>334</v>
      </c>
      <c r="C336" s="2" t="str">
        <f>IF(INDEX(学年度总表!$C$3:$C$1025,MATCH($E336,学年度总表!$E$3:$E$1025,0))="","",INDEX(学年度总表!$C$3:$C$1025,MATCH($E336,学年度总表!$E$3:$E$1025,0)))</f>
        <v>信管</v>
      </c>
      <c r="D336" s="2" t="str">
        <f>IF(INDEX(学年度总表!$D$3:$D$1025,MATCH($E336,学年度总表!$E$3:$E$1025,0))="","",INDEX(学年度总表!$D$3:$D$1025,MATCH($E336,学年度总表!$E$3:$E$1025,0)))</f>
        <v>信管24班</v>
      </c>
      <c r="E336" s="2" t="s">
        <v>1914</v>
      </c>
      <c r="F336" s="2" t="str">
        <f>IF(INDEX(学年度总表!$F$3:$F$1025,MATCH($E336,学年度总表!$E$3:$E$1025,0))="","",INDEX(学年度总表!$F$3:$F$1025,MATCH($E336,学年度总表!$E$3:$E$1025,0)))</f>
        <v>陈鹏宇</v>
      </c>
      <c r="G336" s="3">
        <f>IF(INDEX(学年度总表!$G$3:$G$1025,MATCH($E336,学年度总表!$E$3:$E$1025,0))="","",INDEX(学年度总表!$G$3:$G$1025,MATCH($E336,学年度总表!$E$3:$E$1025,0)))</f>
        <v>9.8000000000000007</v>
      </c>
      <c r="H336" s="3">
        <f>IF(INDEX(学年度总表!$H$3:$H$1025,MATCH($E336,学年度总表!$E$3:$E$1025,0))="","",INDEX(学年度总表!$H$3:$H$1025,MATCH($E336,学年度总表!$E$3:$E$1025,0)))</f>
        <v>45.74</v>
      </c>
      <c r="I336" s="3">
        <f>IF(INDEX(学年度总表!$I$3:$I$1025,MATCH($E336,学年度总表!$E$3:$E$1025,0))="","",INDEX(学年度总表!$I$3:$I$1025,MATCH($E336,学年度总表!$E$3:$E$1025,0)))</f>
        <v>3</v>
      </c>
      <c r="J336" s="3">
        <f>IF(INDEX(学年度总表!$J$3:$J$1025,MATCH($E336,学年度总表!$E$3:$E$1025,0))="","",INDEX(学年度总表!$J$3:$J$1025,MATCH($E336,学年度总表!$E$3:$E$1025,0)))</f>
        <v>58.54</v>
      </c>
      <c r="K336" s="3">
        <f>IF(INDEX(学年度总表!$K$3:$K$1025,MATCH($E336,学年度总表!$E$3:$E$1025,0))="","",INDEX(学年度总表!$K$3:$K$1025,MATCH($E336,学年度总表!$E$3:$E$1025,0)))</f>
        <v>9.8000000000000007</v>
      </c>
      <c r="L336" s="3">
        <f>IF(INDEX(学年度总表!$L$3:$L$1025,MATCH($E336,学年度总表!$E$3:$E$1025,0))="","",INDEX(学年度总表!$L$3:$L$1025,MATCH($E336,学年度总表!$E$3:$E$1025,0)))</f>
        <v>38.909999999999997</v>
      </c>
      <c r="M336" s="3">
        <f>IF(INDEX(学年度总表!$M$3:$M$1025,MATCH($E336,学年度总表!$E$3:$E$1025,0))="","",INDEX(学年度总表!$M$3:$M$1025,MATCH($E336,学年度总表!$E$3:$E$1025,0)))</f>
        <v>3</v>
      </c>
      <c r="N336" s="3">
        <f>IF(INDEX(学年度总表!$N$3:$N$1025,MATCH($E336,学年度总表!$E$3:$E$1025,0))="","",INDEX(学年度总表!$N$3:$N$1025,MATCH($E336,学年度总表!$E$3:$E$1025,0)))</f>
        <v>51.71</v>
      </c>
      <c r="O336" s="3">
        <f>IF(INDEX(学年度总表!$O$3:$O$1025,MATCH($E336,学年度总表!$E$3:$E$1025,0))="","",INDEX(学年度总表!$O$3:$O$1025,MATCH($E336,学年度总表!$E$3:$E$1025,0)))</f>
        <v>110.25</v>
      </c>
      <c r="P336" s="2" t="str">
        <f>IF(INDEX(学年度总表!$P$3:$P$1025,MATCH($E336,学年度总表!$E$3:$E$1025,0))="","",INDEX(学年度总表!$P$3:$P$1025,MATCH($E336,学年度总表!$E$3:$E$1025,0)))</f>
        <v/>
      </c>
      <c r="Q336" s="5" t="str">
        <f>IF(INDEX(学年度总表!$Q$3:$Q$1025,MATCH($E336,学年度总表!$E$3:$E$1025,0))="","",INDEX(学年度总表!$Q$3:$Q$1025,MATCH($E336,学年度总表!$E$3:$E$1025,0)))</f>
        <v/>
      </c>
    </row>
    <row r="337" spans="1:17">
      <c r="A337" s="2">
        <f>IF(INDEX(学年度总表!$A$3:$A$1025,MATCH($E337,学年度总表!$E$3:$E$1025,0))="","",INDEX(学年度总表!$A$3:$A$1025,MATCH($E337,学年度总表!$E$3:$E$1025,0)))</f>
        <v>928</v>
      </c>
      <c r="B337" s="2">
        <f>IF(INDEX(学年度总表!$B$3:$B$1025,MATCH($E337,学年度总表!$E$3:$E$1025,0))="","",INDEX(学年度总表!$B$3:$B$1025,MATCH($E337,学年度总表!$E$3:$E$1025,0)))</f>
        <v>335</v>
      </c>
      <c r="C337" s="2" t="str">
        <f>IF(INDEX(学年度总表!$C$3:$C$1025,MATCH($E337,学年度总表!$E$3:$E$1025,0))="","",INDEX(学年度总表!$C$3:$C$1025,MATCH($E337,学年度总表!$E$3:$E$1025,0)))</f>
        <v>信管</v>
      </c>
      <c r="D337" s="2" t="str">
        <f>IF(INDEX(学年度总表!$D$3:$D$1025,MATCH($E337,学年度总表!$E$3:$E$1025,0))="","",INDEX(学年度总表!$D$3:$D$1025,MATCH($E337,学年度总表!$E$3:$E$1025,0)))</f>
        <v>信管21班</v>
      </c>
      <c r="E337" s="2" t="s">
        <v>1916</v>
      </c>
      <c r="F337" s="2" t="str">
        <f>IF(INDEX(学年度总表!$F$3:$F$1025,MATCH($E337,学年度总表!$E$3:$E$1025,0))="","",INDEX(学年度总表!$F$3:$F$1025,MATCH($E337,学年度总表!$E$3:$E$1025,0)))</f>
        <v>孙雨晴</v>
      </c>
      <c r="G337" s="3">
        <f>IF(INDEX(学年度总表!$G$3:$G$1025,MATCH($E337,学年度总表!$E$3:$E$1025,0))="","",INDEX(学年度总表!$G$3:$G$1025,MATCH($E337,学年度总表!$E$3:$E$1025,0)))</f>
        <v>11.8</v>
      </c>
      <c r="H337" s="3">
        <f>IF(INDEX(学年度总表!$H$3:$H$1025,MATCH($E337,学年度总表!$E$3:$E$1025,0))="","",INDEX(学年度总表!$H$3:$H$1025,MATCH($E337,学年度总表!$E$3:$E$1025,0)))</f>
        <v>47.15</v>
      </c>
      <c r="I337" s="3">
        <f>IF(INDEX(学年度总表!$I$3:$I$1025,MATCH($E337,学年度总表!$E$3:$E$1025,0))="","",INDEX(学年度总表!$I$3:$I$1025,MATCH($E337,学年度总表!$E$3:$E$1025,0)))</f>
        <v>3</v>
      </c>
      <c r="J337" s="3">
        <f>IF(INDEX(学年度总表!$J$3:$J$1025,MATCH($E337,学年度总表!$E$3:$E$1025,0))="","",INDEX(学年度总表!$J$3:$J$1025,MATCH($E337,学年度总表!$E$3:$E$1025,0)))</f>
        <v>61.95</v>
      </c>
      <c r="K337" s="3">
        <f>IF(INDEX(学年度总表!$K$3:$K$1025,MATCH($E337,学年度总表!$E$3:$E$1025,0))="","",INDEX(学年度总表!$K$3:$K$1025,MATCH($E337,学年度总表!$E$3:$E$1025,0)))</f>
        <v>9.8000000000000007</v>
      </c>
      <c r="L337" s="3">
        <f>IF(INDEX(学年度总表!$L$3:$L$1025,MATCH($E337,学年度总表!$E$3:$E$1025,0))="","",INDEX(学年度总表!$L$3:$L$1025,MATCH($E337,学年度总表!$E$3:$E$1025,0)))</f>
        <v>35.35</v>
      </c>
      <c r="M337" s="3">
        <f>IF(INDEX(学年度总表!$M$3:$M$1025,MATCH($E337,学年度总表!$E$3:$E$1025,0))="","",INDEX(学年度总表!$M$3:$M$1025,MATCH($E337,学年度总表!$E$3:$E$1025,0)))</f>
        <v>3</v>
      </c>
      <c r="N337" s="3">
        <f>IF(INDEX(学年度总表!$N$3:$N$1025,MATCH($E337,学年度总表!$E$3:$E$1025,0))="","",INDEX(学年度总表!$N$3:$N$1025,MATCH($E337,学年度总表!$E$3:$E$1025,0)))</f>
        <v>48.15</v>
      </c>
      <c r="O337" s="3">
        <f>IF(INDEX(学年度总表!$O$3:$O$1025,MATCH($E337,学年度总表!$E$3:$E$1025,0))="","",INDEX(学年度总表!$O$3:$O$1025,MATCH($E337,学年度总表!$E$3:$E$1025,0)))</f>
        <v>110.1</v>
      </c>
      <c r="P337" s="2" t="str">
        <f>IF(INDEX(学年度总表!$P$3:$P$1025,MATCH($E337,学年度总表!$E$3:$E$1025,0))="","",INDEX(学年度总表!$P$3:$P$1025,MATCH($E337,学年度总表!$E$3:$E$1025,0)))</f>
        <v/>
      </c>
      <c r="Q337" s="5" t="str">
        <f>IF(INDEX(学年度总表!$Q$3:$Q$1025,MATCH($E337,学年度总表!$E$3:$E$1025,0))="","",INDEX(学年度总表!$Q$3:$Q$1025,MATCH($E337,学年度总表!$E$3:$E$1025,0)))</f>
        <v/>
      </c>
    </row>
    <row r="338" spans="1:17">
      <c r="A338" s="2">
        <f>IF(INDEX(学年度总表!$A$3:$A$1025,MATCH($E338,学年度总表!$E$3:$E$1025,0))="","",INDEX(学年度总表!$A$3:$A$1025,MATCH($E338,学年度总表!$E$3:$E$1025,0)))</f>
        <v>929</v>
      </c>
      <c r="B338" s="2">
        <f>IF(INDEX(学年度总表!$B$3:$B$1025,MATCH($E338,学年度总表!$E$3:$E$1025,0))="","",INDEX(学年度总表!$B$3:$B$1025,MATCH($E338,学年度总表!$E$3:$E$1025,0)))</f>
        <v>336</v>
      </c>
      <c r="C338" s="2" t="str">
        <f>IF(INDEX(学年度总表!$C$3:$C$1025,MATCH($E338,学年度总表!$E$3:$E$1025,0))="","",INDEX(学年度总表!$C$3:$C$1025,MATCH($E338,学年度总表!$E$3:$E$1025,0)))</f>
        <v>信管</v>
      </c>
      <c r="D338" s="2" t="str">
        <f>IF(INDEX(学年度总表!$D$3:$D$1025,MATCH($E338,学年度总表!$E$3:$E$1025,0))="","",INDEX(学年度总表!$D$3:$D$1025,MATCH($E338,学年度总表!$E$3:$E$1025,0)))</f>
        <v>信管26班</v>
      </c>
      <c r="E338" s="2" t="s">
        <v>1918</v>
      </c>
      <c r="F338" s="2" t="str">
        <f>IF(INDEX(学年度总表!$F$3:$F$1025,MATCH($E338,学年度总表!$E$3:$E$1025,0))="","",INDEX(学年度总表!$F$3:$F$1025,MATCH($E338,学年度总表!$E$3:$E$1025,0)))</f>
        <v>孟祥哲</v>
      </c>
      <c r="G338" s="3">
        <f>IF(INDEX(学年度总表!$G$3:$G$1025,MATCH($E338,学年度总表!$E$3:$E$1025,0))="","",INDEX(学年度总表!$G$3:$G$1025,MATCH($E338,学年度总表!$E$3:$E$1025,0)))</f>
        <v>9.8000000000000007</v>
      </c>
      <c r="H338" s="3">
        <f>IF(INDEX(学年度总表!$H$3:$H$1025,MATCH($E338,学年度总表!$E$3:$E$1025,0))="","",INDEX(学年度总表!$H$3:$H$1025,MATCH($E338,学年度总表!$E$3:$E$1025,0)))</f>
        <v>44.75</v>
      </c>
      <c r="I338" s="3">
        <f>IF(INDEX(学年度总表!$I$3:$I$1025,MATCH($E338,学年度总表!$E$3:$E$1025,0))="","",INDEX(学年度总表!$I$3:$I$1025,MATCH($E338,学年度总表!$E$3:$E$1025,0)))</f>
        <v>3</v>
      </c>
      <c r="J338" s="3">
        <f>IF(INDEX(学年度总表!$J$3:$J$1025,MATCH($E338,学年度总表!$E$3:$E$1025,0))="","",INDEX(学年度总表!$J$3:$J$1025,MATCH($E338,学年度总表!$E$3:$E$1025,0)))</f>
        <v>57.55</v>
      </c>
      <c r="K338" s="3">
        <f>IF(INDEX(学年度总表!$K$3:$K$1025,MATCH($E338,学年度总表!$E$3:$E$1025,0))="","",INDEX(学年度总表!$K$3:$K$1025,MATCH($E338,学年度总表!$E$3:$E$1025,0)))</f>
        <v>7.3000000000000007</v>
      </c>
      <c r="L338" s="3">
        <f>IF(INDEX(学年度总表!$L$3:$L$1025,MATCH($E338,学年度总表!$E$3:$E$1025,0))="","",INDEX(学年度总表!$L$3:$L$1025,MATCH($E338,学年度总表!$E$3:$E$1025,0)))</f>
        <v>41.82</v>
      </c>
      <c r="M338" s="3">
        <f>IF(INDEX(学年度总表!$M$3:$M$1025,MATCH($E338,学年度总表!$E$3:$E$1025,0))="","",INDEX(学年度总表!$M$3:$M$1025,MATCH($E338,学年度总表!$E$3:$E$1025,0)))</f>
        <v>3</v>
      </c>
      <c r="N338" s="3">
        <f>IF(INDEX(学年度总表!$N$3:$N$1025,MATCH($E338,学年度总表!$E$3:$E$1025,0))="","",INDEX(学年度总表!$N$3:$N$1025,MATCH($E338,学年度总表!$E$3:$E$1025,0)))</f>
        <v>52.12</v>
      </c>
      <c r="O338" s="3">
        <f>IF(INDEX(学年度总表!$O$3:$O$1025,MATCH($E338,学年度总表!$E$3:$E$1025,0))="","",INDEX(学年度总表!$O$3:$O$1025,MATCH($E338,学年度总表!$E$3:$E$1025,0)))</f>
        <v>109.67</v>
      </c>
      <c r="P338" s="2" t="str">
        <f>IF(INDEX(学年度总表!$P$3:$P$1025,MATCH($E338,学年度总表!$E$3:$E$1025,0))="","",INDEX(学年度总表!$P$3:$P$1025,MATCH($E338,学年度总表!$E$3:$E$1025,0)))</f>
        <v/>
      </c>
      <c r="Q338" s="5" t="str">
        <f>IF(INDEX(学年度总表!$Q$3:$Q$1025,MATCH($E338,学年度总表!$E$3:$E$1025,0))="","",INDEX(学年度总表!$Q$3:$Q$1025,MATCH($E338,学年度总表!$E$3:$E$1025,0)))</f>
        <v/>
      </c>
    </row>
    <row r="339" spans="1:17">
      <c r="A339" s="2">
        <f>IF(INDEX(学年度总表!$A$3:$A$1025,MATCH($E339,学年度总表!$E$3:$E$1025,0))="","",INDEX(学年度总表!$A$3:$A$1025,MATCH($E339,学年度总表!$E$3:$E$1025,0)))</f>
        <v>930</v>
      </c>
      <c r="B339" s="2">
        <f>IF(INDEX(学年度总表!$B$3:$B$1025,MATCH($E339,学年度总表!$E$3:$E$1025,0))="","",INDEX(学年度总表!$B$3:$B$1025,MATCH($E339,学年度总表!$E$3:$E$1025,0)))</f>
        <v>337</v>
      </c>
      <c r="C339" s="2" t="str">
        <f>IF(INDEX(学年度总表!$C$3:$C$1025,MATCH($E339,学年度总表!$E$3:$E$1025,0))="","",INDEX(学年度总表!$C$3:$C$1025,MATCH($E339,学年度总表!$E$3:$E$1025,0)))</f>
        <v>信管</v>
      </c>
      <c r="D339" s="2" t="str">
        <f>IF(INDEX(学年度总表!$D$3:$D$1025,MATCH($E339,学年度总表!$E$3:$E$1025,0))="","",INDEX(学年度总表!$D$3:$D$1025,MATCH($E339,学年度总表!$E$3:$E$1025,0)))</f>
        <v>信管19班</v>
      </c>
      <c r="E339" s="2" t="s">
        <v>1920</v>
      </c>
      <c r="F339" s="2" t="str">
        <f>IF(INDEX(学年度总表!$F$3:$F$1025,MATCH($E339,学年度总表!$E$3:$E$1025,0))="","",INDEX(学年度总表!$F$3:$F$1025,MATCH($E339,学年度总表!$E$3:$E$1025,0)))</f>
        <v>闫沈浩</v>
      </c>
      <c r="G339" s="3">
        <f>IF(INDEX(学年度总表!$G$3:$G$1025,MATCH($E339,学年度总表!$E$3:$E$1025,0))="","",INDEX(学年度总表!$G$3:$G$1025,MATCH($E339,学年度总表!$E$3:$E$1025,0)))</f>
        <v>9.4</v>
      </c>
      <c r="H339" s="3">
        <f>IF(INDEX(学年度总表!$H$3:$H$1025,MATCH($E339,学年度总表!$E$3:$E$1025,0))="","",INDEX(学年度总表!$H$3:$H$1025,MATCH($E339,学年度总表!$E$3:$E$1025,0)))</f>
        <v>43.11</v>
      </c>
      <c r="I339" s="3">
        <f>IF(INDEX(学年度总表!$I$3:$I$1025,MATCH($E339,学年度总表!$E$3:$E$1025,0))="","",INDEX(学年度总表!$I$3:$I$1025,MATCH($E339,学年度总表!$E$3:$E$1025,0)))</f>
        <v>3</v>
      </c>
      <c r="J339" s="3">
        <f>IF(INDEX(学年度总表!$J$3:$J$1025,MATCH($E339,学年度总表!$E$3:$E$1025,0))="","",INDEX(学年度总表!$J$3:$J$1025,MATCH($E339,学年度总表!$E$3:$E$1025,0)))</f>
        <v>55.51</v>
      </c>
      <c r="K339" s="3">
        <f>IF(INDEX(学年度总表!$K$3:$K$1025,MATCH($E339,学年度总表!$E$3:$E$1025,0))="","",INDEX(学年度总表!$K$3:$K$1025,MATCH($E339,学年度总表!$E$3:$E$1025,0)))</f>
        <v>9.4</v>
      </c>
      <c r="L339" s="3">
        <f>IF(INDEX(学年度总表!$L$3:$L$1025,MATCH($E339,学年度总表!$E$3:$E$1025,0))="","",INDEX(学年度总表!$L$3:$L$1025,MATCH($E339,学年度总表!$E$3:$E$1025,0)))</f>
        <v>41.19</v>
      </c>
      <c r="M339" s="3">
        <f>IF(INDEX(学年度总表!$M$3:$M$1025,MATCH($E339,学年度总表!$E$3:$E$1025,0))="","",INDEX(学年度总表!$M$3:$M$1025,MATCH($E339,学年度总表!$E$3:$E$1025,0)))</f>
        <v>3.5</v>
      </c>
      <c r="N339" s="3">
        <f>IF(INDEX(学年度总表!$N$3:$N$1025,MATCH($E339,学年度总表!$E$3:$E$1025,0))="","",INDEX(学年度总表!$N$3:$N$1025,MATCH($E339,学年度总表!$E$3:$E$1025,0)))</f>
        <v>54.09</v>
      </c>
      <c r="O339" s="3">
        <f>IF(INDEX(学年度总表!$O$3:$O$1025,MATCH($E339,学年度总表!$E$3:$E$1025,0))="","",INDEX(学年度总表!$O$3:$O$1025,MATCH($E339,学年度总表!$E$3:$E$1025,0)))</f>
        <v>109.6</v>
      </c>
      <c r="P339" s="2" t="str">
        <f>IF(INDEX(学年度总表!$P$3:$P$1025,MATCH($E339,学年度总表!$E$3:$E$1025,0))="","",INDEX(学年度总表!$P$3:$P$1025,MATCH($E339,学年度总表!$E$3:$E$1025,0)))</f>
        <v/>
      </c>
      <c r="Q339" s="5" t="str">
        <f>IF(INDEX(学年度总表!$Q$3:$Q$1025,MATCH($E339,学年度总表!$E$3:$E$1025,0))="","",INDEX(学年度总表!$Q$3:$Q$1025,MATCH($E339,学年度总表!$E$3:$E$1025,0)))</f>
        <v/>
      </c>
    </row>
    <row r="340" spans="1:17">
      <c r="A340" s="2">
        <f>IF(INDEX(学年度总表!$A$3:$A$1025,MATCH($E340,学年度总表!$E$3:$E$1025,0))="","",INDEX(学年度总表!$A$3:$A$1025,MATCH($E340,学年度总表!$E$3:$E$1025,0)))</f>
        <v>931</v>
      </c>
      <c r="B340" s="2">
        <f>IF(INDEX(学年度总表!$B$3:$B$1025,MATCH($E340,学年度总表!$E$3:$E$1025,0))="","",INDEX(学年度总表!$B$3:$B$1025,MATCH($E340,学年度总表!$E$3:$E$1025,0)))</f>
        <v>338</v>
      </c>
      <c r="C340" s="2" t="str">
        <f>IF(INDEX(学年度总表!$C$3:$C$1025,MATCH($E340,学年度总表!$E$3:$E$1025,0))="","",INDEX(学年度总表!$C$3:$C$1025,MATCH($E340,学年度总表!$E$3:$E$1025,0)))</f>
        <v>信管</v>
      </c>
      <c r="D340" s="2" t="str">
        <f>IF(INDEX(学年度总表!$D$3:$D$1025,MATCH($E340,学年度总表!$E$3:$E$1025,0))="","",INDEX(学年度总表!$D$3:$D$1025,MATCH($E340,学年度总表!$E$3:$E$1025,0)))</f>
        <v>信管24班</v>
      </c>
      <c r="E340" s="2" t="s">
        <v>1922</v>
      </c>
      <c r="F340" s="2" t="str">
        <f>IF(INDEX(学年度总表!$F$3:$F$1025,MATCH($E340,学年度总表!$E$3:$E$1025,0))="","",INDEX(学年度总表!$F$3:$F$1025,MATCH($E340,学年度总表!$E$3:$E$1025,0)))</f>
        <v>李政航</v>
      </c>
      <c r="G340" s="3">
        <f>IF(INDEX(学年度总表!$G$3:$G$1025,MATCH($E340,学年度总表!$E$3:$E$1025,0))="","",INDEX(学年度总表!$G$3:$G$1025,MATCH($E340,学年度总表!$E$3:$E$1025,0)))</f>
        <v>7.5</v>
      </c>
      <c r="H340" s="3">
        <f>IF(INDEX(学年度总表!$H$3:$H$1025,MATCH($E340,学年度总表!$E$3:$E$1025,0))="","",INDEX(学年度总表!$H$3:$H$1025,MATCH($E340,学年度总表!$E$3:$E$1025,0)))</f>
        <v>43.24</v>
      </c>
      <c r="I340" s="3">
        <f>IF(INDEX(学年度总表!$I$3:$I$1025,MATCH($E340,学年度总表!$E$3:$E$1025,0))="","",INDEX(学年度总表!$I$3:$I$1025,MATCH($E340,学年度总表!$E$3:$E$1025,0)))</f>
        <v>3</v>
      </c>
      <c r="J340" s="3">
        <f>IF(INDEX(学年度总表!$J$3:$J$1025,MATCH($E340,学年度总表!$E$3:$E$1025,0))="","",INDEX(学年度总表!$J$3:$J$1025,MATCH($E340,学年度总表!$E$3:$E$1025,0)))</f>
        <v>53.74</v>
      </c>
      <c r="K340" s="3">
        <f>IF(INDEX(学年度总表!$K$3:$K$1025,MATCH($E340,学年度总表!$E$3:$E$1025,0))="","",INDEX(学年度总表!$K$3:$K$1025,MATCH($E340,学年度总表!$E$3:$E$1025,0)))</f>
        <v>7.5</v>
      </c>
      <c r="L340" s="3">
        <f>IF(INDEX(学年度总表!$L$3:$L$1025,MATCH($E340,学年度总表!$E$3:$E$1025,0))="","",INDEX(学年度总表!$L$3:$L$1025,MATCH($E340,学年度总表!$E$3:$E$1025,0)))</f>
        <v>45.29</v>
      </c>
      <c r="M340" s="3">
        <f>IF(INDEX(学年度总表!$M$3:$M$1025,MATCH($E340,学年度总表!$E$3:$E$1025,0))="","",INDEX(学年度总表!$M$3:$M$1025,MATCH($E340,学年度总表!$E$3:$E$1025,0)))</f>
        <v>3</v>
      </c>
      <c r="N340" s="3">
        <f>IF(INDEX(学年度总表!$N$3:$N$1025,MATCH($E340,学年度总表!$E$3:$E$1025,0))="","",INDEX(学年度总表!$N$3:$N$1025,MATCH($E340,学年度总表!$E$3:$E$1025,0)))</f>
        <v>55.79</v>
      </c>
      <c r="O340" s="3">
        <f>IF(INDEX(学年度总表!$O$3:$O$1025,MATCH($E340,学年度总表!$E$3:$E$1025,0))="","",INDEX(学年度总表!$O$3:$O$1025,MATCH($E340,学年度总表!$E$3:$E$1025,0)))</f>
        <v>109.53</v>
      </c>
      <c r="P340" s="2" t="str">
        <f>IF(INDEX(学年度总表!$P$3:$P$1025,MATCH($E340,学年度总表!$E$3:$E$1025,0))="","",INDEX(学年度总表!$P$3:$P$1025,MATCH($E340,学年度总表!$E$3:$E$1025,0)))</f>
        <v/>
      </c>
      <c r="Q340" s="5" t="str">
        <f>IF(INDEX(学年度总表!$Q$3:$Q$1025,MATCH($E340,学年度总表!$E$3:$E$1025,0))="","",INDEX(学年度总表!$Q$3:$Q$1025,MATCH($E340,学年度总表!$E$3:$E$1025,0)))</f>
        <v/>
      </c>
    </row>
    <row r="341" spans="1:17">
      <c r="A341" s="2">
        <f>IF(INDEX(学年度总表!$A$3:$A$1025,MATCH($E341,学年度总表!$E$3:$E$1025,0))="","",INDEX(学年度总表!$A$3:$A$1025,MATCH($E341,学年度总表!$E$3:$E$1025,0)))</f>
        <v>938</v>
      </c>
      <c r="B341" s="2">
        <f>IF(INDEX(学年度总表!$B$3:$B$1025,MATCH($E341,学年度总表!$E$3:$E$1025,0))="","",INDEX(学年度总表!$B$3:$B$1025,MATCH($E341,学年度总表!$E$3:$E$1025,0)))</f>
        <v>339</v>
      </c>
      <c r="C341" s="2" t="str">
        <f>IF(INDEX(学年度总表!$C$3:$C$1025,MATCH($E341,学年度总表!$E$3:$E$1025,0))="","",INDEX(学年度总表!$C$3:$C$1025,MATCH($E341,学年度总表!$E$3:$E$1025,0)))</f>
        <v>信管</v>
      </c>
      <c r="D341" s="2" t="str">
        <f>IF(INDEX(学年度总表!$D$3:$D$1025,MATCH($E341,学年度总表!$E$3:$E$1025,0))="","",INDEX(学年度总表!$D$3:$D$1025,MATCH($E341,学年度总表!$E$3:$E$1025,0)))</f>
        <v>信管20班</v>
      </c>
      <c r="E341" s="2" t="s">
        <v>1936</v>
      </c>
      <c r="F341" s="2" t="str">
        <f>IF(INDEX(学年度总表!$F$3:$F$1025,MATCH($E341,学年度总表!$E$3:$E$1025,0))="","",INDEX(学年度总表!$F$3:$F$1025,MATCH($E341,学年度总表!$E$3:$E$1025,0)))</f>
        <v>蒋为至</v>
      </c>
      <c r="G341" s="3">
        <f>IF(INDEX(学年度总表!$G$3:$G$1025,MATCH($E341,学年度总表!$E$3:$E$1025,0))="","",INDEX(学年度总表!$G$3:$G$1025,MATCH($E341,学年度总表!$E$3:$E$1025,0)))</f>
        <v>10</v>
      </c>
      <c r="H341" s="3">
        <f>IF(INDEX(学年度总表!$H$3:$H$1025,MATCH($E341,学年度总表!$E$3:$E$1025,0))="","",INDEX(学年度总表!$H$3:$H$1025,MATCH($E341,学年度总表!$E$3:$E$1025,0)))</f>
        <v>45.29</v>
      </c>
      <c r="I341" s="3">
        <f>IF(INDEX(学年度总表!$I$3:$I$1025,MATCH($E341,学年度总表!$E$3:$E$1025,0))="","",INDEX(学年度总表!$I$3:$I$1025,MATCH($E341,学年度总表!$E$3:$E$1025,0)))</f>
        <v>4.2</v>
      </c>
      <c r="J341" s="3">
        <f>IF(INDEX(学年度总表!$J$3:$J$1025,MATCH($E341,学年度总表!$E$3:$E$1025,0))="","",INDEX(学年度总表!$J$3:$J$1025,MATCH($E341,学年度总表!$E$3:$E$1025,0)))</f>
        <v>59.49</v>
      </c>
      <c r="K341" s="3">
        <f>IF(INDEX(学年度总表!$K$3:$K$1025,MATCH($E341,学年度总表!$E$3:$E$1025,0))="","",INDEX(学年度总表!$K$3:$K$1025,MATCH($E341,学年度总表!$E$3:$E$1025,0)))</f>
        <v>6.9</v>
      </c>
      <c r="L341" s="3">
        <f>IF(INDEX(学年度总表!$L$3:$L$1025,MATCH($E341,学年度总表!$E$3:$E$1025,0))="","",INDEX(学年度总表!$L$3:$L$1025,MATCH($E341,学年度总表!$E$3:$E$1025,0)))</f>
        <v>38.130000000000003</v>
      </c>
      <c r="M341" s="3">
        <f>IF(INDEX(学年度总表!$M$3:$M$1025,MATCH($E341,学年度总表!$E$3:$E$1025,0))="","",INDEX(学年度总表!$M$3:$M$1025,MATCH($E341,学年度总表!$E$3:$E$1025,0)))</f>
        <v>4.0999999999999996</v>
      </c>
      <c r="N341" s="3">
        <f>IF(INDEX(学年度总表!$N$3:$N$1025,MATCH($E341,学年度总表!$E$3:$E$1025,0))="","",INDEX(学年度总表!$N$3:$N$1025,MATCH($E341,学年度总表!$E$3:$E$1025,0)))</f>
        <v>49.13</v>
      </c>
      <c r="O341" s="3">
        <f>IF(INDEX(学年度总表!$O$3:$O$1025,MATCH($E341,学年度总表!$E$3:$E$1025,0))="","",INDEX(学年度总表!$O$3:$O$1025,MATCH($E341,学年度总表!$E$3:$E$1025,0)))</f>
        <v>108.62</v>
      </c>
      <c r="P341" s="2" t="str">
        <f>IF(INDEX(学年度总表!$P$3:$P$1025,MATCH($E341,学年度总表!$E$3:$E$1025,0))="","",INDEX(学年度总表!$P$3:$P$1025,MATCH($E341,学年度总表!$E$3:$E$1025,0)))</f>
        <v/>
      </c>
      <c r="Q341" s="5" t="str">
        <f>IF(INDEX(学年度总表!$Q$3:$Q$1025,MATCH($E341,学年度总表!$E$3:$E$1025,0))="","",INDEX(学年度总表!$Q$3:$Q$1025,MATCH($E341,学年度总表!$E$3:$E$1025,0)))</f>
        <v/>
      </c>
    </row>
    <row r="342" spans="1:17">
      <c r="A342" s="2">
        <f>IF(INDEX(学年度总表!$A$3:$A$1025,MATCH($E342,学年度总表!$E$3:$E$1025,0))="","",INDEX(学年度总表!$A$3:$A$1025,MATCH($E342,学年度总表!$E$3:$E$1025,0)))</f>
        <v>939</v>
      </c>
      <c r="B342" s="2">
        <f>IF(INDEX(学年度总表!$B$3:$B$1025,MATCH($E342,学年度总表!$E$3:$E$1025,0))="","",INDEX(学年度总表!$B$3:$B$1025,MATCH($E342,学年度总表!$E$3:$E$1025,0)))</f>
        <v>340</v>
      </c>
      <c r="C342" s="2" t="str">
        <f>IF(INDEX(学年度总表!$C$3:$C$1025,MATCH($E342,学年度总表!$E$3:$E$1025,0))="","",INDEX(学年度总表!$C$3:$C$1025,MATCH($E342,学年度总表!$E$3:$E$1025,0)))</f>
        <v>信管</v>
      </c>
      <c r="D342" s="2" t="str">
        <f>IF(INDEX(学年度总表!$D$3:$D$1025,MATCH($E342,学年度总表!$E$3:$E$1025,0))="","",INDEX(学年度总表!$D$3:$D$1025,MATCH($E342,学年度总表!$E$3:$E$1025,0)))</f>
        <v>信管28班</v>
      </c>
      <c r="E342" s="2" t="s">
        <v>1938</v>
      </c>
      <c r="F342" s="2" t="str">
        <f>IF(INDEX(学年度总表!$F$3:$F$1025,MATCH($E342,学年度总表!$E$3:$E$1025,0))="","",INDEX(学年度总表!$F$3:$F$1025,MATCH($E342,学年度总表!$E$3:$E$1025,0)))</f>
        <v>钱红旭</v>
      </c>
      <c r="G342" s="3">
        <f>IF(INDEX(学年度总表!$G$3:$G$1025,MATCH($E342,学年度总表!$E$3:$E$1025,0))="","",INDEX(学年度总表!$G$3:$G$1025,MATCH($E342,学年度总表!$E$3:$E$1025,0)))</f>
        <v>9</v>
      </c>
      <c r="H342" s="3">
        <f>IF(INDEX(学年度总表!$H$3:$H$1025,MATCH($E342,学年度总表!$E$3:$E$1025,0))="","",INDEX(学年度总表!$H$3:$H$1025,MATCH($E342,学年度总表!$E$3:$E$1025,0)))</f>
        <v>48.62</v>
      </c>
      <c r="I342" s="3">
        <f>IF(INDEX(学年度总表!$I$3:$I$1025,MATCH($E342,学年度总表!$E$3:$E$1025,0))="","",INDEX(学年度总表!$I$3:$I$1025,MATCH($E342,学年度总表!$E$3:$E$1025,0)))</f>
        <v>3</v>
      </c>
      <c r="J342" s="3">
        <f>IF(INDEX(学年度总表!$J$3:$J$1025,MATCH($E342,学年度总表!$E$3:$E$1025,0))="","",INDEX(学年度总表!$J$3:$J$1025,MATCH($E342,学年度总表!$E$3:$E$1025,0)))</f>
        <v>60.62</v>
      </c>
      <c r="K342" s="3">
        <f>IF(INDEX(学年度总表!$K$3:$K$1025,MATCH($E342,学年度总表!$E$3:$E$1025,0))="","",INDEX(学年度总表!$K$3:$K$1025,MATCH($E342,学年度总表!$E$3:$E$1025,0)))</f>
        <v>7.3000000000000007</v>
      </c>
      <c r="L342" s="3">
        <f>IF(INDEX(学年度总表!$L$3:$L$1025,MATCH($E342,学年度总表!$E$3:$E$1025,0))="","",INDEX(学年度总表!$L$3:$L$1025,MATCH($E342,学年度总表!$E$3:$E$1025,0)))</f>
        <v>37.19</v>
      </c>
      <c r="M342" s="3">
        <f>IF(INDEX(学年度总表!$M$3:$M$1025,MATCH($E342,学年度总表!$E$3:$E$1025,0))="","",INDEX(学年度总表!$M$3:$M$1025,MATCH($E342,学年度总表!$E$3:$E$1025,0)))</f>
        <v>3.5</v>
      </c>
      <c r="N342" s="3">
        <f>IF(INDEX(学年度总表!$N$3:$N$1025,MATCH($E342,学年度总表!$E$3:$E$1025,0))="","",INDEX(学年度总表!$N$3:$N$1025,MATCH($E342,学年度总表!$E$3:$E$1025,0)))</f>
        <v>47.99</v>
      </c>
      <c r="O342" s="3">
        <f>IF(INDEX(学年度总表!$O$3:$O$1025,MATCH($E342,学年度总表!$E$3:$E$1025,0))="","",INDEX(学年度总表!$O$3:$O$1025,MATCH($E342,学年度总表!$E$3:$E$1025,0)))</f>
        <v>108.61</v>
      </c>
      <c r="P342" s="2" t="str">
        <f>IF(INDEX(学年度总表!$P$3:$P$1025,MATCH($E342,学年度总表!$E$3:$E$1025,0))="","",INDEX(学年度总表!$P$3:$P$1025,MATCH($E342,学年度总表!$E$3:$E$1025,0)))</f>
        <v/>
      </c>
      <c r="Q342" s="5" t="str">
        <f>IF(INDEX(学年度总表!$Q$3:$Q$1025,MATCH($E342,学年度总表!$E$3:$E$1025,0))="","",INDEX(学年度总表!$Q$3:$Q$1025,MATCH($E342,学年度总表!$E$3:$E$1025,0)))</f>
        <v/>
      </c>
    </row>
    <row r="343" spans="1:17">
      <c r="A343" s="2">
        <f>IF(INDEX(学年度总表!$A$3:$A$1025,MATCH($E343,学年度总表!$E$3:$E$1025,0))="","",INDEX(学年度总表!$A$3:$A$1025,MATCH($E343,学年度总表!$E$3:$E$1025,0)))</f>
        <v>940</v>
      </c>
      <c r="B343" s="2">
        <f>IF(INDEX(学年度总表!$B$3:$B$1025,MATCH($E343,学年度总表!$E$3:$E$1025,0))="","",INDEX(学年度总表!$B$3:$B$1025,MATCH($E343,学年度总表!$E$3:$E$1025,0)))</f>
        <v>341</v>
      </c>
      <c r="C343" s="2" t="str">
        <f>IF(INDEX(学年度总表!$C$3:$C$1025,MATCH($E343,学年度总表!$E$3:$E$1025,0))="","",INDEX(学年度总表!$C$3:$C$1025,MATCH($E343,学年度总表!$E$3:$E$1025,0)))</f>
        <v>信管</v>
      </c>
      <c r="D343" s="2" t="str">
        <f>IF(INDEX(学年度总表!$D$3:$D$1025,MATCH($E343,学年度总表!$E$3:$E$1025,0))="","",INDEX(学年度总表!$D$3:$D$1025,MATCH($E343,学年度总表!$E$3:$E$1025,0)))</f>
        <v>信管26班</v>
      </c>
      <c r="E343" s="2" t="s">
        <v>1940</v>
      </c>
      <c r="F343" s="2" t="str">
        <f>IF(INDEX(学年度总表!$F$3:$F$1025,MATCH($E343,学年度总表!$E$3:$E$1025,0))="","",INDEX(学年度总表!$F$3:$F$1025,MATCH($E343,学年度总表!$E$3:$E$1025,0)))</f>
        <v>贾柠璐</v>
      </c>
      <c r="G343" s="3">
        <f>IF(INDEX(学年度总表!$G$3:$G$1025,MATCH($E343,学年度总表!$E$3:$E$1025,0))="","",INDEX(学年度总表!$G$3:$G$1025,MATCH($E343,学年度总表!$E$3:$E$1025,0)))</f>
        <v>9.8000000000000007</v>
      </c>
      <c r="H343" s="3">
        <f>IF(INDEX(学年度总表!$H$3:$H$1025,MATCH($E343,学年度总表!$E$3:$E$1025,0))="","",INDEX(学年度总表!$H$3:$H$1025,MATCH($E343,学年度总表!$E$3:$E$1025,0)))</f>
        <v>36.78</v>
      </c>
      <c r="I343" s="3">
        <f>IF(INDEX(学年度总表!$I$3:$I$1025,MATCH($E343,学年度总表!$E$3:$E$1025,0))="","",INDEX(学年度总表!$I$3:$I$1025,MATCH($E343,学年度总表!$E$3:$E$1025,0)))</f>
        <v>3</v>
      </c>
      <c r="J343" s="3">
        <f>IF(INDEX(学年度总表!$J$3:$J$1025,MATCH($E343,学年度总表!$E$3:$E$1025,0))="","",INDEX(学年度总表!$J$3:$J$1025,MATCH($E343,学年度总表!$E$3:$E$1025,0)))</f>
        <v>49.58</v>
      </c>
      <c r="K343" s="3">
        <f>IF(INDEX(学年度总表!$K$3:$K$1025,MATCH($E343,学年度总表!$E$3:$E$1025,0))="","",INDEX(学年度总表!$K$3:$K$1025,MATCH($E343,学年度总表!$E$3:$E$1025,0)))</f>
        <v>7.3000000000000007</v>
      </c>
      <c r="L343" s="3">
        <f>IF(INDEX(学年度总表!$L$3:$L$1025,MATCH($E343,学年度总表!$E$3:$E$1025,0))="","",INDEX(学年度总表!$L$3:$L$1025,MATCH($E343,学年度总表!$E$3:$E$1025,0)))</f>
        <v>48.66</v>
      </c>
      <c r="M343" s="3">
        <f>IF(INDEX(学年度总表!$M$3:$M$1025,MATCH($E343,学年度总表!$E$3:$E$1025,0))="","",INDEX(学年度总表!$M$3:$M$1025,MATCH($E343,学年度总表!$E$3:$E$1025,0)))</f>
        <v>3</v>
      </c>
      <c r="N343" s="3">
        <f>IF(INDEX(学年度总表!$N$3:$N$1025,MATCH($E343,学年度总表!$E$3:$E$1025,0))="","",INDEX(学年度总表!$N$3:$N$1025,MATCH($E343,学年度总表!$E$3:$E$1025,0)))</f>
        <v>58.96</v>
      </c>
      <c r="O343" s="3">
        <f>IF(INDEX(学年度总表!$O$3:$O$1025,MATCH($E343,学年度总表!$E$3:$E$1025,0))="","",INDEX(学年度总表!$O$3:$O$1025,MATCH($E343,学年度总表!$E$3:$E$1025,0)))</f>
        <v>108.54</v>
      </c>
      <c r="P343" s="2" t="str">
        <f>IF(INDEX(学年度总表!$P$3:$P$1025,MATCH($E343,学年度总表!$E$3:$E$1025,0))="","",INDEX(学年度总表!$P$3:$P$1025,MATCH($E343,学年度总表!$E$3:$E$1025,0)))</f>
        <v/>
      </c>
      <c r="Q343" s="5" t="str">
        <f>IF(INDEX(学年度总表!$Q$3:$Q$1025,MATCH($E343,学年度总表!$E$3:$E$1025,0))="","",INDEX(学年度总表!$Q$3:$Q$1025,MATCH($E343,学年度总表!$E$3:$E$1025,0)))</f>
        <v/>
      </c>
    </row>
    <row r="344" spans="1:17">
      <c r="A344" s="2">
        <f>IF(INDEX(学年度总表!$A$3:$A$1025,MATCH($E344,学年度总表!$E$3:$E$1025,0))="","",INDEX(学年度总表!$A$3:$A$1025,MATCH($E344,学年度总表!$E$3:$E$1025,0)))</f>
        <v>942</v>
      </c>
      <c r="B344" s="2">
        <f>IF(INDEX(学年度总表!$B$3:$B$1025,MATCH($E344,学年度总表!$E$3:$E$1025,0))="","",INDEX(学年度总表!$B$3:$B$1025,MATCH($E344,学年度总表!$E$3:$E$1025,0)))</f>
        <v>342</v>
      </c>
      <c r="C344" s="2" t="str">
        <f>IF(INDEX(学年度总表!$C$3:$C$1025,MATCH($E344,学年度总表!$E$3:$E$1025,0))="","",INDEX(学年度总表!$C$3:$C$1025,MATCH($E344,学年度总表!$E$3:$E$1025,0)))</f>
        <v>信管</v>
      </c>
      <c r="D344" s="2" t="str">
        <f>IF(INDEX(学年度总表!$D$3:$D$1025,MATCH($E344,学年度总表!$E$3:$E$1025,0))="","",INDEX(学年度总表!$D$3:$D$1025,MATCH($E344,学年度总表!$E$3:$E$1025,0)))</f>
        <v>信管26班</v>
      </c>
      <c r="E344" s="2" t="s">
        <v>1944</v>
      </c>
      <c r="F344" s="2" t="str">
        <f>IF(INDEX(学年度总表!$F$3:$F$1025,MATCH($E344,学年度总表!$E$3:$E$1025,0))="","",INDEX(学年度总表!$F$3:$F$1025,MATCH($E344,学年度总表!$E$3:$E$1025,0)))</f>
        <v>夏培淇</v>
      </c>
      <c r="G344" s="3">
        <f>IF(INDEX(学年度总表!$G$3:$G$1025,MATCH($E344,学年度总表!$E$3:$E$1025,0))="","",INDEX(学年度总表!$G$3:$G$1025,MATCH($E344,学年度总表!$E$3:$E$1025,0)))</f>
        <v>10</v>
      </c>
      <c r="H344" s="3">
        <f>IF(INDEX(学年度总表!$H$3:$H$1025,MATCH($E344,学年度总表!$E$3:$E$1025,0))="","",INDEX(学年度总表!$H$3:$H$1025,MATCH($E344,学年度总表!$E$3:$E$1025,0)))</f>
        <v>43.55</v>
      </c>
      <c r="I344" s="3">
        <f>IF(INDEX(学年度总表!$I$3:$I$1025,MATCH($E344,学年度总表!$E$3:$E$1025,0))="","",INDEX(学年度总表!$I$3:$I$1025,MATCH($E344,学年度总表!$E$3:$E$1025,0)))</f>
        <v>3</v>
      </c>
      <c r="J344" s="3">
        <f>IF(INDEX(学年度总表!$J$3:$J$1025,MATCH($E344,学年度总表!$E$3:$E$1025,0))="","",INDEX(学年度总表!$J$3:$J$1025,MATCH($E344,学年度总表!$E$3:$E$1025,0)))</f>
        <v>56.55</v>
      </c>
      <c r="K344" s="3">
        <f>IF(INDEX(学年度总表!$K$3:$K$1025,MATCH($E344,学年度总表!$E$3:$E$1025,0))="","",INDEX(学年度总表!$K$3:$K$1025,MATCH($E344,学年度总表!$E$3:$E$1025,0)))</f>
        <v>7.5</v>
      </c>
      <c r="L344" s="3">
        <f>IF(INDEX(学年度总表!$L$3:$L$1025,MATCH($E344,学年度总表!$E$3:$E$1025,0))="","",INDEX(学年度总表!$L$3:$L$1025,MATCH($E344,学年度总表!$E$3:$E$1025,0)))</f>
        <v>41.2</v>
      </c>
      <c r="M344" s="3">
        <f>IF(INDEX(学年度总表!$M$3:$M$1025,MATCH($E344,学年度总表!$E$3:$E$1025,0))="","",INDEX(学年度总表!$M$3:$M$1025,MATCH($E344,学年度总表!$E$3:$E$1025,0)))</f>
        <v>3</v>
      </c>
      <c r="N344" s="3">
        <f>IF(INDEX(学年度总表!$N$3:$N$1025,MATCH($E344,学年度总表!$E$3:$E$1025,0))="","",INDEX(学年度总表!$N$3:$N$1025,MATCH($E344,学年度总表!$E$3:$E$1025,0)))</f>
        <v>51.7</v>
      </c>
      <c r="O344" s="3">
        <f>IF(INDEX(学年度总表!$O$3:$O$1025,MATCH($E344,学年度总表!$E$3:$E$1025,0))="","",INDEX(学年度总表!$O$3:$O$1025,MATCH($E344,学年度总表!$E$3:$E$1025,0)))</f>
        <v>108.25</v>
      </c>
      <c r="P344" s="2" t="str">
        <f>IF(INDEX(学年度总表!$P$3:$P$1025,MATCH($E344,学年度总表!$E$3:$E$1025,0))="","",INDEX(学年度总表!$P$3:$P$1025,MATCH($E344,学年度总表!$E$3:$E$1025,0)))</f>
        <v/>
      </c>
      <c r="Q344" s="5" t="str">
        <f>IF(INDEX(学年度总表!$Q$3:$Q$1025,MATCH($E344,学年度总表!$E$3:$E$1025,0))="","",INDEX(学年度总表!$Q$3:$Q$1025,MATCH($E344,学年度总表!$E$3:$E$1025,0)))</f>
        <v/>
      </c>
    </row>
    <row r="345" spans="1:17">
      <c r="A345" s="2">
        <f>IF(INDEX(学年度总表!$A$3:$A$1025,MATCH($E345,学年度总表!$E$3:$E$1025,0))="","",INDEX(学年度总表!$A$3:$A$1025,MATCH($E345,学年度总表!$E$3:$E$1025,0)))</f>
        <v>943</v>
      </c>
      <c r="B345" s="2">
        <f>IF(INDEX(学年度总表!$B$3:$B$1025,MATCH($E345,学年度总表!$E$3:$E$1025,0))="","",INDEX(学年度总表!$B$3:$B$1025,MATCH($E345,学年度总表!$E$3:$E$1025,0)))</f>
        <v>343</v>
      </c>
      <c r="C345" s="2" t="str">
        <f>IF(INDEX(学年度总表!$C$3:$C$1025,MATCH($E345,学年度总表!$E$3:$E$1025,0))="","",INDEX(学年度总表!$C$3:$C$1025,MATCH($E345,学年度总表!$E$3:$E$1025,0)))</f>
        <v>信管</v>
      </c>
      <c r="D345" s="2" t="str">
        <f>IF(INDEX(学年度总表!$D$3:$D$1025,MATCH($E345,学年度总表!$E$3:$E$1025,0))="","",INDEX(学年度总表!$D$3:$D$1025,MATCH($E345,学年度总表!$E$3:$E$1025,0)))</f>
        <v>信管27班</v>
      </c>
      <c r="E345" s="2" t="s">
        <v>1946</v>
      </c>
      <c r="F345" s="2" t="str">
        <f>IF(INDEX(学年度总表!$F$3:$F$1025,MATCH($E345,学年度总表!$E$3:$E$1025,0))="","",INDEX(学年度总表!$F$3:$F$1025,MATCH($E345,学年度总表!$E$3:$E$1025,0)))</f>
        <v>宁欣冉</v>
      </c>
      <c r="G345" s="3">
        <f>IF(INDEX(学年度总表!$G$3:$G$1025,MATCH($E345,学年度总表!$E$3:$E$1025,0))="","",INDEX(学年度总表!$G$3:$G$1025,MATCH($E345,学年度总表!$E$3:$E$1025,0)))</f>
        <v>9.8000000000000007</v>
      </c>
      <c r="H345" s="3">
        <f>IF(INDEX(学年度总表!$H$3:$H$1025,MATCH($E345,学年度总表!$E$3:$E$1025,0))="","",INDEX(学年度总表!$H$3:$H$1025,MATCH($E345,学年度总表!$E$3:$E$1025,0)))</f>
        <v>45.72</v>
      </c>
      <c r="I345" s="3">
        <f>IF(INDEX(学年度总表!$I$3:$I$1025,MATCH($E345,学年度总表!$E$3:$E$1025,0))="","",INDEX(学年度总表!$I$3:$I$1025,MATCH($E345,学年度总表!$E$3:$E$1025,0)))</f>
        <v>3</v>
      </c>
      <c r="J345" s="3">
        <f>IF(INDEX(学年度总表!$J$3:$J$1025,MATCH($E345,学年度总表!$E$3:$E$1025,0))="","",INDEX(学年度总表!$J$3:$J$1025,MATCH($E345,学年度总表!$E$3:$E$1025,0)))</f>
        <v>58.52</v>
      </c>
      <c r="K345" s="3">
        <f>IF(INDEX(学年度总表!$K$3:$K$1025,MATCH($E345,学年度总表!$E$3:$E$1025,0))="","",INDEX(学年度总表!$K$3:$K$1025,MATCH($E345,学年度总表!$E$3:$E$1025,0)))</f>
        <v>7.3000000000000007</v>
      </c>
      <c r="L345" s="3">
        <f>IF(INDEX(学年度总表!$L$3:$L$1025,MATCH($E345,学年度总表!$E$3:$E$1025,0))="","",INDEX(学年度总表!$L$3:$L$1025,MATCH($E345,学年度总表!$E$3:$E$1025,0)))</f>
        <v>38.74</v>
      </c>
      <c r="M345" s="3">
        <f>IF(INDEX(学年度总表!$M$3:$M$1025,MATCH($E345,学年度总表!$E$3:$E$1025,0))="","",INDEX(学年度总表!$M$3:$M$1025,MATCH($E345,学年度总表!$E$3:$E$1025,0)))</f>
        <v>3.5</v>
      </c>
      <c r="N345" s="3">
        <f>IF(INDEX(学年度总表!$N$3:$N$1025,MATCH($E345,学年度总表!$E$3:$E$1025,0))="","",INDEX(学年度总表!$N$3:$N$1025,MATCH($E345,学年度总表!$E$3:$E$1025,0)))</f>
        <v>49.54</v>
      </c>
      <c r="O345" s="3">
        <f>IF(INDEX(学年度总表!$O$3:$O$1025,MATCH($E345,学年度总表!$E$3:$E$1025,0))="","",INDEX(学年度总表!$O$3:$O$1025,MATCH($E345,学年度总表!$E$3:$E$1025,0)))</f>
        <v>108.06</v>
      </c>
      <c r="P345" s="2" t="str">
        <f>IF(INDEX(学年度总表!$P$3:$P$1025,MATCH($E345,学年度总表!$E$3:$E$1025,0))="","",INDEX(学年度总表!$P$3:$P$1025,MATCH($E345,学年度总表!$E$3:$E$1025,0)))</f>
        <v/>
      </c>
      <c r="Q345" s="5" t="str">
        <f>IF(INDEX(学年度总表!$Q$3:$Q$1025,MATCH($E345,学年度总表!$E$3:$E$1025,0))="","",INDEX(学年度总表!$Q$3:$Q$1025,MATCH($E345,学年度总表!$E$3:$E$1025,0)))</f>
        <v/>
      </c>
    </row>
    <row r="346" spans="1:17">
      <c r="A346" s="2">
        <f>IF(INDEX(学年度总表!$A$3:$A$1025,MATCH($E346,学年度总表!$E$3:$E$1025,0))="","",INDEX(学年度总表!$A$3:$A$1025,MATCH($E346,学年度总表!$E$3:$E$1025,0)))</f>
        <v>944</v>
      </c>
      <c r="B346" s="2">
        <f>IF(INDEX(学年度总表!$B$3:$B$1025,MATCH($E346,学年度总表!$E$3:$E$1025,0))="","",INDEX(学年度总表!$B$3:$B$1025,MATCH($E346,学年度总表!$E$3:$E$1025,0)))</f>
        <v>344</v>
      </c>
      <c r="C346" s="2" t="str">
        <f>IF(INDEX(学年度总表!$C$3:$C$1025,MATCH($E346,学年度总表!$E$3:$E$1025,0))="","",INDEX(学年度总表!$C$3:$C$1025,MATCH($E346,学年度总表!$E$3:$E$1025,0)))</f>
        <v>信管</v>
      </c>
      <c r="D346" s="2" t="str">
        <f>IF(INDEX(学年度总表!$D$3:$D$1025,MATCH($E346,学年度总表!$E$3:$E$1025,0))="","",INDEX(学年度总表!$D$3:$D$1025,MATCH($E346,学年度总表!$E$3:$E$1025,0)))</f>
        <v>信管24班</v>
      </c>
      <c r="E346" s="2" t="s">
        <v>1948</v>
      </c>
      <c r="F346" s="2" t="str">
        <f>IF(INDEX(学年度总表!$F$3:$F$1025,MATCH($E346,学年度总表!$E$3:$E$1025,0))="","",INDEX(学年度总表!$F$3:$F$1025,MATCH($E346,学年度总表!$E$3:$E$1025,0)))</f>
        <v>赵鑫泽</v>
      </c>
      <c r="G346" s="3">
        <f>IF(INDEX(学年度总表!$G$3:$G$1025,MATCH($E346,学年度总表!$E$3:$E$1025,0))="","",INDEX(学年度总表!$G$3:$G$1025,MATCH($E346,学年度总表!$E$3:$E$1025,0)))</f>
        <v>8.3000000000000007</v>
      </c>
      <c r="H346" s="3">
        <f>IF(INDEX(学年度总表!$H$3:$H$1025,MATCH($E346,学年度总表!$E$3:$E$1025,0))="","",INDEX(学年度总表!$H$3:$H$1025,MATCH($E346,学年度总表!$E$3:$E$1025,0)))</f>
        <v>44.2</v>
      </c>
      <c r="I346" s="3">
        <f>IF(INDEX(学年度总表!$I$3:$I$1025,MATCH($E346,学年度总表!$E$3:$E$1025,0))="","",INDEX(学年度总表!$I$3:$I$1025,MATCH($E346,学年度总表!$E$3:$E$1025,0)))</f>
        <v>3</v>
      </c>
      <c r="J346" s="3">
        <f>IF(INDEX(学年度总表!$J$3:$J$1025,MATCH($E346,学年度总表!$E$3:$E$1025,0))="","",INDEX(学年度总表!$J$3:$J$1025,MATCH($E346,学年度总表!$E$3:$E$1025,0)))</f>
        <v>55.5</v>
      </c>
      <c r="K346" s="3">
        <f>IF(INDEX(学年度总表!$K$3:$K$1025,MATCH($E346,学年度总表!$E$3:$E$1025,0))="","",INDEX(学年度总表!$K$3:$K$1025,MATCH($E346,学年度总表!$E$3:$E$1025,0)))</f>
        <v>9.8000000000000007</v>
      </c>
      <c r="L346" s="3">
        <f>IF(INDEX(学年度总表!$L$3:$L$1025,MATCH($E346,学年度总表!$E$3:$E$1025,0))="","",INDEX(学年度总表!$L$3:$L$1025,MATCH($E346,学年度总表!$E$3:$E$1025,0)))</f>
        <v>39.700000000000003</v>
      </c>
      <c r="M346" s="3">
        <f>IF(INDEX(学年度总表!$M$3:$M$1025,MATCH($E346,学年度总表!$E$3:$E$1025,0))="","",INDEX(学年度总表!$M$3:$M$1025,MATCH($E346,学年度总表!$E$3:$E$1025,0)))</f>
        <v>3</v>
      </c>
      <c r="N346" s="3">
        <f>IF(INDEX(学年度总表!$N$3:$N$1025,MATCH($E346,学年度总表!$E$3:$E$1025,0))="","",INDEX(学年度总表!$N$3:$N$1025,MATCH($E346,学年度总表!$E$3:$E$1025,0)))</f>
        <v>52.5</v>
      </c>
      <c r="O346" s="3">
        <f>IF(INDEX(学年度总表!$O$3:$O$1025,MATCH($E346,学年度总表!$E$3:$E$1025,0))="","",INDEX(学年度总表!$O$3:$O$1025,MATCH($E346,学年度总表!$E$3:$E$1025,0)))</f>
        <v>108</v>
      </c>
      <c r="P346" s="2" t="str">
        <f>IF(INDEX(学年度总表!$P$3:$P$1025,MATCH($E346,学年度总表!$E$3:$E$1025,0))="","",INDEX(学年度总表!$P$3:$P$1025,MATCH($E346,学年度总表!$E$3:$E$1025,0)))</f>
        <v/>
      </c>
      <c r="Q346" s="5" t="str">
        <f>IF(INDEX(学年度总表!$Q$3:$Q$1025,MATCH($E346,学年度总表!$E$3:$E$1025,0))="","",INDEX(学年度总表!$Q$3:$Q$1025,MATCH($E346,学年度总表!$E$3:$E$1025,0)))</f>
        <v/>
      </c>
    </row>
    <row r="347" spans="1:17">
      <c r="A347" s="2">
        <f>IF(INDEX(学年度总表!$A$3:$A$1025,MATCH($E347,学年度总表!$E$3:$E$1025,0))="","",INDEX(学年度总表!$A$3:$A$1025,MATCH($E347,学年度总表!$E$3:$E$1025,0)))</f>
        <v>945</v>
      </c>
      <c r="B347" s="2">
        <f>IF(INDEX(学年度总表!$B$3:$B$1025,MATCH($E347,学年度总表!$E$3:$E$1025,0))="","",INDEX(学年度总表!$B$3:$B$1025,MATCH($E347,学年度总表!$E$3:$E$1025,0)))</f>
        <v>345</v>
      </c>
      <c r="C347" s="2" t="str">
        <f>IF(INDEX(学年度总表!$C$3:$C$1025,MATCH($E347,学年度总表!$E$3:$E$1025,0))="","",INDEX(学年度总表!$C$3:$C$1025,MATCH($E347,学年度总表!$E$3:$E$1025,0)))</f>
        <v>信管</v>
      </c>
      <c r="D347" s="2" t="str">
        <f>IF(INDEX(学年度总表!$D$3:$D$1025,MATCH($E347,学年度总表!$E$3:$E$1025,0))="","",INDEX(学年度总表!$D$3:$D$1025,MATCH($E347,学年度总表!$E$3:$E$1025,0)))</f>
        <v>信管26班</v>
      </c>
      <c r="E347" s="2" t="s">
        <v>1950</v>
      </c>
      <c r="F347" s="2" t="str">
        <f>IF(INDEX(学年度总表!$F$3:$F$1025,MATCH($E347,学年度总表!$E$3:$E$1025,0))="","",INDEX(学年度总表!$F$3:$F$1025,MATCH($E347,学年度总表!$E$3:$E$1025,0)))</f>
        <v>于斓纹溪</v>
      </c>
      <c r="G347" s="3">
        <f>IF(INDEX(学年度总表!$G$3:$G$1025,MATCH($E347,学年度总表!$E$3:$E$1025,0))="","",INDEX(学年度总表!$G$3:$G$1025,MATCH($E347,学年度总表!$E$3:$E$1025,0)))</f>
        <v>9.4</v>
      </c>
      <c r="H347" s="3">
        <f>IF(INDEX(学年度总表!$H$3:$H$1025,MATCH($E347,学年度总表!$E$3:$E$1025,0))="","",INDEX(学年度总表!$H$3:$H$1025,MATCH($E347,学年度总表!$E$3:$E$1025,0)))</f>
        <v>42.18</v>
      </c>
      <c r="I347" s="3">
        <f>IF(INDEX(学年度总表!$I$3:$I$1025,MATCH($E347,学年度总表!$E$3:$E$1025,0))="","",INDEX(学年度总表!$I$3:$I$1025,MATCH($E347,学年度总表!$E$3:$E$1025,0)))</f>
        <v>3.2</v>
      </c>
      <c r="J347" s="3">
        <f>IF(INDEX(学年度总表!$J$3:$J$1025,MATCH($E347,学年度总表!$E$3:$E$1025,0))="","",INDEX(学年度总表!$J$3:$J$1025,MATCH($E347,学年度总表!$E$3:$E$1025,0)))</f>
        <v>54.78</v>
      </c>
      <c r="K347" s="3">
        <f>IF(INDEX(学年度总表!$K$3:$K$1025,MATCH($E347,学年度总表!$E$3:$E$1025,0))="","",INDEX(学年度总表!$K$3:$K$1025,MATCH($E347,学年度总表!$E$3:$E$1025,0)))</f>
        <v>7.3000000000000007</v>
      </c>
      <c r="L347" s="3">
        <f>IF(INDEX(学年度总表!$L$3:$L$1025,MATCH($E347,学年度总表!$E$3:$E$1025,0))="","",INDEX(学年度总表!$L$3:$L$1025,MATCH($E347,学年度总表!$E$3:$E$1025,0)))</f>
        <v>40.49</v>
      </c>
      <c r="M347" s="3">
        <f>IF(INDEX(学年度总表!$M$3:$M$1025,MATCH($E347,学年度总表!$E$3:$E$1025,0))="","",INDEX(学年度总表!$M$3:$M$1025,MATCH($E347,学年度总表!$E$3:$E$1025,0)))</f>
        <v>5.3</v>
      </c>
      <c r="N347" s="3">
        <f>IF(INDEX(学年度总表!$N$3:$N$1025,MATCH($E347,学年度总表!$E$3:$E$1025,0))="","",INDEX(学年度总表!$N$3:$N$1025,MATCH($E347,学年度总表!$E$3:$E$1025,0)))</f>
        <v>53.09</v>
      </c>
      <c r="O347" s="3">
        <f>IF(INDEX(学年度总表!$O$3:$O$1025,MATCH($E347,学年度总表!$E$3:$E$1025,0))="","",INDEX(学年度总表!$O$3:$O$1025,MATCH($E347,学年度总表!$E$3:$E$1025,0)))</f>
        <v>107.87</v>
      </c>
      <c r="P347" s="2" t="str">
        <f>IF(INDEX(学年度总表!$P$3:$P$1025,MATCH($E347,学年度总表!$E$3:$E$1025,0))="","",INDEX(学年度总表!$P$3:$P$1025,MATCH($E347,学年度总表!$E$3:$E$1025,0)))</f>
        <v/>
      </c>
      <c r="Q347" s="5" t="str">
        <f>IF(INDEX(学年度总表!$Q$3:$Q$1025,MATCH($E347,学年度总表!$E$3:$E$1025,0))="","",INDEX(学年度总表!$Q$3:$Q$1025,MATCH($E347,学年度总表!$E$3:$E$1025,0)))</f>
        <v/>
      </c>
    </row>
    <row r="348" spans="1:17">
      <c r="A348" s="2">
        <f>IF(INDEX(学年度总表!$A$3:$A$1025,MATCH($E348,学年度总表!$E$3:$E$1025,0))="","",INDEX(学年度总表!$A$3:$A$1025,MATCH($E348,学年度总表!$E$3:$E$1025,0)))</f>
        <v>948</v>
      </c>
      <c r="B348" s="2">
        <f>IF(INDEX(学年度总表!$B$3:$B$1025,MATCH($E348,学年度总表!$E$3:$E$1025,0))="","",INDEX(学年度总表!$B$3:$B$1025,MATCH($E348,学年度总表!$E$3:$E$1025,0)))</f>
        <v>346</v>
      </c>
      <c r="C348" s="2" t="str">
        <f>IF(INDEX(学年度总表!$C$3:$C$1025,MATCH($E348,学年度总表!$E$3:$E$1025,0))="","",INDEX(学年度总表!$C$3:$C$1025,MATCH($E348,学年度总表!$E$3:$E$1025,0)))</f>
        <v>信管</v>
      </c>
      <c r="D348" s="2" t="str">
        <f>IF(INDEX(学年度总表!$D$3:$D$1025,MATCH($E348,学年度总表!$E$3:$E$1025,0))="","",INDEX(学年度总表!$D$3:$D$1025,MATCH($E348,学年度总表!$E$3:$E$1025,0)))</f>
        <v>信管23班</v>
      </c>
      <c r="E348" s="2" t="s">
        <v>1956</v>
      </c>
      <c r="F348" s="2" t="str">
        <f>IF(INDEX(学年度总表!$F$3:$F$1025,MATCH($E348,学年度总表!$E$3:$E$1025,0))="","",INDEX(学年度总表!$F$3:$F$1025,MATCH($E348,学年度总表!$E$3:$E$1025,0)))</f>
        <v>鲍佳音</v>
      </c>
      <c r="G348" s="3">
        <f>IF(INDEX(学年度总表!$G$3:$G$1025,MATCH($E348,学年度总表!$E$3:$E$1025,0))="","",INDEX(学年度总表!$G$3:$G$1025,MATCH($E348,学年度总表!$E$3:$E$1025,0)))</f>
        <v>9.8000000000000007</v>
      </c>
      <c r="H348" s="3">
        <f>IF(INDEX(学年度总表!$H$3:$H$1025,MATCH($E348,学年度总表!$E$3:$E$1025,0))="","",INDEX(学年度总表!$H$3:$H$1025,MATCH($E348,学年度总表!$E$3:$E$1025,0)))</f>
        <v>46.61</v>
      </c>
      <c r="I348" s="3">
        <f>IF(INDEX(学年度总表!$I$3:$I$1025,MATCH($E348,学年度总表!$E$3:$E$1025,0))="","",INDEX(学年度总表!$I$3:$I$1025,MATCH($E348,学年度总表!$E$3:$E$1025,0)))</f>
        <v>3</v>
      </c>
      <c r="J348" s="3">
        <f>IF(INDEX(学年度总表!$J$3:$J$1025,MATCH($E348,学年度总表!$E$3:$E$1025,0))="","",INDEX(学年度总表!$J$3:$J$1025,MATCH($E348,学年度总表!$E$3:$E$1025,0)))</f>
        <v>59.41</v>
      </c>
      <c r="K348" s="3">
        <f>IF(INDEX(学年度总表!$K$3:$K$1025,MATCH($E348,学年度总表!$E$3:$E$1025,0))="","",INDEX(学年度总表!$K$3:$K$1025,MATCH($E348,学年度总表!$E$3:$E$1025,0)))</f>
        <v>9.8000000000000007</v>
      </c>
      <c r="L348" s="3">
        <f>IF(INDEX(学年度总表!$L$3:$L$1025,MATCH($E348,学年度总表!$E$3:$E$1025,0))="","",INDEX(学年度总表!$L$3:$L$1025,MATCH($E348,学年度总表!$E$3:$E$1025,0)))</f>
        <v>34.270000000000003</v>
      </c>
      <c r="M348" s="3">
        <f>IF(INDEX(学年度总表!$M$3:$M$1025,MATCH($E348,学年度总表!$E$3:$E$1025,0))="","",INDEX(学年度总表!$M$3:$M$1025,MATCH($E348,学年度总表!$E$3:$E$1025,0)))</f>
        <v>3.7</v>
      </c>
      <c r="N348" s="3">
        <f>IF(INDEX(学年度总表!$N$3:$N$1025,MATCH($E348,学年度总表!$E$3:$E$1025,0))="","",INDEX(学年度总表!$N$3:$N$1025,MATCH($E348,学年度总表!$E$3:$E$1025,0)))</f>
        <v>47.77</v>
      </c>
      <c r="O348" s="3">
        <f>IF(INDEX(学年度总表!$O$3:$O$1025,MATCH($E348,学年度总表!$E$3:$E$1025,0))="","",INDEX(学年度总表!$O$3:$O$1025,MATCH($E348,学年度总表!$E$3:$E$1025,0)))</f>
        <v>107.18</v>
      </c>
      <c r="P348" s="2" t="str">
        <f>IF(INDEX(学年度总表!$P$3:$P$1025,MATCH($E348,学年度总表!$E$3:$E$1025,0))="","",INDEX(学年度总表!$P$3:$P$1025,MATCH($E348,学年度总表!$E$3:$E$1025,0)))</f>
        <v/>
      </c>
      <c r="Q348" s="5" t="str">
        <f>IF(INDEX(学年度总表!$Q$3:$Q$1025,MATCH($E348,学年度总表!$E$3:$E$1025,0))="","",INDEX(学年度总表!$Q$3:$Q$1025,MATCH($E348,学年度总表!$E$3:$E$1025,0)))</f>
        <v/>
      </c>
    </row>
    <row r="349" spans="1:17">
      <c r="A349" s="2">
        <f>IF(INDEX(学年度总表!$A$3:$A$1025,MATCH($E349,学年度总表!$E$3:$E$1025,0))="","",INDEX(学年度总表!$A$3:$A$1025,MATCH($E349,学年度总表!$E$3:$E$1025,0)))</f>
        <v>958</v>
      </c>
      <c r="B349" s="2">
        <f>IF(INDEX(学年度总表!$B$3:$B$1025,MATCH($E349,学年度总表!$E$3:$E$1025,0))="","",INDEX(学年度总表!$B$3:$B$1025,MATCH($E349,学年度总表!$E$3:$E$1025,0)))</f>
        <v>347</v>
      </c>
      <c r="C349" s="2" t="str">
        <f>IF(INDEX(学年度总表!$C$3:$C$1025,MATCH($E349,学年度总表!$E$3:$E$1025,0))="","",INDEX(学年度总表!$C$3:$C$1025,MATCH($E349,学年度总表!$E$3:$E$1025,0)))</f>
        <v>信管</v>
      </c>
      <c r="D349" s="2" t="str">
        <f>IF(INDEX(学年度总表!$D$3:$D$1025,MATCH($E349,学年度总表!$E$3:$E$1025,0))="","",INDEX(学年度总表!$D$3:$D$1025,MATCH($E349,学年度总表!$E$3:$E$1025,0)))</f>
        <v>信管19班</v>
      </c>
      <c r="E349" s="2" t="s">
        <v>1976</v>
      </c>
      <c r="F349" s="2" t="str">
        <f>IF(INDEX(学年度总表!$F$3:$F$1025,MATCH($E349,学年度总表!$E$3:$E$1025,0))="","",INDEX(学年度总表!$F$3:$F$1025,MATCH($E349,学年度总表!$E$3:$E$1025,0)))</f>
        <v>刘晨浩</v>
      </c>
      <c r="G349" s="3">
        <f>IF(INDEX(学年度总表!$G$3:$G$1025,MATCH($E349,学年度总表!$E$3:$E$1025,0))="","",INDEX(学年度总表!$G$3:$G$1025,MATCH($E349,学年度总表!$E$3:$E$1025,0)))</f>
        <v>9.6</v>
      </c>
      <c r="H349" s="3">
        <f>IF(INDEX(学年度总表!$H$3:$H$1025,MATCH($E349,学年度总表!$E$3:$E$1025,0))="","",INDEX(学年度总表!$H$3:$H$1025,MATCH($E349,学年度总表!$E$3:$E$1025,0)))</f>
        <v>33.36</v>
      </c>
      <c r="I349" s="3">
        <f>IF(INDEX(学年度总表!$I$3:$I$1025,MATCH($E349,学年度总表!$E$3:$E$1025,0))="","",INDEX(学年度总表!$I$3:$I$1025,MATCH($E349,学年度总表!$E$3:$E$1025,0)))</f>
        <v>3</v>
      </c>
      <c r="J349" s="3">
        <f>IF(INDEX(学年度总表!$J$3:$J$1025,MATCH($E349,学年度总表!$E$3:$E$1025,0))="","",INDEX(学年度总表!$J$3:$J$1025,MATCH($E349,学年度总表!$E$3:$E$1025,0)))</f>
        <v>45.96</v>
      </c>
      <c r="K349" s="3">
        <f>IF(INDEX(学年度总表!$K$3:$K$1025,MATCH($E349,学年度总表!$E$3:$E$1025,0))="","",INDEX(学年度总表!$K$3:$K$1025,MATCH($E349,学年度总表!$E$3:$E$1025,0)))</f>
        <v>9.8000000000000007</v>
      </c>
      <c r="L349" s="3">
        <f>IF(INDEX(学年度总表!$L$3:$L$1025,MATCH($E349,学年度总表!$E$3:$E$1025,0))="","",INDEX(学年度总表!$L$3:$L$1025,MATCH($E349,学年度总表!$E$3:$E$1025,0)))</f>
        <v>41.06</v>
      </c>
      <c r="M349" s="3">
        <f>IF(INDEX(学年度总表!$M$3:$M$1025,MATCH($E349,学年度总表!$E$3:$E$1025,0))="","",INDEX(学年度总表!$M$3:$M$1025,MATCH($E349,学年度总表!$E$3:$E$1025,0)))</f>
        <v>3.5</v>
      </c>
      <c r="N349" s="3">
        <f>IF(INDEX(学年度总表!$N$3:$N$1025,MATCH($E349,学年度总表!$E$3:$E$1025,0))="","",INDEX(学年度总表!$N$3:$N$1025,MATCH($E349,学年度总表!$E$3:$E$1025,0)))</f>
        <v>54.36</v>
      </c>
      <c r="O349" s="3">
        <f>IF(INDEX(学年度总表!$O$3:$O$1025,MATCH($E349,学年度总表!$E$3:$E$1025,0))="","",INDEX(学年度总表!$O$3:$O$1025,MATCH($E349,学年度总表!$E$3:$E$1025,0)))</f>
        <v>100.32</v>
      </c>
      <c r="P349" s="2" t="str">
        <f>IF(INDEX(学年度总表!$P$3:$P$1025,MATCH($E349,学年度总表!$E$3:$E$1025,0))="","",INDEX(学年度总表!$P$3:$P$1025,MATCH($E349,学年度总表!$E$3:$E$1025,0)))</f>
        <v/>
      </c>
      <c r="Q349" s="5" t="str">
        <f>IF(INDEX(学年度总表!$Q$3:$Q$1025,MATCH($E349,学年度总表!$E$3:$E$1025,0))="","",INDEX(学年度总表!$Q$3:$Q$1025,MATCH($E349,学年度总表!$E$3:$E$1025,0)))</f>
        <v/>
      </c>
    </row>
    <row r="350" spans="1:17">
      <c r="A350" s="2">
        <f>IF(INDEX(学年度总表!$A$3:$A$1025,MATCH($E350,学年度总表!$E$3:$E$1025,0))="","",INDEX(学年度总表!$A$3:$A$1025,MATCH($E350,学年度总表!$E$3:$E$1025,0)))</f>
        <v>962</v>
      </c>
      <c r="B350" s="2">
        <f>IF(INDEX(学年度总表!$B$3:$B$1025,MATCH($E350,学年度总表!$E$3:$E$1025,0))="","",INDEX(学年度总表!$B$3:$B$1025,MATCH($E350,学年度总表!$E$3:$E$1025,0)))</f>
        <v>348</v>
      </c>
      <c r="C350" s="2" t="str">
        <f>IF(INDEX(学年度总表!$C$3:$C$1025,MATCH($E350,学年度总表!$E$3:$E$1025,0))="","",INDEX(学年度总表!$C$3:$C$1025,MATCH($E350,学年度总表!$E$3:$E$1025,0)))</f>
        <v>信管</v>
      </c>
      <c r="D350" s="2" t="str">
        <f>IF(INDEX(学年度总表!$D$3:$D$1025,MATCH($E350,学年度总表!$E$3:$E$1025,0))="","",INDEX(学年度总表!$D$3:$D$1025,MATCH($E350,学年度总表!$E$3:$E$1025,0)))</f>
        <v>信管26班</v>
      </c>
      <c r="E350" s="2" t="s">
        <v>1984</v>
      </c>
      <c r="F350" s="2" t="str">
        <f>IF(INDEX(学年度总表!$F$3:$F$1025,MATCH($E350,学年度总表!$E$3:$E$1025,0))="","",INDEX(学年度总表!$F$3:$F$1025,MATCH($E350,学年度总表!$E$3:$E$1025,0)))</f>
        <v>冯悦宸</v>
      </c>
      <c r="G350" s="3">
        <f>IF(INDEX(学年度总表!$G$3:$G$1025,MATCH($E350,学年度总表!$E$3:$E$1025,0))="","",INDEX(学年度总表!$G$3:$G$1025,MATCH($E350,学年度总表!$E$3:$E$1025,0)))</f>
        <v>10.5</v>
      </c>
      <c r="H350" s="3">
        <f>IF(INDEX(学年度总表!$H$3:$H$1025,MATCH($E350,学年度总表!$E$3:$E$1025,0))="","",INDEX(学年度总表!$H$3:$H$1025,MATCH($E350,学年度总表!$E$3:$E$1025,0)))</f>
        <v>43.22</v>
      </c>
      <c r="I350" s="3">
        <f>IF(INDEX(学年度总表!$I$3:$I$1025,MATCH($E350,学年度总表!$E$3:$E$1025,0))="","",INDEX(学年度总表!$I$3:$I$1025,MATCH($E350,学年度总表!$E$3:$E$1025,0)))</f>
        <v>3</v>
      </c>
      <c r="J350" s="3">
        <f>IF(INDEX(学年度总表!$J$3:$J$1025,MATCH($E350,学年度总表!$E$3:$E$1025,0))="","",INDEX(学年度总表!$J$3:$J$1025,MATCH($E350,学年度总表!$E$3:$E$1025,0)))</f>
        <v>56.72</v>
      </c>
      <c r="K350" s="3">
        <f>IF(INDEX(学年度总表!$K$3:$K$1025,MATCH($E350,学年度总表!$E$3:$E$1025,0))="","",INDEX(学年度总表!$K$3:$K$1025,MATCH($E350,学年度总表!$E$3:$E$1025,0)))</f>
        <v>7.5</v>
      </c>
      <c r="L350" s="3">
        <f>IF(INDEX(学年度总表!$L$3:$L$1025,MATCH($E350,学年度总表!$E$3:$E$1025,0))="","",INDEX(学年度总表!$L$3:$L$1025,MATCH($E350,学年度总表!$E$3:$E$1025,0)))</f>
        <v>31.5</v>
      </c>
      <c r="M350" s="3">
        <f>IF(INDEX(学年度总表!$M$3:$M$1025,MATCH($E350,学年度总表!$E$3:$E$1025,0))="","",INDEX(学年度总表!$M$3:$M$1025,MATCH($E350,学年度总表!$E$3:$E$1025,0)))</f>
        <v>3</v>
      </c>
      <c r="N350" s="3">
        <f>IF(INDEX(学年度总表!$N$3:$N$1025,MATCH($E350,学年度总表!$E$3:$E$1025,0))="","",INDEX(学年度总表!$N$3:$N$1025,MATCH($E350,学年度总表!$E$3:$E$1025,0)))</f>
        <v>42</v>
      </c>
      <c r="O350" s="3">
        <f>IF(INDEX(学年度总表!$O$3:$O$1025,MATCH($E350,学年度总表!$E$3:$E$1025,0))="","",INDEX(学年度总表!$O$3:$O$1025,MATCH($E350,学年度总表!$E$3:$E$1025,0)))</f>
        <v>98.72</v>
      </c>
      <c r="P350" s="2" t="str">
        <f>IF(INDEX(学年度总表!$P$3:$P$1025,MATCH($E350,学年度总表!$E$3:$E$1025,0))="","",INDEX(学年度总表!$P$3:$P$1025,MATCH($E350,学年度总表!$E$3:$E$1025,0)))</f>
        <v/>
      </c>
      <c r="Q350" s="5" t="str">
        <f>IF(INDEX(学年度总表!$Q$3:$Q$1025,MATCH($E350,学年度总表!$E$3:$E$1025,0))="","",INDEX(学年度总表!$Q$3:$Q$1025,MATCH($E350,学年度总表!$E$3:$E$1025,0)))</f>
        <v/>
      </c>
    </row>
    <row r="351" spans="1:17">
      <c r="A351" s="2">
        <f>IF(INDEX(学年度总表!$A$3:$A$1025,MATCH($E351,学年度总表!$E$3:$E$1025,0))="","",INDEX(学年度总表!$A$3:$A$1025,MATCH($E351,学年度总表!$E$3:$E$1025,0)))</f>
        <v>965</v>
      </c>
      <c r="B351" s="2">
        <f>IF(INDEX(学年度总表!$B$3:$B$1025,MATCH($E351,学年度总表!$E$3:$E$1025,0))="","",INDEX(学年度总表!$B$3:$B$1025,MATCH($E351,学年度总表!$E$3:$E$1025,0)))</f>
        <v>349</v>
      </c>
      <c r="C351" s="2" t="str">
        <f>IF(INDEX(学年度总表!$C$3:$C$1025,MATCH($E351,学年度总表!$E$3:$E$1025,0))="","",INDEX(学年度总表!$C$3:$C$1025,MATCH($E351,学年度总表!$E$3:$E$1025,0)))</f>
        <v>信管</v>
      </c>
      <c r="D351" s="2" t="str">
        <f>IF(INDEX(学年度总表!$D$3:$D$1025,MATCH($E351,学年度总表!$E$3:$E$1025,0))="","",INDEX(学年度总表!$D$3:$D$1025,MATCH($E351,学年度总表!$E$3:$E$1025,0)))</f>
        <v>信管20班</v>
      </c>
      <c r="E351" s="2" t="s">
        <v>1990</v>
      </c>
      <c r="F351" s="2" t="str">
        <f>IF(INDEX(学年度总表!$F$3:$F$1025,MATCH($E351,学年度总表!$E$3:$E$1025,0))="","",INDEX(学年度总表!$F$3:$F$1025,MATCH($E351,学年度总表!$E$3:$E$1025,0)))</f>
        <v>张绮航</v>
      </c>
      <c r="G351" s="3">
        <f>IF(INDEX(学年度总表!$G$3:$G$1025,MATCH($E351,学年度总表!$E$3:$E$1025,0))="","",INDEX(学年度总表!$G$3:$G$1025,MATCH($E351,学年度总表!$E$3:$E$1025,0)))</f>
        <v>9.8000000000000007</v>
      </c>
      <c r="H351" s="3">
        <f>IF(INDEX(学年度总表!$H$3:$H$1025,MATCH($E351,学年度总表!$E$3:$E$1025,0))="","",INDEX(学年度总表!$H$3:$H$1025,MATCH($E351,学年度总表!$E$3:$E$1025,0)))</f>
        <v>56.04</v>
      </c>
      <c r="I351" s="3">
        <f>IF(INDEX(学年度总表!$I$3:$I$1025,MATCH($E351,学年度总表!$E$3:$E$1025,0))="","",INDEX(学年度总表!$I$3:$I$1025,MATCH($E351,学年度总表!$E$3:$E$1025,0)))</f>
        <v>3.9</v>
      </c>
      <c r="J351" s="3">
        <f>IF(INDEX(学年度总表!$J$3:$J$1025,MATCH($E351,学年度总表!$E$3:$E$1025,0))="","",INDEX(学年度总表!$J$3:$J$1025,MATCH($E351,学年度总表!$E$3:$E$1025,0)))</f>
        <v>69.739999999999995</v>
      </c>
      <c r="K351" s="3">
        <f>IF(INDEX(学年度总表!$K$3:$K$1025,MATCH($E351,学年度总表!$E$3:$E$1025,0))="","",INDEX(学年度总表!$K$3:$K$1025,MATCH($E351,学年度总表!$E$3:$E$1025,0)))</f>
        <v>9.8000000000000007</v>
      </c>
      <c r="L351" s="3">
        <f>IF(INDEX(学年度总表!$L$3:$L$1025,MATCH($E351,学年度总表!$E$3:$E$1025,0))="","",INDEX(学年度总表!$L$3:$L$1025,MATCH($E351,学年度总表!$E$3:$E$1025,0)))</f>
        <v>13.5</v>
      </c>
      <c r="M351" s="3">
        <f>IF(INDEX(学年度总表!$M$3:$M$1025,MATCH($E351,学年度总表!$E$3:$E$1025,0))="","",INDEX(学年度总表!$M$3:$M$1025,MATCH($E351,学年度总表!$E$3:$E$1025,0)))</f>
        <v>4.5</v>
      </c>
      <c r="N351" s="3">
        <f>IF(INDEX(学年度总表!$N$3:$N$1025,MATCH($E351,学年度总表!$E$3:$E$1025,0))="","",INDEX(学年度总表!$N$3:$N$1025,MATCH($E351,学年度总表!$E$3:$E$1025,0)))</f>
        <v>27.8</v>
      </c>
      <c r="O351" s="3">
        <f>IF(INDEX(学年度总表!$O$3:$O$1025,MATCH($E351,学年度总表!$E$3:$E$1025,0))="","",INDEX(学年度总表!$O$3:$O$1025,MATCH($E351,学年度总表!$E$3:$E$1025,0)))</f>
        <v>97.54</v>
      </c>
      <c r="P351" s="2" t="str">
        <f>IF(INDEX(学年度总表!$P$3:$P$1025,MATCH($E351,学年度总表!$E$3:$E$1025,0))="","",INDEX(学年度总表!$P$3:$P$1025,MATCH($E351,学年度总表!$E$3:$E$1025,0)))</f>
        <v/>
      </c>
      <c r="Q351" s="5" t="str">
        <f>IF(INDEX(学年度总表!$Q$3:$Q$1025,MATCH($E351,学年度总表!$E$3:$E$1025,0))="","",INDEX(学年度总表!$Q$3:$Q$1025,MATCH($E351,学年度总表!$E$3:$E$1025,0)))</f>
        <v/>
      </c>
    </row>
    <row r="352" spans="1:17">
      <c r="A352" s="2">
        <f>IF(INDEX(学年度总表!$A$3:$A$1025,MATCH($E352,学年度总表!$E$3:$E$1025,0))="","",INDEX(学年度总表!$A$3:$A$1025,MATCH($E352,学年度总表!$E$3:$E$1025,0)))</f>
        <v>966</v>
      </c>
      <c r="B352" s="2">
        <f>IF(INDEX(学年度总表!$B$3:$B$1025,MATCH($E352,学年度总表!$E$3:$E$1025,0))="","",INDEX(学年度总表!$B$3:$B$1025,MATCH($E352,学年度总表!$E$3:$E$1025,0)))</f>
        <v>350</v>
      </c>
      <c r="C352" s="2" t="str">
        <f>IF(INDEX(学年度总表!$C$3:$C$1025,MATCH($E352,学年度总表!$E$3:$E$1025,0))="","",INDEX(学年度总表!$C$3:$C$1025,MATCH($E352,学年度总表!$E$3:$E$1025,0)))</f>
        <v>信管</v>
      </c>
      <c r="D352" s="2" t="str">
        <f>IF(INDEX(学年度总表!$D$3:$D$1025,MATCH($E352,学年度总表!$E$3:$E$1025,0))="","",INDEX(学年度总表!$D$3:$D$1025,MATCH($E352,学年度总表!$E$3:$E$1025,0)))</f>
        <v>信管26班</v>
      </c>
      <c r="E352" s="2" t="s">
        <v>1992</v>
      </c>
      <c r="F352" s="2" t="str">
        <f>IF(INDEX(学年度总表!$F$3:$F$1025,MATCH($E352,学年度总表!$E$3:$E$1025,0))="","",INDEX(学年度总表!$F$3:$F$1025,MATCH($E352,学年度总表!$E$3:$E$1025,0)))</f>
        <v>丛黎辉</v>
      </c>
      <c r="G352" s="3">
        <f>IF(INDEX(学年度总表!$G$3:$G$1025,MATCH($E352,学年度总表!$E$3:$E$1025,0))="","",INDEX(学年度总表!$G$3:$G$1025,MATCH($E352,学年度总表!$E$3:$E$1025,0)))</f>
        <v>7.5</v>
      </c>
      <c r="H352" s="3">
        <f>IF(INDEX(学年度总表!$H$3:$H$1025,MATCH($E352,学年度总表!$E$3:$E$1025,0))="","",INDEX(学年度总表!$H$3:$H$1025,MATCH($E352,学年度总表!$E$3:$E$1025,0)))</f>
        <v>42.88</v>
      </c>
      <c r="I352" s="3">
        <f>IF(INDEX(学年度总表!$I$3:$I$1025,MATCH($E352,学年度总表!$E$3:$E$1025,0))="","",INDEX(学年度总表!$I$3:$I$1025,MATCH($E352,学年度总表!$E$3:$E$1025,0)))</f>
        <v>3</v>
      </c>
      <c r="J352" s="3">
        <f>IF(INDEX(学年度总表!$J$3:$J$1025,MATCH($E352,学年度总表!$E$3:$E$1025,0))="","",INDEX(学年度总表!$J$3:$J$1025,MATCH($E352,学年度总表!$E$3:$E$1025,0)))</f>
        <v>53.38</v>
      </c>
      <c r="K352" s="3">
        <f>IF(INDEX(学年度总表!$K$3:$K$1025,MATCH($E352,学年度总表!$E$3:$E$1025,0))="","",INDEX(学年度总表!$K$3:$K$1025,MATCH($E352,学年度总表!$E$3:$E$1025,0)))</f>
        <v>7.5</v>
      </c>
      <c r="L352" s="3">
        <f>IF(INDEX(学年度总表!$L$3:$L$1025,MATCH($E352,学年度总表!$E$3:$E$1025,0))="","",INDEX(学年度总表!$L$3:$L$1025,MATCH($E352,学年度总表!$E$3:$E$1025,0)))</f>
        <v>32.82</v>
      </c>
      <c r="M352" s="3">
        <f>IF(INDEX(学年度总表!$M$3:$M$1025,MATCH($E352,学年度总表!$E$3:$E$1025,0))="","",INDEX(学年度总表!$M$3:$M$1025,MATCH($E352,学年度总表!$E$3:$E$1025,0)))</f>
        <v>3</v>
      </c>
      <c r="N352" s="3">
        <f>IF(INDEX(学年度总表!$N$3:$N$1025,MATCH($E352,学年度总表!$E$3:$E$1025,0))="","",INDEX(学年度总表!$N$3:$N$1025,MATCH($E352,学年度总表!$E$3:$E$1025,0)))</f>
        <v>43.32</v>
      </c>
      <c r="O352" s="3">
        <f>IF(INDEX(学年度总表!$O$3:$O$1025,MATCH($E352,学年度总表!$E$3:$E$1025,0))="","",INDEX(学年度总表!$O$3:$O$1025,MATCH($E352,学年度总表!$E$3:$E$1025,0)))</f>
        <v>96.7</v>
      </c>
      <c r="P352" s="2" t="str">
        <f>IF(INDEX(学年度总表!$P$3:$P$1025,MATCH($E352,学年度总表!$E$3:$E$1025,0))="","",INDEX(学年度总表!$P$3:$P$1025,MATCH($E352,学年度总表!$E$3:$E$1025,0)))</f>
        <v/>
      </c>
      <c r="Q352" s="5" t="str">
        <f>IF(INDEX(学年度总表!$Q$3:$Q$1025,MATCH($E352,学年度总表!$E$3:$E$1025,0))="","",INDEX(学年度总表!$Q$3:$Q$1025,MATCH($E352,学年度总表!$E$3:$E$1025,0)))</f>
        <v/>
      </c>
    </row>
    <row r="353" spans="1:17">
      <c r="A353" s="2">
        <f>IF(INDEX(学年度总表!$A$3:$A$1025,MATCH($E353,学年度总表!$E$3:$E$1025,0))="","",INDEX(学年度总表!$A$3:$A$1025,MATCH($E353,学年度总表!$E$3:$E$1025,0)))</f>
        <v>970</v>
      </c>
      <c r="B353" s="2">
        <f>IF(INDEX(学年度总表!$B$3:$B$1025,MATCH($E353,学年度总表!$E$3:$E$1025,0))="","",INDEX(学年度总表!$B$3:$B$1025,MATCH($E353,学年度总表!$E$3:$E$1025,0)))</f>
        <v>351</v>
      </c>
      <c r="C353" s="2" t="str">
        <f>IF(INDEX(学年度总表!$C$3:$C$1025,MATCH($E353,学年度总表!$E$3:$E$1025,0))="","",INDEX(学年度总表!$C$3:$C$1025,MATCH($E353,学年度总表!$E$3:$E$1025,0)))</f>
        <v>信管</v>
      </c>
      <c r="D353" s="2" t="str">
        <f>IF(INDEX(学年度总表!$D$3:$D$1025,MATCH($E353,学年度总表!$E$3:$E$1025,0))="","",INDEX(学年度总表!$D$3:$D$1025,MATCH($E353,学年度总表!$E$3:$E$1025,0)))</f>
        <v>信管23班</v>
      </c>
      <c r="E353" s="2" t="s">
        <v>2000</v>
      </c>
      <c r="F353" s="2" t="str">
        <f>IF(INDEX(学年度总表!$F$3:$F$1025,MATCH($E353,学年度总表!$E$3:$E$1025,0))="","",INDEX(学年度总表!$F$3:$F$1025,MATCH($E353,学年度总表!$E$3:$E$1025,0)))</f>
        <v>杨安琦</v>
      </c>
      <c r="G353" s="3">
        <f>IF(INDEX(学年度总表!$G$3:$G$1025,MATCH($E353,学年度总表!$E$3:$E$1025,0))="","",INDEX(学年度总表!$G$3:$G$1025,MATCH($E353,学年度总表!$E$3:$E$1025,0)))</f>
        <v>9.8000000000000007</v>
      </c>
      <c r="H353" s="3">
        <f>IF(INDEX(学年度总表!$H$3:$H$1025,MATCH($E353,学年度总表!$E$3:$E$1025,0))="","",INDEX(学年度总表!$H$3:$H$1025,MATCH($E353,学年度总表!$E$3:$E$1025,0)))</f>
        <v>39.03</v>
      </c>
      <c r="I353" s="3">
        <f>IF(INDEX(学年度总表!$I$3:$I$1025,MATCH($E353,学年度总表!$E$3:$E$1025,0))="","",INDEX(学年度总表!$I$3:$I$1025,MATCH($E353,学年度总表!$E$3:$E$1025,0)))</f>
        <v>3</v>
      </c>
      <c r="J353" s="3">
        <f>IF(INDEX(学年度总表!$J$3:$J$1025,MATCH($E353,学年度总表!$E$3:$E$1025,0))="","",INDEX(学年度总表!$J$3:$J$1025,MATCH($E353,学年度总表!$E$3:$E$1025,0)))</f>
        <v>51.83</v>
      </c>
      <c r="K353" s="3">
        <f>IF(INDEX(学年度总表!$K$3:$K$1025,MATCH($E353,学年度总表!$E$3:$E$1025,0))="","",INDEX(学年度总表!$K$3:$K$1025,MATCH($E353,学年度总表!$E$3:$E$1025,0)))</f>
        <v>9.8000000000000007</v>
      </c>
      <c r="L353" s="3">
        <f>IF(INDEX(学年度总表!$L$3:$L$1025,MATCH($E353,学年度总表!$E$3:$E$1025,0))="","",INDEX(学年度总表!$L$3:$L$1025,MATCH($E353,学年度总表!$E$3:$E$1025,0)))</f>
        <v>29.46</v>
      </c>
      <c r="M353" s="3">
        <f>IF(INDEX(学年度总表!$M$3:$M$1025,MATCH($E353,学年度总表!$E$3:$E$1025,0))="","",INDEX(学年度总表!$M$3:$M$1025,MATCH($E353,学年度总表!$E$3:$E$1025,0)))</f>
        <v>3</v>
      </c>
      <c r="N353" s="3">
        <f>IF(INDEX(学年度总表!$N$3:$N$1025,MATCH($E353,学年度总表!$E$3:$E$1025,0))="","",INDEX(学年度总表!$N$3:$N$1025,MATCH($E353,学年度总表!$E$3:$E$1025,0)))</f>
        <v>42.26</v>
      </c>
      <c r="O353" s="3">
        <f>IF(INDEX(学年度总表!$O$3:$O$1025,MATCH($E353,学年度总表!$E$3:$E$1025,0))="","",INDEX(学年度总表!$O$3:$O$1025,MATCH($E353,学年度总表!$E$3:$E$1025,0)))</f>
        <v>94.09</v>
      </c>
      <c r="P353" s="2" t="str">
        <f>IF(INDEX(学年度总表!$P$3:$P$1025,MATCH($E353,学年度总表!$E$3:$E$1025,0))="","",INDEX(学年度总表!$P$3:$P$1025,MATCH($E353,学年度总表!$E$3:$E$1025,0)))</f>
        <v/>
      </c>
      <c r="Q353" s="5" t="str">
        <f>IF(INDEX(学年度总表!$Q$3:$Q$1025,MATCH($E353,学年度总表!$E$3:$E$1025,0))="","",INDEX(学年度总表!$Q$3:$Q$1025,MATCH($E353,学年度总表!$E$3:$E$1025,0)))</f>
        <v/>
      </c>
    </row>
    <row r="354" spans="1:17">
      <c r="A354" s="2">
        <f>IF(INDEX(学年度总表!$A$3:$A$1025,MATCH($E354,学年度总表!$E$3:$E$1025,0))="","",INDEX(学年度总表!$A$3:$A$1025,MATCH($E354,学年度总表!$E$3:$E$1025,0)))</f>
        <v>978</v>
      </c>
      <c r="B354" s="2">
        <f>IF(INDEX(学年度总表!$B$3:$B$1025,MATCH($E354,学年度总表!$E$3:$E$1025,0))="","",INDEX(学年度总表!$B$3:$B$1025,MATCH($E354,学年度总表!$E$3:$E$1025,0)))</f>
        <v>352</v>
      </c>
      <c r="C354" s="2" t="str">
        <f>IF(INDEX(学年度总表!$C$3:$C$1025,MATCH($E354,学年度总表!$E$3:$E$1025,0))="","",INDEX(学年度总表!$C$3:$C$1025,MATCH($E354,学年度总表!$E$3:$E$1025,0)))</f>
        <v>信管</v>
      </c>
      <c r="D354" s="2" t="str">
        <f>IF(INDEX(学年度总表!$D$3:$D$1025,MATCH($E354,学年度总表!$E$3:$E$1025,0))="","",INDEX(学年度总表!$D$3:$D$1025,MATCH($E354,学年度总表!$E$3:$E$1025,0)))</f>
        <v>信管23班</v>
      </c>
      <c r="E354" s="2" t="s">
        <v>2016</v>
      </c>
      <c r="F354" s="2" t="str">
        <f>IF(INDEX(学年度总表!$F$3:$F$1025,MATCH($E354,学年度总表!$E$3:$E$1025,0))="","",INDEX(学年度总表!$F$3:$F$1025,MATCH($E354,学年度总表!$E$3:$E$1025,0)))</f>
        <v>张稀博</v>
      </c>
      <c r="G354" s="3">
        <f>IF(INDEX(学年度总表!$G$3:$G$1025,MATCH($E354,学年度总表!$E$3:$E$1025,0))="","",INDEX(学年度总表!$G$3:$G$1025,MATCH($E354,学年度总表!$E$3:$E$1025,0)))</f>
        <v>9</v>
      </c>
      <c r="H354" s="3">
        <f>IF(INDEX(学年度总表!$H$3:$H$1025,MATCH($E354,学年度总表!$E$3:$E$1025,0))="","",INDEX(学年度总表!$H$3:$H$1025,MATCH($E354,学年度总表!$E$3:$E$1025,0)))</f>
        <v>41.79</v>
      </c>
      <c r="I354" s="3">
        <f>IF(INDEX(学年度总表!$I$3:$I$1025,MATCH($E354,学年度总表!$E$3:$E$1025,0))="","",INDEX(学年度总表!$I$3:$I$1025,MATCH($E354,学年度总表!$E$3:$E$1025,0)))</f>
        <v>3</v>
      </c>
      <c r="J354" s="3">
        <f>IF(INDEX(学年度总表!$J$3:$J$1025,MATCH($E354,学年度总表!$E$3:$E$1025,0))="","",INDEX(学年度总表!$J$3:$J$1025,MATCH($E354,学年度总表!$E$3:$E$1025,0)))</f>
        <v>53.79</v>
      </c>
      <c r="K354" s="3">
        <f>IF(INDEX(学年度总表!$K$3:$K$1025,MATCH($E354,学年度总表!$E$3:$E$1025,0))="","",INDEX(学年度总表!$K$3:$K$1025,MATCH($E354,学年度总表!$E$3:$E$1025,0)))</f>
        <v>7.5</v>
      </c>
      <c r="L354" s="3">
        <f>IF(INDEX(学年度总表!$L$3:$L$1025,MATCH($E354,学年度总表!$E$3:$E$1025,0))="","",INDEX(学年度总表!$L$3:$L$1025,MATCH($E354,学年度总表!$E$3:$E$1025,0)))</f>
        <v>20.28</v>
      </c>
      <c r="M354" s="3">
        <f>IF(INDEX(学年度总表!$M$3:$M$1025,MATCH($E354,学年度总表!$E$3:$E$1025,0))="","",INDEX(学年度总表!$M$3:$M$1025,MATCH($E354,学年度总表!$E$3:$E$1025,0)))</f>
        <v>3</v>
      </c>
      <c r="N354" s="3">
        <f>IF(INDEX(学年度总表!$N$3:$N$1025,MATCH($E354,学年度总表!$E$3:$E$1025,0))="","",INDEX(学年度总表!$N$3:$N$1025,MATCH($E354,学年度总表!$E$3:$E$1025,0)))</f>
        <v>30.78</v>
      </c>
      <c r="O354" s="3">
        <f>IF(INDEX(学年度总表!$O$3:$O$1025,MATCH($E354,学年度总表!$E$3:$E$1025,0))="","",INDEX(学年度总表!$O$3:$O$1025,MATCH($E354,学年度总表!$E$3:$E$1025,0)))</f>
        <v>84.57</v>
      </c>
      <c r="P354" s="2" t="str">
        <f>IF(INDEX(学年度总表!$P$3:$P$1025,MATCH($E354,学年度总表!$E$3:$E$1025,0))="","",INDEX(学年度总表!$P$3:$P$1025,MATCH($E354,学年度总表!$E$3:$E$1025,0)))</f>
        <v/>
      </c>
      <c r="Q354" s="5" t="str">
        <f>IF(INDEX(学年度总表!$Q$3:$Q$1025,MATCH($E354,学年度总表!$E$3:$E$1025,0))="","",INDEX(学年度总表!$Q$3:$Q$1025,MATCH($E354,学年度总表!$E$3:$E$1025,0)))</f>
        <v/>
      </c>
    </row>
    <row r="355" spans="1:17">
      <c r="A355" s="2">
        <f>IF(INDEX(学年度总表!$A$3:$A$1025,MATCH($E355,学年度总表!$E$3:$E$1025,0))="","",INDEX(学年度总表!$A$3:$A$1025,MATCH($E355,学年度总表!$E$3:$E$1025,0)))</f>
        <v>979</v>
      </c>
      <c r="B355" s="2">
        <f>IF(INDEX(学年度总表!$B$3:$B$1025,MATCH($E355,学年度总表!$E$3:$E$1025,0))="","",INDEX(学年度总表!$B$3:$B$1025,MATCH($E355,学年度总表!$E$3:$E$1025,0)))</f>
        <v>353</v>
      </c>
      <c r="C355" s="2" t="str">
        <f>IF(INDEX(学年度总表!$C$3:$C$1025,MATCH($E355,学年度总表!$E$3:$E$1025,0))="","",INDEX(学年度总表!$C$3:$C$1025,MATCH($E355,学年度总表!$E$3:$E$1025,0)))</f>
        <v>信管</v>
      </c>
      <c r="D355" s="2" t="str">
        <f>IF(INDEX(学年度总表!$D$3:$D$1025,MATCH($E355,学年度总表!$E$3:$E$1025,0))="","",INDEX(学年度总表!$D$3:$D$1025,MATCH($E355,学年度总表!$E$3:$E$1025,0)))</f>
        <v>信管28班</v>
      </c>
      <c r="E355" s="2" t="s">
        <v>2018</v>
      </c>
      <c r="F355" s="2" t="str">
        <f>IF(INDEX(学年度总表!$F$3:$F$1025,MATCH($E355,学年度总表!$E$3:$E$1025,0))="","",INDEX(学年度总表!$F$3:$F$1025,MATCH($E355,学年度总表!$E$3:$E$1025,0)))</f>
        <v>刘译雯</v>
      </c>
      <c r="G355" s="3">
        <f>IF(INDEX(学年度总表!$G$3:$G$1025,MATCH($E355,学年度总表!$E$3:$E$1025,0))="","",INDEX(学年度总表!$G$3:$G$1025,MATCH($E355,学年度总表!$E$3:$E$1025,0)))</f>
        <v>9.8000000000000007</v>
      </c>
      <c r="H355" s="3">
        <f>IF(INDEX(学年度总表!$H$3:$H$1025,MATCH($E355,学年度总表!$E$3:$E$1025,0))="","",INDEX(学年度总表!$H$3:$H$1025,MATCH($E355,学年度总表!$E$3:$E$1025,0)))</f>
        <v>71.25</v>
      </c>
      <c r="I355" s="3">
        <f>IF(INDEX(学年度总表!$I$3:$I$1025,MATCH($E355,学年度总表!$E$3:$E$1025,0))="","",INDEX(学年度总表!$I$3:$I$1025,MATCH($E355,学年度总表!$E$3:$E$1025,0)))</f>
        <v>3</v>
      </c>
      <c r="J355" s="3">
        <f>IF(INDEX(学年度总表!$J$3:$J$1025,MATCH($E355,学年度总表!$E$3:$E$1025,0))="","",INDEX(学年度总表!$J$3:$J$1025,MATCH($E355,学年度总表!$E$3:$E$1025,0)))</f>
        <v>84.05</v>
      </c>
      <c r="K355" s="3" t="str">
        <f>IF(INDEX(学年度总表!$K$3:$K$1025,MATCH($E355,学年度总表!$E$3:$E$1025,0))="","",INDEX(学年度总表!$K$3:$K$1025,MATCH($E355,学年度总表!$E$3:$E$1025,0)))</f>
        <v/>
      </c>
      <c r="L355" s="3" t="str">
        <f>IF(INDEX(学年度总表!$L$3:$L$1025,MATCH($E355,学年度总表!$E$3:$E$1025,0))="","",INDEX(学年度总表!$L$3:$L$1025,MATCH($E355,学年度总表!$E$3:$E$1025,0)))</f>
        <v/>
      </c>
      <c r="M355" s="3" t="str">
        <f>IF(INDEX(学年度总表!$M$3:$M$1025,MATCH($E355,学年度总表!$E$3:$E$1025,0))="","",INDEX(学年度总表!$M$3:$M$1025,MATCH($E355,学年度总表!$E$3:$E$1025,0)))</f>
        <v/>
      </c>
      <c r="N355" s="3" t="str">
        <f>IF(INDEX(学年度总表!$N$3:$N$1025,MATCH($E355,学年度总表!$E$3:$E$1025,0))="","",INDEX(学年度总表!$N$3:$N$1025,MATCH($E355,学年度总表!$E$3:$E$1025,0)))</f>
        <v/>
      </c>
      <c r="O355" s="3">
        <f>IF(INDEX(学年度总表!$O$3:$O$1025,MATCH($E355,学年度总表!$E$3:$E$1025,0))="","",INDEX(学年度总表!$O$3:$O$1025,MATCH($E355,学年度总表!$E$3:$E$1025,0)))</f>
        <v>84.05</v>
      </c>
      <c r="P355" s="2" t="str">
        <f>IF(INDEX(学年度总表!$P$3:$P$1025,MATCH($E355,学年度总表!$E$3:$E$1025,0))="","",INDEX(学年度总表!$P$3:$P$1025,MATCH($E355,学年度总表!$E$3:$E$1025,0)))</f>
        <v/>
      </c>
      <c r="Q355" s="5" t="str">
        <f>IF(INDEX(学年度总表!$Q$3:$Q$1025,MATCH($E355,学年度总表!$E$3:$E$1025,0))="","",INDEX(学年度总表!$Q$3:$Q$1025,MATCH($E355,学年度总表!$E$3:$E$1025,0)))</f>
        <v>无大一下综测成绩</v>
      </c>
    </row>
    <row r="356" spans="1:17">
      <c r="A356" s="2">
        <f>IF(INDEX(学年度总表!$A$3:$A$1025,MATCH($E356,学年度总表!$E$3:$E$1025,0))="","",INDEX(学年度总表!$A$3:$A$1025,MATCH($E356,学年度总表!$E$3:$E$1025,0)))</f>
        <v>985</v>
      </c>
      <c r="B356" s="2">
        <f>IF(INDEX(学年度总表!$B$3:$B$1025,MATCH($E356,学年度总表!$E$3:$E$1025,0))="","",INDEX(学年度总表!$B$3:$B$1025,MATCH($E356,学年度总表!$E$3:$E$1025,0)))</f>
        <v>354</v>
      </c>
      <c r="C356" s="2" t="str">
        <f>IF(INDEX(学年度总表!$C$3:$C$1025,MATCH($E356,学年度总表!$E$3:$E$1025,0))="","",INDEX(学年度总表!$C$3:$C$1025,MATCH($E356,学年度总表!$E$3:$E$1025,0)))</f>
        <v>信管</v>
      </c>
      <c r="D356" s="2" t="str">
        <f>IF(INDEX(学年度总表!$D$3:$D$1025,MATCH($E356,学年度总表!$E$3:$E$1025,0))="","",INDEX(学年度总表!$D$3:$D$1025,MATCH($E356,学年度总表!$E$3:$E$1025,0)))</f>
        <v>信管23班</v>
      </c>
      <c r="E356" s="2" t="s">
        <v>2033</v>
      </c>
      <c r="F356" s="2" t="str">
        <f>IF(INDEX(学年度总表!$F$3:$F$1025,MATCH($E356,学年度总表!$E$3:$E$1025,0))="","",INDEX(学年度总表!$F$3:$F$1025,MATCH($E356,学年度总表!$E$3:$E$1025,0)))</f>
        <v>陈俊豪</v>
      </c>
      <c r="G356" s="3">
        <f>IF(INDEX(学年度总表!$G$3:$G$1025,MATCH($E356,学年度总表!$E$3:$E$1025,0))="","",INDEX(学年度总表!$G$3:$G$1025,MATCH($E356,学年度总表!$E$3:$E$1025,0)))</f>
        <v>7.3</v>
      </c>
      <c r="H356" s="3">
        <f>IF(INDEX(学年度总表!$H$3:$H$1025,MATCH($E356,学年度总表!$E$3:$E$1025,0))="","",INDEX(学年度总表!$H$3:$H$1025,MATCH($E356,学年度总表!$E$3:$E$1025,0)))</f>
        <v>13.69</v>
      </c>
      <c r="I356" s="3">
        <f>IF(INDEX(学年度总表!$I$3:$I$1025,MATCH($E356,学年度总表!$E$3:$E$1025,0))="","",INDEX(学年度总表!$I$3:$I$1025,MATCH($E356,学年度总表!$E$3:$E$1025,0)))</f>
        <v>3</v>
      </c>
      <c r="J356" s="3">
        <f>IF(INDEX(学年度总表!$J$3:$J$1025,MATCH($E356,学年度总表!$E$3:$E$1025,0))="","",INDEX(学年度总表!$J$3:$J$1025,MATCH($E356,学年度总表!$E$3:$E$1025,0)))</f>
        <v>23.99</v>
      </c>
      <c r="K356" s="3">
        <f>IF(INDEX(学年度总表!$K$3:$K$1025,MATCH($E356,学年度总表!$E$3:$E$1025,0))="","",INDEX(学年度总表!$K$3:$K$1025,MATCH($E356,学年度总表!$E$3:$E$1025,0)))</f>
        <v>7.3000000000000007</v>
      </c>
      <c r="L356" s="3">
        <f>IF(INDEX(学年度总表!$L$3:$L$1025,MATCH($E356,学年度总表!$E$3:$E$1025,0))="","",INDEX(学年度总表!$L$3:$L$1025,MATCH($E356,学年度总表!$E$3:$E$1025,0)))</f>
        <v>29.25</v>
      </c>
      <c r="M356" s="3">
        <f>IF(INDEX(学年度总表!$M$3:$M$1025,MATCH($E356,学年度总表!$E$3:$E$1025,0))="","",INDEX(学年度总表!$M$3:$M$1025,MATCH($E356,学年度总表!$E$3:$E$1025,0)))</f>
        <v>3</v>
      </c>
      <c r="N356" s="3">
        <f>IF(INDEX(学年度总表!$N$3:$N$1025,MATCH($E356,学年度总表!$E$3:$E$1025,0))="","",INDEX(学年度总表!$N$3:$N$1025,MATCH($E356,学年度总表!$E$3:$E$1025,0)))</f>
        <v>39.549999999999997</v>
      </c>
      <c r="O356" s="3">
        <f>IF(INDEX(学年度总表!$O$3:$O$1025,MATCH($E356,学年度总表!$E$3:$E$1025,0))="","",INDEX(学年度总表!$O$3:$O$1025,MATCH($E356,学年度总表!$E$3:$E$1025,0)))</f>
        <v>63.54</v>
      </c>
      <c r="P356" s="2" t="str">
        <f>IF(INDEX(学年度总表!$P$3:$P$1025,MATCH($E356,学年度总表!$E$3:$E$1025,0))="","",INDEX(学年度总表!$P$3:$P$1025,MATCH($E356,学年度总表!$E$3:$E$1025,0)))</f>
        <v/>
      </c>
      <c r="Q356" s="5" t="str">
        <f>IF(INDEX(学年度总表!$Q$3:$Q$1025,MATCH($E356,学年度总表!$E$3:$E$1025,0))="","",INDEX(学年度总表!$Q$3:$Q$1025,MATCH($E356,学年度总表!$E$3:$E$1025,0)))</f>
        <v/>
      </c>
    </row>
    <row r="357" spans="1:17">
      <c r="A357" s="2">
        <f>IF(INDEX(学年度总表!$A$3:$A$1025,MATCH($E357,学年度总表!$E$3:$E$1025,0))="","",INDEX(学年度总表!$A$3:$A$1025,MATCH($E357,学年度总表!$E$3:$E$1025,0)))</f>
        <v>986</v>
      </c>
      <c r="B357" s="2">
        <f>IF(INDEX(学年度总表!$B$3:$B$1025,MATCH($E357,学年度总表!$E$3:$E$1025,0))="","",INDEX(学年度总表!$B$3:$B$1025,MATCH($E357,学年度总表!$E$3:$E$1025,0)))</f>
        <v>355</v>
      </c>
      <c r="C357" s="2" t="str">
        <f>IF(INDEX(学年度总表!$C$3:$C$1025,MATCH($E357,学年度总表!$E$3:$E$1025,0))="","",INDEX(学年度总表!$C$3:$C$1025,MATCH($E357,学年度总表!$E$3:$E$1025,0)))</f>
        <v>信管</v>
      </c>
      <c r="D357" s="2" t="str">
        <f>IF(INDEX(学年度总表!$D$3:$D$1025,MATCH($E357,学年度总表!$E$3:$E$1025,0))="","",INDEX(学年度总表!$D$3:$D$1025,MATCH($E357,学年度总表!$E$3:$E$1025,0)))</f>
        <v>信管21班</v>
      </c>
      <c r="E357" s="2" t="s">
        <v>2035</v>
      </c>
      <c r="F357" s="2" t="str">
        <f>IF(INDEX(学年度总表!$F$3:$F$1025,MATCH($E357,学年度总表!$E$3:$E$1025,0))="","",INDEX(学年度总表!$F$3:$F$1025,MATCH($E357,学年度总表!$E$3:$E$1025,0)))</f>
        <v>黄英伦</v>
      </c>
      <c r="G357" s="3">
        <f>IF(INDEX(学年度总表!$G$3:$G$1025,MATCH($E357,学年度总表!$E$3:$E$1025,0))="","",INDEX(学年度总表!$G$3:$G$1025,MATCH($E357,学年度总表!$E$3:$E$1025,0)))</f>
        <v>9.8000000000000007</v>
      </c>
      <c r="H357" s="3">
        <f>IF(INDEX(学年度总表!$H$3:$H$1025,MATCH($E357,学年度总表!$E$3:$E$1025,0))="","",INDEX(学年度总表!$H$3:$H$1025,MATCH($E357,学年度总表!$E$3:$E$1025,0)))</f>
        <v>24.88</v>
      </c>
      <c r="I357" s="3">
        <f>IF(INDEX(学年度总表!$I$3:$I$1025,MATCH($E357,学年度总表!$E$3:$E$1025,0))="","",INDEX(学年度总表!$I$3:$I$1025,MATCH($E357,学年度总表!$E$3:$E$1025,0)))</f>
        <v>3</v>
      </c>
      <c r="J357" s="3">
        <f>IF(INDEX(学年度总表!$J$3:$J$1025,MATCH($E357,学年度总表!$E$3:$E$1025,0))="","",INDEX(学年度总表!$J$3:$J$1025,MATCH($E357,学年度总表!$E$3:$E$1025,0)))</f>
        <v>37.68</v>
      </c>
      <c r="K357" s="3">
        <f>IF(INDEX(学年度总表!$K$3:$K$1025,MATCH($E357,学年度总表!$E$3:$E$1025,0))="","",INDEX(学年度总表!$K$3:$K$1025,MATCH($E357,学年度总表!$E$3:$E$1025,0)))</f>
        <v>9.8000000000000007</v>
      </c>
      <c r="L357" s="3">
        <f>IF(INDEX(学年度总表!$L$3:$L$1025,MATCH($E357,学年度总表!$E$3:$E$1025,0))="","",INDEX(学年度总表!$L$3:$L$1025,MATCH($E357,学年度总表!$E$3:$E$1025,0)))</f>
        <v>11.78</v>
      </c>
      <c r="M357" s="3">
        <f>IF(INDEX(学年度总表!$M$3:$M$1025,MATCH($E357,学年度总表!$E$3:$E$1025,0))="","",INDEX(学年度总表!$M$3:$M$1025,MATCH($E357,学年度总表!$E$3:$E$1025,0)))</f>
        <v>3</v>
      </c>
      <c r="N357" s="3">
        <f>IF(INDEX(学年度总表!$N$3:$N$1025,MATCH($E357,学年度总表!$E$3:$E$1025,0))="","",INDEX(学年度总表!$N$3:$N$1025,MATCH($E357,学年度总表!$E$3:$E$1025,0)))</f>
        <v>24.58</v>
      </c>
      <c r="O357" s="3">
        <f>IF(INDEX(学年度总表!$O$3:$O$1025,MATCH($E357,学年度总表!$E$3:$E$1025,0))="","",INDEX(学年度总表!$O$3:$O$1025,MATCH($E357,学年度总表!$E$3:$E$1025,0)))</f>
        <v>62.26</v>
      </c>
      <c r="P357" s="2" t="str">
        <f>IF(INDEX(学年度总表!$P$3:$P$1025,MATCH($E357,学年度总表!$E$3:$E$1025,0))="","",INDEX(学年度总表!$P$3:$P$1025,MATCH($E357,学年度总表!$E$3:$E$1025,0)))</f>
        <v/>
      </c>
      <c r="Q357" s="5" t="str">
        <f>IF(INDEX(学年度总表!$Q$3:$Q$1025,MATCH($E357,学年度总表!$E$3:$E$1025,0))="","",INDEX(学年度总表!$Q$3:$Q$1025,MATCH($E357,学年度总表!$E$3:$E$1025,0)))</f>
        <v/>
      </c>
    </row>
    <row r="358" spans="1:17">
      <c r="A358" s="2">
        <f>IF(INDEX(学年度总表!$A$3:$A$1025,MATCH($E358,学年度总表!$E$3:$E$1025,0))="","",INDEX(学年度总表!$A$3:$A$1025,MATCH($E358,学年度总表!$E$3:$E$1025,0)))</f>
        <v>988</v>
      </c>
      <c r="B358" s="2">
        <f>IF(INDEX(学年度总表!$B$3:$B$1025,MATCH($E358,学年度总表!$E$3:$E$1025,0))="","",INDEX(学年度总表!$B$3:$B$1025,MATCH($E358,学年度总表!$E$3:$E$1025,0)))</f>
        <v>356</v>
      </c>
      <c r="C358" s="2" t="str">
        <f>IF(INDEX(学年度总表!$C$3:$C$1025,MATCH($E358,学年度总表!$E$3:$E$1025,0))="","",INDEX(学年度总表!$C$3:$C$1025,MATCH($E358,学年度总表!$E$3:$E$1025,0)))</f>
        <v>信管</v>
      </c>
      <c r="D358" s="2" t="str">
        <f>IF(INDEX(学年度总表!$D$3:$D$1025,MATCH($E358,学年度总表!$E$3:$E$1025,0))="","",INDEX(学年度总表!$D$3:$D$1025,MATCH($E358,学年度总表!$E$3:$E$1025,0)))</f>
        <v>信管21班</v>
      </c>
      <c r="E358" s="2" t="s">
        <v>2039</v>
      </c>
      <c r="F358" s="2" t="str">
        <f>IF(INDEX(学年度总表!$F$3:$F$1025,MATCH($E358,学年度总表!$E$3:$E$1025,0))="","",INDEX(学年度总表!$F$3:$F$1025,MATCH($E358,学年度总表!$E$3:$E$1025,0)))</f>
        <v>王铭慷</v>
      </c>
      <c r="G358" s="3">
        <f>IF(INDEX(学年度总表!$G$3:$G$1025,MATCH($E358,学年度总表!$E$3:$E$1025,0))="","",INDEX(学年度总表!$G$3:$G$1025,MATCH($E358,学年度总表!$E$3:$E$1025,0)))</f>
        <v>10</v>
      </c>
      <c r="H358" s="3">
        <f>IF(INDEX(学年度总表!$H$3:$H$1025,MATCH($E358,学年度总表!$E$3:$E$1025,0))="","",INDEX(学年度总表!$H$3:$H$1025,MATCH($E358,学年度总表!$E$3:$E$1025,0)))</f>
        <v>31.65</v>
      </c>
      <c r="I358" s="3">
        <f>IF(INDEX(学年度总表!$I$3:$I$1025,MATCH($E358,学年度总表!$E$3:$E$1025,0))="","",INDEX(学年度总表!$I$3:$I$1025,MATCH($E358,学年度总表!$E$3:$E$1025,0)))</f>
        <v>3</v>
      </c>
      <c r="J358" s="3">
        <f>IF(INDEX(学年度总表!$J$3:$J$1025,MATCH($E358,学年度总表!$E$3:$E$1025,0))="","",INDEX(学年度总表!$J$3:$J$1025,MATCH($E358,学年度总表!$E$3:$E$1025,0)))</f>
        <v>44.65</v>
      </c>
      <c r="K358" s="3">
        <f>IF(INDEX(学年度总表!$K$3:$K$1025,MATCH($E358,学年度总表!$E$3:$E$1025,0))="","",INDEX(学年度总表!$K$3:$K$1025,MATCH($E358,学年度总表!$E$3:$E$1025,0)))</f>
        <v>10</v>
      </c>
      <c r="L358" s="3">
        <f>IF(INDEX(学年度总表!$L$3:$L$1025,MATCH($E358,学年度总表!$E$3:$E$1025,0))="","",INDEX(学年度总表!$L$3:$L$1025,MATCH($E358,学年度总表!$E$3:$E$1025,0)))</f>
        <v>0</v>
      </c>
      <c r="M358" s="3">
        <f>IF(INDEX(学年度总表!$M$3:$M$1025,MATCH($E358,学年度总表!$E$3:$E$1025,0))="","",INDEX(学年度总表!$M$3:$M$1025,MATCH($E358,学年度总表!$E$3:$E$1025,0)))</f>
        <v>3</v>
      </c>
      <c r="N358" s="3">
        <f>IF(INDEX(学年度总表!$N$3:$N$1025,MATCH($E358,学年度总表!$E$3:$E$1025,0))="","",INDEX(学年度总表!$N$3:$N$1025,MATCH($E358,学年度总表!$E$3:$E$1025,0)))</f>
        <v>13</v>
      </c>
      <c r="O358" s="3">
        <f>IF(INDEX(学年度总表!$O$3:$O$1025,MATCH($E358,学年度总表!$E$3:$E$1025,0))="","",INDEX(学年度总表!$O$3:$O$1025,MATCH($E358,学年度总表!$E$3:$E$1025,0)))</f>
        <v>57.65</v>
      </c>
      <c r="P358" s="2" t="str">
        <f>IF(INDEX(学年度总表!$P$3:$P$1025,MATCH($E358,学年度总表!$E$3:$E$1025,0))="","",INDEX(学年度总表!$P$3:$P$1025,MATCH($E358,学年度总表!$E$3:$E$1025,0)))</f>
        <v/>
      </c>
      <c r="Q358" s="5" t="str">
        <f>IF(INDEX(学年度总表!$Q$3:$Q$1025,MATCH($E358,学年度总表!$E$3:$E$1025,0))="","",INDEX(学年度总表!$Q$3:$Q$1025,MATCH($E358,学年度总表!$E$3:$E$1025,0)))</f>
        <v/>
      </c>
    </row>
  </sheetData>
  <autoFilter ref="A2:Q358" xr:uid="{00000000-0009-0000-0000-000004000000}"/>
  <mergeCells count="11">
    <mergeCell ref="A1:A2"/>
    <mergeCell ref="P1:P2"/>
    <mergeCell ref="Q1:Q2"/>
    <mergeCell ref="K1:N1"/>
    <mergeCell ref="C1:C2"/>
    <mergeCell ref="B1:B2"/>
    <mergeCell ref="D1:D2"/>
    <mergeCell ref="E1:E2"/>
    <mergeCell ref="F1:F2"/>
    <mergeCell ref="G1:J1"/>
    <mergeCell ref="O1:O2"/>
  </mergeCells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32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2" width="6" customWidth="1"/>
    <col min="3" max="3" width="7" customWidth="1"/>
    <col min="4" max="5" width="11" customWidth="1"/>
    <col min="6" max="6" width="9" customWidth="1"/>
    <col min="7" max="9" width="7.5" customWidth="1"/>
    <col min="10" max="10" width="8" customWidth="1"/>
    <col min="11" max="13" width="7.5" customWidth="1"/>
    <col min="14" max="14" width="8" customWidth="1"/>
    <col min="15" max="15" width="9" customWidth="1"/>
    <col min="16" max="16" width="18" customWidth="1"/>
    <col min="17" max="17" width="22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/>
      <c r="I1" s="8"/>
      <c r="J1" s="8"/>
      <c r="K1" s="8" t="s">
        <v>7</v>
      </c>
      <c r="L1" s="8"/>
      <c r="M1" s="8"/>
      <c r="N1" s="8"/>
      <c r="O1" s="8" t="s">
        <v>8</v>
      </c>
      <c r="P1" s="8" t="s">
        <v>9</v>
      </c>
      <c r="Q1" s="8" t="s">
        <v>10</v>
      </c>
    </row>
    <row r="2" spans="1:17" ht="28" customHeight="1">
      <c r="A2" s="8"/>
      <c r="B2" s="8"/>
      <c r="C2" s="8"/>
      <c r="D2" s="8"/>
      <c r="E2" s="8"/>
      <c r="F2" s="8"/>
      <c r="G2" s="1" t="s">
        <v>11</v>
      </c>
      <c r="H2" s="1" t="s">
        <v>12</v>
      </c>
      <c r="I2" s="1" t="s">
        <v>13</v>
      </c>
      <c r="J2" s="1" t="s">
        <v>14</v>
      </c>
      <c r="K2" s="1" t="s">
        <v>11</v>
      </c>
      <c r="L2" s="1" t="s">
        <v>12</v>
      </c>
      <c r="M2" s="1" t="s">
        <v>13</v>
      </c>
      <c r="N2" s="1" t="s">
        <v>14</v>
      </c>
      <c r="O2" s="8"/>
      <c r="P2" s="8"/>
      <c r="Q2" s="8"/>
    </row>
    <row r="3" spans="1:17">
      <c r="A3" s="2">
        <f>IF(INDEX(学年度总表!$A$3:$A$1025,MATCH($E3,学年度总表!$E$3:$E$1025,0))="","",INDEX(学年度总表!$A$3:$A$1025,MATCH($E3,学年度总表!$E$3:$E$1025,0)))</f>
        <v>1</v>
      </c>
      <c r="B3" s="2">
        <f>IF(INDEX(学年度总表!$B$3:$B$1025,MATCH($E3,学年度总表!$E$3:$E$1025,0))="","",INDEX(学年度总表!$B$3:$B$1025,MATCH($E3,学年度总表!$E$3:$E$1025,0)))</f>
        <v>1</v>
      </c>
      <c r="C3" s="2" t="str">
        <f>IF(INDEX(学年度总表!$C$3:$C$1025,MATCH($E3,学年度总表!$E$3:$E$1025,0))="","",INDEX(学年度总表!$C$3:$C$1025,MATCH($E3,学年度总表!$E$3:$E$1025,0)))</f>
        <v>大数据</v>
      </c>
      <c r="D3" s="2" t="str">
        <f>IF(INDEX(学年度总表!$D$3:$D$1025,MATCH($E3,学年度总表!$E$3:$E$1025,0))="","",INDEX(学年度总表!$D$3:$D$1025,MATCH($E3,学年度总表!$E$3:$E$1025,0)))</f>
        <v>大数据一班</v>
      </c>
      <c r="E3" s="2" t="s">
        <v>2053</v>
      </c>
      <c r="F3" s="2" t="str">
        <f>IF(INDEX(学年度总表!$F$3:$F$1025,MATCH($E3,学年度总表!$E$3:$E$1025,0))="","",INDEX(学年度总表!$F$3:$F$1025,MATCH($E3,学年度总表!$E$3:$E$1025,0)))</f>
        <v>丁灵</v>
      </c>
      <c r="G3" s="3">
        <f>IF(INDEX(学年度总表!$G$3:$G$1025,MATCH($E3,学年度总表!$E$3:$E$1025,0))="","",INDEX(学年度总表!$G$3:$G$1025,MATCH($E3,学年度总表!$E$3:$E$1025,0)))</f>
        <v>9.8000000000000007</v>
      </c>
      <c r="H3" s="3">
        <f>IF(INDEX(学年度总表!$H$3:$H$1025,MATCH($E3,学年度总表!$E$3:$E$1025,0))="","",INDEX(学年度总表!$H$3:$H$1025,MATCH($E3,学年度总表!$E$3:$E$1025,0)))</f>
        <v>74.430000000000007</v>
      </c>
      <c r="I3" s="3">
        <f>IF(INDEX(学年度总表!$I$3:$I$1025,MATCH($E3,学年度总表!$E$3:$E$1025,0))="","",INDEX(学年度总表!$I$3:$I$1025,MATCH($E3,学年度总表!$E$3:$E$1025,0)))</f>
        <v>5.0999999999999996</v>
      </c>
      <c r="J3" s="3">
        <f>IF(INDEX(学年度总表!$J$3:$J$1025,MATCH($E3,学年度总表!$E$3:$E$1025,0))="","",INDEX(学年度总表!$J$3:$J$1025,MATCH($E3,学年度总表!$E$3:$E$1025,0)))</f>
        <v>89.33</v>
      </c>
      <c r="K3" s="3">
        <f>IF(INDEX(学年度总表!$K$3:$K$1025,MATCH($E3,学年度总表!$E$3:$E$1025,0))="","",INDEX(学年度总表!$K$3:$K$1025,MATCH($E3,学年度总表!$E$3:$E$1025,0)))</f>
        <v>9.8000000000000007</v>
      </c>
      <c r="L3" s="3">
        <f>IF(INDEX(学年度总表!$L$3:$L$1025,MATCH($E3,学年度总表!$E$3:$E$1025,0))="","",INDEX(学年度总表!$L$3:$L$1025,MATCH($E3,学年度总表!$E$3:$E$1025,0)))</f>
        <v>69.69</v>
      </c>
      <c r="M3" s="3">
        <f>IF(INDEX(学年度总表!$M$3:$M$1025,MATCH($E3,学年度总表!$E$3:$E$1025,0))="","",INDEX(学年度总表!$M$3:$M$1025,MATCH($E3,学年度总表!$E$3:$E$1025,0)))</f>
        <v>6.6</v>
      </c>
      <c r="N3" s="3">
        <f>IF(INDEX(学年度总表!$N$3:$N$1025,MATCH($E3,学年度总表!$E$3:$E$1025,0))="","",INDEX(学年度总表!$N$3:$N$1025,MATCH($E3,学年度总表!$E$3:$E$1025,0)))</f>
        <v>86.09</v>
      </c>
      <c r="O3" s="3">
        <f>IF(INDEX(学年度总表!$O$3:$O$1025,MATCH($E3,学年度总表!$E$3:$E$1025,0))="","",INDEX(学年度总表!$O$3:$O$1025,MATCH($E3,学年度总表!$E$3:$E$1025,0)))</f>
        <v>175.42</v>
      </c>
      <c r="P3" s="4" t="str">
        <f>IF(INDEX(学年度总表!$P$3:$P$1025,MATCH($E3,学年度总表!$E$3:$E$1025,0))="","",INDEX(学年度总表!$P$3:$P$1025,MATCH($E3,学年度总表!$E$3:$E$1025,0)))</f>
        <v>校一等</v>
      </c>
      <c r="Q3" s="5" t="str">
        <f>IF(INDEX(学年度总表!$Q$3:$Q$1025,MATCH($E3,学年度总表!$E$3:$E$1025,0))="","",INDEX(学年度总表!$Q$3:$Q$1025,MATCH($E3,学年度总表!$E$3:$E$1025,0)))</f>
        <v/>
      </c>
    </row>
    <row r="4" spans="1:17">
      <c r="A4" s="2">
        <f>IF(INDEX(学年度总表!$A$3:$A$1025,MATCH($E4,学年度总表!$E$3:$E$1025,0))="","",INDEX(学年度总表!$A$3:$A$1025,MATCH($E4,学年度总表!$E$3:$E$1025,0)))</f>
        <v>2</v>
      </c>
      <c r="B4" s="2">
        <f>IF(INDEX(学年度总表!$B$3:$B$1025,MATCH($E4,学年度总表!$E$3:$E$1025,0))="","",INDEX(学年度总表!$B$3:$B$1025,MATCH($E4,学年度总表!$E$3:$E$1025,0)))</f>
        <v>2</v>
      </c>
      <c r="C4" s="2" t="str">
        <f>IF(INDEX(学年度总表!$C$3:$C$1025,MATCH($E4,学年度总表!$E$3:$E$1025,0))="","",INDEX(学年度总表!$C$3:$C$1025,MATCH($E4,学年度总表!$E$3:$E$1025,0)))</f>
        <v>大数据</v>
      </c>
      <c r="D4" s="2" t="str">
        <f>IF(INDEX(学年度总表!$D$3:$D$1025,MATCH($E4,学年度总表!$E$3:$E$1025,0))="","",INDEX(学年度总表!$D$3:$D$1025,MATCH($E4,学年度总表!$E$3:$E$1025,0)))</f>
        <v>大数据一班</v>
      </c>
      <c r="E4" s="2" t="s">
        <v>2055</v>
      </c>
      <c r="F4" s="2" t="str">
        <f>IF(INDEX(学年度总表!$F$3:$F$1025,MATCH($E4,学年度总表!$E$3:$E$1025,0))="","",INDEX(学年度总表!$F$3:$F$1025,MATCH($E4,学年度总表!$E$3:$E$1025,0)))</f>
        <v>盛玮洁</v>
      </c>
      <c r="G4" s="3">
        <f>IF(INDEX(学年度总表!$G$3:$G$1025,MATCH($E4,学年度总表!$E$3:$E$1025,0))="","",INDEX(学年度总表!$G$3:$G$1025,MATCH($E4,学年度总表!$E$3:$E$1025,0)))</f>
        <v>13</v>
      </c>
      <c r="H4" s="3">
        <f>IF(INDEX(学年度总表!$H$3:$H$1025,MATCH($E4,学年度总表!$E$3:$E$1025,0))="","",INDEX(学年度总表!$H$3:$H$1025,MATCH($E4,学年度总表!$E$3:$E$1025,0)))</f>
        <v>70.36</v>
      </c>
      <c r="I4" s="3">
        <f>IF(INDEX(学年度总表!$I$3:$I$1025,MATCH($E4,学年度总表!$E$3:$E$1025,0))="","",INDEX(学年度总表!$I$3:$I$1025,MATCH($E4,学年度总表!$E$3:$E$1025,0)))</f>
        <v>5.4</v>
      </c>
      <c r="J4" s="3">
        <f>IF(INDEX(学年度总表!$J$3:$J$1025,MATCH($E4,学年度总表!$E$3:$E$1025,0))="","",INDEX(学年度总表!$J$3:$J$1025,MATCH($E4,学年度总表!$E$3:$E$1025,0)))</f>
        <v>88.76</v>
      </c>
      <c r="K4" s="3">
        <f>IF(INDEX(学年度总表!$K$3:$K$1025,MATCH($E4,学年度总表!$E$3:$E$1025,0))="","",INDEX(学年度总表!$K$3:$K$1025,MATCH($E4,学年度总表!$E$3:$E$1025,0)))</f>
        <v>12.5</v>
      </c>
      <c r="L4" s="3">
        <f>IF(INDEX(学年度总表!$L$3:$L$1025,MATCH($E4,学年度总表!$E$3:$E$1025,0))="","",INDEX(学年度总表!$L$3:$L$1025,MATCH($E4,学年度总表!$E$3:$E$1025,0)))</f>
        <v>65.41</v>
      </c>
      <c r="M4" s="3">
        <f>IF(INDEX(学年度总表!$M$3:$M$1025,MATCH($E4,学年度总表!$E$3:$E$1025,0))="","",INDEX(学年度总表!$M$3:$M$1025,MATCH($E4,学年度总表!$E$3:$E$1025,0)))</f>
        <v>7.5</v>
      </c>
      <c r="N4" s="3">
        <f>IF(INDEX(学年度总表!$N$3:$N$1025,MATCH($E4,学年度总表!$E$3:$E$1025,0))="","",INDEX(学年度总表!$N$3:$N$1025,MATCH($E4,学年度总表!$E$3:$E$1025,0)))</f>
        <v>85.41</v>
      </c>
      <c r="O4" s="3">
        <f>IF(INDEX(学年度总表!$O$3:$O$1025,MATCH($E4,学年度总表!$E$3:$E$1025,0))="","",INDEX(学年度总表!$O$3:$O$1025,MATCH($E4,学年度总表!$E$3:$E$1025,0)))</f>
        <v>174.17</v>
      </c>
      <c r="P4" s="4" t="str">
        <f>IF(INDEX(学年度总表!$P$3:$P$1025,MATCH($E4,学年度总表!$E$3:$E$1025,0))="","",INDEX(学年度总表!$P$3:$P$1025,MATCH($E4,学年度总表!$E$3:$E$1025,0)))</f>
        <v>校二等</v>
      </c>
      <c r="Q4" s="5" t="str">
        <f>IF(INDEX(学年度总表!$Q$3:$Q$1025,MATCH($E4,学年度总表!$E$3:$E$1025,0))="","",INDEX(学年度总表!$Q$3:$Q$1025,MATCH($E4,学年度总表!$E$3:$E$1025,0)))</f>
        <v/>
      </c>
    </row>
    <row r="5" spans="1:17">
      <c r="A5" s="2">
        <f>IF(INDEX(学年度总表!$A$3:$A$1025,MATCH($E5,学年度总表!$E$3:$E$1025,0))="","",INDEX(学年度总表!$A$3:$A$1025,MATCH($E5,学年度总表!$E$3:$E$1025,0)))</f>
        <v>3</v>
      </c>
      <c r="B5" s="2">
        <f>IF(INDEX(学年度总表!$B$3:$B$1025,MATCH($E5,学年度总表!$E$3:$E$1025,0))="","",INDEX(学年度总表!$B$3:$B$1025,MATCH($E5,学年度总表!$E$3:$E$1025,0)))</f>
        <v>3</v>
      </c>
      <c r="C5" s="2" t="str">
        <f>IF(INDEX(学年度总表!$C$3:$C$1025,MATCH($E5,学年度总表!$E$3:$E$1025,0))="","",INDEX(学年度总表!$C$3:$C$1025,MATCH($E5,学年度总表!$E$3:$E$1025,0)))</f>
        <v>大数据</v>
      </c>
      <c r="D5" s="2" t="str">
        <f>IF(INDEX(学年度总表!$D$3:$D$1025,MATCH($E5,学年度总表!$E$3:$E$1025,0))="","",INDEX(学年度总表!$D$3:$D$1025,MATCH($E5,学年度总表!$E$3:$E$1025,0)))</f>
        <v>大数据一班</v>
      </c>
      <c r="E5" s="2" t="s">
        <v>2057</v>
      </c>
      <c r="F5" s="2" t="str">
        <f>IF(INDEX(学年度总表!$F$3:$F$1025,MATCH($E5,学年度总表!$E$3:$E$1025,0))="","",INDEX(学年度总表!$F$3:$F$1025,MATCH($E5,学年度总表!$E$3:$E$1025,0)))</f>
        <v>刘梦溪</v>
      </c>
      <c r="G5" s="3">
        <f>IF(INDEX(学年度总表!$G$3:$G$1025,MATCH($E5,学年度总表!$E$3:$E$1025,0))="","",INDEX(学年度总表!$G$3:$G$1025,MATCH($E5,学年度总表!$E$3:$E$1025,0)))</f>
        <v>9.8000000000000007</v>
      </c>
      <c r="H5" s="3">
        <f>IF(INDEX(学年度总表!$H$3:$H$1025,MATCH($E5,学年度总表!$E$3:$E$1025,0))="","",INDEX(学年度总表!$H$3:$H$1025,MATCH($E5,学年度总表!$E$3:$E$1025,0)))</f>
        <v>73.5</v>
      </c>
      <c r="I5" s="3">
        <f>IF(INDEX(学年度总表!$I$3:$I$1025,MATCH($E5,学年度总表!$E$3:$E$1025,0))="","",INDEX(学年度总表!$I$3:$I$1025,MATCH($E5,学年度总表!$E$3:$E$1025,0)))</f>
        <v>4.2</v>
      </c>
      <c r="J5" s="3">
        <f>IF(INDEX(学年度总表!$J$3:$J$1025,MATCH($E5,学年度总表!$E$3:$E$1025,0))="","",INDEX(学年度总表!$J$3:$J$1025,MATCH($E5,学年度总表!$E$3:$E$1025,0)))</f>
        <v>87.5</v>
      </c>
      <c r="K5" s="3">
        <f>IF(INDEX(学年度总表!$K$3:$K$1025,MATCH($E5,学年度总表!$E$3:$E$1025,0))="","",INDEX(学年度总表!$K$3:$K$1025,MATCH($E5,学年度总表!$E$3:$E$1025,0)))</f>
        <v>9.8000000000000007</v>
      </c>
      <c r="L5" s="3">
        <f>IF(INDEX(学年度总表!$L$3:$L$1025,MATCH($E5,学年度总表!$E$3:$E$1025,0))="","",INDEX(学年度总表!$L$3:$L$1025,MATCH($E5,学年度总表!$E$3:$E$1025,0)))</f>
        <v>69.5</v>
      </c>
      <c r="M5" s="3">
        <f>IF(INDEX(学年度总表!$M$3:$M$1025,MATCH($E5,学年度总表!$E$3:$E$1025,0))="","",INDEX(学年度总表!$M$3:$M$1025,MATCH($E5,学年度总表!$E$3:$E$1025,0)))</f>
        <v>5.3</v>
      </c>
      <c r="N5" s="3">
        <f>IF(INDEX(学年度总表!$N$3:$N$1025,MATCH($E5,学年度总表!$E$3:$E$1025,0))="","",INDEX(学年度总表!$N$3:$N$1025,MATCH($E5,学年度总表!$E$3:$E$1025,0)))</f>
        <v>84.6</v>
      </c>
      <c r="O5" s="3">
        <f>IF(INDEX(学年度总表!$O$3:$O$1025,MATCH($E5,学年度总表!$E$3:$E$1025,0))="","",INDEX(学年度总表!$O$3:$O$1025,MATCH($E5,学年度总表!$E$3:$E$1025,0)))</f>
        <v>172.1</v>
      </c>
      <c r="P5" s="4" t="str">
        <f>IF(INDEX(学年度总表!$P$3:$P$1025,MATCH($E5,学年度总表!$E$3:$E$1025,0))="","",INDEX(学年度总表!$P$3:$P$1025,MATCH($E5,学年度总表!$E$3:$E$1025,0)))</f>
        <v>校三等</v>
      </c>
      <c r="Q5" s="5" t="str">
        <f>IF(INDEX(学年度总表!$Q$3:$Q$1025,MATCH($E5,学年度总表!$E$3:$E$1025,0))="","",INDEX(学年度总表!$Q$3:$Q$1025,MATCH($E5,学年度总表!$E$3:$E$1025,0)))</f>
        <v/>
      </c>
    </row>
    <row r="6" spans="1:17">
      <c r="A6" s="2">
        <f>IF(INDEX(学年度总表!$A$3:$A$1025,MATCH($E6,学年度总表!$E$3:$E$1025,0))="","",INDEX(学年度总表!$A$3:$A$1025,MATCH($E6,学年度总表!$E$3:$E$1025,0)))</f>
        <v>4</v>
      </c>
      <c r="B6" s="2">
        <f>IF(INDEX(学年度总表!$B$3:$B$1025,MATCH($E6,学年度总表!$E$3:$E$1025,0))="","",INDEX(学年度总表!$B$3:$B$1025,MATCH($E6,学年度总表!$E$3:$E$1025,0)))</f>
        <v>4</v>
      </c>
      <c r="C6" s="2" t="str">
        <f>IF(INDEX(学年度总表!$C$3:$C$1025,MATCH($E6,学年度总表!$E$3:$E$1025,0))="","",INDEX(学年度总表!$C$3:$C$1025,MATCH($E6,学年度总表!$E$3:$E$1025,0)))</f>
        <v>大数据</v>
      </c>
      <c r="D6" s="2" t="str">
        <f>IF(INDEX(学年度总表!$D$3:$D$1025,MATCH($E6,学年度总表!$E$3:$E$1025,0))="","",INDEX(学年度总表!$D$3:$D$1025,MATCH($E6,学年度总表!$E$3:$E$1025,0)))</f>
        <v>大数据一班</v>
      </c>
      <c r="E6" s="2" t="s">
        <v>2059</v>
      </c>
      <c r="F6" s="2" t="str">
        <f>IF(INDEX(学年度总表!$F$3:$F$1025,MATCH($E6,学年度总表!$E$3:$E$1025,0))="","",INDEX(学年度总表!$F$3:$F$1025,MATCH($E6,学年度总表!$E$3:$E$1025,0)))</f>
        <v>杨诗桐</v>
      </c>
      <c r="G6" s="3">
        <f>IF(INDEX(学年度总表!$G$3:$G$1025,MATCH($E6,学年度总表!$E$3:$E$1025,0))="","",INDEX(学年度总表!$G$3:$G$1025,MATCH($E6,学年度总表!$E$3:$E$1025,0)))</f>
        <v>9.8000000000000007</v>
      </c>
      <c r="H6" s="3">
        <f>IF(INDEX(学年度总表!$H$3:$H$1025,MATCH($E6,学年度总表!$E$3:$E$1025,0))="","",INDEX(学年度总表!$H$3:$H$1025,MATCH($E6,学年度总表!$E$3:$E$1025,0)))</f>
        <v>72.5</v>
      </c>
      <c r="I6" s="3">
        <f>IF(INDEX(学年度总表!$I$3:$I$1025,MATCH($E6,学年度总表!$E$3:$E$1025,0))="","",INDEX(学年度总表!$I$3:$I$1025,MATCH($E6,学年度总表!$E$3:$E$1025,0)))</f>
        <v>3</v>
      </c>
      <c r="J6" s="3">
        <f>IF(INDEX(学年度总表!$J$3:$J$1025,MATCH($E6,学年度总表!$E$3:$E$1025,0))="","",INDEX(学年度总表!$J$3:$J$1025,MATCH($E6,学年度总表!$E$3:$E$1025,0)))</f>
        <v>85.3</v>
      </c>
      <c r="K6" s="3">
        <f>IF(INDEX(学年度总表!$K$3:$K$1025,MATCH($E6,学年度总表!$E$3:$E$1025,0))="","",INDEX(学年度总表!$K$3:$K$1025,MATCH($E6,学年度总表!$E$3:$E$1025,0)))</f>
        <v>9.8000000000000007</v>
      </c>
      <c r="L6" s="3">
        <f>IF(INDEX(学年度总表!$L$3:$L$1025,MATCH($E6,学年度总表!$E$3:$E$1025,0))="","",INDEX(学年度总表!$L$3:$L$1025,MATCH($E6,学年度总表!$E$3:$E$1025,0)))</f>
        <v>69.08</v>
      </c>
      <c r="M6" s="3">
        <f>IF(INDEX(学年度总表!$M$3:$M$1025,MATCH($E6,学年度总表!$E$3:$E$1025,0))="","",INDEX(学年度总表!$M$3:$M$1025,MATCH($E6,学年度总表!$E$3:$E$1025,0)))</f>
        <v>3</v>
      </c>
      <c r="N6" s="3">
        <f>IF(INDEX(学年度总表!$N$3:$N$1025,MATCH($E6,学年度总表!$E$3:$E$1025,0))="","",INDEX(学年度总表!$N$3:$N$1025,MATCH($E6,学年度总表!$E$3:$E$1025,0)))</f>
        <v>81.88</v>
      </c>
      <c r="O6" s="3">
        <f>IF(INDEX(学年度总表!$O$3:$O$1025,MATCH($E6,学年度总表!$E$3:$E$1025,0))="","",INDEX(学年度总表!$O$3:$O$1025,MATCH($E6,学年度总表!$E$3:$E$1025,0)))</f>
        <v>167.18</v>
      </c>
      <c r="P6" s="4" t="str">
        <f>IF(INDEX(学年度总表!$P$3:$P$1025,MATCH($E6,学年度总表!$E$3:$E$1025,0))="","",INDEX(学年度总表!$P$3:$P$1025,MATCH($E6,学年度总表!$E$3:$E$1025,0)))</f>
        <v>校三等</v>
      </c>
      <c r="Q6" s="5" t="str">
        <f>IF(INDEX(学年度总表!$Q$3:$Q$1025,MATCH($E6,学年度总表!$E$3:$E$1025,0))="","",INDEX(学年度总表!$Q$3:$Q$1025,MATCH($E6,学年度总表!$E$3:$E$1025,0)))</f>
        <v/>
      </c>
    </row>
    <row r="7" spans="1:17">
      <c r="A7" s="2">
        <f>IF(INDEX(学年度总表!$A$3:$A$1025,MATCH($E7,学年度总表!$E$3:$E$1025,0))="","",INDEX(学年度总表!$A$3:$A$1025,MATCH($E7,学年度总表!$E$3:$E$1025,0)))</f>
        <v>5</v>
      </c>
      <c r="B7" s="2">
        <f>IF(INDEX(学年度总表!$B$3:$B$1025,MATCH($E7,学年度总表!$E$3:$E$1025,0))="","",INDEX(学年度总表!$B$3:$B$1025,MATCH($E7,学年度总表!$E$3:$E$1025,0)))</f>
        <v>5</v>
      </c>
      <c r="C7" s="2" t="str">
        <f>IF(INDEX(学年度总表!$C$3:$C$1025,MATCH($E7,学年度总表!$E$3:$E$1025,0))="","",INDEX(学年度总表!$C$3:$C$1025,MATCH($E7,学年度总表!$E$3:$E$1025,0)))</f>
        <v>大数据</v>
      </c>
      <c r="D7" s="2" t="str">
        <f>IF(INDEX(学年度总表!$D$3:$D$1025,MATCH($E7,学年度总表!$E$3:$E$1025,0))="","",INDEX(学年度总表!$D$3:$D$1025,MATCH($E7,学年度总表!$E$3:$E$1025,0)))</f>
        <v>大数据一班</v>
      </c>
      <c r="E7" s="2" t="s">
        <v>2061</v>
      </c>
      <c r="F7" s="2" t="str">
        <f>IF(INDEX(学年度总表!$F$3:$F$1025,MATCH($E7,学年度总表!$E$3:$E$1025,0))="","",INDEX(学年度总表!$F$3:$F$1025,MATCH($E7,学年度总表!$E$3:$E$1025,0)))</f>
        <v>林禹婷</v>
      </c>
      <c r="G7" s="3">
        <f>IF(INDEX(学年度总表!$G$3:$G$1025,MATCH($E7,学年度总表!$E$3:$E$1025,0))="","",INDEX(学年度总表!$G$3:$G$1025,MATCH($E7,学年度总表!$E$3:$E$1025,0)))</f>
        <v>10.3</v>
      </c>
      <c r="H7" s="3">
        <f>IF(INDEX(学年度总表!$H$3:$H$1025,MATCH($E7,学年度总表!$E$3:$E$1025,0))="","",INDEX(学年度总表!$H$3:$H$1025,MATCH($E7,学年度总表!$E$3:$E$1025,0)))</f>
        <v>67.87</v>
      </c>
      <c r="I7" s="3">
        <f>IF(INDEX(学年度总表!$I$3:$I$1025,MATCH($E7,学年度总表!$E$3:$E$1025,0))="","",INDEX(学年度总表!$I$3:$I$1025,MATCH($E7,学年度总表!$E$3:$E$1025,0)))</f>
        <v>4</v>
      </c>
      <c r="J7" s="3">
        <f>IF(INDEX(学年度总表!$J$3:$J$1025,MATCH($E7,学年度总表!$E$3:$E$1025,0))="","",INDEX(学年度总表!$J$3:$J$1025,MATCH($E7,学年度总表!$E$3:$E$1025,0)))</f>
        <v>82.17</v>
      </c>
      <c r="K7" s="3">
        <f>IF(INDEX(学年度总表!$K$3:$K$1025,MATCH($E7,学年度总表!$E$3:$E$1025,0))="","",INDEX(学年度总表!$K$3:$K$1025,MATCH($E7,学年度总表!$E$3:$E$1025,0)))</f>
        <v>9.8000000000000007</v>
      </c>
      <c r="L7" s="3">
        <f>IF(INDEX(学年度总表!$L$3:$L$1025,MATCH($E7,学年度总表!$E$3:$E$1025,0))="","",INDEX(学年度总表!$L$3:$L$1025,MATCH($E7,学年度总表!$E$3:$E$1025,0)))</f>
        <v>67.52</v>
      </c>
      <c r="M7" s="3">
        <f>IF(INDEX(学年度总表!$M$3:$M$1025,MATCH($E7,学年度总表!$E$3:$E$1025,0))="","",INDEX(学年度总表!$M$3:$M$1025,MATCH($E7,学年度总表!$E$3:$E$1025,0)))</f>
        <v>5.3</v>
      </c>
      <c r="N7" s="3">
        <f>IF(INDEX(学年度总表!$N$3:$N$1025,MATCH($E7,学年度总表!$E$3:$E$1025,0))="","",INDEX(学年度总表!$N$3:$N$1025,MATCH($E7,学年度总表!$E$3:$E$1025,0)))</f>
        <v>82.62</v>
      </c>
      <c r="O7" s="3">
        <f>IF(INDEX(学年度总表!$O$3:$O$1025,MATCH($E7,学年度总表!$E$3:$E$1025,0))="","",INDEX(学年度总表!$O$3:$O$1025,MATCH($E7,学年度总表!$E$3:$E$1025,0)))</f>
        <v>164.79</v>
      </c>
      <c r="P7" s="4" t="str">
        <f>IF(INDEX(学年度总表!$P$3:$P$1025,MATCH($E7,学年度总表!$E$3:$E$1025,0))="","",INDEX(学年度总表!$P$3:$P$1025,MATCH($E7,学年度总表!$E$3:$E$1025,0)))</f>
        <v>校三等</v>
      </c>
      <c r="Q7" s="5" t="str">
        <f>IF(INDEX(学年度总表!$Q$3:$Q$1025,MATCH($E7,学年度总表!$E$3:$E$1025,0))="","",INDEX(学年度总表!$Q$3:$Q$1025,MATCH($E7,学年度总表!$E$3:$E$1025,0)))</f>
        <v/>
      </c>
    </row>
    <row r="8" spans="1:17">
      <c r="A8" s="2">
        <f>IF(INDEX(学年度总表!$A$3:$A$1025,MATCH($E8,学年度总表!$E$3:$E$1025,0))="","",INDEX(学年度总表!$A$3:$A$1025,MATCH($E8,学年度总表!$E$3:$E$1025,0)))</f>
        <v>6</v>
      </c>
      <c r="B8" s="2">
        <f>IF(INDEX(学年度总表!$B$3:$B$1025,MATCH($E8,学年度总表!$E$3:$E$1025,0))="","",INDEX(学年度总表!$B$3:$B$1025,MATCH($E8,学年度总表!$E$3:$E$1025,0)))</f>
        <v>6</v>
      </c>
      <c r="C8" s="2" t="str">
        <f>IF(INDEX(学年度总表!$C$3:$C$1025,MATCH($E8,学年度总表!$E$3:$E$1025,0))="","",INDEX(学年度总表!$C$3:$C$1025,MATCH($E8,学年度总表!$E$3:$E$1025,0)))</f>
        <v>大数据</v>
      </c>
      <c r="D8" s="2" t="str">
        <f>IF(INDEX(学年度总表!$D$3:$D$1025,MATCH($E8,学年度总表!$E$3:$E$1025,0))="","",INDEX(学年度总表!$D$3:$D$1025,MATCH($E8,学年度总表!$E$3:$E$1025,0)))</f>
        <v>大数据一班</v>
      </c>
      <c r="E8" s="2" t="s">
        <v>2063</v>
      </c>
      <c r="F8" s="2" t="str">
        <f>IF(INDEX(学年度总表!$F$3:$F$1025,MATCH($E8,学年度总表!$E$3:$E$1025,0))="","",INDEX(学年度总表!$F$3:$F$1025,MATCH($E8,学年度总表!$E$3:$E$1025,0)))</f>
        <v>谭惠元</v>
      </c>
      <c r="G8" s="3">
        <f>IF(INDEX(学年度总表!$G$3:$G$1025,MATCH($E8,学年度总表!$E$3:$E$1025,0))="","",INDEX(学年度总表!$G$3:$G$1025,MATCH($E8,学年度总表!$E$3:$E$1025,0)))</f>
        <v>9.8000000000000007</v>
      </c>
      <c r="H8" s="3">
        <f>IF(INDEX(学年度总表!$H$3:$H$1025,MATCH($E8,学年度总表!$E$3:$E$1025,0))="","",INDEX(学年度总表!$H$3:$H$1025,MATCH($E8,学年度总表!$E$3:$E$1025,0)))</f>
        <v>66.2</v>
      </c>
      <c r="I8" s="3">
        <f>IF(INDEX(学年度总表!$I$3:$I$1025,MATCH($E8,学年度总表!$E$3:$E$1025,0))="","",INDEX(学年度总表!$I$3:$I$1025,MATCH($E8,学年度总表!$E$3:$E$1025,0)))</f>
        <v>6.85</v>
      </c>
      <c r="J8" s="3">
        <f>IF(INDEX(学年度总表!$J$3:$J$1025,MATCH($E8,学年度总表!$E$3:$E$1025,0))="","",INDEX(学年度总表!$J$3:$J$1025,MATCH($E8,学年度总表!$E$3:$E$1025,0)))</f>
        <v>82.85</v>
      </c>
      <c r="K8" s="3">
        <f>IF(INDEX(学年度总表!$K$3:$K$1025,MATCH($E8,学年度总表!$E$3:$E$1025,0))="","",INDEX(学年度总表!$K$3:$K$1025,MATCH($E8,学年度总表!$E$3:$E$1025,0)))</f>
        <v>11.3</v>
      </c>
      <c r="L8" s="3">
        <f>IF(INDEX(学年度总表!$L$3:$L$1025,MATCH($E8,学年度总表!$E$3:$E$1025,0))="","",INDEX(学年度总表!$L$3:$L$1025,MATCH($E8,学年度总表!$E$3:$E$1025,0)))</f>
        <v>63.38</v>
      </c>
      <c r="M8" s="3">
        <f>IF(INDEX(学年度总表!$M$3:$M$1025,MATCH($E8,学年度总表!$E$3:$E$1025,0))="","",INDEX(学年度总表!$M$3:$M$1025,MATCH($E8,学年度总表!$E$3:$E$1025,0)))</f>
        <v>7.1</v>
      </c>
      <c r="N8" s="3">
        <f>IF(INDEX(学年度总表!$N$3:$N$1025,MATCH($E8,学年度总表!$E$3:$E$1025,0))="","",INDEX(学年度总表!$N$3:$N$1025,MATCH($E8,学年度总表!$E$3:$E$1025,0)))</f>
        <v>81.78</v>
      </c>
      <c r="O8" s="3">
        <f>IF(INDEX(学年度总表!$O$3:$O$1025,MATCH($E8,学年度总表!$E$3:$E$1025,0))="","",INDEX(学年度总表!$O$3:$O$1025,MATCH($E8,学年度总表!$E$3:$E$1025,0)))</f>
        <v>164.63</v>
      </c>
      <c r="P8" s="2" t="str">
        <f>IF(INDEX(学年度总表!$P$3:$P$1025,MATCH($E8,学年度总表!$E$3:$E$1025,0))="","",INDEX(学年度总表!$P$3:$P$1025,MATCH($E8,学年度总表!$E$3:$E$1025,0)))</f>
        <v/>
      </c>
      <c r="Q8" s="5" t="str">
        <f>IF(INDEX(学年度总表!$Q$3:$Q$1025,MATCH($E8,学年度总表!$E$3:$E$1025,0))="","",INDEX(学年度总表!$Q$3:$Q$1025,MATCH($E8,学年度总表!$E$3:$E$1025,0)))</f>
        <v/>
      </c>
    </row>
    <row r="9" spans="1:17">
      <c r="A9" s="2">
        <f>IF(INDEX(学年度总表!$A$3:$A$1025,MATCH($E9,学年度总表!$E$3:$E$1025,0))="","",INDEX(学年度总表!$A$3:$A$1025,MATCH($E9,学年度总表!$E$3:$E$1025,0)))</f>
        <v>7</v>
      </c>
      <c r="B9" s="2">
        <f>IF(INDEX(学年度总表!$B$3:$B$1025,MATCH($E9,学年度总表!$E$3:$E$1025,0))="","",INDEX(学年度总表!$B$3:$B$1025,MATCH($E9,学年度总表!$E$3:$E$1025,0)))</f>
        <v>7</v>
      </c>
      <c r="C9" s="2" t="str">
        <f>IF(INDEX(学年度总表!$C$3:$C$1025,MATCH($E9,学年度总表!$E$3:$E$1025,0))="","",INDEX(学年度总表!$C$3:$C$1025,MATCH($E9,学年度总表!$E$3:$E$1025,0)))</f>
        <v>大数据</v>
      </c>
      <c r="D9" s="2" t="str">
        <f>IF(INDEX(学年度总表!$D$3:$D$1025,MATCH($E9,学年度总表!$E$3:$E$1025,0))="","",INDEX(学年度总表!$D$3:$D$1025,MATCH($E9,学年度总表!$E$3:$E$1025,0)))</f>
        <v>大数据一班</v>
      </c>
      <c r="E9" s="2" t="s">
        <v>2065</v>
      </c>
      <c r="F9" s="2" t="str">
        <f>IF(INDEX(学年度总表!$F$3:$F$1025,MATCH($E9,学年度总表!$E$3:$E$1025,0))="","",INDEX(学年度总表!$F$3:$F$1025,MATCH($E9,学年度总表!$E$3:$E$1025,0)))</f>
        <v>王思涵</v>
      </c>
      <c r="G9" s="3">
        <f>IF(INDEX(学年度总表!$G$3:$G$1025,MATCH($E9,学年度总表!$E$3:$E$1025,0))="","",INDEX(学年度总表!$G$3:$G$1025,MATCH($E9,学年度总表!$E$3:$E$1025,0)))</f>
        <v>10.3</v>
      </c>
      <c r="H9" s="3">
        <f>IF(INDEX(学年度总表!$H$3:$H$1025,MATCH($E9,学年度总表!$E$3:$E$1025,0))="","",INDEX(学年度总表!$H$3:$H$1025,MATCH($E9,学年度总表!$E$3:$E$1025,0)))</f>
        <v>66.5</v>
      </c>
      <c r="I9" s="3">
        <f>IF(INDEX(学年度总表!$I$3:$I$1025,MATCH($E9,学年度总表!$E$3:$E$1025,0))="","",INDEX(学年度总表!$I$3:$I$1025,MATCH($E9,学年度总表!$E$3:$E$1025,0)))</f>
        <v>4.5</v>
      </c>
      <c r="J9" s="3">
        <f>IF(INDEX(学年度总表!$J$3:$J$1025,MATCH($E9,学年度总表!$E$3:$E$1025,0))="","",INDEX(学年度总表!$J$3:$J$1025,MATCH($E9,学年度总表!$E$3:$E$1025,0)))</f>
        <v>81.3</v>
      </c>
      <c r="K9" s="3">
        <f>IF(INDEX(学年度总表!$K$3:$K$1025,MATCH($E9,学年度总表!$E$3:$E$1025,0))="","",INDEX(学年度总表!$K$3:$K$1025,MATCH($E9,学年度总表!$E$3:$E$1025,0)))</f>
        <v>9.8000000000000007</v>
      </c>
      <c r="L9" s="3">
        <f>IF(INDEX(学年度总表!$L$3:$L$1025,MATCH($E9,学年度总表!$E$3:$E$1025,0))="","",INDEX(学年度总表!$L$3:$L$1025,MATCH($E9,学年度总表!$E$3:$E$1025,0)))</f>
        <v>61.49</v>
      </c>
      <c r="M9" s="3">
        <f>IF(INDEX(学年度总表!$M$3:$M$1025,MATCH($E9,学年度总表!$E$3:$E$1025,0))="","",INDEX(学年度总表!$M$3:$M$1025,MATCH($E9,学年度总表!$E$3:$E$1025,0)))</f>
        <v>5.6</v>
      </c>
      <c r="N9" s="3">
        <f>IF(INDEX(学年度总表!$N$3:$N$1025,MATCH($E9,学年度总表!$E$3:$E$1025,0))="","",INDEX(学年度总表!$N$3:$N$1025,MATCH($E9,学年度总表!$E$3:$E$1025,0)))</f>
        <v>76.89</v>
      </c>
      <c r="O9" s="3">
        <f>IF(INDEX(学年度总表!$O$3:$O$1025,MATCH($E9,学年度总表!$E$3:$E$1025,0))="","",INDEX(学年度总表!$O$3:$O$1025,MATCH($E9,学年度总表!$E$3:$E$1025,0)))</f>
        <v>158.19</v>
      </c>
      <c r="P9" s="2" t="str">
        <f>IF(INDEX(学年度总表!$P$3:$P$1025,MATCH($E9,学年度总表!$E$3:$E$1025,0))="","",INDEX(学年度总表!$P$3:$P$1025,MATCH($E9,学年度总表!$E$3:$E$1025,0)))</f>
        <v/>
      </c>
      <c r="Q9" s="5" t="str">
        <f>IF(INDEX(学年度总表!$Q$3:$Q$1025,MATCH($E9,学年度总表!$E$3:$E$1025,0))="","",INDEX(学年度总表!$Q$3:$Q$1025,MATCH($E9,学年度总表!$E$3:$E$1025,0)))</f>
        <v/>
      </c>
    </row>
    <row r="10" spans="1:17">
      <c r="A10" s="2">
        <f>IF(INDEX(学年度总表!$A$3:$A$1025,MATCH($E10,学年度总表!$E$3:$E$1025,0))="","",INDEX(学年度总表!$A$3:$A$1025,MATCH($E10,学年度总表!$E$3:$E$1025,0)))</f>
        <v>8</v>
      </c>
      <c r="B10" s="2">
        <f>IF(INDEX(学年度总表!$B$3:$B$1025,MATCH($E10,学年度总表!$E$3:$E$1025,0))="","",INDEX(学年度总表!$B$3:$B$1025,MATCH($E10,学年度总表!$E$3:$E$1025,0)))</f>
        <v>8</v>
      </c>
      <c r="C10" s="2" t="str">
        <f>IF(INDEX(学年度总表!$C$3:$C$1025,MATCH($E10,学年度总表!$E$3:$E$1025,0))="","",INDEX(学年度总表!$C$3:$C$1025,MATCH($E10,学年度总表!$E$3:$E$1025,0)))</f>
        <v>大数据</v>
      </c>
      <c r="D10" s="2" t="str">
        <f>IF(INDEX(学年度总表!$D$3:$D$1025,MATCH($E10,学年度总表!$E$3:$E$1025,0))="","",INDEX(学年度总表!$D$3:$D$1025,MATCH($E10,学年度总表!$E$3:$E$1025,0)))</f>
        <v>大数据一班</v>
      </c>
      <c r="E10" s="2" t="s">
        <v>2067</v>
      </c>
      <c r="F10" s="2" t="str">
        <f>IF(INDEX(学年度总表!$F$3:$F$1025,MATCH($E10,学年度总表!$E$3:$E$1025,0))="","",INDEX(学年度总表!$F$3:$F$1025,MATCH($E10,学年度总表!$E$3:$E$1025,0)))</f>
        <v>王晓蝶</v>
      </c>
      <c r="G10" s="3">
        <f>IF(INDEX(学年度总表!$G$3:$G$1025,MATCH($E10,学年度总表!$E$3:$E$1025,0))="","",INDEX(学年度总表!$G$3:$G$1025,MATCH($E10,学年度总表!$E$3:$E$1025,0)))</f>
        <v>10</v>
      </c>
      <c r="H10" s="3">
        <f>IF(INDEX(学年度总表!$H$3:$H$1025,MATCH($E10,学年度总表!$E$3:$E$1025,0))="","",INDEX(学年度总表!$H$3:$H$1025,MATCH($E10,学年度总表!$E$3:$E$1025,0)))</f>
        <v>66.73</v>
      </c>
      <c r="I10" s="3">
        <f>IF(INDEX(学年度总表!$I$3:$I$1025,MATCH($E10,学年度总表!$E$3:$E$1025,0))="","",INDEX(学年度总表!$I$3:$I$1025,MATCH($E10,学年度总表!$E$3:$E$1025,0)))</f>
        <v>3</v>
      </c>
      <c r="J10" s="3">
        <f>IF(INDEX(学年度总表!$J$3:$J$1025,MATCH($E10,学年度总表!$E$3:$E$1025,0))="","",INDEX(学年度总表!$J$3:$J$1025,MATCH($E10,学年度总表!$E$3:$E$1025,0)))</f>
        <v>79.73</v>
      </c>
      <c r="K10" s="3">
        <f>IF(INDEX(学年度总表!$K$3:$K$1025,MATCH($E10,学年度总表!$E$3:$E$1025,0))="","",INDEX(学年度总表!$K$3:$K$1025,MATCH($E10,学年度总表!$E$3:$E$1025,0)))</f>
        <v>10</v>
      </c>
      <c r="L10" s="3">
        <f>IF(INDEX(学年度总表!$L$3:$L$1025,MATCH($E10,学年度总表!$E$3:$E$1025,0))="","",INDEX(学年度总表!$L$3:$L$1025,MATCH($E10,学年度总表!$E$3:$E$1025,0)))</f>
        <v>64.62</v>
      </c>
      <c r="M10" s="3">
        <f>IF(INDEX(学年度总表!$M$3:$M$1025,MATCH($E10,学年度总表!$E$3:$E$1025,0))="","",INDEX(学年度总表!$M$3:$M$1025,MATCH($E10,学年度总表!$E$3:$E$1025,0)))</f>
        <v>3.7</v>
      </c>
      <c r="N10" s="3">
        <f>IF(INDEX(学年度总表!$N$3:$N$1025,MATCH($E10,学年度总表!$E$3:$E$1025,0))="","",INDEX(学年度总表!$N$3:$N$1025,MATCH($E10,学年度总表!$E$3:$E$1025,0)))</f>
        <v>78.319999999999993</v>
      </c>
      <c r="O10" s="3">
        <f>IF(INDEX(学年度总表!$O$3:$O$1025,MATCH($E10,学年度总表!$E$3:$E$1025,0))="","",INDEX(学年度总表!$O$3:$O$1025,MATCH($E10,学年度总表!$E$3:$E$1025,0)))</f>
        <v>158.05000000000001</v>
      </c>
      <c r="P10" s="2" t="str">
        <f>IF(INDEX(学年度总表!$P$3:$P$1025,MATCH($E10,学年度总表!$E$3:$E$1025,0))="","",INDEX(学年度总表!$P$3:$P$1025,MATCH($E10,学年度总表!$E$3:$E$1025,0)))</f>
        <v/>
      </c>
      <c r="Q10" s="5" t="str">
        <f>IF(INDEX(学年度总表!$Q$3:$Q$1025,MATCH($E10,学年度总表!$E$3:$E$1025,0))="","",INDEX(学年度总表!$Q$3:$Q$1025,MATCH($E10,学年度总表!$E$3:$E$1025,0)))</f>
        <v/>
      </c>
    </row>
    <row r="11" spans="1:17">
      <c r="A11" s="2">
        <f>IF(INDEX(学年度总表!$A$3:$A$1025,MATCH($E11,学年度总表!$E$3:$E$1025,0))="","",INDEX(学年度总表!$A$3:$A$1025,MATCH($E11,学年度总表!$E$3:$E$1025,0)))</f>
        <v>9</v>
      </c>
      <c r="B11" s="2">
        <f>IF(INDEX(学年度总表!$B$3:$B$1025,MATCH($E11,学年度总表!$E$3:$E$1025,0))="","",INDEX(学年度总表!$B$3:$B$1025,MATCH($E11,学年度总表!$E$3:$E$1025,0)))</f>
        <v>9</v>
      </c>
      <c r="C11" s="2" t="str">
        <f>IF(INDEX(学年度总表!$C$3:$C$1025,MATCH($E11,学年度总表!$E$3:$E$1025,0))="","",INDEX(学年度总表!$C$3:$C$1025,MATCH($E11,学年度总表!$E$3:$E$1025,0)))</f>
        <v>大数据</v>
      </c>
      <c r="D11" s="2" t="str">
        <f>IF(INDEX(学年度总表!$D$3:$D$1025,MATCH($E11,学年度总表!$E$3:$E$1025,0))="","",INDEX(学年度总表!$D$3:$D$1025,MATCH($E11,学年度总表!$E$3:$E$1025,0)))</f>
        <v>大数据一班</v>
      </c>
      <c r="E11" s="2" t="s">
        <v>2069</v>
      </c>
      <c r="F11" s="2" t="str">
        <f>IF(INDEX(学年度总表!$F$3:$F$1025,MATCH($E11,学年度总表!$E$3:$E$1025,0))="","",INDEX(学年度总表!$F$3:$F$1025,MATCH($E11,学年度总表!$E$3:$E$1025,0)))</f>
        <v>王子淇</v>
      </c>
      <c r="G11" s="3">
        <f>IF(INDEX(学年度总表!$G$3:$G$1025,MATCH($E11,学年度总表!$E$3:$E$1025,0))="","",INDEX(学年度总表!$G$3:$G$1025,MATCH($E11,学年度总表!$E$3:$E$1025,0)))</f>
        <v>9.8000000000000007</v>
      </c>
      <c r="H11" s="3">
        <f>IF(INDEX(学年度总表!$H$3:$H$1025,MATCH($E11,学年度总表!$E$3:$E$1025,0))="","",INDEX(学年度总表!$H$3:$H$1025,MATCH($E11,学年度总表!$E$3:$E$1025,0)))</f>
        <v>64.53</v>
      </c>
      <c r="I11" s="3">
        <f>IF(INDEX(学年度总表!$I$3:$I$1025,MATCH($E11,学年度总表!$E$3:$E$1025,0))="","",INDEX(学年度总表!$I$3:$I$1025,MATCH($E11,学年度总表!$E$3:$E$1025,0)))</f>
        <v>4.5999999999999996</v>
      </c>
      <c r="J11" s="3">
        <f>IF(INDEX(学年度总表!$J$3:$J$1025,MATCH($E11,学年度总表!$E$3:$E$1025,0))="","",INDEX(学年度总表!$J$3:$J$1025,MATCH($E11,学年度总表!$E$3:$E$1025,0)))</f>
        <v>78.930000000000007</v>
      </c>
      <c r="K11" s="3">
        <f>IF(INDEX(学年度总表!$K$3:$K$1025,MATCH($E11,学年度总表!$E$3:$E$1025,0))="","",INDEX(学年度总表!$K$3:$K$1025,MATCH($E11,学年度总表!$E$3:$E$1025,0)))</f>
        <v>9.8000000000000007</v>
      </c>
      <c r="L11" s="3">
        <f>IF(INDEX(学年度总表!$L$3:$L$1025,MATCH($E11,学年度总表!$E$3:$E$1025,0))="","",INDEX(学年度总表!$L$3:$L$1025,MATCH($E11,学年度总表!$E$3:$E$1025,0)))</f>
        <v>63.98</v>
      </c>
      <c r="M11" s="3">
        <f>IF(INDEX(学年度总表!$M$3:$M$1025,MATCH($E11,学年度总表!$E$3:$E$1025,0))="","",INDEX(学年度总表!$M$3:$M$1025,MATCH($E11,学年度总表!$E$3:$E$1025,0)))</f>
        <v>4.8</v>
      </c>
      <c r="N11" s="3">
        <f>IF(INDEX(学年度总表!$N$3:$N$1025,MATCH($E11,学年度总表!$E$3:$E$1025,0))="","",INDEX(学年度总表!$N$3:$N$1025,MATCH($E11,学年度总表!$E$3:$E$1025,0)))</f>
        <v>78.58</v>
      </c>
      <c r="O11" s="3">
        <f>IF(INDEX(学年度总表!$O$3:$O$1025,MATCH($E11,学年度总表!$E$3:$E$1025,0))="","",INDEX(学年度总表!$O$3:$O$1025,MATCH($E11,学年度总表!$E$3:$E$1025,0)))</f>
        <v>157.51</v>
      </c>
      <c r="P11" s="2" t="str">
        <f>IF(INDEX(学年度总表!$P$3:$P$1025,MATCH($E11,学年度总表!$E$3:$E$1025,0))="","",INDEX(学年度总表!$P$3:$P$1025,MATCH($E11,学年度总表!$E$3:$E$1025,0)))</f>
        <v/>
      </c>
      <c r="Q11" s="5" t="str">
        <f>IF(INDEX(学年度总表!$Q$3:$Q$1025,MATCH($E11,学年度总表!$E$3:$E$1025,0))="","",INDEX(学年度总表!$Q$3:$Q$1025,MATCH($E11,学年度总表!$E$3:$E$1025,0)))</f>
        <v/>
      </c>
    </row>
    <row r="12" spans="1:17">
      <c r="A12" s="2">
        <f>IF(INDEX(学年度总表!$A$3:$A$1025,MATCH($E12,学年度总表!$E$3:$E$1025,0))="","",INDEX(学年度总表!$A$3:$A$1025,MATCH($E12,学年度总表!$E$3:$E$1025,0)))</f>
        <v>10</v>
      </c>
      <c r="B12" s="2">
        <f>IF(INDEX(学年度总表!$B$3:$B$1025,MATCH($E12,学年度总表!$E$3:$E$1025,0))="","",INDEX(学年度总表!$B$3:$B$1025,MATCH($E12,学年度总表!$E$3:$E$1025,0)))</f>
        <v>10</v>
      </c>
      <c r="C12" s="2" t="str">
        <f>IF(INDEX(学年度总表!$C$3:$C$1025,MATCH($E12,学年度总表!$E$3:$E$1025,0))="","",INDEX(学年度总表!$C$3:$C$1025,MATCH($E12,学年度总表!$E$3:$E$1025,0)))</f>
        <v>大数据</v>
      </c>
      <c r="D12" s="2" t="str">
        <f>IF(INDEX(学年度总表!$D$3:$D$1025,MATCH($E12,学年度总表!$E$3:$E$1025,0))="","",INDEX(学年度总表!$D$3:$D$1025,MATCH($E12,学年度总表!$E$3:$E$1025,0)))</f>
        <v>大数据一班</v>
      </c>
      <c r="E12" s="2" t="s">
        <v>2071</v>
      </c>
      <c r="F12" s="2" t="str">
        <f>IF(INDEX(学年度总表!$F$3:$F$1025,MATCH($E12,学年度总表!$E$3:$E$1025,0))="","",INDEX(学年度总表!$F$3:$F$1025,MATCH($E12,学年度总表!$E$3:$E$1025,0)))</f>
        <v>陈禹希</v>
      </c>
      <c r="G12" s="3">
        <f>IF(INDEX(学年度总表!$G$3:$G$1025,MATCH($E12,学年度总表!$E$3:$E$1025,0))="","",INDEX(学年度总表!$G$3:$G$1025,MATCH($E12,学年度总表!$E$3:$E$1025,0)))</f>
        <v>9.8000000000000007</v>
      </c>
      <c r="H12" s="3">
        <f>IF(INDEX(学年度总表!$H$3:$H$1025,MATCH($E12,学年度总表!$E$3:$E$1025,0))="","",INDEX(学年度总表!$H$3:$H$1025,MATCH($E12,学年度总表!$E$3:$E$1025,0)))</f>
        <v>65.849999999999994</v>
      </c>
      <c r="I12" s="3">
        <f>IF(INDEX(学年度总表!$I$3:$I$1025,MATCH($E12,学年度总表!$E$3:$E$1025,0))="","",INDEX(学年度总表!$I$3:$I$1025,MATCH($E12,学年度总表!$E$3:$E$1025,0)))</f>
        <v>3</v>
      </c>
      <c r="J12" s="3">
        <f>IF(INDEX(学年度总表!$J$3:$J$1025,MATCH($E12,学年度总表!$E$3:$E$1025,0))="","",INDEX(学年度总表!$J$3:$J$1025,MATCH($E12,学年度总表!$E$3:$E$1025,0)))</f>
        <v>78.650000000000006</v>
      </c>
      <c r="K12" s="3">
        <f>IF(INDEX(学年度总表!$K$3:$K$1025,MATCH($E12,学年度总表!$E$3:$E$1025,0))="","",INDEX(学年度总表!$K$3:$K$1025,MATCH($E12,学年度总表!$E$3:$E$1025,0)))</f>
        <v>10.8</v>
      </c>
      <c r="L12" s="3">
        <f>IF(INDEX(学年度总表!$L$3:$L$1025,MATCH($E12,学年度总表!$E$3:$E$1025,0))="","",INDEX(学年度总表!$L$3:$L$1025,MATCH($E12,学年度总表!$E$3:$E$1025,0)))</f>
        <v>64.17</v>
      </c>
      <c r="M12" s="3">
        <f>IF(INDEX(学年度总表!$M$3:$M$1025,MATCH($E12,学年度总表!$E$3:$E$1025,0))="","",INDEX(学年度总表!$M$3:$M$1025,MATCH($E12,学年度总表!$E$3:$E$1025,0)))</f>
        <v>3.8</v>
      </c>
      <c r="N12" s="3">
        <f>IF(INDEX(学年度总表!$N$3:$N$1025,MATCH($E12,学年度总表!$E$3:$E$1025,0))="","",INDEX(学年度总表!$N$3:$N$1025,MATCH($E12,学年度总表!$E$3:$E$1025,0)))</f>
        <v>78.77</v>
      </c>
      <c r="O12" s="3">
        <f>IF(INDEX(学年度总表!$O$3:$O$1025,MATCH($E12,学年度总表!$E$3:$E$1025,0))="","",INDEX(学年度总表!$O$3:$O$1025,MATCH($E12,学年度总表!$E$3:$E$1025,0)))</f>
        <v>157.41999999999999</v>
      </c>
      <c r="P12" s="2" t="str">
        <f>IF(INDEX(学年度总表!$P$3:$P$1025,MATCH($E12,学年度总表!$E$3:$E$1025,0))="","",INDEX(学年度总表!$P$3:$P$1025,MATCH($E12,学年度总表!$E$3:$E$1025,0)))</f>
        <v/>
      </c>
      <c r="Q12" s="5" t="str">
        <f>IF(INDEX(学年度总表!$Q$3:$Q$1025,MATCH($E12,学年度总表!$E$3:$E$1025,0))="","",INDEX(学年度总表!$Q$3:$Q$1025,MATCH($E12,学年度总表!$E$3:$E$1025,0)))</f>
        <v/>
      </c>
    </row>
    <row r="13" spans="1:17">
      <c r="A13" s="2">
        <f>IF(INDEX(学年度总表!$A$3:$A$1025,MATCH($E13,学年度总表!$E$3:$E$1025,0))="","",INDEX(学年度总表!$A$3:$A$1025,MATCH($E13,学年度总表!$E$3:$E$1025,0)))</f>
        <v>11</v>
      </c>
      <c r="B13" s="2">
        <f>IF(INDEX(学年度总表!$B$3:$B$1025,MATCH($E13,学年度总表!$E$3:$E$1025,0))="","",INDEX(学年度总表!$B$3:$B$1025,MATCH($E13,学年度总表!$E$3:$E$1025,0)))</f>
        <v>11</v>
      </c>
      <c r="C13" s="2" t="str">
        <f>IF(INDEX(学年度总表!$C$3:$C$1025,MATCH($E13,学年度总表!$E$3:$E$1025,0))="","",INDEX(学年度总表!$C$3:$C$1025,MATCH($E13,学年度总表!$E$3:$E$1025,0)))</f>
        <v>大数据</v>
      </c>
      <c r="D13" s="2" t="str">
        <f>IF(INDEX(学年度总表!$D$3:$D$1025,MATCH($E13,学年度总表!$E$3:$E$1025,0))="","",INDEX(学年度总表!$D$3:$D$1025,MATCH($E13,学年度总表!$E$3:$E$1025,0)))</f>
        <v>大数据一班</v>
      </c>
      <c r="E13" s="2" t="s">
        <v>2073</v>
      </c>
      <c r="F13" s="2" t="str">
        <f>IF(INDEX(学年度总表!$F$3:$F$1025,MATCH($E13,学年度总表!$E$3:$E$1025,0))="","",INDEX(学年度总表!$F$3:$F$1025,MATCH($E13,学年度总表!$E$3:$E$1025,0)))</f>
        <v>周围禾</v>
      </c>
      <c r="G13" s="3">
        <f>IF(INDEX(学年度总表!$G$3:$G$1025,MATCH($E13,学年度总表!$E$3:$E$1025,0))="","",INDEX(学年度总表!$G$3:$G$1025,MATCH($E13,学年度总表!$E$3:$E$1025,0)))</f>
        <v>10.8</v>
      </c>
      <c r="H13" s="3">
        <f>IF(INDEX(学年度总表!$H$3:$H$1025,MATCH($E13,学年度总表!$E$3:$E$1025,0))="","",INDEX(学年度总表!$H$3:$H$1025,MATCH($E13,学年度总表!$E$3:$E$1025,0)))</f>
        <v>65.81</v>
      </c>
      <c r="I13" s="3">
        <f>IF(INDEX(学年度总表!$I$3:$I$1025,MATCH($E13,学年度总表!$E$3:$E$1025,0))="","",INDEX(学年度总表!$I$3:$I$1025,MATCH($E13,学年度总表!$E$3:$E$1025,0)))</f>
        <v>5</v>
      </c>
      <c r="J13" s="3">
        <f>IF(INDEX(学年度总表!$J$3:$J$1025,MATCH($E13,学年度总表!$E$3:$E$1025,0))="","",INDEX(学年度总表!$J$3:$J$1025,MATCH($E13,学年度总表!$E$3:$E$1025,0)))</f>
        <v>81.61</v>
      </c>
      <c r="K13" s="3">
        <f>IF(INDEX(学年度总表!$K$3:$K$1025,MATCH($E13,学年度总表!$E$3:$E$1025,0))="","",INDEX(学年度总表!$K$3:$K$1025,MATCH($E13,学年度总表!$E$3:$E$1025,0)))</f>
        <v>9.8000000000000007</v>
      </c>
      <c r="L13" s="3">
        <f>IF(INDEX(学年度总表!$L$3:$L$1025,MATCH($E13,学年度总表!$E$3:$E$1025,0))="","",INDEX(学年度总表!$L$3:$L$1025,MATCH($E13,学年度总表!$E$3:$E$1025,0)))</f>
        <v>59.88</v>
      </c>
      <c r="M13" s="3">
        <f>IF(INDEX(学年度总表!$M$3:$M$1025,MATCH($E13,学年度总表!$E$3:$E$1025,0))="","",INDEX(学年度总表!$M$3:$M$1025,MATCH($E13,学年度总表!$E$3:$E$1025,0)))</f>
        <v>5.5</v>
      </c>
      <c r="N13" s="3">
        <f>IF(INDEX(学年度总表!$N$3:$N$1025,MATCH($E13,学年度总表!$E$3:$E$1025,0))="","",INDEX(学年度总表!$N$3:$N$1025,MATCH($E13,学年度总表!$E$3:$E$1025,0)))</f>
        <v>75.180000000000007</v>
      </c>
      <c r="O13" s="3">
        <f>IF(INDEX(学年度总表!$O$3:$O$1025,MATCH($E13,学年度总表!$E$3:$E$1025,0))="","",INDEX(学年度总表!$O$3:$O$1025,MATCH($E13,学年度总表!$E$3:$E$1025,0)))</f>
        <v>156.79</v>
      </c>
      <c r="P13" s="2" t="str">
        <f>IF(INDEX(学年度总表!$P$3:$P$1025,MATCH($E13,学年度总表!$E$3:$E$1025,0))="","",INDEX(学年度总表!$P$3:$P$1025,MATCH($E13,学年度总表!$E$3:$E$1025,0)))</f>
        <v/>
      </c>
      <c r="Q13" s="5" t="str">
        <f>IF(INDEX(学年度总表!$Q$3:$Q$1025,MATCH($E13,学年度总表!$E$3:$E$1025,0))="","",INDEX(学年度总表!$Q$3:$Q$1025,MATCH($E13,学年度总表!$E$3:$E$1025,0)))</f>
        <v/>
      </c>
    </row>
    <row r="14" spans="1:17">
      <c r="A14" s="2">
        <f>IF(INDEX(学年度总表!$A$3:$A$1025,MATCH($E14,学年度总表!$E$3:$E$1025,0))="","",INDEX(学年度总表!$A$3:$A$1025,MATCH($E14,学年度总表!$E$3:$E$1025,0)))</f>
        <v>12</v>
      </c>
      <c r="B14" s="2">
        <f>IF(INDEX(学年度总表!$B$3:$B$1025,MATCH($E14,学年度总表!$E$3:$E$1025,0))="","",INDEX(学年度总表!$B$3:$B$1025,MATCH($E14,学年度总表!$E$3:$E$1025,0)))</f>
        <v>12</v>
      </c>
      <c r="C14" s="2" t="str">
        <f>IF(INDEX(学年度总表!$C$3:$C$1025,MATCH($E14,学年度总表!$E$3:$E$1025,0))="","",INDEX(学年度总表!$C$3:$C$1025,MATCH($E14,学年度总表!$E$3:$E$1025,0)))</f>
        <v>大数据</v>
      </c>
      <c r="D14" s="2" t="str">
        <f>IF(INDEX(学年度总表!$D$3:$D$1025,MATCH($E14,学年度总表!$E$3:$E$1025,0))="","",INDEX(学年度总表!$D$3:$D$1025,MATCH($E14,学年度总表!$E$3:$E$1025,0)))</f>
        <v>大数据一班</v>
      </c>
      <c r="E14" s="2" t="s">
        <v>2075</v>
      </c>
      <c r="F14" s="2" t="str">
        <f>IF(INDEX(学年度总表!$F$3:$F$1025,MATCH($E14,学年度总表!$E$3:$E$1025,0))="","",INDEX(学年度总表!$F$3:$F$1025,MATCH($E14,学年度总表!$E$3:$E$1025,0)))</f>
        <v>崔越</v>
      </c>
      <c r="G14" s="3">
        <f>IF(INDEX(学年度总表!$G$3:$G$1025,MATCH($E14,学年度总表!$E$3:$E$1025,0))="","",INDEX(学年度总表!$G$3:$G$1025,MATCH($E14,学年度总表!$E$3:$E$1025,0)))</f>
        <v>9.8000000000000007</v>
      </c>
      <c r="H14" s="3">
        <f>IF(INDEX(学年度总表!$H$3:$H$1025,MATCH($E14,学年度总表!$E$3:$E$1025,0))="","",INDEX(学年度总表!$H$3:$H$1025,MATCH($E14,学年度总表!$E$3:$E$1025,0)))</f>
        <v>68.599999999999994</v>
      </c>
      <c r="I14" s="3">
        <f>IF(INDEX(学年度总表!$I$3:$I$1025,MATCH($E14,学年度总表!$E$3:$E$1025,0))="","",INDEX(学年度总表!$I$3:$I$1025,MATCH($E14,学年度总表!$E$3:$E$1025,0)))</f>
        <v>3</v>
      </c>
      <c r="J14" s="3">
        <f>IF(INDEX(学年度总表!$J$3:$J$1025,MATCH($E14,学年度总表!$E$3:$E$1025,0))="","",INDEX(学年度总表!$J$3:$J$1025,MATCH($E14,学年度总表!$E$3:$E$1025,0)))</f>
        <v>81.400000000000006</v>
      </c>
      <c r="K14" s="3">
        <f>IF(INDEX(学年度总表!$K$3:$K$1025,MATCH($E14,学年度总表!$E$3:$E$1025,0))="","",INDEX(学年度总表!$K$3:$K$1025,MATCH($E14,学年度总表!$E$3:$E$1025,0)))</f>
        <v>9.8000000000000007</v>
      </c>
      <c r="L14" s="3">
        <f>IF(INDEX(学年度总表!$L$3:$L$1025,MATCH($E14,学年度总表!$E$3:$E$1025,0))="","",INDEX(学年度总表!$L$3:$L$1025,MATCH($E14,学年度总表!$E$3:$E$1025,0)))</f>
        <v>61.24</v>
      </c>
      <c r="M14" s="3">
        <f>IF(INDEX(学年度总表!$M$3:$M$1025,MATCH($E14,学年度总表!$E$3:$E$1025,0))="","",INDEX(学年度总表!$M$3:$M$1025,MATCH($E14,学年度总表!$E$3:$E$1025,0)))</f>
        <v>3.5</v>
      </c>
      <c r="N14" s="3">
        <f>IF(INDEX(学年度总表!$N$3:$N$1025,MATCH($E14,学年度总表!$E$3:$E$1025,0))="","",INDEX(学年度总表!$N$3:$N$1025,MATCH($E14,学年度总表!$E$3:$E$1025,0)))</f>
        <v>74.540000000000006</v>
      </c>
      <c r="O14" s="3">
        <f>IF(INDEX(学年度总表!$O$3:$O$1025,MATCH($E14,学年度总表!$E$3:$E$1025,0))="","",INDEX(学年度总表!$O$3:$O$1025,MATCH($E14,学年度总表!$E$3:$E$1025,0)))</f>
        <v>155.94</v>
      </c>
      <c r="P14" s="2" t="str">
        <f>IF(INDEX(学年度总表!$P$3:$P$1025,MATCH($E14,学年度总表!$E$3:$E$1025,0))="","",INDEX(学年度总表!$P$3:$P$1025,MATCH($E14,学年度总表!$E$3:$E$1025,0)))</f>
        <v/>
      </c>
      <c r="Q14" s="5" t="str">
        <f>IF(INDEX(学年度总表!$Q$3:$Q$1025,MATCH($E14,学年度总表!$E$3:$E$1025,0))="","",INDEX(学年度总表!$Q$3:$Q$1025,MATCH($E14,学年度总表!$E$3:$E$1025,0)))</f>
        <v/>
      </c>
    </row>
    <row r="15" spans="1:17">
      <c r="A15" s="2">
        <f>IF(INDEX(学年度总表!$A$3:$A$1025,MATCH($E15,学年度总表!$E$3:$E$1025,0))="","",INDEX(学年度总表!$A$3:$A$1025,MATCH($E15,学年度总表!$E$3:$E$1025,0)))</f>
        <v>13</v>
      </c>
      <c r="B15" s="2">
        <f>IF(INDEX(学年度总表!$B$3:$B$1025,MATCH($E15,学年度总表!$E$3:$E$1025,0))="","",INDEX(学年度总表!$B$3:$B$1025,MATCH($E15,学年度总表!$E$3:$E$1025,0)))</f>
        <v>13</v>
      </c>
      <c r="C15" s="2" t="str">
        <f>IF(INDEX(学年度总表!$C$3:$C$1025,MATCH($E15,学年度总表!$E$3:$E$1025,0))="","",INDEX(学年度总表!$C$3:$C$1025,MATCH($E15,学年度总表!$E$3:$E$1025,0)))</f>
        <v>大数据</v>
      </c>
      <c r="D15" s="2" t="str">
        <f>IF(INDEX(学年度总表!$D$3:$D$1025,MATCH($E15,学年度总表!$E$3:$E$1025,0))="","",INDEX(学年度总表!$D$3:$D$1025,MATCH($E15,学年度总表!$E$3:$E$1025,0)))</f>
        <v>大数据一班</v>
      </c>
      <c r="E15" s="2" t="s">
        <v>2077</v>
      </c>
      <c r="F15" s="2" t="str">
        <f>IF(INDEX(学年度总表!$F$3:$F$1025,MATCH($E15,学年度总表!$E$3:$E$1025,0))="","",INDEX(学年度总表!$F$3:$F$1025,MATCH($E15,学年度总表!$E$3:$E$1025,0)))</f>
        <v>钱昱彤</v>
      </c>
      <c r="G15" s="3">
        <f>IF(INDEX(学年度总表!$G$3:$G$1025,MATCH($E15,学年度总表!$E$3:$E$1025,0))="","",INDEX(学年度总表!$G$3:$G$1025,MATCH($E15,学年度总表!$E$3:$E$1025,0)))</f>
        <v>9.8000000000000007</v>
      </c>
      <c r="H15" s="3">
        <f>IF(INDEX(学年度总表!$H$3:$H$1025,MATCH($E15,学年度总表!$E$3:$E$1025,0))="","",INDEX(学年度总表!$H$3:$H$1025,MATCH($E15,学年度总表!$E$3:$E$1025,0)))</f>
        <v>62.63</v>
      </c>
      <c r="I15" s="3">
        <f>IF(INDEX(学年度总表!$I$3:$I$1025,MATCH($E15,学年度总表!$E$3:$E$1025,0))="","",INDEX(学年度总表!$I$3:$I$1025,MATCH($E15,学年度总表!$E$3:$E$1025,0)))</f>
        <v>3</v>
      </c>
      <c r="J15" s="3">
        <f>IF(INDEX(学年度总表!$J$3:$J$1025,MATCH($E15,学年度总表!$E$3:$E$1025,0))="","",INDEX(学年度总表!$J$3:$J$1025,MATCH($E15,学年度总表!$E$3:$E$1025,0)))</f>
        <v>75.430000000000007</v>
      </c>
      <c r="K15" s="3">
        <f>IF(INDEX(学年度总表!$K$3:$K$1025,MATCH($E15,学年度总表!$E$3:$E$1025,0))="","",INDEX(学年度总表!$K$3:$K$1025,MATCH($E15,学年度总表!$E$3:$E$1025,0)))</f>
        <v>9.8000000000000007</v>
      </c>
      <c r="L15" s="3">
        <f>IF(INDEX(学年度总表!$L$3:$L$1025,MATCH($E15,学年度总表!$E$3:$E$1025,0))="","",INDEX(学年度总表!$L$3:$L$1025,MATCH($E15,学年度总表!$E$3:$E$1025,0)))</f>
        <v>64.78</v>
      </c>
      <c r="M15" s="3">
        <f>IF(INDEX(学年度总表!$M$3:$M$1025,MATCH($E15,学年度总表!$E$3:$E$1025,0))="","",INDEX(学年度总表!$M$3:$M$1025,MATCH($E15,学年度总表!$E$3:$E$1025,0)))</f>
        <v>4.2</v>
      </c>
      <c r="N15" s="3">
        <f>IF(INDEX(学年度总表!$N$3:$N$1025,MATCH($E15,学年度总表!$E$3:$E$1025,0))="","",INDEX(学年度总表!$N$3:$N$1025,MATCH($E15,学年度总表!$E$3:$E$1025,0)))</f>
        <v>78.78</v>
      </c>
      <c r="O15" s="3">
        <f>IF(INDEX(学年度总表!$O$3:$O$1025,MATCH($E15,学年度总表!$E$3:$E$1025,0))="","",INDEX(学年度总表!$O$3:$O$1025,MATCH($E15,学年度总表!$E$3:$E$1025,0)))</f>
        <v>154.21</v>
      </c>
      <c r="P15" s="2" t="str">
        <f>IF(INDEX(学年度总表!$P$3:$P$1025,MATCH($E15,学年度总表!$E$3:$E$1025,0))="","",INDEX(学年度总表!$P$3:$P$1025,MATCH($E15,学年度总表!$E$3:$E$1025,0)))</f>
        <v/>
      </c>
      <c r="Q15" s="5" t="str">
        <f>IF(INDEX(学年度总表!$Q$3:$Q$1025,MATCH($E15,学年度总表!$E$3:$E$1025,0))="","",INDEX(学年度总表!$Q$3:$Q$1025,MATCH($E15,学年度总表!$E$3:$E$1025,0)))</f>
        <v/>
      </c>
    </row>
    <row r="16" spans="1:17">
      <c r="A16" s="2">
        <f>IF(INDEX(学年度总表!$A$3:$A$1025,MATCH($E16,学年度总表!$E$3:$E$1025,0))="","",INDEX(学年度总表!$A$3:$A$1025,MATCH($E16,学年度总表!$E$3:$E$1025,0)))</f>
        <v>14</v>
      </c>
      <c r="B16" s="2">
        <f>IF(INDEX(学年度总表!$B$3:$B$1025,MATCH($E16,学年度总表!$E$3:$E$1025,0))="","",INDEX(学年度总表!$B$3:$B$1025,MATCH($E16,学年度总表!$E$3:$E$1025,0)))</f>
        <v>14</v>
      </c>
      <c r="C16" s="2" t="str">
        <f>IF(INDEX(学年度总表!$C$3:$C$1025,MATCH($E16,学年度总表!$E$3:$E$1025,0))="","",INDEX(学年度总表!$C$3:$C$1025,MATCH($E16,学年度总表!$E$3:$E$1025,0)))</f>
        <v>大数据</v>
      </c>
      <c r="D16" s="2" t="str">
        <f>IF(INDEX(学年度总表!$D$3:$D$1025,MATCH($E16,学年度总表!$E$3:$E$1025,0))="","",INDEX(学年度总表!$D$3:$D$1025,MATCH($E16,学年度总表!$E$3:$E$1025,0)))</f>
        <v>大数据一班</v>
      </c>
      <c r="E16" s="2" t="s">
        <v>2079</v>
      </c>
      <c r="F16" s="2" t="str">
        <f>IF(INDEX(学年度总表!$F$3:$F$1025,MATCH($E16,学年度总表!$E$3:$E$1025,0))="","",INDEX(学年度总表!$F$3:$F$1025,MATCH($E16,学年度总表!$E$3:$E$1025,0)))</f>
        <v>李佳奕</v>
      </c>
      <c r="G16" s="3">
        <f>IF(INDEX(学年度总表!$G$3:$G$1025,MATCH($E16,学年度总表!$E$3:$E$1025,0))="","",INDEX(学年度总表!$G$3:$G$1025,MATCH($E16,学年度总表!$E$3:$E$1025,0)))</f>
        <v>9.8000000000000007</v>
      </c>
      <c r="H16" s="3">
        <f>IF(INDEX(学年度总表!$H$3:$H$1025,MATCH($E16,学年度总表!$E$3:$E$1025,0))="","",INDEX(学年度总表!$H$3:$H$1025,MATCH($E16,学年度总表!$E$3:$E$1025,0)))</f>
        <v>63.3</v>
      </c>
      <c r="I16" s="3">
        <f>IF(INDEX(学年度总表!$I$3:$I$1025,MATCH($E16,学年度总表!$E$3:$E$1025,0))="","",INDEX(学年度总表!$I$3:$I$1025,MATCH($E16,学年度总表!$E$3:$E$1025,0)))</f>
        <v>4.3</v>
      </c>
      <c r="J16" s="3">
        <f>IF(INDEX(学年度总表!$J$3:$J$1025,MATCH($E16,学年度总表!$E$3:$E$1025,0))="","",INDEX(学年度总表!$J$3:$J$1025,MATCH($E16,学年度总表!$E$3:$E$1025,0)))</f>
        <v>77.400000000000006</v>
      </c>
      <c r="K16" s="3">
        <f>IF(INDEX(学年度总表!$K$3:$K$1025,MATCH($E16,学年度总表!$E$3:$E$1025,0))="","",INDEX(学年度总表!$K$3:$K$1025,MATCH($E16,学年度总表!$E$3:$E$1025,0)))</f>
        <v>10.8</v>
      </c>
      <c r="L16" s="3">
        <f>IF(INDEX(学年度总表!$L$3:$L$1025,MATCH($E16,学年度总表!$E$3:$E$1025,0))="","",INDEX(学年度总表!$L$3:$L$1025,MATCH($E16,学年度总表!$E$3:$E$1025,0)))</f>
        <v>60.58</v>
      </c>
      <c r="M16" s="3">
        <f>IF(INDEX(学年度总表!$M$3:$M$1025,MATCH($E16,学年度总表!$E$3:$E$1025,0))="","",INDEX(学年度总表!$M$3:$M$1025,MATCH($E16,学年度总表!$E$3:$E$1025,0)))</f>
        <v>4.7</v>
      </c>
      <c r="N16" s="3">
        <f>IF(INDEX(学年度总表!$N$3:$N$1025,MATCH($E16,学年度总表!$E$3:$E$1025,0))="","",INDEX(学年度总表!$N$3:$N$1025,MATCH($E16,学年度总表!$E$3:$E$1025,0)))</f>
        <v>76.08</v>
      </c>
      <c r="O16" s="3">
        <f>IF(INDEX(学年度总表!$O$3:$O$1025,MATCH($E16,学年度总表!$E$3:$E$1025,0))="","",INDEX(学年度总表!$O$3:$O$1025,MATCH($E16,学年度总表!$E$3:$E$1025,0)))</f>
        <v>153.47999999999999</v>
      </c>
      <c r="P16" s="2" t="str">
        <f>IF(INDEX(学年度总表!$P$3:$P$1025,MATCH($E16,学年度总表!$E$3:$E$1025,0))="","",INDEX(学年度总表!$P$3:$P$1025,MATCH($E16,学年度总表!$E$3:$E$1025,0)))</f>
        <v/>
      </c>
      <c r="Q16" s="5" t="str">
        <f>IF(INDEX(学年度总表!$Q$3:$Q$1025,MATCH($E16,学年度总表!$E$3:$E$1025,0))="","",INDEX(学年度总表!$Q$3:$Q$1025,MATCH($E16,学年度总表!$E$3:$E$1025,0)))</f>
        <v/>
      </c>
    </row>
    <row r="17" spans="1:17">
      <c r="A17" s="2">
        <f>IF(INDEX(学年度总表!$A$3:$A$1025,MATCH($E17,学年度总表!$E$3:$E$1025,0))="","",INDEX(学年度总表!$A$3:$A$1025,MATCH($E17,学年度总表!$E$3:$E$1025,0)))</f>
        <v>15</v>
      </c>
      <c r="B17" s="2">
        <f>IF(INDEX(学年度总表!$B$3:$B$1025,MATCH($E17,学年度总表!$E$3:$E$1025,0))="","",INDEX(学年度总表!$B$3:$B$1025,MATCH($E17,学年度总表!$E$3:$E$1025,0)))</f>
        <v>15</v>
      </c>
      <c r="C17" s="2" t="str">
        <f>IF(INDEX(学年度总表!$C$3:$C$1025,MATCH($E17,学年度总表!$E$3:$E$1025,0))="","",INDEX(学年度总表!$C$3:$C$1025,MATCH($E17,学年度总表!$E$3:$E$1025,0)))</f>
        <v>大数据</v>
      </c>
      <c r="D17" s="2" t="str">
        <f>IF(INDEX(学年度总表!$D$3:$D$1025,MATCH($E17,学年度总表!$E$3:$E$1025,0))="","",INDEX(学年度总表!$D$3:$D$1025,MATCH($E17,学年度总表!$E$3:$E$1025,0)))</f>
        <v>大数据一班</v>
      </c>
      <c r="E17" s="2" t="s">
        <v>2081</v>
      </c>
      <c r="F17" s="2" t="str">
        <f>IF(INDEX(学年度总表!$F$3:$F$1025,MATCH($E17,学年度总表!$E$3:$E$1025,0))="","",INDEX(学年度总表!$F$3:$F$1025,MATCH($E17,学年度总表!$E$3:$E$1025,0)))</f>
        <v>王雅怡</v>
      </c>
      <c r="G17" s="3">
        <f>IF(INDEX(学年度总表!$G$3:$G$1025,MATCH($E17,学年度总表!$E$3:$E$1025,0))="","",INDEX(学年度总表!$G$3:$G$1025,MATCH($E17,学年度总表!$E$3:$E$1025,0)))</f>
        <v>10</v>
      </c>
      <c r="H17" s="3">
        <f>IF(INDEX(学年度总表!$H$3:$H$1025,MATCH($E17,学年度总表!$E$3:$E$1025,0))="","",INDEX(学年度总表!$H$3:$H$1025,MATCH($E17,学年度总表!$E$3:$E$1025,0)))</f>
        <v>63.27</v>
      </c>
      <c r="I17" s="3">
        <f>IF(INDEX(学年度总表!$I$3:$I$1025,MATCH($E17,学年度总表!$E$3:$E$1025,0))="","",INDEX(学年度总表!$I$3:$I$1025,MATCH($E17,学年度总表!$E$3:$E$1025,0)))</f>
        <v>5.25</v>
      </c>
      <c r="J17" s="3">
        <f>IF(INDEX(学年度总表!$J$3:$J$1025,MATCH($E17,学年度总表!$E$3:$E$1025,0))="","",INDEX(学年度总表!$J$3:$J$1025,MATCH($E17,学年度总表!$E$3:$E$1025,0)))</f>
        <v>78.52</v>
      </c>
      <c r="K17" s="3">
        <f>IF(INDEX(学年度总表!$K$3:$K$1025,MATCH($E17,学年度总表!$E$3:$E$1025,0))="","",INDEX(学年度总表!$K$3:$K$1025,MATCH($E17,学年度总表!$E$3:$E$1025,0)))</f>
        <v>10</v>
      </c>
      <c r="L17" s="3">
        <f>IF(INDEX(学年度总表!$L$3:$L$1025,MATCH($E17,学年度总表!$E$3:$E$1025,0))="","",INDEX(学年度总表!$L$3:$L$1025,MATCH($E17,学年度总表!$E$3:$E$1025,0)))</f>
        <v>59.22</v>
      </c>
      <c r="M17" s="3">
        <f>IF(INDEX(学年度总表!$M$3:$M$1025,MATCH($E17,学年度总表!$E$3:$E$1025,0))="","",INDEX(学年度总表!$M$3:$M$1025,MATCH($E17,学年度总表!$E$3:$E$1025,0)))</f>
        <v>5.25</v>
      </c>
      <c r="N17" s="3">
        <f>IF(INDEX(学年度总表!$N$3:$N$1025,MATCH($E17,学年度总表!$E$3:$E$1025,0))="","",INDEX(学年度总表!$N$3:$N$1025,MATCH($E17,学年度总表!$E$3:$E$1025,0)))</f>
        <v>74.47</v>
      </c>
      <c r="O17" s="3">
        <f>IF(INDEX(学年度总表!$O$3:$O$1025,MATCH($E17,学年度总表!$E$3:$E$1025,0))="","",INDEX(学年度总表!$O$3:$O$1025,MATCH($E17,学年度总表!$E$3:$E$1025,0)))</f>
        <v>152.99</v>
      </c>
      <c r="P17" s="2" t="str">
        <f>IF(INDEX(学年度总表!$P$3:$P$1025,MATCH($E17,学年度总表!$E$3:$E$1025,0))="","",INDEX(学年度总表!$P$3:$P$1025,MATCH($E17,学年度总表!$E$3:$E$1025,0)))</f>
        <v/>
      </c>
      <c r="Q17" s="5" t="str">
        <f>IF(INDEX(学年度总表!$Q$3:$Q$1025,MATCH($E17,学年度总表!$E$3:$E$1025,0))="","",INDEX(学年度总表!$Q$3:$Q$1025,MATCH($E17,学年度总表!$E$3:$E$1025,0)))</f>
        <v/>
      </c>
    </row>
    <row r="18" spans="1:17">
      <c r="A18" s="2">
        <f>IF(INDEX(学年度总表!$A$3:$A$1025,MATCH($E18,学年度总表!$E$3:$E$1025,0))="","",INDEX(学年度总表!$A$3:$A$1025,MATCH($E18,学年度总表!$E$3:$E$1025,0)))</f>
        <v>16</v>
      </c>
      <c r="B18" s="2">
        <f>IF(INDEX(学年度总表!$B$3:$B$1025,MATCH($E18,学年度总表!$E$3:$E$1025,0))="","",INDEX(学年度总表!$B$3:$B$1025,MATCH($E18,学年度总表!$E$3:$E$1025,0)))</f>
        <v>16</v>
      </c>
      <c r="C18" s="2" t="str">
        <f>IF(INDEX(学年度总表!$C$3:$C$1025,MATCH($E18,学年度总表!$E$3:$E$1025,0))="","",INDEX(学年度总表!$C$3:$C$1025,MATCH($E18,学年度总表!$E$3:$E$1025,0)))</f>
        <v>大数据</v>
      </c>
      <c r="D18" s="2" t="str">
        <f>IF(INDEX(学年度总表!$D$3:$D$1025,MATCH($E18,学年度总表!$E$3:$E$1025,0))="","",INDEX(学年度总表!$D$3:$D$1025,MATCH($E18,学年度总表!$E$3:$E$1025,0)))</f>
        <v>大数据一班</v>
      </c>
      <c r="E18" s="2" t="s">
        <v>2083</v>
      </c>
      <c r="F18" s="2" t="str">
        <f>IF(INDEX(学年度总表!$F$3:$F$1025,MATCH($E18,学年度总表!$E$3:$E$1025,0))="","",INDEX(学年度总表!$F$3:$F$1025,MATCH($E18,学年度总表!$E$3:$E$1025,0)))</f>
        <v>郑安倪</v>
      </c>
      <c r="G18" s="3">
        <f>IF(INDEX(学年度总表!$G$3:$G$1025,MATCH($E18,学年度总表!$E$3:$E$1025,0))="","",INDEX(学年度总表!$G$3:$G$1025,MATCH($E18,学年度总表!$E$3:$E$1025,0)))</f>
        <v>11</v>
      </c>
      <c r="H18" s="3">
        <f>IF(INDEX(学年度总表!$H$3:$H$1025,MATCH($E18,学年度总表!$E$3:$E$1025,0))="","",INDEX(学年度总表!$H$3:$H$1025,MATCH($E18,学年度总表!$E$3:$E$1025,0)))</f>
        <v>60.63</v>
      </c>
      <c r="I18" s="3">
        <f>IF(INDEX(学年度总表!$I$3:$I$1025,MATCH($E18,学年度总表!$E$3:$E$1025,0))="","",INDEX(学年度总表!$I$3:$I$1025,MATCH($E18,学年度总表!$E$3:$E$1025,0)))</f>
        <v>4.3</v>
      </c>
      <c r="J18" s="3">
        <f>IF(INDEX(学年度总表!$J$3:$J$1025,MATCH($E18,学年度总表!$E$3:$E$1025,0))="","",INDEX(学年度总表!$J$3:$J$1025,MATCH($E18,学年度总表!$E$3:$E$1025,0)))</f>
        <v>75.930000000000007</v>
      </c>
      <c r="K18" s="3">
        <f>IF(INDEX(学年度总表!$K$3:$K$1025,MATCH($E18,学年度总表!$E$3:$E$1025,0))="","",INDEX(学年度总表!$K$3:$K$1025,MATCH($E18,学年度总表!$E$3:$E$1025,0)))</f>
        <v>10</v>
      </c>
      <c r="L18" s="3">
        <f>IF(INDEX(学年度总表!$L$3:$L$1025,MATCH($E18,学年度总表!$E$3:$E$1025,0))="","",INDEX(学年度总表!$L$3:$L$1025,MATCH($E18,学年度总表!$E$3:$E$1025,0)))</f>
        <v>60.94</v>
      </c>
      <c r="M18" s="3">
        <f>IF(INDEX(学年度总表!$M$3:$M$1025,MATCH($E18,学年度总表!$E$3:$E$1025,0))="","",INDEX(学年度总表!$M$3:$M$1025,MATCH($E18,学年度总表!$E$3:$E$1025,0)))</f>
        <v>4.5</v>
      </c>
      <c r="N18" s="3">
        <f>IF(INDEX(学年度总表!$N$3:$N$1025,MATCH($E18,学年度总表!$E$3:$E$1025,0))="","",INDEX(学年度总表!$N$3:$N$1025,MATCH($E18,学年度总表!$E$3:$E$1025,0)))</f>
        <v>75.44</v>
      </c>
      <c r="O18" s="3">
        <f>IF(INDEX(学年度总表!$O$3:$O$1025,MATCH($E18,学年度总表!$E$3:$E$1025,0))="","",INDEX(学年度总表!$O$3:$O$1025,MATCH($E18,学年度总表!$E$3:$E$1025,0)))</f>
        <v>151.37</v>
      </c>
      <c r="P18" s="2" t="str">
        <f>IF(INDEX(学年度总表!$P$3:$P$1025,MATCH($E18,学年度总表!$E$3:$E$1025,0))="","",INDEX(学年度总表!$P$3:$P$1025,MATCH($E18,学年度总表!$E$3:$E$1025,0)))</f>
        <v/>
      </c>
      <c r="Q18" s="5" t="str">
        <f>IF(INDEX(学年度总表!$Q$3:$Q$1025,MATCH($E18,学年度总表!$E$3:$E$1025,0))="","",INDEX(学年度总表!$Q$3:$Q$1025,MATCH($E18,学年度总表!$E$3:$E$1025,0)))</f>
        <v/>
      </c>
    </row>
    <row r="19" spans="1:17">
      <c r="A19" s="2">
        <f>IF(INDEX(学年度总表!$A$3:$A$1025,MATCH($E19,学年度总表!$E$3:$E$1025,0))="","",INDEX(学年度总表!$A$3:$A$1025,MATCH($E19,学年度总表!$E$3:$E$1025,0)))</f>
        <v>17</v>
      </c>
      <c r="B19" s="2">
        <f>IF(INDEX(学年度总表!$B$3:$B$1025,MATCH($E19,学年度总表!$E$3:$E$1025,0))="","",INDEX(学年度总表!$B$3:$B$1025,MATCH($E19,学年度总表!$E$3:$E$1025,0)))</f>
        <v>17</v>
      </c>
      <c r="C19" s="2" t="str">
        <f>IF(INDEX(学年度总表!$C$3:$C$1025,MATCH($E19,学年度总表!$E$3:$E$1025,0))="","",INDEX(学年度总表!$C$3:$C$1025,MATCH($E19,学年度总表!$E$3:$E$1025,0)))</f>
        <v>大数据</v>
      </c>
      <c r="D19" s="2" t="str">
        <f>IF(INDEX(学年度总表!$D$3:$D$1025,MATCH($E19,学年度总表!$E$3:$E$1025,0))="","",INDEX(学年度总表!$D$3:$D$1025,MATCH($E19,学年度总表!$E$3:$E$1025,0)))</f>
        <v>大数据一班</v>
      </c>
      <c r="E19" s="2" t="s">
        <v>2085</v>
      </c>
      <c r="F19" s="2" t="str">
        <f>IF(INDEX(学年度总表!$F$3:$F$1025,MATCH($E19,学年度总表!$E$3:$E$1025,0))="","",INDEX(学年度总表!$F$3:$F$1025,MATCH($E19,学年度总表!$E$3:$E$1025,0)))</f>
        <v>崔佳录</v>
      </c>
      <c r="G19" s="3">
        <f>IF(INDEX(学年度总表!$G$3:$G$1025,MATCH($E19,学年度总表!$E$3:$E$1025,0))="","",INDEX(学年度总表!$G$3:$G$1025,MATCH($E19,学年度总表!$E$3:$E$1025,0)))</f>
        <v>9.8000000000000007</v>
      </c>
      <c r="H19" s="3">
        <f>IF(INDEX(学年度总表!$H$3:$H$1025,MATCH($E19,学年度总表!$E$3:$E$1025,0))="","",INDEX(学年度总表!$H$3:$H$1025,MATCH($E19,学年度总表!$E$3:$E$1025,0)))</f>
        <v>65.27</v>
      </c>
      <c r="I19" s="3">
        <f>IF(INDEX(学年度总表!$I$3:$I$1025,MATCH($E19,学年度总表!$E$3:$E$1025,0))="","",INDEX(学年度总表!$I$3:$I$1025,MATCH($E19,学年度总表!$E$3:$E$1025,0)))</f>
        <v>3</v>
      </c>
      <c r="J19" s="3">
        <f>IF(INDEX(学年度总表!$J$3:$J$1025,MATCH($E19,学年度总表!$E$3:$E$1025,0))="","",INDEX(学年度总表!$J$3:$J$1025,MATCH($E19,学年度总表!$E$3:$E$1025,0)))</f>
        <v>78.069999999999993</v>
      </c>
      <c r="K19" s="3">
        <f>IF(INDEX(学年度总表!$K$3:$K$1025,MATCH($E19,学年度总表!$E$3:$E$1025,0))="","",INDEX(学年度总表!$K$3:$K$1025,MATCH($E19,学年度总表!$E$3:$E$1025,0)))</f>
        <v>9.8000000000000007</v>
      </c>
      <c r="L19" s="3">
        <f>IF(INDEX(学年度总表!$L$3:$L$1025,MATCH($E19,学年度总表!$E$3:$E$1025,0))="","",INDEX(学年度总表!$L$3:$L$1025,MATCH($E19,学年度总表!$E$3:$E$1025,0)))</f>
        <v>58.91</v>
      </c>
      <c r="M19" s="3">
        <f>IF(INDEX(学年度总表!$M$3:$M$1025,MATCH($E19,学年度总表!$E$3:$E$1025,0))="","",INDEX(学年度总表!$M$3:$M$1025,MATCH($E19,学年度总表!$E$3:$E$1025,0)))</f>
        <v>4.4000000000000004</v>
      </c>
      <c r="N19" s="3">
        <f>IF(INDEX(学年度总表!$N$3:$N$1025,MATCH($E19,学年度总表!$E$3:$E$1025,0))="","",INDEX(学年度总表!$N$3:$N$1025,MATCH($E19,学年度总表!$E$3:$E$1025,0)))</f>
        <v>73.11</v>
      </c>
      <c r="O19" s="3">
        <f>IF(INDEX(学年度总表!$O$3:$O$1025,MATCH($E19,学年度总表!$E$3:$E$1025,0))="","",INDEX(学年度总表!$O$3:$O$1025,MATCH($E19,学年度总表!$E$3:$E$1025,0)))</f>
        <v>151.18</v>
      </c>
      <c r="P19" s="2" t="str">
        <f>IF(INDEX(学年度总表!$P$3:$P$1025,MATCH($E19,学年度总表!$E$3:$E$1025,0))="","",INDEX(学年度总表!$P$3:$P$1025,MATCH($E19,学年度总表!$E$3:$E$1025,0)))</f>
        <v/>
      </c>
      <c r="Q19" s="5" t="str">
        <f>IF(INDEX(学年度总表!$Q$3:$Q$1025,MATCH($E19,学年度总表!$E$3:$E$1025,0))="","",INDEX(学年度总表!$Q$3:$Q$1025,MATCH($E19,学年度总表!$E$3:$E$1025,0)))</f>
        <v/>
      </c>
    </row>
    <row r="20" spans="1:17">
      <c r="A20" s="2">
        <f>IF(INDEX(学年度总表!$A$3:$A$1025,MATCH($E20,学年度总表!$E$3:$E$1025,0))="","",INDEX(学年度总表!$A$3:$A$1025,MATCH($E20,学年度总表!$E$3:$E$1025,0)))</f>
        <v>18</v>
      </c>
      <c r="B20" s="2">
        <f>IF(INDEX(学年度总表!$B$3:$B$1025,MATCH($E20,学年度总表!$E$3:$E$1025,0))="","",INDEX(学年度总表!$B$3:$B$1025,MATCH($E20,学年度总表!$E$3:$E$1025,0)))</f>
        <v>18</v>
      </c>
      <c r="C20" s="2" t="str">
        <f>IF(INDEX(学年度总表!$C$3:$C$1025,MATCH($E20,学年度总表!$E$3:$E$1025,0))="","",INDEX(学年度总表!$C$3:$C$1025,MATCH($E20,学年度总表!$E$3:$E$1025,0)))</f>
        <v>大数据</v>
      </c>
      <c r="D20" s="2" t="str">
        <f>IF(INDEX(学年度总表!$D$3:$D$1025,MATCH($E20,学年度总表!$E$3:$E$1025,0))="","",INDEX(学年度总表!$D$3:$D$1025,MATCH($E20,学年度总表!$E$3:$E$1025,0)))</f>
        <v>大数据一班</v>
      </c>
      <c r="E20" s="2" t="s">
        <v>2087</v>
      </c>
      <c r="F20" s="2" t="str">
        <f>IF(INDEX(学年度总表!$F$3:$F$1025,MATCH($E20,学年度总表!$E$3:$E$1025,0))="","",INDEX(学年度总表!$F$3:$F$1025,MATCH($E20,学年度总表!$E$3:$E$1025,0)))</f>
        <v>刁子涵</v>
      </c>
      <c r="G20" s="3">
        <f>IF(INDEX(学年度总表!$G$3:$G$1025,MATCH($E20,学年度总表!$E$3:$E$1025,0))="","",INDEX(学年度总表!$G$3:$G$1025,MATCH($E20,学年度总表!$E$3:$E$1025,0)))</f>
        <v>9.8000000000000007</v>
      </c>
      <c r="H20" s="3">
        <f>IF(INDEX(学年度总表!$H$3:$H$1025,MATCH($E20,学年度总表!$E$3:$E$1025,0))="","",INDEX(学年度总表!$H$3:$H$1025,MATCH($E20,学年度总表!$E$3:$E$1025,0)))</f>
        <v>59.8</v>
      </c>
      <c r="I20" s="3">
        <f>IF(INDEX(学年度总表!$I$3:$I$1025,MATCH($E20,学年度总表!$E$3:$E$1025,0))="","",INDEX(学年度总表!$I$3:$I$1025,MATCH($E20,学年度总表!$E$3:$E$1025,0)))</f>
        <v>4.5</v>
      </c>
      <c r="J20" s="3">
        <f>IF(INDEX(学年度总表!$J$3:$J$1025,MATCH($E20,学年度总表!$E$3:$E$1025,0))="","",INDEX(学年度总表!$J$3:$J$1025,MATCH($E20,学年度总表!$E$3:$E$1025,0)))</f>
        <v>74.099999999999994</v>
      </c>
      <c r="K20" s="3">
        <f>IF(INDEX(学年度总表!$K$3:$K$1025,MATCH($E20,学年度总表!$E$3:$E$1025,0))="","",INDEX(学年度总表!$K$3:$K$1025,MATCH($E20,学年度总表!$E$3:$E$1025,0)))</f>
        <v>9.8000000000000007</v>
      </c>
      <c r="L20" s="3">
        <f>IF(INDEX(学年度总表!$L$3:$L$1025,MATCH($E20,学年度总表!$E$3:$E$1025,0))="","",INDEX(学年度总表!$L$3:$L$1025,MATCH($E20,学年度总表!$E$3:$E$1025,0)))</f>
        <v>61.02</v>
      </c>
      <c r="M20" s="3">
        <f>IF(INDEX(学年度总表!$M$3:$M$1025,MATCH($E20,学年度总表!$E$3:$E$1025,0))="","",INDEX(学年度总表!$M$3:$M$1025,MATCH($E20,学年度总表!$E$3:$E$1025,0)))</f>
        <v>5.25</v>
      </c>
      <c r="N20" s="3">
        <f>IF(INDEX(学年度总表!$N$3:$N$1025,MATCH($E20,学年度总表!$E$3:$E$1025,0))="","",INDEX(学年度总表!$N$3:$N$1025,MATCH($E20,学年度总表!$E$3:$E$1025,0)))</f>
        <v>76.069999999999993</v>
      </c>
      <c r="O20" s="3">
        <f>IF(INDEX(学年度总表!$O$3:$O$1025,MATCH($E20,学年度总表!$E$3:$E$1025,0))="","",INDEX(学年度总表!$O$3:$O$1025,MATCH($E20,学年度总表!$E$3:$E$1025,0)))</f>
        <v>150.16999999999999</v>
      </c>
      <c r="P20" s="2" t="str">
        <f>IF(INDEX(学年度总表!$P$3:$P$1025,MATCH($E20,学年度总表!$E$3:$E$1025,0))="","",INDEX(学年度总表!$P$3:$P$1025,MATCH($E20,学年度总表!$E$3:$E$1025,0)))</f>
        <v/>
      </c>
      <c r="Q20" s="5" t="str">
        <f>IF(INDEX(学年度总表!$Q$3:$Q$1025,MATCH($E20,学年度总表!$E$3:$E$1025,0))="","",INDEX(学年度总表!$Q$3:$Q$1025,MATCH($E20,学年度总表!$E$3:$E$1025,0)))</f>
        <v/>
      </c>
    </row>
    <row r="21" spans="1:17">
      <c r="A21" s="2">
        <f>IF(INDEX(学年度总表!$A$3:$A$1025,MATCH($E21,学年度总表!$E$3:$E$1025,0))="","",INDEX(学年度总表!$A$3:$A$1025,MATCH($E21,学年度总表!$E$3:$E$1025,0)))</f>
        <v>19</v>
      </c>
      <c r="B21" s="2">
        <f>IF(INDEX(学年度总表!$B$3:$B$1025,MATCH($E21,学年度总表!$E$3:$E$1025,0))="","",INDEX(学年度总表!$B$3:$B$1025,MATCH($E21,学年度总表!$E$3:$E$1025,0)))</f>
        <v>19</v>
      </c>
      <c r="C21" s="2" t="str">
        <f>IF(INDEX(学年度总表!$C$3:$C$1025,MATCH($E21,学年度总表!$E$3:$E$1025,0))="","",INDEX(学年度总表!$C$3:$C$1025,MATCH($E21,学年度总表!$E$3:$E$1025,0)))</f>
        <v>大数据</v>
      </c>
      <c r="D21" s="2" t="str">
        <f>IF(INDEX(学年度总表!$D$3:$D$1025,MATCH($E21,学年度总表!$E$3:$E$1025,0))="","",INDEX(学年度总表!$D$3:$D$1025,MATCH($E21,学年度总表!$E$3:$E$1025,0)))</f>
        <v>大数据一班</v>
      </c>
      <c r="E21" s="2" t="s">
        <v>2089</v>
      </c>
      <c r="F21" s="2" t="str">
        <f>IF(INDEX(学年度总表!$F$3:$F$1025,MATCH($E21,学年度总表!$E$3:$E$1025,0))="","",INDEX(学年度总表!$F$3:$F$1025,MATCH($E21,学年度总表!$E$3:$E$1025,0)))</f>
        <v>王建杭</v>
      </c>
      <c r="G21" s="3">
        <f>IF(INDEX(学年度总表!$G$3:$G$1025,MATCH($E21,学年度总表!$E$3:$E$1025,0))="","",INDEX(学年度总表!$G$3:$G$1025,MATCH($E21,学年度总表!$E$3:$E$1025,0)))</f>
        <v>11.4</v>
      </c>
      <c r="H21" s="3">
        <f>IF(INDEX(学年度总表!$H$3:$H$1025,MATCH($E21,学年度总表!$E$3:$E$1025,0))="","",INDEX(学年度总表!$H$3:$H$1025,MATCH($E21,学年度总表!$E$3:$E$1025,0)))</f>
        <v>59.23</v>
      </c>
      <c r="I21" s="3">
        <f>IF(INDEX(学年度总表!$I$3:$I$1025,MATCH($E21,学年度总表!$E$3:$E$1025,0))="","",INDEX(学年度总表!$I$3:$I$1025,MATCH($E21,学年度总表!$E$3:$E$1025,0)))</f>
        <v>4.2</v>
      </c>
      <c r="J21" s="3">
        <f>IF(INDEX(学年度总表!$J$3:$J$1025,MATCH($E21,学年度总表!$E$3:$E$1025,0))="","",INDEX(学年度总表!$J$3:$J$1025,MATCH($E21,学年度总表!$E$3:$E$1025,0)))</f>
        <v>74.83</v>
      </c>
      <c r="K21" s="3">
        <f>IF(INDEX(学年度总表!$K$3:$K$1025,MATCH($E21,学年度总表!$E$3:$E$1025,0))="","",INDEX(学年度总表!$K$3:$K$1025,MATCH($E21,学年度总表!$E$3:$E$1025,0)))</f>
        <v>11.8</v>
      </c>
      <c r="L21" s="3">
        <f>IF(INDEX(学年度总表!$L$3:$L$1025,MATCH($E21,学年度总表!$E$3:$E$1025,0))="","",INDEX(学年度总表!$L$3:$L$1025,MATCH($E21,学年度总表!$E$3:$E$1025,0)))</f>
        <v>56.71</v>
      </c>
      <c r="M21" s="3">
        <f>IF(INDEX(学年度总表!$M$3:$M$1025,MATCH($E21,学年度总表!$E$3:$E$1025,0))="","",INDEX(学年度总表!$M$3:$M$1025,MATCH($E21,学年度总表!$E$3:$E$1025,0)))</f>
        <v>6.5</v>
      </c>
      <c r="N21" s="3">
        <f>IF(INDEX(学年度总表!$N$3:$N$1025,MATCH($E21,学年度总表!$E$3:$E$1025,0))="","",INDEX(学年度总表!$N$3:$N$1025,MATCH($E21,学年度总表!$E$3:$E$1025,0)))</f>
        <v>75.010000000000005</v>
      </c>
      <c r="O21" s="3">
        <f>IF(INDEX(学年度总表!$O$3:$O$1025,MATCH($E21,学年度总表!$E$3:$E$1025,0))="","",INDEX(学年度总表!$O$3:$O$1025,MATCH($E21,学年度总表!$E$3:$E$1025,0)))</f>
        <v>149.84</v>
      </c>
      <c r="P21" s="2" t="str">
        <f>IF(INDEX(学年度总表!$P$3:$P$1025,MATCH($E21,学年度总表!$E$3:$E$1025,0))="","",INDEX(学年度总表!$P$3:$P$1025,MATCH($E21,学年度总表!$E$3:$E$1025,0)))</f>
        <v/>
      </c>
      <c r="Q21" s="5" t="str">
        <f>IF(INDEX(学年度总表!$Q$3:$Q$1025,MATCH($E21,学年度总表!$E$3:$E$1025,0))="","",INDEX(学年度总表!$Q$3:$Q$1025,MATCH($E21,学年度总表!$E$3:$E$1025,0)))</f>
        <v/>
      </c>
    </row>
    <row r="22" spans="1:17">
      <c r="A22" s="2">
        <f>IF(INDEX(学年度总表!$A$3:$A$1025,MATCH($E22,学年度总表!$E$3:$E$1025,0))="","",INDEX(学年度总表!$A$3:$A$1025,MATCH($E22,学年度总表!$E$3:$E$1025,0)))</f>
        <v>20</v>
      </c>
      <c r="B22" s="2">
        <f>IF(INDEX(学年度总表!$B$3:$B$1025,MATCH($E22,学年度总表!$E$3:$E$1025,0))="","",INDEX(学年度总表!$B$3:$B$1025,MATCH($E22,学年度总表!$E$3:$E$1025,0)))</f>
        <v>20</v>
      </c>
      <c r="C22" s="2" t="str">
        <f>IF(INDEX(学年度总表!$C$3:$C$1025,MATCH($E22,学年度总表!$E$3:$E$1025,0))="","",INDEX(学年度总表!$C$3:$C$1025,MATCH($E22,学年度总表!$E$3:$E$1025,0)))</f>
        <v>大数据</v>
      </c>
      <c r="D22" s="2" t="str">
        <f>IF(INDEX(学年度总表!$D$3:$D$1025,MATCH($E22,学年度总表!$E$3:$E$1025,0))="","",INDEX(学年度总表!$D$3:$D$1025,MATCH($E22,学年度总表!$E$3:$E$1025,0)))</f>
        <v>大数据一班</v>
      </c>
      <c r="E22" s="2" t="s">
        <v>2091</v>
      </c>
      <c r="F22" s="2" t="str">
        <f>IF(INDEX(学年度总表!$F$3:$F$1025,MATCH($E22,学年度总表!$E$3:$E$1025,0))="","",INDEX(学年度总表!$F$3:$F$1025,MATCH($E22,学年度总表!$E$3:$E$1025,0)))</f>
        <v>李希点</v>
      </c>
      <c r="G22" s="3">
        <f>IF(INDEX(学年度总表!$G$3:$G$1025,MATCH($E22,学年度总表!$E$3:$E$1025,0))="","",INDEX(学年度总表!$G$3:$G$1025,MATCH($E22,学年度总表!$E$3:$E$1025,0)))</f>
        <v>10</v>
      </c>
      <c r="H22" s="3">
        <f>IF(INDEX(学年度总表!$H$3:$H$1025,MATCH($E22,学年度总表!$E$3:$E$1025,0))="","",INDEX(学年度总表!$H$3:$H$1025,MATCH($E22,学年度总表!$E$3:$E$1025,0)))</f>
        <v>62.27</v>
      </c>
      <c r="I22" s="3">
        <f>IF(INDEX(学年度总表!$I$3:$I$1025,MATCH($E22,学年度总表!$E$3:$E$1025,0))="","",INDEX(学年度总表!$I$3:$I$1025,MATCH($E22,学年度总表!$E$3:$E$1025,0)))</f>
        <v>4.9000000000000004</v>
      </c>
      <c r="J22" s="3">
        <f>IF(INDEX(学年度总表!$J$3:$J$1025,MATCH($E22,学年度总表!$E$3:$E$1025,0))="","",INDEX(学年度总表!$J$3:$J$1025,MATCH($E22,学年度总表!$E$3:$E$1025,0)))</f>
        <v>77.17</v>
      </c>
      <c r="K22" s="3">
        <f>IF(INDEX(学年度总表!$K$3:$K$1025,MATCH($E22,学年度总表!$E$3:$E$1025,0))="","",INDEX(学年度总表!$K$3:$K$1025,MATCH($E22,学年度总表!$E$3:$E$1025,0)))</f>
        <v>10</v>
      </c>
      <c r="L22" s="3">
        <f>IF(INDEX(学年度总表!$L$3:$L$1025,MATCH($E22,学年度总表!$E$3:$E$1025,0))="","",INDEX(学年度总表!$L$3:$L$1025,MATCH($E22,学年度总表!$E$3:$E$1025,0)))</f>
        <v>56.94</v>
      </c>
      <c r="M22" s="3">
        <f>IF(INDEX(学年度总表!$M$3:$M$1025,MATCH($E22,学年度总表!$E$3:$E$1025,0))="","",INDEX(学年度总表!$M$3:$M$1025,MATCH($E22,学年度总表!$E$3:$E$1025,0)))</f>
        <v>4.9000000000000004</v>
      </c>
      <c r="N22" s="3">
        <f>IF(INDEX(学年度总表!$N$3:$N$1025,MATCH($E22,学年度总表!$E$3:$E$1025,0))="","",INDEX(学年度总表!$N$3:$N$1025,MATCH($E22,学年度总表!$E$3:$E$1025,0)))</f>
        <v>71.84</v>
      </c>
      <c r="O22" s="3">
        <f>IF(INDEX(学年度总表!$O$3:$O$1025,MATCH($E22,学年度总表!$E$3:$E$1025,0))="","",INDEX(学年度总表!$O$3:$O$1025,MATCH($E22,学年度总表!$E$3:$E$1025,0)))</f>
        <v>149.01</v>
      </c>
      <c r="P22" s="2" t="str">
        <f>IF(INDEX(学年度总表!$P$3:$P$1025,MATCH($E22,学年度总表!$E$3:$E$1025,0))="","",INDEX(学年度总表!$P$3:$P$1025,MATCH($E22,学年度总表!$E$3:$E$1025,0)))</f>
        <v/>
      </c>
      <c r="Q22" s="5" t="str">
        <f>IF(INDEX(学年度总表!$Q$3:$Q$1025,MATCH($E22,学年度总表!$E$3:$E$1025,0))="","",INDEX(学年度总表!$Q$3:$Q$1025,MATCH($E22,学年度总表!$E$3:$E$1025,0)))</f>
        <v/>
      </c>
    </row>
    <row r="23" spans="1:17">
      <c r="A23" s="2">
        <f>IF(INDEX(学年度总表!$A$3:$A$1025,MATCH($E23,学年度总表!$E$3:$E$1025,0))="","",INDEX(学年度总表!$A$3:$A$1025,MATCH($E23,学年度总表!$E$3:$E$1025,0)))</f>
        <v>21</v>
      </c>
      <c r="B23" s="2">
        <f>IF(INDEX(学年度总表!$B$3:$B$1025,MATCH($E23,学年度总表!$E$3:$E$1025,0))="","",INDEX(学年度总表!$B$3:$B$1025,MATCH($E23,学年度总表!$E$3:$E$1025,0)))</f>
        <v>21</v>
      </c>
      <c r="C23" s="2" t="str">
        <f>IF(INDEX(学年度总表!$C$3:$C$1025,MATCH($E23,学年度总表!$E$3:$E$1025,0))="","",INDEX(学年度总表!$C$3:$C$1025,MATCH($E23,学年度总表!$E$3:$E$1025,0)))</f>
        <v>大数据</v>
      </c>
      <c r="D23" s="2" t="str">
        <f>IF(INDEX(学年度总表!$D$3:$D$1025,MATCH($E23,学年度总表!$E$3:$E$1025,0))="","",INDEX(学年度总表!$D$3:$D$1025,MATCH($E23,学年度总表!$E$3:$E$1025,0)))</f>
        <v>大数据一班</v>
      </c>
      <c r="E23" s="2" t="s">
        <v>2093</v>
      </c>
      <c r="F23" s="2" t="str">
        <f>IF(INDEX(学年度总表!$F$3:$F$1025,MATCH($E23,学年度总表!$E$3:$E$1025,0))="","",INDEX(学年度总表!$F$3:$F$1025,MATCH($E23,学年度总表!$E$3:$E$1025,0)))</f>
        <v>郭小雯</v>
      </c>
      <c r="G23" s="3">
        <f>IF(INDEX(学年度总表!$G$3:$G$1025,MATCH($E23,学年度总表!$E$3:$E$1025,0))="","",INDEX(学年度总表!$G$3:$G$1025,MATCH($E23,学年度总表!$E$3:$E$1025,0)))</f>
        <v>9.4</v>
      </c>
      <c r="H23" s="3">
        <f>IF(INDEX(学年度总表!$H$3:$H$1025,MATCH($E23,学年度总表!$E$3:$E$1025,0))="","",INDEX(学年度总表!$H$3:$H$1025,MATCH($E23,学年度总表!$E$3:$E$1025,0)))</f>
        <v>61.33</v>
      </c>
      <c r="I23" s="3">
        <f>IF(INDEX(学年度总表!$I$3:$I$1025,MATCH($E23,学年度总表!$E$3:$E$1025,0))="","",INDEX(学年度总表!$I$3:$I$1025,MATCH($E23,学年度总表!$E$3:$E$1025,0)))</f>
        <v>3</v>
      </c>
      <c r="J23" s="3">
        <f>IF(INDEX(学年度总表!$J$3:$J$1025,MATCH($E23,学年度总表!$E$3:$E$1025,0))="","",INDEX(学年度总表!$J$3:$J$1025,MATCH($E23,学年度总表!$E$3:$E$1025,0)))</f>
        <v>73.73</v>
      </c>
      <c r="K23" s="3">
        <f>IF(INDEX(学年度总表!$K$3:$K$1025,MATCH($E23,学年度总表!$E$3:$E$1025,0))="","",INDEX(学年度总表!$K$3:$K$1025,MATCH($E23,学年度总表!$E$3:$E$1025,0)))</f>
        <v>9.4</v>
      </c>
      <c r="L23" s="3">
        <f>IF(INDEX(学年度总表!$L$3:$L$1025,MATCH($E23,学年度总表!$E$3:$E$1025,0))="","",INDEX(学年度总表!$L$3:$L$1025,MATCH($E23,学年度总表!$E$3:$E$1025,0)))</f>
        <v>59.43</v>
      </c>
      <c r="M23" s="3">
        <f>IF(INDEX(学年度总表!$M$3:$M$1025,MATCH($E23,学年度总表!$E$3:$E$1025,0))="","",INDEX(学年度总表!$M$3:$M$1025,MATCH($E23,学年度总表!$E$3:$E$1025,0)))</f>
        <v>3.5</v>
      </c>
      <c r="N23" s="3">
        <f>IF(INDEX(学年度总表!$N$3:$N$1025,MATCH($E23,学年度总表!$E$3:$E$1025,0))="","",INDEX(学年度总表!$N$3:$N$1025,MATCH($E23,学年度总表!$E$3:$E$1025,0)))</f>
        <v>72.33</v>
      </c>
      <c r="O23" s="3">
        <f>IF(INDEX(学年度总表!$O$3:$O$1025,MATCH($E23,学年度总表!$E$3:$E$1025,0))="","",INDEX(学年度总表!$O$3:$O$1025,MATCH($E23,学年度总表!$E$3:$E$1025,0)))</f>
        <v>146.06</v>
      </c>
      <c r="P23" s="2" t="str">
        <f>IF(INDEX(学年度总表!$P$3:$P$1025,MATCH($E23,学年度总表!$E$3:$E$1025,0))="","",INDEX(学年度总表!$P$3:$P$1025,MATCH($E23,学年度总表!$E$3:$E$1025,0)))</f>
        <v/>
      </c>
      <c r="Q23" s="5" t="str">
        <f>IF(INDEX(学年度总表!$Q$3:$Q$1025,MATCH($E23,学年度总表!$E$3:$E$1025,0))="","",INDEX(学年度总表!$Q$3:$Q$1025,MATCH($E23,学年度总表!$E$3:$E$1025,0)))</f>
        <v/>
      </c>
    </row>
    <row r="24" spans="1:17">
      <c r="A24" s="2">
        <f>IF(INDEX(学年度总表!$A$3:$A$1025,MATCH($E24,学年度总表!$E$3:$E$1025,0))="","",INDEX(学年度总表!$A$3:$A$1025,MATCH($E24,学年度总表!$E$3:$E$1025,0)))</f>
        <v>22</v>
      </c>
      <c r="B24" s="2">
        <f>IF(INDEX(学年度总表!$B$3:$B$1025,MATCH($E24,学年度总表!$E$3:$E$1025,0))="","",INDEX(学年度总表!$B$3:$B$1025,MATCH($E24,学年度总表!$E$3:$E$1025,0)))</f>
        <v>22</v>
      </c>
      <c r="C24" s="2" t="str">
        <f>IF(INDEX(学年度总表!$C$3:$C$1025,MATCH($E24,学年度总表!$E$3:$E$1025,0))="","",INDEX(学年度总表!$C$3:$C$1025,MATCH($E24,学年度总表!$E$3:$E$1025,0)))</f>
        <v>大数据</v>
      </c>
      <c r="D24" s="2" t="str">
        <f>IF(INDEX(学年度总表!$D$3:$D$1025,MATCH($E24,学年度总表!$E$3:$E$1025,0))="","",INDEX(学年度总表!$D$3:$D$1025,MATCH($E24,学年度总表!$E$3:$E$1025,0)))</f>
        <v>大数据一班</v>
      </c>
      <c r="E24" s="2" t="s">
        <v>2095</v>
      </c>
      <c r="F24" s="2" t="str">
        <f>IF(INDEX(学年度总表!$F$3:$F$1025,MATCH($E24,学年度总表!$E$3:$E$1025,0))="","",INDEX(学年度总表!$F$3:$F$1025,MATCH($E24,学年度总表!$E$3:$E$1025,0)))</f>
        <v>高峰</v>
      </c>
      <c r="G24" s="3">
        <f>IF(INDEX(学年度总表!$G$3:$G$1025,MATCH($E24,学年度总表!$E$3:$E$1025,0))="","",INDEX(学年度总表!$G$3:$G$1025,MATCH($E24,学年度总表!$E$3:$E$1025,0)))</f>
        <v>11</v>
      </c>
      <c r="H24" s="3">
        <f>IF(INDEX(学年度总表!$H$3:$H$1025,MATCH($E24,学年度总表!$E$3:$E$1025,0))="","",INDEX(学年度总表!$H$3:$H$1025,MATCH($E24,学年度总表!$E$3:$E$1025,0)))</f>
        <v>62.35</v>
      </c>
      <c r="I24" s="3">
        <f>IF(INDEX(学年度总表!$I$3:$I$1025,MATCH($E24,学年度总表!$E$3:$E$1025,0))="","",INDEX(学年度总表!$I$3:$I$1025,MATCH($E24,学年度总表!$E$3:$E$1025,0)))</f>
        <v>3</v>
      </c>
      <c r="J24" s="3">
        <f>IF(INDEX(学年度总表!$J$3:$J$1025,MATCH($E24,学年度总表!$E$3:$E$1025,0))="","",INDEX(学年度总表!$J$3:$J$1025,MATCH($E24,学年度总表!$E$3:$E$1025,0)))</f>
        <v>76.349999999999994</v>
      </c>
      <c r="K24" s="3">
        <f>IF(INDEX(学年度总表!$K$3:$K$1025,MATCH($E24,学年度总表!$E$3:$E$1025,0))="","",INDEX(学年度总表!$K$3:$K$1025,MATCH($E24,学年度总表!$E$3:$E$1025,0)))</f>
        <v>10</v>
      </c>
      <c r="L24" s="3">
        <f>IF(INDEX(学年度总表!$L$3:$L$1025,MATCH($E24,学年度总表!$E$3:$E$1025,0))="","",INDEX(学年度总表!$L$3:$L$1025,MATCH($E24,学年度总表!$E$3:$E$1025,0)))</f>
        <v>55.26</v>
      </c>
      <c r="M24" s="3">
        <f>IF(INDEX(学年度总表!$M$3:$M$1025,MATCH($E24,学年度总表!$E$3:$E$1025,0))="","",INDEX(学年度总表!$M$3:$M$1025,MATCH($E24,学年度总表!$E$3:$E$1025,0)))</f>
        <v>4.2</v>
      </c>
      <c r="N24" s="3">
        <f>IF(INDEX(学年度总表!$N$3:$N$1025,MATCH($E24,学年度总表!$E$3:$E$1025,0))="","",INDEX(学年度总表!$N$3:$N$1025,MATCH($E24,学年度总表!$E$3:$E$1025,0)))</f>
        <v>69.459999999999994</v>
      </c>
      <c r="O24" s="3">
        <f>IF(INDEX(学年度总表!$O$3:$O$1025,MATCH($E24,学年度总表!$E$3:$E$1025,0))="","",INDEX(学年度总表!$O$3:$O$1025,MATCH($E24,学年度总表!$E$3:$E$1025,0)))</f>
        <v>145.81</v>
      </c>
      <c r="P24" s="2" t="str">
        <f>IF(INDEX(学年度总表!$P$3:$P$1025,MATCH($E24,学年度总表!$E$3:$E$1025,0))="","",INDEX(学年度总表!$P$3:$P$1025,MATCH($E24,学年度总表!$E$3:$E$1025,0)))</f>
        <v/>
      </c>
      <c r="Q24" s="5" t="str">
        <f>IF(INDEX(学年度总表!$Q$3:$Q$1025,MATCH($E24,学年度总表!$E$3:$E$1025,0))="","",INDEX(学年度总表!$Q$3:$Q$1025,MATCH($E24,学年度总表!$E$3:$E$1025,0)))</f>
        <v/>
      </c>
    </row>
    <row r="25" spans="1:17">
      <c r="A25" s="2">
        <f>IF(INDEX(学年度总表!$A$3:$A$1025,MATCH($E25,学年度总表!$E$3:$E$1025,0))="","",INDEX(学年度总表!$A$3:$A$1025,MATCH($E25,学年度总表!$E$3:$E$1025,0)))</f>
        <v>23</v>
      </c>
      <c r="B25" s="2">
        <f>IF(INDEX(学年度总表!$B$3:$B$1025,MATCH($E25,学年度总表!$E$3:$E$1025,0))="","",INDEX(学年度总表!$B$3:$B$1025,MATCH($E25,学年度总表!$E$3:$E$1025,0)))</f>
        <v>23</v>
      </c>
      <c r="C25" s="2" t="str">
        <f>IF(INDEX(学年度总表!$C$3:$C$1025,MATCH($E25,学年度总表!$E$3:$E$1025,0))="","",INDEX(学年度总表!$C$3:$C$1025,MATCH($E25,学年度总表!$E$3:$E$1025,0)))</f>
        <v>大数据</v>
      </c>
      <c r="D25" s="2" t="str">
        <f>IF(INDEX(学年度总表!$D$3:$D$1025,MATCH($E25,学年度总表!$E$3:$E$1025,0))="","",INDEX(学年度总表!$D$3:$D$1025,MATCH($E25,学年度总表!$E$3:$E$1025,0)))</f>
        <v>大数据一班</v>
      </c>
      <c r="E25" s="2" t="s">
        <v>2097</v>
      </c>
      <c r="F25" s="2" t="str">
        <f>IF(INDEX(学年度总表!$F$3:$F$1025,MATCH($E25,学年度总表!$E$3:$E$1025,0))="","",INDEX(学年度总表!$F$3:$F$1025,MATCH($E25,学年度总表!$E$3:$E$1025,0)))</f>
        <v>冯雅琪</v>
      </c>
      <c r="G25" s="3">
        <f>IF(INDEX(学年度总表!$G$3:$G$1025,MATCH($E25,学年度总表!$E$3:$E$1025,0))="","",INDEX(学年度总表!$G$3:$G$1025,MATCH($E25,学年度总表!$E$3:$E$1025,0)))</f>
        <v>9.8000000000000007</v>
      </c>
      <c r="H25" s="3">
        <f>IF(INDEX(学年度总表!$H$3:$H$1025,MATCH($E25,学年度总表!$E$3:$E$1025,0))="","",INDEX(学年度总表!$H$3:$H$1025,MATCH($E25,学年度总表!$E$3:$E$1025,0)))</f>
        <v>58.8</v>
      </c>
      <c r="I25" s="3">
        <f>IF(INDEX(学年度总表!$I$3:$I$1025,MATCH($E25,学年度总表!$E$3:$E$1025,0))="","",INDEX(学年度总表!$I$3:$I$1025,MATCH($E25,学年度总表!$E$3:$E$1025,0)))</f>
        <v>3.7</v>
      </c>
      <c r="J25" s="3">
        <f>IF(INDEX(学年度总表!$J$3:$J$1025,MATCH($E25,学年度总表!$E$3:$E$1025,0))="","",INDEX(学年度总表!$J$3:$J$1025,MATCH($E25,学年度总表!$E$3:$E$1025,0)))</f>
        <v>72.3</v>
      </c>
      <c r="K25" s="3">
        <f>IF(INDEX(学年度总表!$K$3:$K$1025,MATCH($E25,学年度总表!$E$3:$E$1025,0))="","",INDEX(学年度总表!$K$3:$K$1025,MATCH($E25,学年度总表!$E$3:$E$1025,0)))</f>
        <v>9.8000000000000007</v>
      </c>
      <c r="L25" s="3">
        <f>IF(INDEX(学年度总表!$L$3:$L$1025,MATCH($E25,学年度总表!$E$3:$E$1025,0))="","",INDEX(学年度总表!$L$3:$L$1025,MATCH($E25,学年度总表!$E$3:$E$1025,0)))</f>
        <v>57.28</v>
      </c>
      <c r="M25" s="3">
        <f>IF(INDEX(学年度总表!$M$3:$M$1025,MATCH($E25,学年度总表!$E$3:$E$1025,0))="","",INDEX(学年度总表!$M$3:$M$1025,MATCH($E25,学年度总表!$E$3:$E$1025,0)))</f>
        <v>4.5</v>
      </c>
      <c r="N25" s="3">
        <f>IF(INDEX(学年度总表!$N$3:$N$1025,MATCH($E25,学年度总表!$E$3:$E$1025,0))="","",INDEX(学年度总表!$N$3:$N$1025,MATCH($E25,学年度总表!$E$3:$E$1025,0)))</f>
        <v>71.58</v>
      </c>
      <c r="O25" s="3">
        <f>IF(INDEX(学年度总表!$O$3:$O$1025,MATCH($E25,学年度总表!$E$3:$E$1025,0))="","",INDEX(学年度总表!$O$3:$O$1025,MATCH($E25,学年度总表!$E$3:$E$1025,0)))</f>
        <v>143.88</v>
      </c>
      <c r="P25" s="2" t="str">
        <f>IF(INDEX(学年度总表!$P$3:$P$1025,MATCH($E25,学年度总表!$E$3:$E$1025,0))="","",INDEX(学年度总表!$P$3:$P$1025,MATCH($E25,学年度总表!$E$3:$E$1025,0)))</f>
        <v/>
      </c>
      <c r="Q25" s="5" t="str">
        <f>IF(INDEX(学年度总表!$Q$3:$Q$1025,MATCH($E25,学年度总表!$E$3:$E$1025,0))="","",INDEX(学年度总表!$Q$3:$Q$1025,MATCH($E25,学年度总表!$E$3:$E$1025,0)))</f>
        <v/>
      </c>
    </row>
    <row r="26" spans="1:17">
      <c r="A26" s="2">
        <f>IF(INDEX(学年度总表!$A$3:$A$1025,MATCH($E26,学年度总表!$E$3:$E$1025,0))="","",INDEX(学年度总表!$A$3:$A$1025,MATCH($E26,学年度总表!$E$3:$E$1025,0)))</f>
        <v>24</v>
      </c>
      <c r="B26" s="2">
        <f>IF(INDEX(学年度总表!$B$3:$B$1025,MATCH($E26,学年度总表!$E$3:$E$1025,0))="","",INDEX(学年度总表!$B$3:$B$1025,MATCH($E26,学年度总表!$E$3:$E$1025,0)))</f>
        <v>24</v>
      </c>
      <c r="C26" s="2" t="str">
        <f>IF(INDEX(学年度总表!$C$3:$C$1025,MATCH($E26,学年度总表!$E$3:$E$1025,0))="","",INDEX(学年度总表!$C$3:$C$1025,MATCH($E26,学年度总表!$E$3:$E$1025,0)))</f>
        <v>大数据</v>
      </c>
      <c r="D26" s="2" t="str">
        <f>IF(INDEX(学年度总表!$D$3:$D$1025,MATCH($E26,学年度总表!$E$3:$E$1025,0))="","",INDEX(学年度总表!$D$3:$D$1025,MATCH($E26,学年度总表!$E$3:$E$1025,0)))</f>
        <v>大数据一班</v>
      </c>
      <c r="E26" s="2" t="s">
        <v>2099</v>
      </c>
      <c r="F26" s="2" t="str">
        <f>IF(INDEX(学年度总表!$F$3:$F$1025,MATCH($E26,学年度总表!$E$3:$E$1025,0))="","",INDEX(学年度总表!$F$3:$F$1025,MATCH($E26,学年度总表!$E$3:$E$1025,0)))</f>
        <v>王妍</v>
      </c>
      <c r="G26" s="3">
        <f>IF(INDEX(学年度总表!$G$3:$G$1025,MATCH($E26,学年度总表!$E$3:$E$1025,0))="","",INDEX(学年度总表!$G$3:$G$1025,MATCH($E26,学年度总表!$E$3:$E$1025,0)))</f>
        <v>9.8000000000000007</v>
      </c>
      <c r="H26" s="3">
        <f>IF(INDEX(学年度总表!$H$3:$H$1025,MATCH($E26,学年度总表!$E$3:$E$1025,0))="","",INDEX(学年度总表!$H$3:$H$1025,MATCH($E26,学年度总表!$E$3:$E$1025,0)))</f>
        <v>54.34</v>
      </c>
      <c r="I26" s="3">
        <f>IF(INDEX(学年度总表!$I$3:$I$1025,MATCH($E26,学年度总表!$E$3:$E$1025,0))="","",INDEX(学年度总表!$I$3:$I$1025,MATCH($E26,学年度总表!$E$3:$E$1025,0)))</f>
        <v>5.2</v>
      </c>
      <c r="J26" s="3">
        <f>IF(INDEX(学年度总表!$J$3:$J$1025,MATCH($E26,学年度总表!$E$3:$E$1025,0))="","",INDEX(学年度总表!$J$3:$J$1025,MATCH($E26,学年度总表!$E$3:$E$1025,0)))</f>
        <v>69.34</v>
      </c>
      <c r="K26" s="3">
        <f>IF(INDEX(学年度总表!$K$3:$K$1025,MATCH($E26,学年度总表!$E$3:$E$1025,0))="","",INDEX(学年度总表!$K$3:$K$1025,MATCH($E26,学年度总表!$E$3:$E$1025,0)))</f>
        <v>9.8000000000000007</v>
      </c>
      <c r="L26" s="3">
        <f>IF(INDEX(学年度总表!$L$3:$L$1025,MATCH($E26,学年度总表!$E$3:$E$1025,0))="","",INDEX(学年度总表!$L$3:$L$1025,MATCH($E26,学年度总表!$E$3:$E$1025,0)))</f>
        <v>57.44</v>
      </c>
      <c r="M26" s="3">
        <f>IF(INDEX(学年度总表!$M$3:$M$1025,MATCH($E26,学年度总表!$E$3:$E$1025,0))="","",INDEX(学年度总表!$M$3:$M$1025,MATCH($E26,学年度总表!$E$3:$E$1025,0)))</f>
        <v>6.1</v>
      </c>
      <c r="N26" s="3">
        <f>IF(INDEX(学年度总表!$N$3:$N$1025,MATCH($E26,学年度总表!$E$3:$E$1025,0))="","",INDEX(学年度总表!$N$3:$N$1025,MATCH($E26,学年度总表!$E$3:$E$1025,0)))</f>
        <v>73.34</v>
      </c>
      <c r="O26" s="3">
        <f>IF(INDEX(学年度总表!$O$3:$O$1025,MATCH($E26,学年度总表!$E$3:$E$1025,0))="","",INDEX(学年度总表!$O$3:$O$1025,MATCH($E26,学年度总表!$E$3:$E$1025,0)))</f>
        <v>142.68</v>
      </c>
      <c r="P26" s="2" t="str">
        <f>IF(INDEX(学年度总表!$P$3:$P$1025,MATCH($E26,学年度总表!$E$3:$E$1025,0))="","",INDEX(学年度总表!$P$3:$P$1025,MATCH($E26,学年度总表!$E$3:$E$1025,0)))</f>
        <v/>
      </c>
      <c r="Q26" s="5" t="str">
        <f>IF(INDEX(学年度总表!$Q$3:$Q$1025,MATCH($E26,学年度总表!$E$3:$E$1025,0))="","",INDEX(学年度总表!$Q$3:$Q$1025,MATCH($E26,学年度总表!$E$3:$E$1025,0)))</f>
        <v/>
      </c>
    </row>
    <row r="27" spans="1:17">
      <c r="A27" s="2">
        <f>IF(INDEX(学年度总表!$A$3:$A$1025,MATCH($E27,学年度总表!$E$3:$E$1025,0))="","",INDEX(学年度总表!$A$3:$A$1025,MATCH($E27,学年度总表!$E$3:$E$1025,0)))</f>
        <v>25</v>
      </c>
      <c r="B27" s="2">
        <f>IF(INDEX(学年度总表!$B$3:$B$1025,MATCH($E27,学年度总表!$E$3:$E$1025,0))="","",INDEX(学年度总表!$B$3:$B$1025,MATCH($E27,学年度总表!$E$3:$E$1025,0)))</f>
        <v>25</v>
      </c>
      <c r="C27" s="2" t="str">
        <f>IF(INDEX(学年度总表!$C$3:$C$1025,MATCH($E27,学年度总表!$E$3:$E$1025,0))="","",INDEX(学年度总表!$C$3:$C$1025,MATCH($E27,学年度总表!$E$3:$E$1025,0)))</f>
        <v>大数据</v>
      </c>
      <c r="D27" s="2" t="str">
        <f>IF(INDEX(学年度总表!$D$3:$D$1025,MATCH($E27,学年度总表!$E$3:$E$1025,0))="","",INDEX(学年度总表!$D$3:$D$1025,MATCH($E27,学年度总表!$E$3:$E$1025,0)))</f>
        <v>大数据一班</v>
      </c>
      <c r="E27" s="2" t="s">
        <v>2101</v>
      </c>
      <c r="F27" s="2" t="str">
        <f>IF(INDEX(学年度总表!$F$3:$F$1025,MATCH($E27,学年度总表!$E$3:$E$1025,0))="","",INDEX(学年度总表!$F$3:$F$1025,MATCH($E27,学年度总表!$E$3:$E$1025,0)))</f>
        <v>白新玉</v>
      </c>
      <c r="G27" s="3">
        <f>IF(INDEX(学年度总表!$G$3:$G$1025,MATCH($E27,学年度总表!$E$3:$E$1025,0))="","",INDEX(学年度总表!$G$3:$G$1025,MATCH($E27,学年度总表!$E$3:$E$1025,0)))</f>
        <v>10</v>
      </c>
      <c r="H27" s="3">
        <f>IF(INDEX(学年度总表!$H$3:$H$1025,MATCH($E27,学年度总表!$E$3:$E$1025,0))="","",INDEX(学年度总表!$H$3:$H$1025,MATCH($E27,学年度总表!$E$3:$E$1025,0)))</f>
        <v>55.9</v>
      </c>
      <c r="I27" s="3">
        <f>IF(INDEX(学年度总表!$I$3:$I$1025,MATCH($E27,学年度总表!$E$3:$E$1025,0))="","",INDEX(学年度总表!$I$3:$I$1025,MATCH($E27,学年度总表!$E$3:$E$1025,0)))</f>
        <v>4</v>
      </c>
      <c r="J27" s="3">
        <f>IF(INDEX(学年度总表!$J$3:$J$1025,MATCH($E27,学年度总表!$E$3:$E$1025,0))="","",INDEX(学年度总表!$J$3:$J$1025,MATCH($E27,学年度总表!$E$3:$E$1025,0)))</f>
        <v>69.900000000000006</v>
      </c>
      <c r="K27" s="3">
        <f>IF(INDEX(学年度总表!$K$3:$K$1025,MATCH($E27,学年度总表!$E$3:$E$1025,0))="","",INDEX(学年度总表!$K$3:$K$1025,MATCH($E27,学年度总表!$E$3:$E$1025,0)))</f>
        <v>11</v>
      </c>
      <c r="L27" s="3">
        <f>IF(INDEX(学年度总表!$L$3:$L$1025,MATCH($E27,学年度总表!$E$3:$E$1025,0))="","",INDEX(学年度总表!$L$3:$L$1025,MATCH($E27,学年度总表!$E$3:$E$1025,0)))</f>
        <v>57</v>
      </c>
      <c r="M27" s="3">
        <f>IF(INDEX(学年度总表!$M$3:$M$1025,MATCH($E27,学年度总表!$E$3:$E$1025,0))="","",INDEX(学年度总表!$M$3:$M$1025,MATCH($E27,学年度总表!$E$3:$E$1025,0)))</f>
        <v>4.3</v>
      </c>
      <c r="N27" s="3">
        <f>IF(INDEX(学年度总表!$N$3:$N$1025,MATCH($E27,学年度总表!$E$3:$E$1025,0))="","",INDEX(学年度总表!$N$3:$N$1025,MATCH($E27,学年度总表!$E$3:$E$1025,0)))</f>
        <v>72.3</v>
      </c>
      <c r="O27" s="3">
        <f>IF(INDEX(学年度总表!$O$3:$O$1025,MATCH($E27,学年度总表!$E$3:$E$1025,0))="","",INDEX(学年度总表!$O$3:$O$1025,MATCH($E27,学年度总表!$E$3:$E$1025,0)))</f>
        <v>142.19999999999999</v>
      </c>
      <c r="P27" s="2" t="str">
        <f>IF(INDEX(学年度总表!$P$3:$P$1025,MATCH($E27,学年度总表!$E$3:$E$1025,0))="","",INDEX(学年度总表!$P$3:$P$1025,MATCH($E27,学年度总表!$E$3:$E$1025,0)))</f>
        <v/>
      </c>
      <c r="Q27" s="5" t="str">
        <f>IF(INDEX(学年度总表!$Q$3:$Q$1025,MATCH($E27,学年度总表!$E$3:$E$1025,0))="","",INDEX(学年度总表!$Q$3:$Q$1025,MATCH($E27,学年度总表!$E$3:$E$1025,0)))</f>
        <v/>
      </c>
    </row>
    <row r="28" spans="1:17">
      <c r="A28" s="2">
        <f>IF(INDEX(学年度总表!$A$3:$A$1025,MATCH($E28,学年度总表!$E$3:$E$1025,0))="","",INDEX(学年度总表!$A$3:$A$1025,MATCH($E28,学年度总表!$E$3:$E$1025,0)))</f>
        <v>26</v>
      </c>
      <c r="B28" s="2">
        <f>IF(INDEX(学年度总表!$B$3:$B$1025,MATCH($E28,学年度总表!$E$3:$E$1025,0))="","",INDEX(学年度总表!$B$3:$B$1025,MATCH($E28,学年度总表!$E$3:$E$1025,0)))</f>
        <v>26</v>
      </c>
      <c r="C28" s="2" t="str">
        <f>IF(INDEX(学年度总表!$C$3:$C$1025,MATCH($E28,学年度总表!$E$3:$E$1025,0))="","",INDEX(学年度总表!$C$3:$C$1025,MATCH($E28,学年度总表!$E$3:$E$1025,0)))</f>
        <v>大数据</v>
      </c>
      <c r="D28" s="2" t="str">
        <f>IF(INDEX(学年度总表!$D$3:$D$1025,MATCH($E28,学年度总表!$E$3:$E$1025,0))="","",INDEX(学年度总表!$D$3:$D$1025,MATCH($E28,学年度总表!$E$3:$E$1025,0)))</f>
        <v>大数据一班</v>
      </c>
      <c r="E28" s="2" t="s">
        <v>2103</v>
      </c>
      <c r="F28" s="2" t="str">
        <f>IF(INDEX(学年度总表!$F$3:$F$1025,MATCH($E28,学年度总表!$E$3:$E$1025,0))="","",INDEX(学年度总表!$F$3:$F$1025,MATCH($E28,学年度总表!$E$3:$E$1025,0)))</f>
        <v>林欣茹</v>
      </c>
      <c r="G28" s="3">
        <f>IF(INDEX(学年度总表!$G$3:$G$1025,MATCH($E28,学年度总表!$E$3:$E$1025,0))="","",INDEX(学年度总表!$G$3:$G$1025,MATCH($E28,学年度总表!$E$3:$E$1025,0)))</f>
        <v>9.8000000000000007</v>
      </c>
      <c r="H28" s="3">
        <f>IF(INDEX(学年度总表!$H$3:$H$1025,MATCH($E28,学年度总表!$E$3:$E$1025,0))="","",INDEX(学年度总表!$H$3:$H$1025,MATCH($E28,学年度总表!$E$3:$E$1025,0)))</f>
        <v>57.7</v>
      </c>
      <c r="I28" s="3">
        <f>IF(INDEX(学年度总表!$I$3:$I$1025,MATCH($E28,学年度总表!$E$3:$E$1025,0))="","",INDEX(学年度总表!$I$3:$I$1025,MATCH($E28,学年度总表!$E$3:$E$1025,0)))</f>
        <v>3</v>
      </c>
      <c r="J28" s="3">
        <f>IF(INDEX(学年度总表!$J$3:$J$1025,MATCH($E28,学年度总表!$E$3:$E$1025,0))="","",INDEX(学年度总表!$J$3:$J$1025,MATCH($E28,学年度总表!$E$3:$E$1025,0)))</f>
        <v>70.5</v>
      </c>
      <c r="K28" s="3">
        <f>IF(INDEX(学年度总表!$K$3:$K$1025,MATCH($E28,学年度总表!$E$3:$E$1025,0))="","",INDEX(学年度总表!$K$3:$K$1025,MATCH($E28,学年度总表!$E$3:$E$1025,0)))</f>
        <v>9.8000000000000007</v>
      </c>
      <c r="L28" s="3">
        <f>IF(INDEX(学年度总表!$L$3:$L$1025,MATCH($E28,学年度总表!$E$3:$E$1025,0))="","",INDEX(学年度总表!$L$3:$L$1025,MATCH($E28,学年度总表!$E$3:$E$1025,0)))</f>
        <v>54.29</v>
      </c>
      <c r="M28" s="3">
        <f>IF(INDEX(学年度总表!$M$3:$M$1025,MATCH($E28,学年度总表!$E$3:$E$1025,0))="","",INDEX(学年度总表!$M$3:$M$1025,MATCH($E28,学年度总表!$E$3:$E$1025,0)))</f>
        <v>3.7</v>
      </c>
      <c r="N28" s="3">
        <f>IF(INDEX(学年度总表!$N$3:$N$1025,MATCH($E28,学年度总表!$E$3:$E$1025,0))="","",INDEX(学年度总表!$N$3:$N$1025,MATCH($E28,学年度总表!$E$3:$E$1025,0)))</f>
        <v>67.790000000000006</v>
      </c>
      <c r="O28" s="3">
        <f>IF(INDEX(学年度总表!$O$3:$O$1025,MATCH($E28,学年度总表!$E$3:$E$1025,0))="","",INDEX(学年度总表!$O$3:$O$1025,MATCH($E28,学年度总表!$E$3:$E$1025,0)))</f>
        <v>138.29</v>
      </c>
      <c r="P28" s="2" t="str">
        <f>IF(INDEX(学年度总表!$P$3:$P$1025,MATCH($E28,学年度总表!$E$3:$E$1025,0))="","",INDEX(学年度总表!$P$3:$P$1025,MATCH($E28,学年度总表!$E$3:$E$1025,0)))</f>
        <v/>
      </c>
      <c r="Q28" s="5" t="str">
        <f>IF(INDEX(学年度总表!$Q$3:$Q$1025,MATCH($E28,学年度总表!$E$3:$E$1025,0))="","",INDEX(学年度总表!$Q$3:$Q$1025,MATCH($E28,学年度总表!$E$3:$E$1025,0)))</f>
        <v/>
      </c>
    </row>
    <row r="29" spans="1:17">
      <c r="A29" s="2">
        <f>IF(INDEX(学年度总表!$A$3:$A$1025,MATCH($E29,学年度总表!$E$3:$E$1025,0))="","",INDEX(学年度总表!$A$3:$A$1025,MATCH($E29,学年度总表!$E$3:$E$1025,0)))</f>
        <v>27</v>
      </c>
      <c r="B29" s="2">
        <f>IF(INDEX(学年度总表!$B$3:$B$1025,MATCH($E29,学年度总表!$E$3:$E$1025,0))="","",INDEX(学年度总表!$B$3:$B$1025,MATCH($E29,学年度总表!$E$3:$E$1025,0)))</f>
        <v>27</v>
      </c>
      <c r="C29" s="2" t="str">
        <f>IF(INDEX(学年度总表!$C$3:$C$1025,MATCH($E29,学年度总表!$E$3:$E$1025,0))="","",INDEX(学年度总表!$C$3:$C$1025,MATCH($E29,学年度总表!$E$3:$E$1025,0)))</f>
        <v>大数据</v>
      </c>
      <c r="D29" s="2" t="str">
        <f>IF(INDEX(学年度总表!$D$3:$D$1025,MATCH($E29,学年度总表!$E$3:$E$1025,0))="","",INDEX(学年度总表!$D$3:$D$1025,MATCH($E29,学年度总表!$E$3:$E$1025,0)))</f>
        <v>大数据一班</v>
      </c>
      <c r="E29" s="2" t="s">
        <v>2105</v>
      </c>
      <c r="F29" s="2" t="str">
        <f>IF(INDEX(学年度总表!$F$3:$F$1025,MATCH($E29,学年度总表!$E$3:$E$1025,0))="","",INDEX(学年度总表!$F$3:$F$1025,MATCH($E29,学年度总表!$E$3:$E$1025,0)))</f>
        <v>曹思雨</v>
      </c>
      <c r="G29" s="3">
        <f>IF(INDEX(学年度总表!$G$3:$G$1025,MATCH($E29,学年度总表!$E$3:$E$1025,0))="","",INDEX(学年度总表!$G$3:$G$1025,MATCH($E29,学年度总表!$E$3:$E$1025,0)))</f>
        <v>9.8000000000000007</v>
      </c>
      <c r="H29" s="3">
        <f>IF(INDEX(学年度总表!$H$3:$H$1025,MATCH($E29,学年度总表!$E$3:$E$1025,0))="","",INDEX(学年度总表!$H$3:$H$1025,MATCH($E29,学年度总表!$E$3:$E$1025,0)))</f>
        <v>58.3</v>
      </c>
      <c r="I29" s="3">
        <f>IF(INDEX(学年度总表!$I$3:$I$1025,MATCH($E29,学年度总表!$E$3:$E$1025,0))="","",INDEX(学年度总表!$I$3:$I$1025,MATCH($E29,学年度总表!$E$3:$E$1025,0)))</f>
        <v>3</v>
      </c>
      <c r="J29" s="3">
        <f>IF(INDEX(学年度总表!$J$3:$J$1025,MATCH($E29,学年度总表!$E$3:$E$1025,0))="","",INDEX(学年度总表!$J$3:$J$1025,MATCH($E29,学年度总表!$E$3:$E$1025,0)))</f>
        <v>71.099999999999994</v>
      </c>
      <c r="K29" s="3">
        <f>IF(INDEX(学年度总表!$K$3:$K$1025,MATCH($E29,学年度总表!$E$3:$E$1025,0))="","",INDEX(学年度总表!$K$3:$K$1025,MATCH($E29,学年度总表!$E$3:$E$1025,0)))</f>
        <v>9.8000000000000007</v>
      </c>
      <c r="L29" s="3">
        <f>IF(INDEX(学年度总表!$L$3:$L$1025,MATCH($E29,学年度总表!$E$3:$E$1025,0))="","",INDEX(学年度总表!$L$3:$L$1025,MATCH($E29,学年度总表!$E$3:$E$1025,0)))</f>
        <v>50.6</v>
      </c>
      <c r="M29" s="3">
        <f>IF(INDEX(学年度总表!$M$3:$M$1025,MATCH($E29,学年度总表!$E$3:$E$1025,0))="","",INDEX(学年度总表!$M$3:$M$1025,MATCH($E29,学年度总表!$E$3:$E$1025,0)))</f>
        <v>3.5</v>
      </c>
      <c r="N29" s="3">
        <f>IF(INDEX(学年度总表!$N$3:$N$1025,MATCH($E29,学年度总表!$E$3:$E$1025,0))="","",INDEX(学年度总表!$N$3:$N$1025,MATCH($E29,学年度总表!$E$3:$E$1025,0)))</f>
        <v>63.9</v>
      </c>
      <c r="O29" s="3">
        <f>IF(INDEX(学年度总表!$O$3:$O$1025,MATCH($E29,学年度总表!$E$3:$E$1025,0))="","",INDEX(学年度总表!$O$3:$O$1025,MATCH($E29,学年度总表!$E$3:$E$1025,0)))</f>
        <v>135</v>
      </c>
      <c r="P29" s="2" t="str">
        <f>IF(INDEX(学年度总表!$P$3:$P$1025,MATCH($E29,学年度总表!$E$3:$E$1025,0))="","",INDEX(学年度总表!$P$3:$P$1025,MATCH($E29,学年度总表!$E$3:$E$1025,0)))</f>
        <v/>
      </c>
      <c r="Q29" s="5" t="str">
        <f>IF(INDEX(学年度总表!$Q$3:$Q$1025,MATCH($E29,学年度总表!$E$3:$E$1025,0))="","",INDEX(学年度总表!$Q$3:$Q$1025,MATCH($E29,学年度总表!$E$3:$E$1025,0)))</f>
        <v/>
      </c>
    </row>
    <row r="30" spans="1:17">
      <c r="A30" s="2">
        <f>IF(INDEX(学年度总表!$A$3:$A$1025,MATCH($E30,学年度总表!$E$3:$E$1025,0))="","",INDEX(学年度总表!$A$3:$A$1025,MATCH($E30,学年度总表!$E$3:$E$1025,0)))</f>
        <v>28</v>
      </c>
      <c r="B30" s="2">
        <f>IF(INDEX(学年度总表!$B$3:$B$1025,MATCH($E30,学年度总表!$E$3:$E$1025,0))="","",INDEX(学年度总表!$B$3:$B$1025,MATCH($E30,学年度总表!$E$3:$E$1025,0)))</f>
        <v>28</v>
      </c>
      <c r="C30" s="2" t="str">
        <f>IF(INDEX(学年度总表!$C$3:$C$1025,MATCH($E30,学年度总表!$E$3:$E$1025,0))="","",INDEX(学年度总表!$C$3:$C$1025,MATCH($E30,学年度总表!$E$3:$E$1025,0)))</f>
        <v>大数据</v>
      </c>
      <c r="D30" s="2" t="str">
        <f>IF(INDEX(学年度总表!$D$3:$D$1025,MATCH($E30,学年度总表!$E$3:$E$1025,0))="","",INDEX(学年度总表!$D$3:$D$1025,MATCH($E30,学年度总表!$E$3:$E$1025,0)))</f>
        <v>大数据一班</v>
      </c>
      <c r="E30" s="2" t="s">
        <v>2107</v>
      </c>
      <c r="F30" s="2" t="str">
        <f>IF(INDEX(学年度总表!$F$3:$F$1025,MATCH($E30,学年度总表!$E$3:$E$1025,0))="","",INDEX(学年度总表!$F$3:$F$1025,MATCH($E30,学年度总表!$E$3:$E$1025,0)))</f>
        <v>牛新皓</v>
      </c>
      <c r="G30" s="3">
        <f>IF(INDEX(学年度总表!$G$3:$G$1025,MATCH($E30,学年度总表!$E$3:$E$1025,0))="","",INDEX(学年度总表!$G$3:$G$1025,MATCH($E30,学年度总表!$E$3:$E$1025,0)))</f>
        <v>9.8000000000000007</v>
      </c>
      <c r="H30" s="3">
        <f>IF(INDEX(学年度总表!$H$3:$H$1025,MATCH($E30,学年度总表!$E$3:$E$1025,0))="","",INDEX(学年度总表!$H$3:$H$1025,MATCH($E30,学年度总表!$E$3:$E$1025,0)))</f>
        <v>56.17</v>
      </c>
      <c r="I30" s="3">
        <f>IF(INDEX(学年度总表!$I$3:$I$1025,MATCH($E30,学年度总表!$E$3:$E$1025,0))="","",INDEX(学年度总表!$I$3:$I$1025,MATCH($E30,学年度总表!$E$3:$E$1025,0)))</f>
        <v>3</v>
      </c>
      <c r="J30" s="3">
        <f>IF(INDEX(学年度总表!$J$3:$J$1025,MATCH($E30,学年度总表!$E$3:$E$1025,0))="","",INDEX(学年度总表!$J$3:$J$1025,MATCH($E30,学年度总表!$E$3:$E$1025,0)))</f>
        <v>68.97</v>
      </c>
      <c r="K30" s="3">
        <f>IF(INDEX(学年度总表!$K$3:$K$1025,MATCH($E30,学年度总表!$E$3:$E$1025,0))="","",INDEX(学年度总表!$K$3:$K$1025,MATCH($E30,学年度总表!$E$3:$E$1025,0)))</f>
        <v>9.8000000000000007</v>
      </c>
      <c r="L30" s="3">
        <f>IF(INDEX(学年度总表!$L$3:$L$1025,MATCH($E30,学年度总表!$E$3:$E$1025,0))="","",INDEX(学年度总表!$L$3:$L$1025,MATCH($E30,学年度总表!$E$3:$E$1025,0)))</f>
        <v>49.81</v>
      </c>
      <c r="M30" s="3">
        <f>IF(INDEX(学年度总表!$M$3:$M$1025,MATCH($E30,学年度总表!$E$3:$E$1025,0))="","",INDEX(学年度总表!$M$3:$M$1025,MATCH($E30,学年度总表!$E$3:$E$1025,0)))</f>
        <v>3</v>
      </c>
      <c r="N30" s="3">
        <f>IF(INDEX(学年度总表!$N$3:$N$1025,MATCH($E30,学年度总表!$E$3:$E$1025,0))="","",INDEX(学年度总表!$N$3:$N$1025,MATCH($E30,学年度总表!$E$3:$E$1025,0)))</f>
        <v>62.61</v>
      </c>
      <c r="O30" s="3">
        <f>IF(INDEX(学年度总表!$O$3:$O$1025,MATCH($E30,学年度总表!$E$3:$E$1025,0))="","",INDEX(学年度总表!$O$3:$O$1025,MATCH($E30,学年度总表!$E$3:$E$1025,0)))</f>
        <v>131.58000000000001</v>
      </c>
      <c r="P30" s="2" t="str">
        <f>IF(INDEX(学年度总表!$P$3:$P$1025,MATCH($E30,学年度总表!$E$3:$E$1025,0))="","",INDEX(学年度总表!$P$3:$P$1025,MATCH($E30,学年度总表!$E$3:$E$1025,0)))</f>
        <v/>
      </c>
      <c r="Q30" s="5" t="str">
        <f>IF(INDEX(学年度总表!$Q$3:$Q$1025,MATCH($E30,学年度总表!$E$3:$E$1025,0))="","",INDEX(学年度总表!$Q$3:$Q$1025,MATCH($E30,学年度总表!$E$3:$E$1025,0)))</f>
        <v/>
      </c>
    </row>
    <row r="31" spans="1:17">
      <c r="A31" s="2">
        <f>IF(INDEX(学年度总表!$A$3:$A$1025,MATCH($E31,学年度总表!$E$3:$E$1025,0))="","",INDEX(学年度总表!$A$3:$A$1025,MATCH($E31,学年度总表!$E$3:$E$1025,0)))</f>
        <v>29</v>
      </c>
      <c r="B31" s="2">
        <f>IF(INDEX(学年度总表!$B$3:$B$1025,MATCH($E31,学年度总表!$E$3:$E$1025,0))="","",INDEX(学年度总表!$B$3:$B$1025,MATCH($E31,学年度总表!$E$3:$E$1025,0)))</f>
        <v>29</v>
      </c>
      <c r="C31" s="2" t="str">
        <f>IF(INDEX(学年度总表!$C$3:$C$1025,MATCH($E31,学年度总表!$E$3:$E$1025,0))="","",INDEX(学年度总表!$C$3:$C$1025,MATCH($E31,学年度总表!$E$3:$E$1025,0)))</f>
        <v>大数据</v>
      </c>
      <c r="D31" s="2" t="str">
        <f>IF(INDEX(学年度总表!$D$3:$D$1025,MATCH($E31,学年度总表!$E$3:$E$1025,0))="","",INDEX(学年度总表!$D$3:$D$1025,MATCH($E31,学年度总表!$E$3:$E$1025,0)))</f>
        <v>大数据一班</v>
      </c>
      <c r="E31" s="2" t="s">
        <v>2109</v>
      </c>
      <c r="F31" s="2" t="str">
        <f>IF(INDEX(学年度总表!$F$3:$F$1025,MATCH($E31,学年度总表!$E$3:$E$1025,0))="","",INDEX(学年度总表!$F$3:$F$1025,MATCH($E31,学年度总表!$E$3:$E$1025,0)))</f>
        <v>徐晨鸿</v>
      </c>
      <c r="G31" s="3">
        <f>IF(INDEX(学年度总表!$G$3:$G$1025,MATCH($E31,学年度总表!$E$3:$E$1025,0))="","",INDEX(学年度总表!$G$3:$G$1025,MATCH($E31,学年度总表!$E$3:$E$1025,0)))</f>
        <v>10</v>
      </c>
      <c r="H31" s="3">
        <f>IF(INDEX(学年度总表!$H$3:$H$1025,MATCH($E31,学年度总表!$E$3:$E$1025,0))="","",INDEX(学年度总表!$H$3:$H$1025,MATCH($E31,学年度总表!$E$3:$E$1025,0)))</f>
        <v>49.17</v>
      </c>
      <c r="I31" s="3">
        <f>IF(INDEX(学年度总表!$I$3:$I$1025,MATCH($E31,学年度总表!$E$3:$E$1025,0))="","",INDEX(学年度总表!$I$3:$I$1025,MATCH($E31,学年度总表!$E$3:$E$1025,0)))</f>
        <v>4.5999999999999996</v>
      </c>
      <c r="J31" s="3">
        <f>IF(INDEX(学年度总表!$J$3:$J$1025,MATCH($E31,学年度总表!$E$3:$E$1025,0))="","",INDEX(学年度总表!$J$3:$J$1025,MATCH($E31,学年度总表!$E$3:$E$1025,0)))</f>
        <v>63.77</v>
      </c>
      <c r="K31" s="3">
        <f>IF(INDEX(学年度总表!$K$3:$K$1025,MATCH($E31,学年度总表!$E$3:$E$1025,0))="","",INDEX(学年度总表!$K$3:$K$1025,MATCH($E31,学年度总表!$E$3:$E$1025,0)))</f>
        <v>10</v>
      </c>
      <c r="L31" s="3">
        <f>IF(INDEX(学年度总表!$L$3:$L$1025,MATCH($E31,学年度总表!$E$3:$E$1025,0))="","",INDEX(学年度总表!$L$3:$L$1025,MATCH($E31,学年度总表!$E$3:$E$1025,0)))</f>
        <v>49.1</v>
      </c>
      <c r="M31" s="3">
        <f>IF(INDEX(学年度总表!$M$3:$M$1025,MATCH($E31,学年度总表!$E$3:$E$1025,0))="","",INDEX(学年度总表!$M$3:$M$1025,MATCH($E31,学年度总表!$E$3:$E$1025,0)))</f>
        <v>4.2</v>
      </c>
      <c r="N31" s="3">
        <f>IF(INDEX(学年度总表!$N$3:$N$1025,MATCH($E31,学年度总表!$E$3:$E$1025,0))="","",INDEX(学年度总表!$N$3:$N$1025,MATCH($E31,学年度总表!$E$3:$E$1025,0)))</f>
        <v>63.3</v>
      </c>
      <c r="O31" s="3">
        <f>IF(INDEX(学年度总表!$O$3:$O$1025,MATCH($E31,学年度总表!$E$3:$E$1025,0))="","",INDEX(学年度总表!$O$3:$O$1025,MATCH($E31,学年度总表!$E$3:$E$1025,0)))</f>
        <v>127.07</v>
      </c>
      <c r="P31" s="2" t="str">
        <f>IF(INDEX(学年度总表!$P$3:$P$1025,MATCH($E31,学年度总表!$E$3:$E$1025,0))="","",INDEX(学年度总表!$P$3:$P$1025,MATCH($E31,学年度总表!$E$3:$E$1025,0)))</f>
        <v/>
      </c>
      <c r="Q31" s="5" t="str">
        <f>IF(INDEX(学年度总表!$Q$3:$Q$1025,MATCH($E31,学年度总表!$E$3:$E$1025,0))="","",INDEX(学年度总表!$Q$3:$Q$1025,MATCH($E31,学年度总表!$E$3:$E$1025,0)))</f>
        <v/>
      </c>
    </row>
    <row r="32" spans="1:17">
      <c r="A32" s="2">
        <f>IF(INDEX(学年度总表!$A$3:$A$1025,MATCH($E32,学年度总表!$E$3:$E$1025,0))="","",INDEX(学年度总表!$A$3:$A$1025,MATCH($E32,学年度总表!$E$3:$E$1025,0)))</f>
        <v>30</v>
      </c>
      <c r="B32" s="2">
        <f>IF(INDEX(学年度总表!$B$3:$B$1025,MATCH($E32,学年度总表!$E$3:$E$1025,0))="","",INDEX(学年度总表!$B$3:$B$1025,MATCH($E32,学年度总表!$E$3:$E$1025,0)))</f>
        <v>30</v>
      </c>
      <c r="C32" s="2" t="str">
        <f>IF(INDEX(学年度总表!$C$3:$C$1025,MATCH($E32,学年度总表!$E$3:$E$1025,0))="","",INDEX(学年度总表!$C$3:$C$1025,MATCH($E32,学年度总表!$E$3:$E$1025,0)))</f>
        <v>大数据</v>
      </c>
      <c r="D32" s="2" t="str">
        <f>IF(INDEX(学年度总表!$D$3:$D$1025,MATCH($E32,学年度总表!$E$3:$E$1025,0))="","",INDEX(学年度总表!$D$3:$D$1025,MATCH($E32,学年度总表!$E$3:$E$1025,0)))</f>
        <v>大数据一班</v>
      </c>
      <c r="E32" s="2" t="s">
        <v>2111</v>
      </c>
      <c r="F32" s="2" t="str">
        <f>IF(INDEX(学年度总表!$F$3:$F$1025,MATCH($E32,学年度总表!$E$3:$E$1025,0))="","",INDEX(学年度总表!$F$3:$F$1025,MATCH($E32,学年度总表!$E$3:$E$1025,0)))</f>
        <v>孟秋实</v>
      </c>
      <c r="G32" s="3">
        <f>IF(INDEX(学年度总表!$G$3:$G$1025,MATCH($E32,学年度总表!$E$3:$E$1025,0))="","",INDEX(学年度总表!$G$3:$G$1025,MATCH($E32,学年度总表!$E$3:$E$1025,0)))</f>
        <v>9.4</v>
      </c>
      <c r="H32" s="3">
        <f>IF(INDEX(学年度总表!$H$3:$H$1025,MATCH($E32,学年度总表!$E$3:$E$1025,0))="","",INDEX(学年度总表!$H$3:$H$1025,MATCH($E32,学年度总表!$E$3:$E$1025,0)))</f>
        <v>55.8</v>
      </c>
      <c r="I32" s="3">
        <f>IF(INDEX(学年度总表!$I$3:$I$1025,MATCH($E32,学年度总表!$E$3:$E$1025,0))="","",INDEX(学年度总表!$I$3:$I$1025,MATCH($E32,学年度总表!$E$3:$E$1025,0)))</f>
        <v>3</v>
      </c>
      <c r="J32" s="3">
        <f>IF(INDEX(学年度总表!$J$3:$J$1025,MATCH($E32,学年度总表!$E$3:$E$1025,0))="","",INDEX(学年度总表!$J$3:$J$1025,MATCH($E32,学年度总表!$E$3:$E$1025,0)))</f>
        <v>68.2</v>
      </c>
      <c r="K32" s="3">
        <f>IF(INDEX(学年度总表!$K$3:$K$1025,MATCH($E32,学年度总表!$E$3:$E$1025,0))="","",INDEX(学年度总表!$K$3:$K$1025,MATCH($E32,学年度总表!$E$3:$E$1025,0)))</f>
        <v>7.3</v>
      </c>
      <c r="L32" s="3">
        <f>IF(INDEX(学年度总表!$L$3:$L$1025,MATCH($E32,学年度总表!$E$3:$E$1025,0))="","",INDEX(学年度总表!$L$3:$L$1025,MATCH($E32,学年度总表!$E$3:$E$1025,0)))</f>
        <v>46.35</v>
      </c>
      <c r="M32" s="3">
        <f>IF(INDEX(学年度总表!$M$3:$M$1025,MATCH($E32,学年度总表!$E$3:$E$1025,0))="","",INDEX(学年度总表!$M$3:$M$1025,MATCH($E32,学年度总表!$E$3:$E$1025,0)))</f>
        <v>3</v>
      </c>
      <c r="N32" s="3">
        <f>IF(INDEX(学年度总表!$N$3:$N$1025,MATCH($E32,学年度总表!$E$3:$E$1025,0))="","",INDEX(学年度总表!$N$3:$N$1025,MATCH($E32,学年度总表!$E$3:$E$1025,0)))</f>
        <v>56.65</v>
      </c>
      <c r="O32" s="3">
        <f>IF(INDEX(学年度总表!$O$3:$O$1025,MATCH($E32,学年度总表!$E$3:$E$1025,0))="","",INDEX(学年度总表!$O$3:$O$1025,MATCH($E32,学年度总表!$E$3:$E$1025,0)))</f>
        <v>124.85</v>
      </c>
      <c r="P32" s="2" t="str">
        <f>IF(INDEX(学年度总表!$P$3:$P$1025,MATCH($E32,学年度总表!$E$3:$E$1025,0))="","",INDEX(学年度总表!$P$3:$P$1025,MATCH($E32,学年度总表!$E$3:$E$1025,0)))</f>
        <v/>
      </c>
      <c r="Q32" s="5" t="str">
        <f>IF(INDEX(学年度总表!$Q$3:$Q$1025,MATCH($E32,学年度总表!$E$3:$E$1025,0))="","",INDEX(学年度总表!$Q$3:$Q$1025,MATCH($E32,学年度总表!$E$3:$E$1025,0)))</f>
        <v/>
      </c>
    </row>
  </sheetData>
  <autoFilter ref="A2:Q32" xr:uid="{00000000-0009-0000-0000-000005000000}"/>
  <mergeCells count="11">
    <mergeCell ref="A1:A2"/>
    <mergeCell ref="P1:P2"/>
    <mergeCell ref="Q1:Q2"/>
    <mergeCell ref="K1:N1"/>
    <mergeCell ref="C1:C2"/>
    <mergeCell ref="B1:B2"/>
    <mergeCell ref="D1:D2"/>
    <mergeCell ref="E1:E2"/>
    <mergeCell ref="F1:F2"/>
    <mergeCell ref="G1:J1"/>
    <mergeCell ref="O1:O2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学年度总表</vt:lpstr>
      <vt:lpstr>计科排名</vt:lpstr>
      <vt:lpstr>软工排名</vt:lpstr>
      <vt:lpstr>网工排名</vt:lpstr>
      <vt:lpstr>信管排名</vt:lpstr>
      <vt:lpstr>大数据排名</vt:lpstr>
      <vt:lpstr>信管排名!Print_Titles</vt:lpstr>
      <vt:lpstr>大数据排名!Print_Titles</vt:lpstr>
      <vt:lpstr>学年度总表!Print_Titles</vt:lpstr>
      <vt:lpstr>网工排名!Print_Titles</vt:lpstr>
      <vt:lpstr>计科排名!Print_Titles</vt:lpstr>
      <vt:lpstr>软工排名!Print_Titles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zixiangxu</cp:lastModifiedBy>
  <dcterms:created xsi:type="dcterms:W3CDTF">2026-10-13T04:52:12Z</dcterms:created>
  <dcterms:modified xsi:type="dcterms:W3CDTF">2026-10-13T04:54:02Z</dcterms:modified>
</cp:coreProperties>
</file>